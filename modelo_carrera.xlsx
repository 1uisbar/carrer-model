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puestos" sheetId="1" state="visible" r:id="rId1"/>
    <sheet xmlns:r="http://schemas.openxmlformats.org/officeDocument/2006/relationships" name="Comparativa" sheetId="2" state="visible" r:id="rId2"/>
    <sheet xmlns:r="http://schemas.openxmlformats.org/officeDocument/2006/relationships" name="Ubic_miami" sheetId="3" state="visible" r:id="rId3"/>
    <sheet xmlns:r="http://schemas.openxmlformats.org/officeDocument/2006/relationships" name="Ubic_dfw" sheetId="4" state="visible" r:id="rId4"/>
    <sheet xmlns:r="http://schemas.openxmlformats.org/officeDocument/2006/relationships" name="Ubic_houston" sheetId="5" state="visible" r:id="rId5"/>
    <sheet xmlns:r="http://schemas.openxmlformats.org/officeDocument/2006/relationships" name="Ubic_nyc" sheetId="6" state="visible" r:id="rId6"/>
    <sheet xmlns:r="http://schemas.openxmlformats.org/officeDocument/2006/relationships" name="Ubic_cleveland" sheetId="7" state="visible" r:id="rId7"/>
    <sheet xmlns:r="http://schemas.openxmlformats.org/officeDocument/2006/relationships" name="A1 cm_ur" sheetId="8" state="visible" r:id="rId8"/>
    <sheet xmlns:r="http://schemas.openxmlformats.org/officeDocument/2006/relationships" name="A2 icu" sheetId="9" state="visible" r:id="rId9"/>
    <sheet xmlns:r="http://schemas.openxmlformats.org/officeDocument/2006/relationships" name="A3 icu_travel" sheetId="10" state="visible" r:id="rId10"/>
    <sheet xmlns:r="http://schemas.openxmlformats.org/officeDocument/2006/relationships" name="A4 cdi" sheetId="11" state="visible" r:id="rId11"/>
    <sheet xmlns:r="http://schemas.openxmlformats.org/officeDocument/2006/relationships" name="A5 manager" sheetId="12" state="visible" r:id="rId12"/>
    <sheet xmlns:r="http://schemas.openxmlformats.org/officeDocument/2006/relationships" name="A5b educador" sheetId="13" state="visible" r:id="rId13"/>
    <sheet xmlns:r="http://schemas.openxmlformats.org/officeDocument/2006/relationships" name="A6 injector" sheetId="14" state="visible" r:id="rId14"/>
    <sheet xmlns:r="http://schemas.openxmlformats.org/officeDocument/2006/relationships" name="A7 crna" sheetId="15" state="visible" r:id="rId15"/>
    <sheet xmlns:r="http://schemas.openxmlformats.org/officeDocument/2006/relationships" name="A7b icu_travel_crna" sheetId="16" state="visible" r:id="rId16"/>
    <sheet xmlns:r="http://schemas.openxmlformats.org/officeDocument/2006/relationships" name="A8 fnp" sheetId="17" state="visible" r:id="rId17"/>
    <sheet xmlns:r="http://schemas.openxmlformats.org/officeDocument/2006/relationships" name="A8b pmhnp" sheetId="18" state="visible" r:id="rId18"/>
    <sheet xmlns:r="http://schemas.openxmlformats.org/officeDocument/2006/relationships" name="B1 md_match1" sheetId="19" state="visible" r:id="rId19"/>
    <sheet xmlns:r="http://schemas.openxmlformats.org/officeDocument/2006/relationships" name="B2 md_soap_prelim" sheetId="20" state="visible" r:id="rId20"/>
    <sheet xmlns:r="http://schemas.openxmlformats.org/officeDocument/2006/relationships" name="B3 md_reintento" sheetId="21" state="visible" r:id="rId21"/>
    <sheet xmlns:r="http://schemas.openxmlformats.org/officeDocument/2006/relationships" name="B4 md_fallo" sheetId="22" state="visible" r:id="rId22"/>
  </sheets>
  <definedNames>
    <definedName name="sel_loc">'Supuestos'!$B$3</definedName>
    <definedName name="sel_locIdx">'Supuestos'!$C$3</definedName>
    <definedName name="sel_cfg">'Supuestos'!$B$4</definedName>
    <definedName name="sel_cfgIdx">'Supuestos'!$C$4</definedName>
    <definedName name="sel_escIdx">'Supuestos'!$C$5</definedName>
    <definedName name="cfg_units">'Supuestos'!$K$3:$K$7</definedName>
    <definedName name="esc_salarios">'Supuestos'!$E$11</definedName>
    <definedName name="esc_retorno">'Supuestos'!$E$12</definedName>
    <definedName name="esc_inflacion">'Supuestos'!$E$13</definedName>
    <definedName name="esc_retraso">'Supuestos'!$E$14</definedName>
    <definedName name="esc_probMatch">'Supuestos'!$E$15</definedName>
    <definedName name="esc_apreciacion">'Supuestos'!$E$16</definedName>
    <definedName name="esc_tasaHipoteca">'Supuestos'!$E$17</definedName>
    <definedName name="esc_gastos">'Supuestos'!$E$18</definedName>
    <definedName name="esc_probExamenes">'Supuestos'!$E$19</definedName>
    <definedName name="general_anioInicio">'Supuestos'!$C$54</definedName>
    <definedName name="general_horizonte">'Supuestos'!$C$55</definedName>
    <definedName name="general_edad">'Supuestos'!$C$56</definedName>
    <definedName name="general_inflacion">'Supuestos'!$C$57</definedName>
    <definedName name="general_retornoInversion">'Supuestos'!$C$58</definedName>
    <definedName name="general_retornoEfectivo">'Supuestos'!$C$59</definedName>
    <definedName name="general_tasaAhorro">'Supuestos'!$C$60</definedName>
    <definedName name="general_reservaMeses">'Supuestos'!$C$61</definedName>
    <definedName name="general_tasaDeudaConsumo">'Supuestos'!$C$62</definedName>
    <definedName name="personal_tarifaHora">'Supuestos'!$C$63</definedName>
    <definedName name="personal_horasSemana">'Supuestos'!$C$64</definedName>
    <definedName name="personal_liquidoInicial">'Supuestos'!$C$65</definedName>
    <definedName name="personal_retiroInicial">'Supuestos'!$C$66</definedName>
    <definedName name="personal_irsSaldo">'Supuestos'!$C$67</definedName>
    <definedName name="personal_irsPagoMensual">'Supuestos'!$C$68</definedName>
    <definedName name="personal_deudaEstudiantil">'Supuestos'!$C$69</definedName>
    <definedName name="personal_tasaDeudaEstudiantil">'Supuestos'!$C$70</definedName>
    <definedName name="personal_deudaEsFederal">'Supuestos'!$C$71</definedName>
    <definedName name="personal_aporte403bPct">'Supuestos'!$C$72</definedName>
    <definedName name="personal_match403bPct">'Supuestos'!$C$73</definedName>
    <definedName name="personal_rothAnual">'Supuestos'!$C$74</definedName>
    <definedName name="personal_bsnFin">'Supuestos'!$C$75</definedName>
    <definedName name="personal_bsnCostoRestante">'Supuestos'!$C$76</definedName>
    <definedName name="personal_bsnAumento">'Supuestos'!$C$77</definedName>
    <definedName name="personal_llcActivo">'Supuestos'!$C$78</definedName>
    <definedName name="personal_llcNeto">'Supuestos'!$C$79</definedName>
    <definedName name="personal_llcCrecimiento">'Supuestos'!$C$80</definedName>
    <definedName name="personal_aporteFamiliaMensual">'Supuestos'!$C$81</definedName>
    <definedName name="personal_costoMudanzaInicial">'Supuestos'!$C$82</definedName>
    <definedName name="impuestos_deduccionEstandar">'Supuestos'!$C$83</definedName>
    <definedName name="impuestos_ssTasa">'Supuestos'!$C$84</definedName>
    <definedName name="impuestos_ssTope">'Supuestos'!$C$85</definedName>
    <definedName name="impuestos_medicareTasa">'Supuestos'!$C$86</definedName>
    <definedName name="impuestos_medicareAdicional">'Supuestos'!$C$87</definedName>
    <definedName name="impuestos_medicareUmbral">'Supuestos'!$C$88</definedName>
    <definedName name="impuestos_qbiUmbral">'Supuestos'!$C$89</definedName>
    <definedName name="impuestos_qbiRango">'Supuestos'!$C$90</definedName>
    <definedName name="impuestos_scorpSalarioPct">'Supuestos'!$C$91</definedName>
    <definedName name="impuestos_scorpCostoAnual">'Supuestos'!$C$92</definedName>
    <definedName name="impuestos_nyDeduccion">'Supuestos'!$C$93</definedName>
    <definedName name="impuestos_ohTasa">'Supuestos'!$C$94</definedName>
    <definedName name="impuestos_ohExento">'Supuestos'!$C$95</definedName>
    <definedName name="impuestos_ohMunicipal">'Supuestos'!$C$96</definedName>
    <definedName name="retiro_limite403b">'Supuestos'!$C$97</definedName>
    <definedName name="prestamos_tasaFederalPosgrado">'Supuestos'!$C$98</definedName>
    <definedName name="prestamos_tasaPrivada">'Supuestos'!$C$99</definedName>
    <definedName name="prestamos_topeAnualPosgrado">'Supuestos'!$C$100</definedName>
    <definedName name="prestamos_topeTotalPosgrado">'Supuestos'!$C$101</definedName>
    <definedName name="prestamos_plazoAnios">'Supuestos'!$C$102</definedName>
    <definedName name="prestamos_pslfActivo">'Supuestos'!$C$103</definedName>
    <definedName name="prestamos_pslfPagos">'Supuestos'!$C$104</definedName>
    <definedName name="prestamos_rapPagoMinimoAnual">'Supuestos'!$C$105</definedName>
    <definedName name="vivienda_tasaHipoteca">'Supuestos'!$C$107</definedName>
    <definedName name="vivienda_plazoHipoteca">'Supuestos'!$C$108</definedName>
    <definedName name="vivienda_enganchePct">'Supuestos'!$C$109</definedName>
    <definedName name="vivienda_cierrePct">'Supuestos'!$C$110</definedName>
    <definedName name="vivienda_pmiTasa">'Supuestos'!$C$111</definedName>
    <definedName name="vivienda_mantenimientoPct">'Supuestos'!$C$112</definedName>
    <definedName name="vivienda_apreciacion">'Supuestos'!$C$113</definedName>
    <definedName name="vivienda_inflacionSeguro">'Supuestos'!$C$114</definedName>
    <definedName name="vivienda_dtiMax">'Supuestos'!$C$115</definedName>
    <definedName name="vivienda_prepagoPct">'Supuestos'!$C$116</definedName>
    <definedName name="vivienda_anioMinCompra">'Supuestos'!$C$117</definedName>
    <definedName name="vivienda_vacancia">'Supuestos'!$C$118</definedName>
    <definedName name="vivienda_gestionPct">'Supuestos'!$C$119</definedName>
    <definedName name="vivienda_aduRetrasoAnios">'Supuestos'!$C$120</definedName>
    <definedName name="vivienda_prestamoMedico">'Supuestos'!$C$121</definedName>
    <definedName name="roles_cm_aumento">'Supuestos'!$C$122</definedName>
    <definedName name="roles_ur_base">'Supuestos'!$C$123</definedName>
    <definedName name="roles_ur_aumento">'Supuestos'!$C$124</definedName>
    <definedName name="roles_icuNuevo_base">'Supuestos'!$C$125</definedName>
    <definedName name="roles_icuNuevo_aumento">'Supuestos'!$C$126</definedName>
    <definedName name="roles_icuExp_base">'Supuestos'!$C$127</definedName>
    <definedName name="roles_icuExp_aumento">'Supuestos'!$C$128</definedName>
    <definedName name="roles_travel_base">'Supuestos'!$C$129</definedName>
    <definedName name="roles_travel_aumento">'Supuestos'!$C$130</definedName>
    <definedName name="roles_cdi_base">'Supuestos'!$C$131</definedName>
    <definedName name="roles_cdi_aumento">'Supuestos'!$C$132</definedName>
    <definedName name="roles_manager_base">'Supuestos'!$C$133</definedName>
    <definedName name="roles_manager_aumento">'Supuestos'!$C$134</definedName>
    <definedName name="roles_educador_base">'Supuestos'!$C$135</definedName>
    <definedName name="roles_educador_aumento">'Supuestos'!$C$136</definedName>
    <definedName name="roles_injector_base">'Supuestos'!$C$137</definedName>
    <definedName name="roles_injector_aumento">'Supuestos'!$C$138</definedName>
    <definedName name="roles_crna_base">'Supuestos'!$C$139</definedName>
    <definedName name="roles_crna_aumento">'Supuestos'!$C$140</definedName>
    <definedName name="roles_fnp_base">'Supuestos'!$C$141</definedName>
    <definedName name="roles_fnp_aumento">'Supuestos'!$C$142</definedName>
    <definedName name="roles_pmhnp_base">'Supuestos'!$C$143</definedName>
    <definedName name="roles_pmhnp_aumento">'Supuestos'!$C$144</definedName>
    <definedName name="roles_residente_base">'Supuestos'!$C$145</definedName>
    <definedName name="roles_residente_aumento">'Supuestos'!$C$146</definedName>
    <definedName name="roles_hospitalista_base">'Supuestos'!$C$147</definedName>
    <definedName name="roles_hospitalista_aumento">'Supuestos'!$C$148</definedName>
    <definedName name="roles_fm_base">'Supuestos'!$C$149</definedName>
    <definedName name="roles_fm_aumento">'Supuestos'!$C$150</definedName>
    <definedName name="tiempos_bedsideInicioLag">'Supuestos'!$C$151</definedName>
    <definedName name="tiempos_icuAnios">'Supuestos'!$C$152</definedName>
    <definedName name="tiempos_bonoFirmaICU">'Supuestos'!$C$153</definedName>
    <definedName name="tiempos_travelAnios">'Supuestos'!$C$154</definedName>
    <definedName name="tiempos_travelSemanas">'Supuestos'!$C$155</definedName>
    <definedName name="tiempos_travelStipendPct">'Supuestos'!$C$156</definedName>
    <definedName name="tiempos_travelGastoExtraMes">'Supuestos'!$C$157</definedName>
    <definedName name="tiempos_crnaLagAplicacion">'Supuestos'!$C$158</definedName>
    <definedName name="tiempos_crnaDuracion">'Supuestos'!$C$159</definedName>
    <definedName name="tiempos_crnaMatricula">'Supuestos'!$C$160</definedName>
    <definedName name="tiempos_crnaPslf">'Supuestos'!$C$161</definedName>
    <definedName name="tiempos_npInicio">'Supuestos'!$C$162</definedName>
    <definedName name="tiempos_npDuracion">'Supuestos'!$C$163</definedName>
    <definedName name="tiempos_npMatricula">'Supuestos'!$C$164</definedName>
    <definedName name="tiempos_npHorasTrabajo">'Supuestos'!$C$165</definedName>
    <definedName name="tiempos_msnLiderazgoCosto">'Supuestos'!$C$166</definedName>
    <definedName name="tiempos_injectorCurso">'Supuestos'!$C$167</definedName>
    <definedName name="tiempos_cdiCertAumento">'Supuestos'!$C$168</definedName>
    <definedName name="md_step1Fecha">'Supuestos'!$C$169</definedName>
    <definedName name="md_step2Gap">'Supuestos'!$C$170</definedName>
    <definedName name="md_dedicadoStep1">'Supuestos'!$C$171</definedName>
    <definedName name="md_dedicadoStep2">'Supuestos'!$C$172</definedName>
    <definedName name="md_usceDuracion">'Supuestos'!$C$173</definedName>
    <definedName name="md_usceCostoMes">'Supuestos'!$C$174</definedName>
    <definedName name="md_horasEstudioSemana">'Supuestos'!$C$175</definedName>
    <definedName name="md_horasTrabajoEstudiando">'Supuestos'!$C$176</definedName>
    <definedName name="md_costoStep1">'Supuestos'!$C$177</definedName>
    <definedName name="md_costoStep2">'Supuestos'!$C$178</definedName>
    <definedName name="md_costoPrepUSMLE">'Supuestos'!$C$179</definedName>
    <definedName name="md_costoECFMG">'Supuestos'!$C$180</definedName>
    <definedName name="md_costoERAS">'Supuestos'!$C$181</definedName>
    <definedName name="md_costoEntrevistas">'Supuestos'!$C$182</definedName>
    <definedName name="md_costoMudanza">'Supuestos'!$C$183</definedName>
    <definedName name="md_costoLicencia">'Supuestos'!$C$184</definedName>
    <definedName name="md_probStep1">'Supuestos'!$C$185</definedName>
    <definedName name="md_probStep2">'Supuestos'!$C$186</definedName>
    <definedName name="md_retrasoReprobar">'Supuestos'!$C$187</definedName>
    <definedName name="md_probMatch">'Supuestos'!$C$188</definedName>
    <definedName name="md_abiertoMudarse">'Supuestos'!$C$189</definedName>
    <definedName name="md_probSoap">'Supuestos'!$C$190</definedName>
    <definedName name="md_soapCategoricoPct">'Supuestos'!$C$191</definedName>
    <definedName name="md_probMatchTrasPrelim">'Supuestos'!$C$192</definedName>
    <definedName name="md_probMatchReintento">'Supuestos'!$C$193</definedName>
    <definedName name="md_intentosMax">'Supuestos'!$C$194</definedName>
    <definedName name="md_residenciaAnios">'Supuestos'!$C$195</definedName>
    <definedName name="md_especialidad">'Supuestos'!$C$196</definedName>
    <definedName name="md_locumsTurnosMes">'Supuestos'!$C$197</definedName>
    <definedName name="md_locumsTarifa">'Supuestos'!$C$198</definedName>
    <definedName name="md_directorMedico">'Supuestos'!$C$199</definedName>
    <definedName name="md_tutoria">'Supuestos'!$C$200</definedName>
    <definedName name="md_residentePslf">'Supuestos'!$C$201</definedName>
    <definedName name="md_montecarloN">'Supuestos'!$C$202</definedName>
    <definedName name="md_bonoFirmaAttending">'Supuestos'!$C$203</definedName>
    <definedName name="md_factorMatchSiReprueba">'Supuestos'!$C$204</definedName>
    <definedName name="md_creditoPrelim">'Supuestos'!$C$205</definedName>
    <definedName name="g_inf">'Supuestos'!$C$22</definedName>
    <definedName name="g_ret">'Supuestos'!$C$23</definedName>
    <definedName name="g_cash">'Supuestos'!$C$24</definedName>
    <definedName name="g_appr">'Supuestos'!$C$25</definedName>
    <definedName name="g_mortRate">'Supuestos'!$C$26</definedName>
    <definedName name="g_salMult">'Supuestos'!$C$27</definedName>
    <definedName name="g_gastos">'Supuestos'!$C$28</definedName>
    <definedName name="tb_federalBrackets_lo">'Supuestos'!$E$23:$E$29</definedName>
    <definedName name="tb_federalBrackets_dr">'Supuestos'!$G$23:$G$29</definedName>
    <definedName name="tb_nyBrackets_lo">'Supuestos'!$I$23:$I$31</definedName>
    <definedName name="tb_nyBrackets_dr">'Supuestos'!$K$23:$K$31</definedName>
    <definedName name="tb_nycBrackets_lo">'Supuestos'!$M$23:$M$26</definedName>
    <definedName name="tb_nycBrackets_dr">'Supuestos'!$O$23:$O$26</definedName>
    <definedName name="loc_factorRN">'Supuestos'!$C$31</definedName>
    <definedName name="loc_factorMD">'Supuestos'!$C$32</definedName>
    <definedName name="loc_residentePGY1">'Supuestos'!$C$33</definedName>
    <definedName name="loc_gastosVida">'Supuestos'!$C$34</definedName>
    <definedName name="loc_rentaMensual">'Supuestos'!$C$35</definedName>
    <definedName name="loc_seguroPct">'Supuestos'!$C$36</definedName>
    <definedName name="loc_impuestoPropPct">'Supuestos'!$C$37</definedName>
    <definedName name="loc_factorMatch">'Supuestos'!$C$38</definedName>
    <definedName name="loc_rentaUnidad">'Supuestos'!$C$39</definedName>
    <definedName name="loc_precio_duplex">'Supuestos'!$C$40</definedName>
    <definedName name="loc_precio_inlaw">'Supuestos'!$C$41</definedName>
    <definedName name="loc_precio_dosCasas">'Supuestos'!$C$42</definedName>
    <definedName name="loc_precio_casaAdu">'Supuestos'!$C$43</definedName>
    <definedName name="loc_precio_aduCosto">'Supuestos'!$C$44</definedName>
    <definedName name="loc_precio_multi">'Supuestos'!$C$45</definedName>
    <definedName name="loc_taxcode">'Supuestos'!$C$46</definedName>
    <definedName name="loc_nyc">'Supuestos'!$C$47</definedName>
    <definedName name="ubic_miami_factorRN">'Ubic_miami'!$B$6</definedName>
    <definedName name="ubic_miami_factorMD">'Ubic_miami'!$B$7</definedName>
    <definedName name="ubic_miami_residentePGY1">'Ubic_miami'!$B$8</definedName>
    <definedName name="ubic_miami_gastosVida">'Ubic_miami'!$B$9</definedName>
    <definedName name="ubic_miami_rentaMensual">'Ubic_miami'!$B$10</definedName>
    <definedName name="ubic_miami_seguroPct">'Ubic_miami'!$B$11</definedName>
    <definedName name="ubic_miami_impuestoPropPct">'Ubic_miami'!$B$12</definedName>
    <definedName name="ubic_miami_factorMatch">'Ubic_miami'!$B$13</definedName>
    <definedName name="ubic_miami_rentaUnidad">'Ubic_miami'!$B$14</definedName>
    <definedName name="ubic_miami_precio_duplex">'Ubic_miami'!$B$15</definedName>
    <definedName name="ubic_miami_precio_inlaw">'Ubic_miami'!$B$16</definedName>
    <definedName name="ubic_miami_precio_dosCasas">'Ubic_miami'!$B$17</definedName>
    <definedName name="ubic_miami_precio_casaAdu">'Ubic_miami'!$B$18</definedName>
    <definedName name="ubic_miami_precio_aduCosto">'Ubic_miami'!$B$19</definedName>
    <definedName name="ubic_miami_precio_multi">'Ubic_miami'!$B$20</definedName>
    <definedName name="ubic_miami_taxcode">'Ubic_miami'!$B$21</definedName>
    <definedName name="ubic_miami_nyc">'Ubic_miami'!$B$22</definedName>
    <definedName name="ubic_dfw_factorRN">'Ubic_dfw'!$B$6</definedName>
    <definedName name="ubic_dfw_factorMD">'Ubic_dfw'!$B$7</definedName>
    <definedName name="ubic_dfw_residentePGY1">'Ubic_dfw'!$B$8</definedName>
    <definedName name="ubic_dfw_gastosVida">'Ubic_dfw'!$B$9</definedName>
    <definedName name="ubic_dfw_rentaMensual">'Ubic_dfw'!$B$10</definedName>
    <definedName name="ubic_dfw_seguroPct">'Ubic_dfw'!$B$11</definedName>
    <definedName name="ubic_dfw_impuestoPropPct">'Ubic_dfw'!$B$12</definedName>
    <definedName name="ubic_dfw_factorMatch">'Ubic_dfw'!$B$13</definedName>
    <definedName name="ubic_dfw_rentaUnidad">'Ubic_dfw'!$B$14</definedName>
    <definedName name="ubic_dfw_precio_duplex">'Ubic_dfw'!$B$15</definedName>
    <definedName name="ubic_dfw_precio_inlaw">'Ubic_dfw'!$B$16</definedName>
    <definedName name="ubic_dfw_precio_dosCasas">'Ubic_dfw'!$B$17</definedName>
    <definedName name="ubic_dfw_precio_casaAdu">'Ubic_dfw'!$B$18</definedName>
    <definedName name="ubic_dfw_precio_aduCosto">'Ubic_dfw'!$B$19</definedName>
    <definedName name="ubic_dfw_precio_multi">'Ubic_dfw'!$B$20</definedName>
    <definedName name="ubic_dfw_taxcode">'Ubic_dfw'!$B$21</definedName>
    <definedName name="ubic_dfw_nyc">'Ubic_dfw'!$B$22</definedName>
    <definedName name="ubic_houston_factorRN">'Ubic_houston'!$B$6</definedName>
    <definedName name="ubic_houston_factorMD">'Ubic_houston'!$B$7</definedName>
    <definedName name="ubic_houston_residentePGY1">'Ubic_houston'!$B$8</definedName>
    <definedName name="ubic_houston_gastosVida">'Ubic_houston'!$B$9</definedName>
    <definedName name="ubic_houston_rentaMensual">'Ubic_houston'!$B$10</definedName>
    <definedName name="ubic_houston_seguroPct">'Ubic_houston'!$B$11</definedName>
    <definedName name="ubic_houston_impuestoPropPct">'Ubic_houston'!$B$12</definedName>
    <definedName name="ubic_houston_factorMatch">'Ubic_houston'!$B$13</definedName>
    <definedName name="ubic_houston_rentaUnidad">'Ubic_houston'!$B$14</definedName>
    <definedName name="ubic_houston_precio_duplex">'Ubic_houston'!$B$15</definedName>
    <definedName name="ubic_houston_precio_inlaw">'Ubic_houston'!$B$16</definedName>
    <definedName name="ubic_houston_precio_dosCasas">'Ubic_houston'!$B$17</definedName>
    <definedName name="ubic_houston_precio_casaAdu">'Ubic_houston'!$B$18</definedName>
    <definedName name="ubic_houston_precio_aduCosto">'Ubic_houston'!$B$19</definedName>
    <definedName name="ubic_houston_precio_multi">'Ubic_houston'!$B$20</definedName>
    <definedName name="ubic_houston_taxcode">'Ubic_houston'!$B$21</definedName>
    <definedName name="ubic_houston_nyc">'Ubic_houston'!$B$22</definedName>
    <definedName name="ubic_nyc_factorRN">'Ubic_nyc'!$B$6</definedName>
    <definedName name="ubic_nyc_factorMD">'Ubic_nyc'!$B$7</definedName>
    <definedName name="ubic_nyc_residentePGY1">'Ubic_nyc'!$B$8</definedName>
    <definedName name="ubic_nyc_gastosVida">'Ubic_nyc'!$B$9</definedName>
    <definedName name="ubic_nyc_rentaMensual">'Ubic_nyc'!$B$10</definedName>
    <definedName name="ubic_nyc_seguroPct">'Ubic_nyc'!$B$11</definedName>
    <definedName name="ubic_nyc_impuestoPropPct">'Ubic_nyc'!$B$12</definedName>
    <definedName name="ubic_nyc_factorMatch">'Ubic_nyc'!$B$13</definedName>
    <definedName name="ubic_nyc_rentaUnidad">'Ubic_nyc'!$B$14</definedName>
    <definedName name="ubic_nyc_precio_duplex">'Ubic_nyc'!$B$15</definedName>
    <definedName name="ubic_nyc_precio_inlaw">'Ubic_nyc'!$B$16</definedName>
    <definedName name="ubic_nyc_precio_dosCasas">'Ubic_nyc'!$B$17</definedName>
    <definedName name="ubic_nyc_precio_casaAdu">'Ubic_nyc'!$B$18</definedName>
    <definedName name="ubic_nyc_precio_aduCosto">'Ubic_nyc'!$B$19</definedName>
    <definedName name="ubic_nyc_precio_multi">'Ubic_nyc'!$B$20</definedName>
    <definedName name="ubic_nyc_taxcode">'Ubic_nyc'!$B$21</definedName>
    <definedName name="ubic_nyc_nyc">'Ubic_nyc'!$B$22</definedName>
    <definedName name="ubic_cleveland_factorRN">'Ubic_cleveland'!$B$6</definedName>
    <definedName name="ubic_cleveland_factorMD">'Ubic_cleveland'!$B$7</definedName>
    <definedName name="ubic_cleveland_residentePGY1">'Ubic_cleveland'!$B$8</definedName>
    <definedName name="ubic_cleveland_gastosVida">'Ubic_cleveland'!$B$9</definedName>
    <definedName name="ubic_cleveland_rentaMensual">'Ubic_cleveland'!$B$10</definedName>
    <definedName name="ubic_cleveland_seguroPct">'Ubic_cleveland'!$B$11</definedName>
    <definedName name="ubic_cleveland_impuestoPropPct">'Ubic_cleveland'!$B$12</definedName>
    <definedName name="ubic_cleveland_factorMatch">'Ubic_cleveland'!$B$13</definedName>
    <definedName name="ubic_cleveland_rentaUnidad">'Ubic_cleveland'!$B$14</definedName>
    <definedName name="ubic_cleveland_precio_duplex">'Ubic_cleveland'!$B$15</definedName>
    <definedName name="ubic_cleveland_precio_inlaw">'Ubic_cleveland'!$B$16</definedName>
    <definedName name="ubic_cleveland_precio_dosCasas">'Ubic_cleveland'!$B$17</definedName>
    <definedName name="ubic_cleveland_precio_casaAdu">'Ubic_cleveland'!$B$18</definedName>
    <definedName name="ubic_cleveland_precio_aduCosto">'Ubic_cleveland'!$B$19</definedName>
    <definedName name="ubic_cleveland_precio_multi">'Ubic_cleveland'!$B$20</definedName>
    <definedName name="ubic_cleveland_taxcode">'Ubic_cleveland'!$B$21</definedName>
    <definedName name="ubic_cleveland_nyc">'Ubic_cleveland'!$B$22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4"/>
    </font>
    <font>
      <i val="1"/>
      <color rgb="005B6477"/>
    </font>
    <font>
      <color rgb="001F4FD8"/>
    </font>
    <font>
      <b val="1"/>
    </font>
  </fonts>
  <fills count="4">
    <fill>
      <patternFill/>
    </fill>
    <fill>
      <patternFill patternType="gray125"/>
    </fill>
    <fill>
      <patternFill patternType="solid">
        <fgColor rgb="00E8ECF5"/>
      </patternFill>
    </fill>
    <fill>
      <patternFill patternType="solid">
        <fgColor rgb="00FDE68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4" fillId="2" borderId="0" applyAlignment="1" pivotButton="0" quotePrefix="0" xfId="0">
      <alignment vertical="top" wrapText="1"/>
    </xf>
    <xf numFmtId="10" fontId="3" fillId="0" borderId="0" pivotButton="0" quotePrefix="0" xfId="0"/>
    <xf numFmtId="3" fontId="0" fillId="0" borderId="0" pivotButton="0" quotePrefix="0" xfId="0"/>
    <xf numFmtId="0" fontId="4" fillId="2" borderId="0" pivotButton="0" quotePrefix="0" xfId="0"/>
    <xf numFmtId="0" fontId="4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styles" Target="styles.xml" Id="rId23"/><Relationship Type="http://schemas.openxmlformats.org/officeDocument/2006/relationships/theme" Target="theme/theme1.xml" Id="rId2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05"/>
  <sheetViews>
    <sheetView workbookViewId="0">
      <selection activeCell="A1" sqref="A1"/>
    </sheetView>
  </sheetViews>
  <sheetFormatPr baseColWidth="8" defaultRowHeight="15"/>
  <cols>
    <col width="34" customWidth="1" min="1" max="1"/>
    <col width="52" customWidth="1" min="2" max="2"/>
    <col width="14" customWidth="1" min="3" max="3"/>
    <col width="8" customWidth="1" min="4" max="4"/>
    <col width="50" customWidth="1" min="5" max="5"/>
    <col width="40" customWidth="1" min="6" max="6"/>
    <col width="10" customWidth="1" min="7" max="7"/>
    <col width="9" customWidth="1" min="8" max="8"/>
    <col width="60" customWidth="1" min="9" max="9"/>
  </cols>
  <sheetData>
    <row r="1">
      <c r="A1" s="1" t="inlineStr">
        <is>
          <t>Supuestos del modelo (editar celdas azules)</t>
        </is>
      </c>
    </row>
    <row r="2">
      <c r="A2" s="2" t="inlineStr">
        <is>
          <t>Fuente única: supuestos.json. Cambiar aquí recalcula todo el libro. Porcentajes como fracción (0.07 = 7%). Booleanos 1/0.</t>
        </is>
      </c>
      <c r="H2" t="inlineStr">
        <is>
          <t>Ubicaciones</t>
        </is>
      </c>
      <c r="J2" t="inlineStr">
        <is>
          <t>Configuraciones</t>
        </is>
      </c>
      <c r="K2" t="inlineStr">
        <is>
          <t>Unid. rentadas</t>
        </is>
      </c>
      <c r="L2" t="inlineStr">
        <is>
          <t>Escenarios</t>
        </is>
      </c>
    </row>
    <row r="3">
      <c r="A3" t="inlineStr">
        <is>
          <t>Ubicación (id)</t>
        </is>
      </c>
      <c r="B3" s="3" t="inlineStr">
        <is>
          <t>dfw</t>
        </is>
      </c>
      <c r="C3">
        <f>MATCH(B3,$H$3:$H$7,0)</f>
        <v/>
      </c>
      <c r="H3" t="inlineStr">
        <is>
          <t>miami</t>
        </is>
      </c>
      <c r="I3" t="inlineStr">
        <is>
          <t>Miami / Sur de Florida</t>
        </is>
      </c>
      <c r="J3" t="inlineStr">
        <is>
          <t>duplex</t>
        </is>
      </c>
      <c r="K3" t="n">
        <v>0</v>
      </c>
      <c r="L3" t="inlineStr">
        <is>
          <t>pesimista</t>
        </is>
      </c>
    </row>
    <row r="4">
      <c r="A4" t="inlineStr">
        <is>
          <t>Configuración de vivienda</t>
        </is>
      </c>
      <c r="B4" s="3" t="inlineStr">
        <is>
          <t>duplex</t>
        </is>
      </c>
      <c r="C4">
        <f>MATCH(B4,$J$3:$J$7,0)</f>
        <v/>
      </c>
      <c r="H4" t="inlineStr">
        <is>
          <t>dfw</t>
        </is>
      </c>
      <c r="I4" t="inlineStr">
        <is>
          <t>Dallas–Fort Worth</t>
        </is>
      </c>
      <c r="J4" t="inlineStr">
        <is>
          <t>inlaw</t>
        </is>
      </c>
      <c r="K4" t="n">
        <v>0</v>
      </c>
      <c r="L4" t="inlineStr">
        <is>
          <t>base</t>
        </is>
      </c>
    </row>
    <row r="5">
      <c r="A5" t="inlineStr">
        <is>
          <t>Escenario</t>
        </is>
      </c>
      <c r="B5" s="3" t="inlineStr">
        <is>
          <t>base</t>
        </is>
      </c>
      <c r="C5">
        <f>MATCH(B5,$L$3:$L$5,0)</f>
        <v/>
      </c>
      <c r="H5" t="inlineStr">
        <is>
          <t>houston</t>
        </is>
      </c>
      <c r="I5" t="inlineStr">
        <is>
          <t>Houston</t>
        </is>
      </c>
      <c r="J5" t="inlineStr">
        <is>
          <t>dosCasas</t>
        </is>
      </c>
      <c r="K5" t="n">
        <v>0</v>
      </c>
      <c r="L5" t="inlineStr">
        <is>
          <t>optimista</t>
        </is>
      </c>
    </row>
    <row r="6">
      <c r="H6" t="inlineStr">
        <is>
          <t>nyc</t>
        </is>
      </c>
      <c r="I6" t="inlineStr">
        <is>
          <t>Nueva York (Queens/Bronx)</t>
        </is>
      </c>
      <c r="J6" t="inlineStr">
        <is>
          <t>casaAdu</t>
        </is>
      </c>
      <c r="K6" t="n">
        <v>0</v>
      </c>
    </row>
    <row r="7">
      <c r="H7" t="inlineStr">
        <is>
          <t>cleveland</t>
        </is>
      </c>
      <c r="I7" t="inlineStr">
        <is>
          <t>Cleveland / NE de Ohio</t>
        </is>
      </c>
      <c r="J7" t="inlineStr">
        <is>
          <t>multi</t>
        </is>
      </c>
      <c r="K7" t="n">
        <v>2</v>
      </c>
    </row>
    <row r="9">
      <c r="A9" s="4" t="inlineStr">
        <is>
          <t>Ajustes por escenario</t>
        </is>
      </c>
    </row>
    <row r="10">
      <c r="A10" s="5" t="inlineStr">
        <is>
          <t>Ajuste</t>
        </is>
      </c>
      <c r="B10" s="5" t="inlineStr">
        <is>
          <t>pesimista</t>
        </is>
      </c>
      <c r="C10" s="5" t="inlineStr">
        <is>
          <t>base</t>
        </is>
      </c>
      <c r="D10" s="5" t="inlineStr">
        <is>
          <t>optimista</t>
        </is>
      </c>
      <c r="E10" s="4" t="inlineStr">
        <is>
          <t>Activo</t>
        </is>
      </c>
    </row>
    <row r="11">
      <c r="A11" t="inlineStr">
        <is>
          <t>salarios</t>
        </is>
      </c>
      <c r="B11" s="3" t="n">
        <v>0.92</v>
      </c>
      <c r="C11" s="3" t="n">
        <v>1</v>
      </c>
      <c r="D11" s="3" t="n">
        <v>1.06</v>
      </c>
      <c r="E11">
        <f>CHOOSE(sel_escIdx,B11,C11,D11)</f>
        <v/>
      </c>
    </row>
    <row r="12">
      <c r="A12" t="inlineStr">
        <is>
          <t>retorno</t>
        </is>
      </c>
      <c r="B12" s="3" t="n">
        <v>-0.02</v>
      </c>
      <c r="C12" s="3" t="n">
        <v>0</v>
      </c>
      <c r="D12" s="3" t="n">
        <v>0.015</v>
      </c>
      <c r="E12">
        <f>CHOOSE(sel_escIdx,B12,C12,D12)</f>
        <v/>
      </c>
    </row>
    <row r="13">
      <c r="A13" t="inlineStr">
        <is>
          <t>inflacion</t>
        </is>
      </c>
      <c r="B13" s="3" t="n">
        <v>0.01</v>
      </c>
      <c r="C13" s="3" t="n">
        <v>0</v>
      </c>
      <c r="D13" s="3" t="n">
        <v>-0.005</v>
      </c>
      <c r="E13">
        <f>CHOOSE(sel_escIdx,B13,C13,D13)</f>
        <v/>
      </c>
    </row>
    <row r="14">
      <c r="A14" t="inlineStr">
        <is>
          <t>retraso</t>
        </is>
      </c>
      <c r="B14" s="3" t="n">
        <v>0.5</v>
      </c>
      <c r="C14" s="3" t="n">
        <v>0</v>
      </c>
      <c r="D14" s="3" t="n">
        <v>0</v>
      </c>
      <c r="E14">
        <f>CHOOSE(sel_escIdx,B14,C14,D14)</f>
        <v/>
      </c>
    </row>
    <row r="15">
      <c r="A15" t="inlineStr">
        <is>
          <t>probMatch</t>
        </is>
      </c>
      <c r="B15" s="3" t="n">
        <v>-0.15</v>
      </c>
      <c r="C15" s="3" t="n">
        <v>0</v>
      </c>
      <c r="D15" s="3" t="n">
        <v>0.1</v>
      </c>
      <c r="E15">
        <f>CHOOSE(sel_escIdx,B15,C15,D15)</f>
        <v/>
      </c>
    </row>
    <row r="16">
      <c r="A16" t="inlineStr">
        <is>
          <t>apreciacion</t>
        </is>
      </c>
      <c r="B16" s="3" t="n">
        <v>-0.02</v>
      </c>
      <c r="C16" s="3" t="n">
        <v>0</v>
      </c>
      <c r="D16" s="3" t="n">
        <v>0.01</v>
      </c>
      <c r="E16">
        <f>CHOOSE(sel_escIdx,B16,C16,D16)</f>
        <v/>
      </c>
    </row>
    <row r="17">
      <c r="A17" t="inlineStr">
        <is>
          <t>tasaHipoteca</t>
        </is>
      </c>
      <c r="B17" s="3" t="n">
        <v>0.01</v>
      </c>
      <c r="C17" s="3" t="n">
        <v>0</v>
      </c>
      <c r="D17" s="3" t="n">
        <v>-0.0125</v>
      </c>
      <c r="E17">
        <f>CHOOSE(sel_escIdx,B17,C17,D17)</f>
        <v/>
      </c>
    </row>
    <row r="18">
      <c r="A18" t="inlineStr">
        <is>
          <t>gastos</t>
        </is>
      </c>
      <c r="B18" s="3" t="n">
        <v>1.08</v>
      </c>
      <c r="C18" s="3" t="n">
        <v>1</v>
      </c>
      <c r="D18" s="3" t="n">
        <v>0.96</v>
      </c>
      <c r="E18">
        <f>CHOOSE(sel_escIdx,B18,C18,D18)</f>
        <v/>
      </c>
    </row>
    <row r="19">
      <c r="A19" t="inlineStr">
        <is>
          <t>probExamenes</t>
        </is>
      </c>
      <c r="B19" s="3" t="n">
        <v>-0.1</v>
      </c>
      <c r="C19" s="3" t="n">
        <v>0</v>
      </c>
      <c r="D19" s="3" t="n">
        <v>0.08</v>
      </c>
      <c r="E19">
        <f>CHOOSE(sel_escIdx,B19,C19,D19)</f>
        <v/>
      </c>
    </row>
    <row r="21">
      <c r="A21" s="4" t="inlineStr">
        <is>
          <t>Parámetros efectivos (escenario aplicado)</t>
        </is>
      </c>
      <c r="E21" s="4" t="inlineStr">
        <is>
          <t>Brackets federales 2026 (soltero) [hasta, tasa]</t>
        </is>
      </c>
      <c r="I21" s="4" t="inlineStr">
        <is>
          <t>Brackets estado de NY (soltero, aprox. 2026)</t>
        </is>
      </c>
      <c r="M21" s="4" t="inlineStr">
        <is>
          <t>Impuesto municipal NYC</t>
        </is>
      </c>
    </row>
    <row r="22">
      <c r="A22" t="inlineStr">
        <is>
          <t>Inflación efectiva</t>
        </is>
      </c>
      <c r="B22" t="inlineStr">
        <is>
          <t>g_inf</t>
        </is>
      </c>
      <c r="C22">
        <f>general_inflacion+esc_inflacion</f>
        <v/>
      </c>
      <c r="E22" s="5" t="inlineStr">
        <is>
          <t>Desde</t>
        </is>
      </c>
      <c r="F22" s="5" t="inlineStr">
        <is>
          <t>Tasa</t>
        </is>
      </c>
      <c r="G22" s="5" t="inlineStr">
        <is>
          <t>Δ tasa</t>
        </is>
      </c>
      <c r="I22" s="5" t="inlineStr">
        <is>
          <t>Desde</t>
        </is>
      </c>
      <c r="J22" s="5" t="inlineStr">
        <is>
          <t>Tasa</t>
        </is>
      </c>
      <c r="K22" s="5" t="inlineStr">
        <is>
          <t>Δ tasa</t>
        </is>
      </c>
      <c r="M22" s="5" t="inlineStr">
        <is>
          <t>Desde</t>
        </is>
      </c>
      <c r="N22" s="5" t="inlineStr">
        <is>
          <t>Tasa</t>
        </is>
      </c>
      <c r="O22" s="5" t="inlineStr">
        <is>
          <t>Δ tasa</t>
        </is>
      </c>
    </row>
    <row r="23">
      <c r="A23" t="inlineStr">
        <is>
          <t>Retorno efectivo</t>
        </is>
      </c>
      <c r="B23" t="inlineStr">
        <is>
          <t>g_ret</t>
        </is>
      </c>
      <c r="C23">
        <f>general_retornoInversion+esc_retorno</f>
        <v/>
      </c>
      <c r="E23" s="3" t="n">
        <v>0</v>
      </c>
      <c r="F23" s="3" t="n">
        <v>0.1</v>
      </c>
      <c r="G23">
        <f>F23</f>
        <v/>
      </c>
      <c r="I23" s="3" t="n">
        <v>0</v>
      </c>
      <c r="J23" s="3" t="n">
        <v>0.039</v>
      </c>
      <c r="K23">
        <f>J23</f>
        <v/>
      </c>
      <c r="M23" s="3" t="n">
        <v>0</v>
      </c>
      <c r="N23" s="3" t="n">
        <v>0.03078</v>
      </c>
      <c r="O23">
        <f>N23</f>
        <v/>
      </c>
    </row>
    <row r="24">
      <c r="A24" t="inlineStr">
        <is>
          <t>Retorno efectivo HYSA</t>
        </is>
      </c>
      <c r="B24" t="inlineStr">
        <is>
          <t>g_cash</t>
        </is>
      </c>
      <c r="C24">
        <f>general_retornoEfectivo</f>
        <v/>
      </c>
      <c r="E24" s="3" t="n">
        <v>12400</v>
      </c>
      <c r="F24" s="3" t="n">
        <v>0.12</v>
      </c>
      <c r="G24">
        <f>F24-F23</f>
        <v/>
      </c>
      <c r="I24" s="3" t="n">
        <v>8500</v>
      </c>
      <c r="J24" s="3" t="n">
        <v>0.044</v>
      </c>
      <c r="K24">
        <f>J24-J23</f>
        <v/>
      </c>
      <c r="M24" s="3" t="n">
        <v>12000</v>
      </c>
      <c r="N24" s="3" t="n">
        <v>0.03762</v>
      </c>
      <c r="O24">
        <f>N24-N23</f>
        <v/>
      </c>
    </row>
    <row r="25">
      <c r="A25" t="inlineStr">
        <is>
          <t>Apreciación efectiva</t>
        </is>
      </c>
      <c r="B25" t="inlineStr">
        <is>
          <t>g_appr</t>
        </is>
      </c>
      <c r="C25">
        <f>vivienda_apreciacion+esc_apreciacion</f>
        <v/>
      </c>
      <c r="E25" s="3" t="n">
        <v>50400</v>
      </c>
      <c r="F25" s="3" t="n">
        <v>0.22</v>
      </c>
      <c r="G25">
        <f>F25-F24</f>
        <v/>
      </c>
      <c r="I25" s="3" t="n">
        <v>11700</v>
      </c>
      <c r="J25" s="3" t="n">
        <v>0.0515</v>
      </c>
      <c r="K25">
        <f>J25-J24</f>
        <v/>
      </c>
      <c r="M25" s="3" t="n">
        <v>25000</v>
      </c>
      <c r="N25" s="3" t="n">
        <v>0.03819</v>
      </c>
      <c r="O25">
        <f>N25-N24</f>
        <v/>
      </c>
    </row>
    <row r="26">
      <c r="A26" t="inlineStr">
        <is>
          <t>Tasa hipotecaria efectiva</t>
        </is>
      </c>
      <c r="B26" t="inlineStr">
        <is>
          <t>g_mortRate</t>
        </is>
      </c>
      <c r="C26">
        <f>MAX(0.01,vivienda_tasaHipoteca+esc_tasaHipoteca)</f>
        <v/>
      </c>
      <c r="E26" s="3" t="n">
        <v>105700</v>
      </c>
      <c r="F26" s="3" t="n">
        <v>0.24</v>
      </c>
      <c r="G26">
        <f>F26-F25</f>
        <v/>
      </c>
      <c r="I26" s="3" t="n">
        <v>13900</v>
      </c>
      <c r="J26" s="3" t="n">
        <v>0.054</v>
      </c>
      <c r="K26">
        <f>J26-J25</f>
        <v/>
      </c>
      <c r="M26" s="3" t="n">
        <v>50000</v>
      </c>
      <c r="N26" s="3" t="n">
        <v>0.03876</v>
      </c>
      <c r="O26">
        <f>N26-N25</f>
        <v/>
      </c>
    </row>
    <row r="27">
      <c r="A27" t="inlineStr">
        <is>
          <t>Multiplicador salarios</t>
        </is>
      </c>
      <c r="B27" t="inlineStr">
        <is>
          <t>g_salMult</t>
        </is>
      </c>
      <c r="C27">
        <f>esc_salarios</f>
        <v/>
      </c>
      <c r="E27" s="3" t="n">
        <v>201775</v>
      </c>
      <c r="F27" s="3" t="n">
        <v>0.32</v>
      </c>
      <c r="G27">
        <f>F27-F26</f>
        <v/>
      </c>
      <c r="I27" s="3" t="n">
        <v>80650</v>
      </c>
      <c r="J27" s="3" t="n">
        <v>0.059</v>
      </c>
      <c r="K27">
        <f>J27-J26</f>
        <v/>
      </c>
    </row>
    <row r="28">
      <c r="A28" t="inlineStr">
        <is>
          <t>Multiplicador gastos</t>
        </is>
      </c>
      <c r="B28" t="inlineStr">
        <is>
          <t>g_gastos</t>
        </is>
      </c>
      <c r="C28">
        <f>esc_gastos</f>
        <v/>
      </c>
      <c r="E28" s="3" t="n">
        <v>256225</v>
      </c>
      <c r="F28" s="3" t="n">
        <v>0.35</v>
      </c>
      <c r="G28">
        <f>F28-F27</f>
        <v/>
      </c>
      <c r="I28" s="3" t="n">
        <v>215400</v>
      </c>
      <c r="J28" s="3" t="n">
        <v>0.06850000000000001</v>
      </c>
      <c r="K28">
        <f>J28-J27</f>
        <v/>
      </c>
    </row>
    <row r="29">
      <c r="E29" s="3" t="n">
        <v>640600</v>
      </c>
      <c r="F29" s="3" t="n">
        <v>0.37</v>
      </c>
      <c r="G29">
        <f>F29-F28</f>
        <v/>
      </c>
      <c r="I29" s="3" t="n">
        <v>1077550</v>
      </c>
      <c r="J29" s="3" t="n">
        <v>0.0965</v>
      </c>
      <c r="K29">
        <f>J29-J28</f>
        <v/>
      </c>
    </row>
    <row r="30">
      <c r="A30" s="4" t="inlineStr">
        <is>
          <t>Ubicación activa</t>
        </is>
      </c>
      <c r="I30" s="3" t="n">
        <v>5000000</v>
      </c>
      <c r="J30" s="3" t="n">
        <v>0.103</v>
      </c>
      <c r="K30">
        <f>J30-J29</f>
        <v/>
      </c>
    </row>
    <row r="31">
      <c r="A31" t="inlineStr">
        <is>
          <t>factorRN</t>
        </is>
      </c>
      <c r="C31">
        <f>CHOOSE(sel_locIdx,ubic_miami_factorRN,ubic_dfw_factorRN,ubic_houston_factorRN,ubic_nyc_factorRN,ubic_cleveland_factorRN)</f>
        <v/>
      </c>
      <c r="I31" s="3" t="n">
        <v>25000000</v>
      </c>
      <c r="J31" s="3" t="n">
        <v>0.109</v>
      </c>
      <c r="K31">
        <f>J31-J30</f>
        <v/>
      </c>
    </row>
    <row r="32">
      <c r="A32" t="inlineStr">
        <is>
          <t>factorMD</t>
        </is>
      </c>
      <c r="C32">
        <f>CHOOSE(sel_locIdx,ubic_miami_factorMD,ubic_dfw_factorMD,ubic_houston_factorMD,ubic_nyc_factorMD,ubic_cleveland_factorMD)</f>
        <v/>
      </c>
    </row>
    <row r="33">
      <c r="A33" t="inlineStr">
        <is>
          <t>residentePGY1</t>
        </is>
      </c>
      <c r="C33">
        <f>CHOOSE(sel_locIdx,ubic_miami_residentePGY1,ubic_dfw_residentePGY1,ubic_houston_residentePGY1,ubic_nyc_residentePGY1,ubic_cleveland_residentePGY1)</f>
        <v/>
      </c>
    </row>
    <row r="34">
      <c r="A34" t="inlineStr">
        <is>
          <t>gastosVida</t>
        </is>
      </c>
      <c r="C34">
        <f>CHOOSE(sel_locIdx,ubic_miami_gastosVida,ubic_dfw_gastosVida,ubic_houston_gastosVida,ubic_nyc_gastosVida,ubic_cleveland_gastosVida)</f>
        <v/>
      </c>
    </row>
    <row r="35">
      <c r="A35" t="inlineStr">
        <is>
          <t>rentaMensual</t>
        </is>
      </c>
      <c r="C35">
        <f>CHOOSE(sel_locIdx,ubic_miami_rentaMensual,ubic_dfw_rentaMensual,ubic_houston_rentaMensual,ubic_nyc_rentaMensual,ubic_cleveland_rentaMensual)</f>
        <v/>
      </c>
    </row>
    <row r="36">
      <c r="A36" t="inlineStr">
        <is>
          <t>seguroPct</t>
        </is>
      </c>
      <c r="C36">
        <f>CHOOSE(sel_locIdx,ubic_miami_seguroPct,ubic_dfw_seguroPct,ubic_houston_seguroPct,ubic_nyc_seguroPct,ubic_cleveland_seguroPct)</f>
        <v/>
      </c>
    </row>
    <row r="37">
      <c r="A37" t="inlineStr">
        <is>
          <t>impuestoPropPct</t>
        </is>
      </c>
      <c r="C37">
        <f>CHOOSE(sel_locIdx,ubic_miami_impuestoPropPct,ubic_dfw_impuestoPropPct,ubic_houston_impuestoPropPct,ubic_nyc_impuestoPropPct,ubic_cleveland_impuestoPropPct)</f>
        <v/>
      </c>
    </row>
    <row r="38">
      <c r="A38" t="inlineStr">
        <is>
          <t>factorMatch</t>
        </is>
      </c>
      <c r="C38">
        <f>CHOOSE(sel_locIdx,ubic_miami_factorMatch,ubic_dfw_factorMatch,ubic_houston_factorMatch,ubic_nyc_factorMatch,ubic_cleveland_factorMatch)</f>
        <v/>
      </c>
    </row>
    <row r="39">
      <c r="A39" t="inlineStr">
        <is>
          <t>rentaUnidad</t>
        </is>
      </c>
      <c r="C39">
        <f>CHOOSE(sel_locIdx,ubic_miami_rentaUnidad,ubic_dfw_rentaUnidad,ubic_houston_rentaUnidad,ubic_nyc_rentaUnidad,ubic_cleveland_rentaUnidad)</f>
        <v/>
      </c>
    </row>
    <row r="40">
      <c r="A40" t="inlineStr">
        <is>
          <t>precio_duplex</t>
        </is>
      </c>
      <c r="C40">
        <f>CHOOSE(sel_locIdx,ubic_miami_precio_duplex,ubic_dfw_precio_duplex,ubic_houston_precio_duplex,ubic_nyc_precio_duplex,ubic_cleveland_precio_duplex)</f>
        <v/>
      </c>
    </row>
    <row r="41">
      <c r="A41" t="inlineStr">
        <is>
          <t>precio_inlaw</t>
        </is>
      </c>
      <c r="C41">
        <f>CHOOSE(sel_locIdx,ubic_miami_precio_inlaw,ubic_dfw_precio_inlaw,ubic_houston_precio_inlaw,ubic_nyc_precio_inlaw,ubic_cleveland_precio_inlaw)</f>
        <v/>
      </c>
    </row>
    <row r="42">
      <c r="A42" t="inlineStr">
        <is>
          <t>precio_dosCasas</t>
        </is>
      </c>
      <c r="C42">
        <f>CHOOSE(sel_locIdx,ubic_miami_precio_dosCasas,ubic_dfw_precio_dosCasas,ubic_houston_precio_dosCasas,ubic_nyc_precio_dosCasas,ubic_cleveland_precio_dosCasas)</f>
        <v/>
      </c>
    </row>
    <row r="43">
      <c r="A43" t="inlineStr">
        <is>
          <t>precio_casaAdu</t>
        </is>
      </c>
      <c r="C43">
        <f>CHOOSE(sel_locIdx,ubic_miami_precio_casaAdu,ubic_dfw_precio_casaAdu,ubic_houston_precio_casaAdu,ubic_nyc_precio_casaAdu,ubic_cleveland_precio_casaAdu)</f>
        <v/>
      </c>
    </row>
    <row r="44">
      <c r="A44" t="inlineStr">
        <is>
          <t>precio_aduCosto</t>
        </is>
      </c>
      <c r="C44">
        <f>CHOOSE(sel_locIdx,ubic_miami_precio_aduCosto,ubic_dfw_precio_aduCosto,ubic_houston_precio_aduCosto,ubic_nyc_precio_aduCosto,ubic_cleveland_precio_aduCosto)</f>
        <v/>
      </c>
    </row>
    <row r="45">
      <c r="A45" t="inlineStr">
        <is>
          <t>precio_multi</t>
        </is>
      </c>
      <c r="C45">
        <f>CHOOSE(sel_locIdx,ubic_miami_precio_multi,ubic_dfw_precio_multi,ubic_houston_precio_multi,ubic_nyc_precio_multi,ubic_cleveland_precio_multi)</f>
        <v/>
      </c>
    </row>
    <row r="46">
      <c r="A46" t="inlineStr">
        <is>
          <t>taxcode</t>
        </is>
      </c>
      <c r="C46">
        <f>CHOOSE(sel_locIdx,ubic_miami_taxcode,ubic_dfw_taxcode,ubic_houston_taxcode,ubic_nyc_taxcode,ubic_cleveland_taxcode)</f>
        <v/>
      </c>
    </row>
    <row r="47">
      <c r="A47" t="inlineStr">
        <is>
          <t>nyc</t>
        </is>
      </c>
      <c r="C47">
        <f>CHOOSE(sel_locIdx,ubic_miami_nyc,ubic_dfw_nyc,ubic_houston_nyc,ubic_nyc_nyc,ubic_cleveland_nyc)</f>
        <v/>
      </c>
    </row>
    <row r="52">
      <c r="A52" s="1" t="inlineStr">
        <is>
          <t>Todas las variables</t>
        </is>
      </c>
    </row>
    <row r="53">
      <c r="A53" s="5" t="inlineStr">
        <is>
          <t>Ruta</t>
        </is>
      </c>
      <c r="B53" s="5" t="inlineStr">
        <is>
          <t>Descripción</t>
        </is>
      </c>
      <c r="C53" s="5" t="inlineStr">
        <is>
          <t>Valor</t>
        </is>
      </c>
      <c r="D53" s="5" t="inlineStr">
        <is>
          <t>Unidad</t>
        </is>
      </c>
      <c r="E53" s="5" t="inlineStr">
        <is>
          <t>Fuente</t>
        </is>
      </c>
      <c r="F53" s="5" t="inlineStr">
        <is>
          <t>URL</t>
        </is>
      </c>
      <c r="G53" s="5" t="inlineStr">
        <is>
          <t>Confianza</t>
        </is>
      </c>
      <c r="H53" s="5" t="inlineStr">
        <is>
          <t>Estimado</t>
        </is>
      </c>
      <c r="I53" s="5" t="inlineStr">
        <is>
          <t>Nota</t>
        </is>
      </c>
    </row>
    <row r="54">
      <c r="A54" t="inlineStr">
        <is>
          <t>general.anioInicio</t>
        </is>
      </c>
      <c r="B54" t="inlineStr">
        <is>
          <t>Primer año simulado</t>
        </is>
      </c>
      <c r="C54" s="3" t="n">
        <v>2027</v>
      </c>
      <c r="D54" t="inlineStr">
        <is>
          <t>año</t>
        </is>
      </c>
      <c r="E54" t="inlineStr">
        <is>
          <t>Parámetro de diseño del modelo</t>
        </is>
      </c>
      <c r="F54" t="inlineStr"/>
      <c r="G54" t="inlineStr">
        <is>
          <t>alta</t>
        </is>
      </c>
      <c r="H54" t="inlineStr"/>
      <c r="I54" t="inlineStr">
        <is>
          <t>La simulación es anual de 2027 a 2046 (20 años). Saldo inicial = situación a oct-2026.</t>
        </is>
      </c>
    </row>
    <row r="55">
      <c r="A55" t="inlineStr">
        <is>
          <t>general.horizonte</t>
        </is>
      </c>
      <c r="B55" t="inlineStr">
        <is>
          <t>Horizonte</t>
        </is>
      </c>
      <c r="C55" s="3" t="n">
        <v>20</v>
      </c>
      <c r="D55" t="inlineStr">
        <is>
          <t>años</t>
        </is>
      </c>
      <c r="E55" t="inlineStr">
        <is>
          <t>Parámetro de diseño del modelo</t>
        </is>
      </c>
      <c r="F55" t="inlineStr"/>
      <c r="G55" t="inlineStr">
        <is>
          <t>alta</t>
        </is>
      </c>
      <c r="H55" t="inlineStr"/>
    </row>
    <row r="56">
      <c r="A56" t="inlineStr">
        <is>
          <t>general.edad</t>
        </is>
      </c>
      <c r="B56" t="inlineStr">
        <is>
          <t>Edad actual</t>
        </is>
      </c>
      <c r="C56" s="3" t="n">
        <v>30</v>
      </c>
      <c r="D56" t="inlineStr">
        <is>
          <t>años</t>
        </is>
      </c>
      <c r="E56" t="inlineStr">
        <is>
          <t>Dato proporcionado por ti (README del repositorio)</t>
        </is>
      </c>
      <c r="F56" t="inlineStr"/>
      <c r="G56" t="inlineStr">
        <is>
          <t>alta</t>
        </is>
      </c>
      <c r="H56" t="inlineStr"/>
    </row>
    <row r="57">
      <c r="A57" t="inlineStr">
        <is>
          <t>general.inflacion</t>
        </is>
      </c>
      <c r="B57" t="inlineStr">
        <is>
          <t>Inflación anual (gastos, brackets)</t>
        </is>
      </c>
      <c r="C57" s="6" t="n">
        <v>0.03</v>
      </c>
      <c r="D57" t="inlineStr">
        <is>
          <t>%</t>
        </is>
      </c>
      <c r="E57" t="inlineStr">
        <is>
          <t>Estimación propia del modelo (sin dato publicado directo); ver nota</t>
        </is>
      </c>
      <c r="F57" t="inlineStr"/>
      <c r="G57" t="inlineStr">
        <is>
          <t>media</t>
        </is>
      </c>
      <c r="H57" t="inlineStr">
        <is>
          <t>sí</t>
        </is>
      </c>
      <c r="I57" t="inlineStr">
        <is>
          <t>Supuesto de largo plazo; la Fed apunta a 2%, se usa 3% por prudencia.</t>
        </is>
      </c>
    </row>
    <row r="58">
      <c r="A58" t="inlineStr">
        <is>
          <t>general.retornoInversion</t>
        </is>
      </c>
      <c r="B58" t="inlineStr">
        <is>
          <t>Retorno nominal de inversiones (403b/Roth/brokerage)</t>
        </is>
      </c>
      <c r="C58" s="6" t="n">
        <v>0.07000000000000001</v>
      </c>
      <c r="D58" t="inlineStr">
        <is>
          <t>%</t>
        </is>
      </c>
      <c r="E58" t="inlineStr">
        <is>
          <t>Estimación propia del modelo (sin dato publicado directo); ver nota</t>
        </is>
      </c>
      <c r="F58" t="inlineStr"/>
      <c r="G58" t="inlineStr">
        <is>
          <t>media</t>
        </is>
      </c>
      <c r="H58" t="inlineStr">
        <is>
          <t>sí</t>
        </is>
      </c>
      <c r="I58" t="inlineStr">
        <is>
          <t>Cartera mayormente en acciones; histórico S&amp;P 500 ~10% nominal, se usa 7% conservador.</t>
        </is>
      </c>
    </row>
    <row r="59">
      <c r="A59" t="inlineStr">
        <is>
          <t>general.retornoEfectivo</t>
        </is>
      </c>
      <c r="B59" t="inlineStr">
        <is>
          <t>Retorno de efectivo/HYSA (ahorro para enganche)</t>
        </is>
      </c>
      <c r="C59" s="6" t="n">
        <v>0.035</v>
      </c>
      <c r="D59" t="inlineStr">
        <is>
          <t>%</t>
        </is>
      </c>
      <c r="E59" t="inlineStr">
        <is>
          <t>Estimación propia del modelo (sin dato publicado directo); ver nota</t>
        </is>
      </c>
      <c r="F59" t="inlineStr"/>
      <c r="G59" t="inlineStr">
        <is>
          <t>media</t>
        </is>
      </c>
      <c r="H59" t="inlineStr">
        <is>
          <t>sí</t>
        </is>
      </c>
    </row>
    <row r="60">
      <c r="A60" t="inlineStr">
        <is>
          <t>general.tasaAhorro</t>
        </is>
      </c>
      <c r="B60" t="inlineStr">
        <is>
          <t>Tasa de ahorro del excedente (resto = gasto discrecional)</t>
        </is>
      </c>
      <c r="C60" s="6" t="n">
        <v>0.75</v>
      </c>
      <c r="D60" t="inlineStr">
        <is>
          <t>%</t>
        </is>
      </c>
      <c r="E60" t="inlineStr">
        <is>
          <t>Estimación propia del modelo (sin dato publicado directo); ver nota</t>
        </is>
      </c>
      <c r="F60" t="inlineStr"/>
      <c r="G60" t="inlineStr">
        <is>
          <t>media</t>
        </is>
      </c>
      <c r="H60" t="inlineStr">
        <is>
          <t>sí</t>
        </is>
      </c>
      <c r="I60" t="inlineStr">
        <is>
          <t>De lo que sobra tras gastos básicos, vivienda, deudas y estudios, este % se ahorra/invierte.</t>
        </is>
      </c>
    </row>
    <row r="61">
      <c r="A61" t="inlineStr">
        <is>
          <t>general.reservaMeses</t>
        </is>
      </c>
      <c r="B61" t="inlineStr">
        <is>
          <t>Fondo de emergencia exigido antes de comprar vivienda</t>
        </is>
      </c>
      <c r="C61" s="3" t="n">
        <v>3</v>
      </c>
      <c r="D61" t="inlineStr">
        <is>
          <t>meses</t>
        </is>
      </c>
      <c r="E61" t="inlineStr">
        <is>
          <t>Estimación propia del modelo (sin dato publicado directo); ver nota</t>
        </is>
      </c>
      <c r="F61" t="inlineStr"/>
      <c r="G61" t="inlineStr">
        <is>
          <t>media</t>
        </is>
      </c>
      <c r="H61" t="inlineStr">
        <is>
          <t>sí</t>
        </is>
      </c>
    </row>
    <row r="62">
      <c r="A62" t="inlineStr">
        <is>
          <t>general.tasaDeudaConsumo</t>
        </is>
      </c>
      <c r="B62" t="inlineStr">
        <is>
          <t>Tasa de deuda de consumo si hay déficit fuera de estudios</t>
        </is>
      </c>
      <c r="C62" s="6" t="n">
        <v>0.12</v>
      </c>
      <c r="D62" t="inlineStr">
        <is>
          <t>%</t>
        </is>
      </c>
      <c r="E62" t="inlineStr">
        <is>
          <t>Estimación propia del modelo (sin dato publicado directo); ver nota</t>
        </is>
      </c>
      <c r="F62" t="inlineStr"/>
      <c r="G62" t="inlineStr">
        <is>
          <t>media</t>
        </is>
      </c>
      <c r="H62" t="inlineStr">
        <is>
          <t>sí</t>
        </is>
      </c>
    </row>
    <row r="63">
      <c r="A63" t="inlineStr">
        <is>
          <t>personal.tarifaHora</t>
        </is>
      </c>
      <c r="B63" t="inlineStr">
        <is>
          <t>Tarifa actual Mount Sinai</t>
        </is>
      </c>
      <c r="C63" s="3" t="n">
        <v>40</v>
      </c>
      <c r="D63" t="inlineStr">
        <is>
          <t>$/h</t>
        </is>
      </c>
      <c r="E63" t="inlineStr">
        <is>
          <t>Dato proporcionado por ti (README del repositorio)</t>
        </is>
      </c>
      <c r="F63" t="inlineStr"/>
      <c r="G63" t="inlineStr">
        <is>
          <t>alta</t>
        </is>
      </c>
      <c r="H63" t="inlineStr"/>
      <c r="I63" t="inlineStr">
        <is>
          <t>Dato del usuario.</t>
        </is>
      </c>
    </row>
    <row r="64">
      <c r="A64" t="inlineStr">
        <is>
          <t>personal.horasSemana</t>
        </is>
      </c>
      <c r="B64" t="inlineStr">
        <is>
          <t>Horas/semana actuales (~4 días)</t>
        </is>
      </c>
      <c r="C64" s="3" t="n">
        <v>32</v>
      </c>
      <c r="D64" t="inlineStr">
        <is>
          <t>h</t>
        </is>
      </c>
      <c r="E64" t="inlineStr">
        <is>
          <t>Dato proporcionado por ti (README del repositorio)</t>
        </is>
      </c>
      <c r="F64" t="inlineStr"/>
      <c r="G64" t="inlineStr">
        <is>
          <t>alta</t>
        </is>
      </c>
      <c r="H64" t="inlineStr"/>
      <c r="I64" t="inlineStr">
        <is>
          <t>Ingreso actual ≈ 40 × 32 × 52 = $66,560/año.</t>
        </is>
      </c>
    </row>
    <row r="65">
      <c r="A65" t="inlineStr">
        <is>
          <t>personal.liquidoInicial</t>
        </is>
      </c>
      <c r="B65" t="inlineStr">
        <is>
          <t>Ahorro líquido inicial (HYSA + brokerage)</t>
        </is>
      </c>
      <c r="C65" s="3" t="n">
        <v>8000</v>
      </c>
      <c r="D65" t="inlineStr">
        <is>
          <t>$</t>
        </is>
      </c>
      <c r="E65" t="inlineStr">
        <is>
          <t>Estimación propia del modelo (sin dato publicado directo); ver nota</t>
        </is>
      </c>
      <c r="F65" t="inlineStr"/>
      <c r="G65" t="inlineStr">
        <is>
          <t>media</t>
        </is>
      </c>
      <c r="H65" t="inlineStr">
        <is>
          <t>sí</t>
        </is>
      </c>
      <c r="I65" t="inlineStr">
        <is>
          <t>Total declarado ~$13,000; el reparto líquido/retiro es estimado.</t>
        </is>
      </c>
    </row>
    <row r="66">
      <c r="A66" t="inlineStr">
        <is>
          <t>personal.retiroInicial</t>
        </is>
      </c>
      <c r="B66" t="inlineStr">
        <is>
          <t>Retiro inicial (Roth IRA + 403b)</t>
        </is>
      </c>
      <c r="C66" s="3" t="n">
        <v>5000</v>
      </c>
      <c r="D66" t="inlineStr">
        <is>
          <t>$</t>
        </is>
      </c>
      <c r="E66" t="inlineStr">
        <is>
          <t>Estimación propia del modelo (sin dato publicado directo); ver nota</t>
        </is>
      </c>
      <c r="F66" t="inlineStr"/>
      <c r="G66" t="inlineStr">
        <is>
          <t>media</t>
        </is>
      </c>
      <c r="H66" t="inlineStr">
        <is>
          <t>sí</t>
        </is>
      </c>
    </row>
    <row r="67">
      <c r="A67" t="inlineStr">
        <is>
          <t>personal.irsSaldo</t>
        </is>
      </c>
      <c r="B67" t="inlineStr">
        <is>
          <t>Plan de pagos IRS restante</t>
        </is>
      </c>
      <c r="C67" s="3" t="n">
        <v>1350</v>
      </c>
      <c r="D67" t="inlineStr">
        <is>
          <t>$</t>
        </is>
      </c>
      <c r="E67" t="inlineStr">
        <is>
          <t>Dato proporcionado por ti (README del repositorio)</t>
        </is>
      </c>
      <c r="F67" t="inlineStr"/>
      <c r="G67" t="inlineStr">
        <is>
          <t>alta</t>
        </is>
      </c>
      <c r="H67" t="inlineStr"/>
    </row>
    <row r="68">
      <c r="A68" t="inlineStr">
        <is>
          <t>personal.irsPagoMensual</t>
        </is>
      </c>
      <c r="B68" t="inlineStr">
        <is>
          <t>Pago mensual IRS</t>
        </is>
      </c>
      <c r="C68" s="3" t="n">
        <v>150</v>
      </c>
      <c r="D68" t="inlineStr">
        <is>
          <t>$</t>
        </is>
      </c>
      <c r="E68" t="inlineStr">
        <is>
          <t>Estimación propia del modelo (sin dato publicado directo); ver nota</t>
        </is>
      </c>
      <c r="F68" t="inlineStr"/>
      <c r="G68" t="inlineStr">
        <is>
          <t>media</t>
        </is>
      </c>
      <c r="H68" t="inlineStr">
        <is>
          <t>sí</t>
        </is>
      </c>
    </row>
    <row r="69">
      <c r="A69" t="inlineStr">
        <is>
          <t>personal.deudaEstudiantil</t>
        </is>
      </c>
      <c r="B69" t="inlineStr">
        <is>
          <t>Deuda estudiantil actual</t>
        </is>
      </c>
      <c r="C69" s="3" t="n">
        <v>10000</v>
      </c>
      <c r="D69" t="inlineStr">
        <is>
          <t>$</t>
        </is>
      </c>
      <c r="E69" t="inlineStr">
        <is>
          <t>Dato proporcionado por ti (README del repositorio)</t>
        </is>
      </c>
      <c r="F69" t="inlineStr"/>
      <c r="G69" t="inlineStr">
        <is>
          <t>alta</t>
        </is>
      </c>
      <c r="H69" t="inlineStr"/>
    </row>
    <row r="70">
      <c r="A70" t="inlineStr">
        <is>
          <t>personal.tasaDeudaEstudiantil</t>
        </is>
      </c>
      <c r="B70" t="inlineStr">
        <is>
          <t>Tasa deuda estudiantil actual</t>
        </is>
      </c>
      <c r="C70" s="6" t="n">
        <v>0.06</v>
      </c>
      <c r="D70" t="inlineStr">
        <is>
          <t>%</t>
        </is>
      </c>
      <c r="E70" t="inlineStr">
        <is>
          <t>Dato proporcionado por ti (README del repositorio)</t>
        </is>
      </c>
      <c r="F70" t="inlineStr"/>
      <c r="G70" t="inlineStr">
        <is>
          <t>media</t>
        </is>
      </c>
      <c r="H70" t="inlineStr"/>
    </row>
    <row r="71">
      <c r="A71" t="inlineStr">
        <is>
          <t>personal.deudaEsFederal</t>
        </is>
      </c>
      <c r="B71" t="inlineStr">
        <is>
          <t>La deuda actual es federal (elegible PSLF/RAP)</t>
        </is>
      </c>
      <c r="C71" s="3" t="n">
        <v>1</v>
      </c>
      <c r="D71" t="inlineStr">
        <is>
          <t>bool</t>
        </is>
      </c>
      <c r="E71" t="inlineStr">
        <is>
          <t>Estimación propia del modelo (sin dato publicado directo); ver nota</t>
        </is>
      </c>
      <c r="F71" t="inlineStr"/>
      <c r="G71" t="inlineStr">
        <is>
          <t>baja</t>
        </is>
      </c>
      <c r="H71" t="inlineStr">
        <is>
          <t>sí</t>
        </is>
      </c>
    </row>
    <row r="72">
      <c r="A72" t="inlineStr">
        <is>
          <t>personal.aporte403bPct</t>
        </is>
      </c>
      <c r="B72" t="inlineStr">
        <is>
          <t>Aporte propio al 403b/401k (% del salario W-2)</t>
        </is>
      </c>
      <c r="C72" s="6" t="n">
        <v>0.06</v>
      </c>
      <c r="D72" t="inlineStr">
        <is>
          <t>%</t>
        </is>
      </c>
      <c r="E72" t="inlineStr">
        <is>
          <t>Estimación propia del modelo (sin dato publicado directo); ver nota</t>
        </is>
      </c>
      <c r="F72" t="inlineStr"/>
      <c r="G72" t="inlineStr">
        <is>
          <t>media</t>
        </is>
      </c>
      <c r="H72" t="inlineStr">
        <is>
          <t>sí</t>
        </is>
      </c>
    </row>
    <row r="73">
      <c r="A73" t="inlineStr">
        <is>
          <t>personal.match403bPct</t>
        </is>
      </c>
      <c r="B73" t="inlineStr">
        <is>
          <t>Match del empleador (desde ene-2027)</t>
        </is>
      </c>
      <c r="C73" s="6" t="n">
        <v>0.04</v>
      </c>
      <c r="D73" t="inlineStr">
        <is>
          <t>%</t>
        </is>
      </c>
      <c r="E73" t="inlineStr">
        <is>
          <t>Dato proporcionado por ti (README del repositorio)</t>
        </is>
      </c>
      <c r="F73" t="inlineStr"/>
      <c r="G73" t="inlineStr">
        <is>
          <t>alta</t>
        </is>
      </c>
      <c r="H73" t="inlineStr"/>
      <c r="I73" t="inlineStr">
        <is>
          <t>Dato del usuario para Mount Sinai; se aplica a empleos hospitalarios con match.</t>
        </is>
      </c>
    </row>
    <row r="74">
      <c r="A74" t="inlineStr">
        <is>
          <t>personal.rothAnual</t>
        </is>
      </c>
      <c r="B74" t="inlineStr">
        <is>
          <t>Aporte anual a Roth IRA (si hay excedente)</t>
        </is>
      </c>
      <c r="C74" s="3" t="n">
        <v>3000</v>
      </c>
      <c r="D74" t="inlineStr">
        <is>
          <t>$</t>
        </is>
      </c>
      <c r="E74" t="inlineStr">
        <is>
          <t>Límites 2026 (SS wage base, 403b, IRA) – Mayer Brown</t>
        </is>
      </c>
      <c r="F74" t="inlineStr">
        <is>
          <t>https://www.mayerbrown.com/es/insights/publications/2025/12/irs-annual-limits-for-benefit-plans-2026-cost-of-living-adjustments</t>
        </is>
      </c>
      <c r="G74" t="inlineStr">
        <is>
          <t>media</t>
        </is>
      </c>
      <c r="H74" t="inlineStr"/>
      <c r="I74" t="inlineStr">
        <is>
          <t>Límite IRA 2026 = $7,500. Con ingresos altos se asume backdoor Roth.</t>
        </is>
      </c>
    </row>
    <row r="75">
      <c r="A75" t="inlineStr">
        <is>
          <t>personal.bsnFin</t>
        </is>
      </c>
      <c r="B75" t="inlineStr">
        <is>
          <t>Graduación RN-BSN (South University)</t>
        </is>
      </c>
      <c r="C75" s="3" t="n">
        <v>2027.5</v>
      </c>
      <c r="D75" t="inlineStr">
        <is>
          <t>año</t>
        </is>
      </c>
      <c r="E75" t="inlineStr">
        <is>
          <t>Dato proporcionado por ti (README del repositorio)</t>
        </is>
      </c>
      <c r="F75" t="inlineStr"/>
      <c r="G75" t="inlineStr">
        <is>
          <t>media</t>
        </is>
      </c>
      <c r="H75" t="inlineStr"/>
      <c r="I75" t="inlineStr">
        <is>
          <t>Default: mediados de 2027.</t>
        </is>
      </c>
    </row>
    <row r="76">
      <c r="A76" t="inlineStr">
        <is>
          <t>personal.bsnCostoRestante</t>
        </is>
      </c>
      <c r="B76" t="inlineStr">
        <is>
          <t>Matrícula restante del RN-BSN</t>
        </is>
      </c>
      <c r="C76" s="3" t="n">
        <v>6000</v>
      </c>
      <c r="D76" t="inlineStr">
        <is>
          <t>$</t>
        </is>
      </c>
      <c r="E76" t="inlineStr">
        <is>
          <t>Estimación propia del modelo (sin dato publicado directo); ver nota</t>
        </is>
      </c>
      <c r="F76" t="inlineStr"/>
      <c r="G76" t="inlineStr">
        <is>
          <t>baja</t>
        </is>
      </c>
      <c r="H76" t="inlineStr">
        <is>
          <t>sí</t>
        </is>
      </c>
    </row>
    <row r="77">
      <c r="A77" t="inlineStr">
        <is>
          <t>personal.bsnAumento</t>
        </is>
      </c>
      <c r="B77" t="inlineStr">
        <is>
          <t>Aumento salarial por BSN (case mgmt)</t>
        </is>
      </c>
      <c r="C77" s="6" t="n">
        <v>0.04</v>
      </c>
      <c r="D77" t="inlineStr">
        <is>
          <t>%</t>
        </is>
      </c>
      <c r="E77" t="inlineStr">
        <is>
          <t>Estimación propia del modelo (sin dato publicado directo); ver nota</t>
        </is>
      </c>
      <c r="F77" t="inlineStr"/>
      <c r="G77" t="inlineStr">
        <is>
          <t>baja</t>
        </is>
      </c>
      <c r="H77" t="inlineStr">
        <is>
          <t>sí</t>
        </is>
      </c>
    </row>
    <row r="78">
      <c r="A78" t="inlineStr">
        <is>
          <t>personal.llcActivo</t>
        </is>
      </c>
      <c r="B78" t="inlineStr">
        <is>
          <t>Overlay: ingreso lateral Angelmar Group LLC</t>
        </is>
      </c>
      <c r="C78" s="3" t="n">
        <v>0</v>
      </c>
      <c r="D78" t="inlineStr">
        <is>
          <t>bool</t>
        </is>
      </c>
      <c r="E78" t="inlineStr">
        <is>
          <t>Dato proporcionado por ti (README del repositorio)</t>
        </is>
      </c>
      <c r="F78" t="inlineStr"/>
      <c r="G78" t="inlineStr">
        <is>
          <t>media</t>
        </is>
      </c>
      <c r="H78" t="inlineStr"/>
    </row>
    <row r="79">
      <c r="A79" t="inlineStr">
        <is>
          <t>personal.llcNeto</t>
        </is>
      </c>
      <c r="B79" t="inlineStr">
        <is>
          <t>Ganancia neta anual Angelmar LLC</t>
        </is>
      </c>
      <c r="C79" s="3" t="n">
        <v>12000</v>
      </c>
      <c r="D79" t="inlineStr">
        <is>
          <t>$</t>
        </is>
      </c>
      <c r="E79" t="inlineStr">
        <is>
          <t>Estimación propia del modelo (sin dato publicado directo); ver nota</t>
        </is>
      </c>
      <c r="F79" t="inlineStr"/>
      <c r="G79" t="inlineStr">
        <is>
          <t>baja</t>
        </is>
      </c>
      <c r="H79" t="inlineStr">
        <is>
          <t>sí</t>
        </is>
      </c>
      <c r="I79" t="inlineStr">
        <is>
          <t>Sujeta a impuesto de autoempleo (15.3%) e impuesto sobre la renta.</t>
        </is>
      </c>
    </row>
    <row r="80">
      <c r="A80" t="inlineStr">
        <is>
          <t>personal.llcCrecimiento</t>
        </is>
      </c>
      <c r="B80" t="inlineStr">
        <is>
          <t>Crecimiento anual LLC</t>
        </is>
      </c>
      <c r="C80" s="6" t="n">
        <v>0.05</v>
      </c>
      <c r="D80" t="inlineStr">
        <is>
          <t>%</t>
        </is>
      </c>
      <c r="E80" t="inlineStr">
        <is>
          <t>Estimación propia del modelo (sin dato publicado directo); ver nota</t>
        </is>
      </c>
      <c r="F80" t="inlineStr"/>
      <c r="G80" t="inlineStr">
        <is>
          <t>baja</t>
        </is>
      </c>
      <c r="H80" t="inlineStr">
        <is>
          <t>sí</t>
        </is>
      </c>
    </row>
    <row r="81">
      <c r="A81" t="inlineStr">
        <is>
          <t>personal.aporteFamiliaMensual</t>
        </is>
      </c>
      <c r="B81" t="inlineStr">
        <is>
          <t>Aporte mensual de mamá/tía a la vivienda</t>
        </is>
      </c>
      <c r="C81" s="3" t="n">
        <v>0</v>
      </c>
      <c r="D81" t="inlineStr">
        <is>
          <t>$</t>
        </is>
      </c>
      <c r="E81" t="inlineStr">
        <is>
          <t>Estimación propia del modelo (sin dato publicado directo); ver nota</t>
        </is>
      </c>
      <c r="F81" t="inlineStr"/>
      <c r="G81" t="inlineStr">
        <is>
          <t>baja</t>
        </is>
      </c>
      <c r="H81" t="inlineStr">
        <is>
          <t>sí</t>
        </is>
      </c>
      <c r="I81" t="inlineStr">
        <is>
          <t>Si ellas aportan (p. ej. lo que hoy pagan de renta), acelera el pago.</t>
        </is>
      </c>
    </row>
    <row r="82">
      <c r="A82" t="inlineStr">
        <is>
          <t>personal.costoMudanzaInicial</t>
        </is>
      </c>
      <c r="B82" t="inlineStr">
        <is>
          <t>Mudanza inicial si la ubicación no es Miami</t>
        </is>
      </c>
      <c r="C82" s="3" t="n">
        <v>5000</v>
      </c>
      <c r="D82" t="inlineStr">
        <is>
          <t>$</t>
        </is>
      </c>
      <c r="E82" t="inlineStr">
        <is>
          <t>Estimación propia del modelo (sin dato publicado directo); ver nota</t>
        </is>
      </c>
      <c r="F82" t="inlineStr"/>
      <c r="G82" t="inlineStr">
        <is>
          <t>media</t>
        </is>
      </c>
      <c r="H82" t="inlineStr">
        <is>
          <t>sí</t>
        </is>
      </c>
    </row>
    <row r="83">
      <c r="A83" t="inlineStr">
        <is>
          <t>impuestos.deduccionEstandar</t>
        </is>
      </c>
      <c r="B83" t="inlineStr">
        <is>
          <t>Deducción estándar 2026 (soltero)</t>
        </is>
      </c>
      <c r="C83" s="3" t="n">
        <v>16100</v>
      </c>
      <c r="D83" t="inlineStr">
        <is>
          <t>$</t>
        </is>
      </c>
      <c r="E83" t="inlineStr">
        <is>
          <t>IRS Rev. Proc. 2025-32 (brackets y deducción estándar 2026) vía Accounting Today</t>
        </is>
      </c>
      <c r="F83" t="inlineStr">
        <is>
          <t>https://www.accountingtoday.com/news/irs-announces-inflation-adjustments-for-2026</t>
        </is>
      </c>
      <c r="G83" t="inlineStr">
        <is>
          <t>alta</t>
        </is>
      </c>
      <c r="H83" t="inlineStr"/>
    </row>
    <row r="84">
      <c r="A84" t="inlineStr">
        <is>
          <t>impuestos.ssTasa</t>
        </is>
      </c>
      <c r="B84" t="inlineStr">
        <is>
          <t>Seguro Social (empleado)</t>
        </is>
      </c>
      <c r="C84" s="6" t="n">
        <v>0.062</v>
      </c>
      <c r="D84" t="inlineStr">
        <is>
          <t>%</t>
        </is>
      </c>
      <c r="E84" t="inlineStr">
        <is>
          <t>Límites 2026 (SS wage base, 403b, IRA) – Mayer Brown</t>
        </is>
      </c>
      <c r="F84" t="inlineStr">
        <is>
          <t>https://www.mayerbrown.com/es/insights/publications/2025/12/irs-annual-limits-for-benefit-plans-2026-cost-of-living-adjustments</t>
        </is>
      </c>
      <c r="G84" t="inlineStr">
        <is>
          <t>alta</t>
        </is>
      </c>
      <c r="H84" t="inlineStr"/>
    </row>
    <row r="85">
      <c r="A85" t="inlineStr">
        <is>
          <t>impuestos.ssTope</t>
        </is>
      </c>
      <c r="B85" t="inlineStr">
        <is>
          <t>Tope salarial Seguro Social 2026</t>
        </is>
      </c>
      <c r="C85" s="3" t="n">
        <v>184500</v>
      </c>
      <c r="D85" t="inlineStr">
        <is>
          <t>$</t>
        </is>
      </c>
      <c r="E85" t="inlineStr">
        <is>
          <t>Límites 2026 (SS wage base, 403b, IRA) – Mayer Brown</t>
        </is>
      </c>
      <c r="F85" t="inlineStr">
        <is>
          <t>https://www.mayerbrown.com/es/insights/publications/2025/12/irs-annual-limits-for-benefit-plans-2026-cost-of-living-adjustments</t>
        </is>
      </c>
      <c r="G85" t="inlineStr">
        <is>
          <t>alta</t>
        </is>
      </c>
      <c r="H85" t="inlineStr"/>
    </row>
    <row r="86">
      <c r="A86" t="inlineStr">
        <is>
          <t>impuestos.medicareTasa</t>
        </is>
      </c>
      <c r="B86" t="inlineStr">
        <is>
          <t>Medicare (empleado)</t>
        </is>
      </c>
      <c r="C86" s="6" t="n">
        <v>0.0145</v>
      </c>
      <c r="D86" t="inlineStr">
        <is>
          <t>%</t>
        </is>
      </c>
      <c r="E86" t="inlineStr">
        <is>
          <t>Límites 2026 (SS wage base, 403b, IRA) – Mayer Brown</t>
        </is>
      </c>
      <c r="F86" t="inlineStr">
        <is>
          <t>https://www.mayerbrown.com/es/insights/publications/2025/12/irs-annual-limits-for-benefit-plans-2026-cost-of-living-adjustments</t>
        </is>
      </c>
      <c r="G86" t="inlineStr">
        <is>
          <t>alta</t>
        </is>
      </c>
      <c r="H86" t="inlineStr"/>
    </row>
    <row r="87">
      <c r="A87" t="inlineStr">
        <is>
          <t>impuestos.medicareAdicional</t>
        </is>
      </c>
      <c r="B87" t="inlineStr">
        <is>
          <t>Medicare adicional (&gt; $200k)</t>
        </is>
      </c>
      <c r="C87" s="6" t="n">
        <v>0.008999999999999999</v>
      </c>
      <c r="D87" t="inlineStr">
        <is>
          <t>%</t>
        </is>
      </c>
      <c r="E87" t="inlineStr">
        <is>
          <t>Límites 2026 (SS wage base, 403b, IRA) – Mayer Brown</t>
        </is>
      </c>
      <c r="F87" t="inlineStr">
        <is>
          <t>https://www.mayerbrown.com/es/insights/publications/2025/12/irs-annual-limits-for-benefit-plans-2026-cost-of-living-adjustments</t>
        </is>
      </c>
      <c r="G87" t="inlineStr">
        <is>
          <t>alta</t>
        </is>
      </c>
      <c r="H87" t="inlineStr"/>
    </row>
    <row r="88">
      <c r="A88" t="inlineStr">
        <is>
          <t>impuestos.medicareUmbral</t>
        </is>
      </c>
      <c r="B88" t="inlineStr">
        <is>
          <t>Umbral Medicare adicional (no indexado)</t>
        </is>
      </c>
      <c r="C88" s="3" t="n">
        <v>200000</v>
      </c>
      <c r="D88" t="inlineStr">
        <is>
          <t>$</t>
        </is>
      </c>
      <c r="E88" t="inlineStr">
        <is>
          <t>Límites 2026 (SS wage base, 403b, IRA) – Mayer Brown</t>
        </is>
      </c>
      <c r="F88" t="inlineStr">
        <is>
          <t>https://www.mayerbrown.com/es/insights/publications/2025/12/irs-annual-limits-for-benefit-plans-2026-cost-of-living-adjustments</t>
        </is>
      </c>
      <c r="G88" t="inlineStr">
        <is>
          <t>alta</t>
        </is>
      </c>
      <c r="H88" t="inlineStr"/>
    </row>
    <row r="89">
      <c r="A89" t="inlineStr">
        <is>
          <t>impuestos.qbiUmbral</t>
        </is>
      </c>
      <c r="B89" t="inlineStr">
        <is>
          <t>Umbral QBI (SSTB) soltero 2026</t>
        </is>
      </c>
      <c r="C89" s="3" t="n">
        <v>201750</v>
      </c>
      <c r="D89" t="inlineStr">
        <is>
          <t>$</t>
        </is>
      </c>
      <c r="E89" t="inlineStr">
        <is>
          <t>Estimación propia del modelo (sin dato publicado directo); ver nota</t>
        </is>
      </c>
      <c r="F89" t="inlineStr"/>
      <c r="G89" t="inlineStr">
        <is>
          <t>media</t>
        </is>
      </c>
      <c r="H89" t="inlineStr">
        <is>
          <t>sí</t>
        </is>
      </c>
      <c r="I89" t="inlineStr">
        <is>
          <t>Médicos/enfermeros son 'SSTB': la deducción 20% QBI se elimina por encima del umbral + rango.</t>
        </is>
      </c>
    </row>
    <row r="90">
      <c r="A90" t="inlineStr">
        <is>
          <t>impuestos.qbiRango</t>
        </is>
      </c>
      <c r="B90" t="inlineStr">
        <is>
          <t>Rango de eliminación QBI (OBBBA)</t>
        </is>
      </c>
      <c r="C90" s="3" t="n">
        <v>75000</v>
      </c>
      <c r="D90" t="inlineStr">
        <is>
          <t>$</t>
        </is>
      </c>
      <c r="E90" t="inlineStr">
        <is>
          <t>Estimación propia del modelo (sin dato publicado directo); ver nota</t>
        </is>
      </c>
      <c r="F90" t="inlineStr"/>
      <c r="G90" t="inlineStr">
        <is>
          <t>media</t>
        </is>
      </c>
      <c r="H90" t="inlineStr">
        <is>
          <t>sí</t>
        </is>
      </c>
    </row>
    <row r="91">
      <c r="A91" t="inlineStr">
        <is>
          <t>impuestos.scorpSalarioPct</t>
        </is>
      </c>
      <c r="B91" t="inlineStr">
        <is>
          <t>S-corp locums: % pagado como salario razonable</t>
        </is>
      </c>
      <c r="C91" s="6" t="n">
        <v>0.5</v>
      </c>
      <c r="D91" t="inlineStr">
        <is>
          <t>%</t>
        </is>
      </c>
      <c r="E91" t="inlineStr">
        <is>
          <t>Estimación propia del modelo (sin dato publicado directo); ver nota</t>
        </is>
      </c>
      <c r="F91" t="inlineStr"/>
      <c r="G91" t="inlineStr">
        <is>
          <t>media</t>
        </is>
      </c>
      <c r="H91" t="inlineStr">
        <is>
          <t>sí</t>
        </is>
      </c>
      <c r="I91" t="inlineStr">
        <is>
          <t>El resto es distribución sin FICA. El IRS exige salario 'razonable'.</t>
        </is>
      </c>
    </row>
    <row r="92">
      <c r="A92" t="inlineStr">
        <is>
          <t>impuestos.scorpCostoAnual</t>
        </is>
      </c>
      <c r="B92" t="inlineStr">
        <is>
          <t>Costo anual S-corp (contador, nómina, franchise)</t>
        </is>
      </c>
      <c r="C92" s="3" t="n">
        <v>3000</v>
      </c>
      <c r="D92" t="inlineStr">
        <is>
          <t>$</t>
        </is>
      </c>
      <c r="E92" t="inlineStr">
        <is>
          <t>Estimación propia del modelo (sin dato publicado directo); ver nota</t>
        </is>
      </c>
      <c r="F92" t="inlineStr"/>
      <c r="G92" t="inlineStr">
        <is>
          <t>media</t>
        </is>
      </c>
      <c r="H92" t="inlineStr">
        <is>
          <t>sí</t>
        </is>
      </c>
    </row>
    <row r="93">
      <c r="A93" t="inlineStr">
        <is>
          <t>impuestos.nyDeduccion</t>
        </is>
      </c>
      <c r="B93" t="inlineStr">
        <is>
          <t>Deducción estándar NY</t>
        </is>
      </c>
      <c r="C93" s="3" t="n">
        <v>8000</v>
      </c>
      <c r="D93" t="inlineStr">
        <is>
          <t>$</t>
        </is>
      </c>
      <c r="E93" t="inlineStr">
        <is>
          <t>NY State/NYC tasas (aprox. 2026, verificar en tax.ny.gov)</t>
        </is>
      </c>
      <c r="F93" t="inlineStr">
        <is>
          <t>https://www.countrytaxcalc.com/tax-guides/compare/new-york-vs-ohio/</t>
        </is>
      </c>
      <c r="G93" t="inlineStr">
        <is>
          <t>media</t>
        </is>
      </c>
      <c r="H93" t="inlineStr"/>
    </row>
    <row r="94">
      <c r="A94" t="inlineStr">
        <is>
          <t>impuestos.ohTasa</t>
        </is>
      </c>
      <c r="B94" t="inlineStr">
        <is>
          <t>Ohio tasa plana 2026</t>
        </is>
      </c>
      <c r="C94" s="6" t="n">
        <v>0.0275</v>
      </c>
      <c r="D94" t="inlineStr">
        <is>
          <t>%</t>
        </is>
      </c>
      <c r="E94" t="inlineStr">
        <is>
          <t>EY Tax News – Ohio tasa plana 2.75% desde 2026</t>
        </is>
      </c>
      <c r="F94" t="inlineStr">
        <is>
          <t>https://taxnews.ey.com/news/2025-1744</t>
        </is>
      </c>
      <c r="G94" t="inlineStr">
        <is>
          <t>alta</t>
        </is>
      </c>
      <c r="H94" t="inlineStr"/>
    </row>
    <row r="95">
      <c r="A95" t="inlineStr">
        <is>
          <t>impuestos.ohExento</t>
        </is>
      </c>
      <c r="B95" t="inlineStr">
        <is>
          <t>Ohio: ingreso exento</t>
        </is>
      </c>
      <c r="C95" s="3" t="n">
        <v>26050</v>
      </c>
      <c r="D95" t="inlineStr">
        <is>
          <t>$</t>
        </is>
      </c>
      <c r="E95" t="inlineStr">
        <is>
          <t>EY Tax News – Ohio tasa plana 2.75% desde 2026</t>
        </is>
      </c>
      <c r="F95" t="inlineStr">
        <is>
          <t>https://taxnews.ey.com/news/2025-1744</t>
        </is>
      </c>
      <c r="G95" t="inlineStr">
        <is>
          <t>alta</t>
        </is>
      </c>
      <c r="H95" t="inlineStr"/>
    </row>
    <row r="96">
      <c r="A96" t="inlineStr">
        <is>
          <t>impuestos.ohMunicipal</t>
        </is>
      </c>
      <c r="B96" t="inlineStr">
        <is>
          <t>Impuesto municipal Cleveland (sobre salarios)</t>
        </is>
      </c>
      <c r="C96" s="6" t="n">
        <v>0.025</v>
      </c>
      <c r="D96" t="inlineStr">
        <is>
          <t>%</t>
        </is>
      </c>
      <c r="E96" t="inlineStr">
        <is>
          <t>EY Tax News – Ohio tasa plana 2.75% desde 2026</t>
        </is>
      </c>
      <c r="F96" t="inlineStr">
        <is>
          <t>https://taxnews.ey.com/news/2025-1744</t>
        </is>
      </c>
      <c r="G96" t="inlineStr">
        <is>
          <t>media</t>
        </is>
      </c>
      <c r="H96" t="inlineStr"/>
    </row>
    <row r="97">
      <c r="A97" t="inlineStr">
        <is>
          <t>retiro.limite403b</t>
        </is>
      </c>
      <c r="B97" t="inlineStr">
        <is>
          <t>Límite aporte 403b/401k 2026</t>
        </is>
      </c>
      <c r="C97" s="3" t="n">
        <v>24500</v>
      </c>
      <c r="D97" t="inlineStr">
        <is>
          <t>$</t>
        </is>
      </c>
      <c r="E97" t="inlineStr">
        <is>
          <t>Límites 2026 (SS wage base, 403b, IRA) – Mayer Brown</t>
        </is>
      </c>
      <c r="F97" t="inlineStr">
        <is>
          <t>https://www.mayerbrown.com/es/insights/publications/2025/12/irs-annual-limits-for-benefit-plans-2026-cost-of-living-adjustments</t>
        </is>
      </c>
      <c r="G97" t="inlineStr">
        <is>
          <t>alta</t>
        </is>
      </c>
      <c r="H97" t="inlineStr"/>
    </row>
    <row r="98">
      <c r="A98" t="inlineStr">
        <is>
          <t>prestamos.tasaFederalPosgrado</t>
        </is>
      </c>
      <c r="B98" t="inlineStr">
        <is>
          <t>Tasa federal posgrado 2026-27</t>
        </is>
      </c>
      <c r="C98" s="6" t="n">
        <v>0.08069999999999999</v>
      </c>
      <c r="D98" t="inlineStr">
        <is>
          <t>%</t>
        </is>
      </c>
      <c r="E98" t="inlineStr">
        <is>
          <t>ED – tasa Direct Unsubsidized posgrado 2026-27: 8.07%</t>
        </is>
      </c>
      <c r="F98" t="inlineStr">
        <is>
          <t>https://fsapartners.ed.gov/knowledge-center/library/electronic-announcements/2026-06-04/interest-rates-federal-direct-loans-first-disbursed-between-july-1-2026-and-june-30-2027</t>
        </is>
      </c>
      <c r="G98" t="inlineStr">
        <is>
          <t>alta</t>
        </is>
      </c>
      <c r="H98" t="inlineStr"/>
    </row>
    <row r="99">
      <c r="A99" t="inlineStr">
        <is>
          <t>prestamos.tasaPrivada</t>
        </is>
      </c>
      <c r="B99" t="inlineStr">
        <is>
          <t>Tasa préstamo privado (excedente sobre tope federal)</t>
        </is>
      </c>
      <c r="C99" s="6" t="n">
        <v>0.095</v>
      </c>
      <c r="D99" t="inlineStr">
        <is>
          <t>%</t>
        </is>
      </c>
      <c r="E99" t="inlineStr">
        <is>
          <t>Estimación propia del modelo (sin dato publicado directo); ver nota</t>
        </is>
      </c>
      <c r="F99" t="inlineStr"/>
      <c r="G99" t="inlineStr">
        <is>
          <t>media</t>
        </is>
      </c>
      <c r="H99" t="inlineStr">
        <is>
          <t>sí</t>
        </is>
      </c>
    </row>
    <row r="100">
      <c r="A100" t="inlineStr">
        <is>
          <t>prestamos.topeAnualPosgrado</t>
        </is>
      </c>
      <c r="B100" t="inlineStr">
        <is>
          <t>Tope federal anual – posgrado (NP/CRNA)</t>
        </is>
      </c>
      <c r="C100" s="3" t="n">
        <v>20500</v>
      </c>
      <c r="D100" t="inlineStr">
        <is>
          <t>$</t>
        </is>
      </c>
      <c r="E100" t="inlineStr">
        <is>
          <t>Límites préstamos desde 1-jul-2026: posgrado $20,500/año ($100k total); profesional $50k/año ($200k)</t>
        </is>
      </c>
      <c r="F100" t="inlineStr">
        <is>
          <t>https://www.uvu.edu/financialaid/aid/graduate_professional_loan_changes_2026.html</t>
        </is>
      </c>
      <c r="G100" t="inlineStr">
        <is>
          <t>alta</t>
        </is>
      </c>
      <c r="H100" t="inlineStr"/>
      <c r="I100" t="inlineStr">
        <is>
          <t>Grad PLUS eliminado para nuevos estudiantes desde 1-jul-2026. No está claro si el DNP-CRNA se clasificará como 'profesional' ($50k/año).</t>
        </is>
      </c>
    </row>
    <row r="101">
      <c r="A101" t="inlineStr">
        <is>
          <t>prestamos.topeTotalPosgrado</t>
        </is>
      </c>
      <c r="B101" t="inlineStr">
        <is>
          <t>Tope federal acumulado – posgrado</t>
        </is>
      </c>
      <c r="C101" s="3" t="n">
        <v>100000</v>
      </c>
      <c r="D101" t="inlineStr">
        <is>
          <t>$</t>
        </is>
      </c>
      <c r="E101" t="inlineStr">
        <is>
          <t>Límites préstamos desde 1-jul-2026: posgrado $20,500/año ($100k total); profesional $50k/año ($200k)</t>
        </is>
      </c>
      <c r="F101" t="inlineStr">
        <is>
          <t>https://www.uvu.edu/financialaid/aid/graduate_professional_loan_changes_2026.html</t>
        </is>
      </c>
      <c r="G101" t="inlineStr">
        <is>
          <t>alta</t>
        </is>
      </c>
      <c r="H101" t="inlineStr"/>
    </row>
    <row r="102">
      <c r="A102" t="inlineStr">
        <is>
          <t>prestamos.plazoAnios</t>
        </is>
      </c>
      <c r="B102" t="inlineStr">
        <is>
          <t>Plazo de repago estándar</t>
        </is>
      </c>
      <c r="C102" s="3" t="n">
        <v>10</v>
      </c>
      <c r="D102" t="inlineStr">
        <is>
          <t>años</t>
        </is>
      </c>
      <c r="E102" t="inlineStr">
        <is>
          <t>Estimación propia del modelo (sin dato publicado directo); ver nota</t>
        </is>
      </c>
      <c r="F102" t="inlineStr"/>
      <c r="G102" t="inlineStr">
        <is>
          <t>media</t>
        </is>
      </c>
      <c r="H102" t="inlineStr"/>
    </row>
    <row r="103">
      <c r="A103" t="inlineStr">
        <is>
          <t>prestamos.pslfActivo</t>
        </is>
      </c>
      <c r="B103" t="inlineStr">
        <is>
          <t>Usar PSLF cuando el empleo es sin fines de lucro</t>
        </is>
      </c>
      <c r="C103" s="3" t="n">
        <v>1</v>
      </c>
      <c r="D103" t="inlineStr">
        <is>
          <t>bool</t>
        </is>
      </c>
      <c r="E103" t="inlineStr">
        <is>
          <t>Cambios PSLF/RAP 2026 (OBBBA): RAP califica para PSLF, 1–10% del AGI</t>
        </is>
      </c>
      <c r="F103" t="inlineStr">
        <is>
          <t>https://www.tateesq.com/learn/pslf-changes-2026</t>
        </is>
      </c>
      <c r="G103" t="inlineStr">
        <is>
          <t>media</t>
        </is>
      </c>
      <c r="H103" t="inlineStr"/>
    </row>
    <row r="104">
      <c r="A104" t="inlineStr">
        <is>
          <t>prestamos.pslfPagos</t>
        </is>
      </c>
      <c r="B104" t="inlineStr">
        <is>
          <t>Pagos calificados requeridos para PSLF</t>
        </is>
      </c>
      <c r="C104" s="3" t="n">
        <v>120</v>
      </c>
      <c r="D104" t="inlineStr">
        <is>
          <t>meses</t>
        </is>
      </c>
      <c r="E104" t="inlineStr">
        <is>
          <t>Cambios PSLF/RAP 2026 (OBBBA): RAP califica para PSLF, 1–10% del AGI</t>
        </is>
      </c>
      <c r="F104" t="inlineStr">
        <is>
          <t>https://www.tateesq.com/learn/pslf-changes-2026</t>
        </is>
      </c>
      <c r="G104" t="inlineStr">
        <is>
          <t>alta</t>
        </is>
      </c>
      <c r="H104" t="inlineStr"/>
    </row>
    <row r="105">
      <c r="A105" t="inlineStr">
        <is>
          <t>prestamos.rapPagoMinimoAnual</t>
        </is>
      </c>
      <c r="B105" t="inlineStr">
        <is>
          <t>Pago mínimo RAP ($10/mes)</t>
        </is>
      </c>
      <c r="C105" s="3" t="n">
        <v>120</v>
      </c>
      <c r="D105" t="inlineStr">
        <is>
          <t>$</t>
        </is>
      </c>
      <c r="E105" t="inlineStr">
        <is>
          <t>Cambios PSLF/RAP 2026 (OBBBA): RAP califica para PSLF, 1–10% del AGI</t>
        </is>
      </c>
      <c r="F105" t="inlineStr">
        <is>
          <t>https://www.tateesq.com/learn/pslf-changes-2026</t>
        </is>
      </c>
      <c r="G105" t="inlineStr">
        <is>
          <t>alta</t>
        </is>
      </c>
      <c r="H105" t="inlineStr"/>
    </row>
    <row r="106">
      <c r="A106" t="inlineStr">
        <is>
          <t>vivienda.configuracion</t>
        </is>
      </c>
      <c r="B106" t="inlineStr">
        <is>
          <t>Configuración de vivienda</t>
        </is>
      </c>
      <c r="C106" s="3" t="inlineStr">
        <is>
          <t>duplex</t>
        </is>
      </c>
      <c r="D106" t="inlineStr">
        <is>
          <t>opcion</t>
        </is>
      </c>
      <c r="E106" t="inlineStr">
        <is>
          <t>Parámetro de diseño del modelo</t>
        </is>
      </c>
      <c r="F106" t="inlineStr"/>
      <c r="G106" t="inlineStr">
        <is>
          <t>alta</t>
        </is>
      </c>
      <c r="H106" t="inlineStr"/>
    </row>
    <row r="107">
      <c r="A107" t="inlineStr">
        <is>
          <t>vivienda.tasaHipoteca</t>
        </is>
      </c>
      <c r="B107" t="inlineStr">
        <is>
          <t>Tasa hipotecaria 30 años</t>
        </is>
      </c>
      <c r="C107" s="6" t="n">
        <v>0.07000000000000001</v>
      </c>
      <c r="D107" t="inlineStr">
        <is>
          <t>%</t>
        </is>
      </c>
      <c r="E107" t="inlineStr">
        <is>
          <t>Freddie Mac PMMS – 30 años 7.32% (22-oct-2026)</t>
        </is>
      </c>
      <c r="F107" t="inlineStr">
        <is>
          <t>https://fred.stlouisfed.org/series/MORTGAGE30US</t>
        </is>
      </c>
      <c r="G107" t="inlineStr">
        <is>
          <t>media</t>
        </is>
      </c>
      <c r="H107" t="inlineStr"/>
      <c r="I107" t="inlineStr">
        <is>
          <t>Freddie Mac: 7.32% el 22-oct-2026; se usa 7.0% suponiendo leve baja.</t>
        </is>
      </c>
    </row>
    <row r="108">
      <c r="A108" t="inlineStr">
        <is>
          <t>vivienda.plazoHipoteca</t>
        </is>
      </c>
      <c r="B108" t="inlineStr">
        <is>
          <t>Plazo hipoteca</t>
        </is>
      </c>
      <c r="C108" s="3" t="n">
        <v>30</v>
      </c>
      <c r="D108" t="inlineStr">
        <is>
          <t>años</t>
        </is>
      </c>
      <c r="E108" t="inlineStr">
        <is>
          <t>Parámetro de diseño del modelo</t>
        </is>
      </c>
      <c r="F108" t="inlineStr"/>
      <c r="G108" t="inlineStr">
        <is>
          <t>alta</t>
        </is>
      </c>
      <c r="H108" t="inlineStr"/>
    </row>
    <row r="109">
      <c r="A109" t="inlineStr">
        <is>
          <t>vivienda.enganchePct</t>
        </is>
      </c>
      <c r="B109" t="inlineStr">
        <is>
          <t>Enganche</t>
        </is>
      </c>
      <c r="C109" s="6" t="n">
        <v>0.1</v>
      </c>
      <c r="D109" t="inlineStr">
        <is>
          <t>%</t>
        </is>
      </c>
      <c r="E109" t="inlineStr">
        <is>
          <t>Estimación propia del modelo (sin dato publicado directo); ver nota</t>
        </is>
      </c>
      <c r="F109" t="inlineStr"/>
      <c r="G109" t="inlineStr">
        <is>
          <t>media</t>
        </is>
      </c>
      <c r="H109" t="inlineStr"/>
      <c r="I109" t="inlineStr">
        <is>
          <t>FHA permite 3.5% y Fannie Mae 5% en 2-4 unidades ocupadas por el dueño; 10% por defecto.</t>
        </is>
      </c>
    </row>
    <row r="110">
      <c r="A110" t="inlineStr">
        <is>
          <t>vivienda.cierrePct</t>
        </is>
      </c>
      <c r="B110" t="inlineStr">
        <is>
          <t>Costos de cierre</t>
        </is>
      </c>
      <c r="C110" s="6" t="n">
        <v>0.03</v>
      </c>
      <c r="D110" t="inlineStr">
        <is>
          <t>%</t>
        </is>
      </c>
      <c r="E110" t="inlineStr">
        <is>
          <t>Estimación propia del modelo (sin dato publicado directo); ver nota</t>
        </is>
      </c>
      <c r="F110" t="inlineStr"/>
      <c r="G110" t="inlineStr">
        <is>
          <t>media</t>
        </is>
      </c>
      <c r="H110" t="inlineStr">
        <is>
          <t>sí</t>
        </is>
      </c>
    </row>
    <row r="111">
      <c r="A111" t="inlineStr">
        <is>
          <t>vivienda.pmiTasa</t>
        </is>
      </c>
      <c r="B111" t="inlineStr">
        <is>
          <t>PMI anual si enganche &lt; 20%</t>
        </is>
      </c>
      <c r="C111" s="6" t="n">
        <v>0.006</v>
      </c>
      <c r="D111" t="inlineStr">
        <is>
          <t>%</t>
        </is>
      </c>
      <c r="E111" t="inlineStr">
        <is>
          <t>Estimación propia del modelo (sin dato publicado directo); ver nota</t>
        </is>
      </c>
      <c r="F111" t="inlineStr"/>
      <c r="G111" t="inlineStr">
        <is>
          <t>media</t>
        </is>
      </c>
      <c r="H111" t="inlineStr">
        <is>
          <t>sí</t>
        </is>
      </c>
    </row>
    <row r="112">
      <c r="A112" t="inlineStr">
        <is>
          <t>vivienda.mantenimientoPct</t>
        </is>
      </c>
      <c r="B112" t="inlineStr">
        <is>
          <t>Mantenimiento anual (% del valor)</t>
        </is>
      </c>
      <c r="C112" s="6" t="n">
        <v>0.01</v>
      </c>
      <c r="D112" t="inlineStr">
        <is>
          <t>%</t>
        </is>
      </c>
      <c r="E112" t="inlineStr">
        <is>
          <t>Estimación propia del modelo (sin dato publicado directo); ver nota</t>
        </is>
      </c>
      <c r="F112" t="inlineStr"/>
      <c r="G112" t="inlineStr">
        <is>
          <t>media</t>
        </is>
      </c>
      <c r="H112" t="inlineStr">
        <is>
          <t>sí</t>
        </is>
      </c>
    </row>
    <row r="113">
      <c r="A113" t="inlineStr">
        <is>
          <t>vivienda.apreciacion</t>
        </is>
      </c>
      <c r="B113" t="inlineStr">
        <is>
          <t>Apreciación anual de vivienda</t>
        </is>
      </c>
      <c r="C113" s="6" t="n">
        <v>0.03</v>
      </c>
      <c r="D113" t="inlineStr">
        <is>
          <t>%</t>
        </is>
      </c>
      <c r="E113" t="inlineStr">
        <is>
          <t>Estimación propia del modelo (sin dato publicado directo); ver nota</t>
        </is>
      </c>
      <c r="F113" t="inlineStr"/>
      <c r="G113" t="inlineStr">
        <is>
          <t>baja</t>
        </is>
      </c>
      <c r="H113" t="inlineStr">
        <is>
          <t>sí</t>
        </is>
      </c>
    </row>
    <row r="114">
      <c r="A114" t="inlineStr">
        <is>
          <t>vivienda.inflacionSeguro</t>
        </is>
      </c>
      <c r="B114" t="inlineStr">
        <is>
          <t>Aumento anual del seguro de vivienda</t>
        </is>
      </c>
      <c r="C114" s="6" t="n">
        <v>0.05</v>
      </c>
      <c r="D114" t="inlineStr">
        <is>
          <t>%</t>
        </is>
      </c>
      <c r="E114" t="inlineStr">
        <is>
          <t>Insurance.com 2026: prima promedio FL $8,471; TX $4,582; nacional $2,872</t>
        </is>
      </c>
      <c r="F114" t="inlineStr">
        <is>
          <t>https://www.insurance.com/home-and-renters-insurance/home-insurance-unaffordable-states/</t>
        </is>
      </c>
      <c r="G114" t="inlineStr">
        <is>
          <t>media</t>
        </is>
      </c>
      <c r="H114" t="inlineStr">
        <is>
          <t>sí</t>
        </is>
      </c>
      <c r="I114" t="inlineStr">
        <is>
          <t>TX +8.7% y FL +6.8% en 2026 según Insurance.com.</t>
        </is>
      </c>
    </row>
    <row r="115">
      <c r="A115" t="inlineStr">
        <is>
          <t>vivienda.dtiMax</t>
        </is>
      </c>
      <c r="B115" t="inlineStr">
        <is>
          <t>Máximo (costo de vivienda + deudas) / ingreso bruto mensual</t>
        </is>
      </c>
      <c r="C115" s="6" t="n">
        <v>0.43</v>
      </c>
      <c r="D115" t="inlineStr">
        <is>
          <t>%</t>
        </is>
      </c>
      <c r="E115" t="inlineStr">
        <is>
          <t>Estimación propia del modelo (sin dato publicado directo); ver nota</t>
        </is>
      </c>
      <c r="F115" t="inlineStr"/>
      <c r="G115" t="inlineStr">
        <is>
          <t>media</t>
        </is>
      </c>
      <c r="H115" t="inlineStr">
        <is>
          <t>sí</t>
        </is>
      </c>
      <c r="I115" t="inlineStr">
        <is>
          <t>Regla típica de aprobación: 43% de DTI total (FHA/Fannie con AUS puede llegar a ~45-50%). El aporte de mamá/tía cuenta al 75% si hay unidad separada con contrato.</t>
        </is>
      </c>
    </row>
    <row r="116">
      <c r="A116" t="inlineStr">
        <is>
          <t>vivienda.prepagoPct</t>
        </is>
      </c>
      <c r="B116" t="inlineStr">
        <is>
          <t>% del ahorro anual destinado a prepagar hipoteca</t>
        </is>
      </c>
      <c r="C116" s="6" t="n">
        <v>0.6</v>
      </c>
      <c r="D116" t="inlineStr">
        <is>
          <t>%</t>
        </is>
      </c>
      <c r="E116" t="inlineStr">
        <is>
          <t>Estimación propia del modelo (sin dato publicado directo); ver nota</t>
        </is>
      </c>
      <c r="F116" t="inlineStr"/>
      <c r="G116" t="inlineStr">
        <is>
          <t>media</t>
        </is>
      </c>
      <c r="H116" t="inlineStr"/>
      <c r="I116" t="inlineStr">
        <is>
          <t>Meta: vivienda pagada lo antes posible.</t>
        </is>
      </c>
    </row>
    <row r="117">
      <c r="A117" t="inlineStr">
        <is>
          <t>vivienda.anioMinCompra</t>
        </is>
      </c>
      <c r="B117" t="inlineStr">
        <is>
          <t>Año más temprano de compra</t>
        </is>
      </c>
      <c r="C117" s="3" t="n">
        <v>2027</v>
      </c>
      <c r="D117" t="inlineStr">
        <is>
          <t>año</t>
        </is>
      </c>
      <c r="E117" t="inlineStr">
        <is>
          <t>Parámetro de diseño del modelo</t>
        </is>
      </c>
      <c r="F117" t="inlineStr"/>
      <c r="G117" t="inlineStr">
        <is>
          <t>media</t>
        </is>
      </c>
      <c r="H117" t="inlineStr"/>
    </row>
    <row r="118">
      <c r="A118" t="inlineStr">
        <is>
          <t>vivienda.vacancia</t>
        </is>
      </c>
      <c r="B118" t="inlineStr">
        <is>
          <t>Vacancia en unidades rentadas</t>
        </is>
      </c>
      <c r="C118" s="6" t="n">
        <v>0.08</v>
      </c>
      <c r="D118" t="inlineStr">
        <is>
          <t>%</t>
        </is>
      </c>
      <c r="E118" t="inlineStr">
        <is>
          <t>Estimación propia del modelo (sin dato publicado directo); ver nota</t>
        </is>
      </c>
      <c r="F118" t="inlineStr"/>
      <c r="G118" t="inlineStr">
        <is>
          <t>media</t>
        </is>
      </c>
      <c r="H118" t="inlineStr">
        <is>
          <t>sí</t>
        </is>
      </c>
    </row>
    <row r="119">
      <c r="A119" t="inlineStr">
        <is>
          <t>vivienda.gestionPct</t>
        </is>
      </c>
      <c r="B119" t="inlineStr">
        <is>
          <t>Gestión/reparaciones de unidades rentadas (% renta)</t>
        </is>
      </c>
      <c r="C119" s="6" t="n">
        <v>0.08</v>
      </c>
      <c r="D119" t="inlineStr">
        <is>
          <t>%</t>
        </is>
      </c>
      <c r="E119" t="inlineStr">
        <is>
          <t>Estimación propia del modelo (sin dato publicado directo); ver nota</t>
        </is>
      </c>
      <c r="F119" t="inlineStr"/>
      <c r="G119" t="inlineStr">
        <is>
          <t>media</t>
        </is>
      </c>
      <c r="H119" t="inlineStr">
        <is>
          <t>sí</t>
        </is>
      </c>
    </row>
    <row r="120">
      <c r="A120" t="inlineStr">
        <is>
          <t>vivienda.aduRetrasoAnios</t>
        </is>
      </c>
      <c r="B120" t="inlineStr">
        <is>
          <t>Casa+ADU: años tras compra para construir ADU</t>
        </is>
      </c>
      <c r="C120" s="3" t="n">
        <v>3</v>
      </c>
      <c r="D120" t="inlineStr">
        <is>
          <t>años</t>
        </is>
      </c>
      <c r="E120" t="inlineStr">
        <is>
          <t>Estimación propia del modelo (sin dato publicado directo); ver nota</t>
        </is>
      </c>
      <c r="F120" t="inlineStr"/>
      <c r="G120" t="inlineStr">
        <is>
          <t>media</t>
        </is>
      </c>
      <c r="H120" t="inlineStr">
        <is>
          <t>sí</t>
        </is>
      </c>
    </row>
    <row r="121">
      <c r="A121" t="inlineStr">
        <is>
          <t>vivienda.prestamoMedico</t>
        </is>
      </c>
      <c r="B121" t="inlineStr">
        <is>
          <t>Usar 'physician loan' (5% enganche, sin PMI) al ser attending</t>
        </is>
      </c>
      <c r="C121" s="3" t="n">
        <v>1</v>
      </c>
      <c r="D121" t="inlineStr">
        <is>
          <t>bool</t>
        </is>
      </c>
      <c r="E121" t="inlineStr">
        <is>
          <t>Parámetro de diseño del modelo</t>
        </is>
      </c>
      <c r="F121" t="inlineStr"/>
      <c r="G121" t="inlineStr">
        <is>
          <t>media</t>
        </is>
      </c>
      <c r="H121" t="inlineStr"/>
    </row>
    <row r="122">
      <c r="A122" t="inlineStr">
        <is>
          <t>roles.cm.aumento</t>
        </is>
      </c>
      <c r="B122" t="inlineStr">
        <is>
          <t>Aumento anual case manager</t>
        </is>
      </c>
      <c r="C122" s="6" t="n">
        <v>0.03</v>
      </c>
      <c r="D122" t="inlineStr">
        <is>
          <t>%</t>
        </is>
      </c>
      <c r="E122" t="inlineStr">
        <is>
          <t>Estimación propia del modelo (sin dato publicado directo); ver nota</t>
        </is>
      </c>
      <c r="F122" t="inlineStr"/>
      <c r="G122" t="inlineStr">
        <is>
          <t>media</t>
        </is>
      </c>
      <c r="H122" t="inlineStr">
        <is>
          <t>sí</t>
        </is>
      </c>
      <c r="I122" t="inlineStr">
        <is>
          <t>El salario de case manager se calibra con tu tarifa actual ($/h × 2080) ajustada por el factor RN de la ubicación vs Miami.</t>
        </is>
      </c>
    </row>
    <row r="123">
      <c r="A123" t="inlineStr">
        <is>
          <t>roles.ur.base</t>
        </is>
      </c>
      <c r="B123" t="inlineStr">
        <is>
          <t>Utilization review / payer-side remoto (CVS/Aetna)</t>
        </is>
      </c>
      <c r="C123" s="3" t="n">
        <v>92000</v>
      </c>
      <c r="D123" t="inlineStr">
        <is>
          <t>$</t>
        </is>
      </c>
      <c r="E123" t="inlineStr">
        <is>
          <t>Estimación propia del modelo (sin dato publicado directo); ver nota</t>
        </is>
      </c>
      <c r="F123" t="inlineStr"/>
      <c r="G123" t="inlineStr">
        <is>
          <t>baja</t>
        </is>
      </c>
      <c r="H123" t="inlineStr">
        <is>
          <t>sí</t>
        </is>
      </c>
    </row>
    <row r="124">
      <c r="A124" t="inlineStr">
        <is>
          <t>roles.ur.aumento</t>
        </is>
      </c>
      <c r="B124" t="inlineStr">
        <is>
          <t>Aumento anual UR</t>
        </is>
      </c>
      <c r="C124" s="6" t="n">
        <v>0.03</v>
      </c>
      <c r="D124" t="inlineStr">
        <is>
          <t>%</t>
        </is>
      </c>
      <c r="E124" t="inlineStr">
        <is>
          <t>Estimación propia del modelo (sin dato publicado directo); ver nota</t>
        </is>
      </c>
      <c r="F124" t="inlineStr"/>
      <c r="G124" t="inlineStr">
        <is>
          <t>media</t>
        </is>
      </c>
      <c r="H124" t="inlineStr">
        <is>
          <t>sí</t>
        </is>
      </c>
    </row>
    <row r="125">
      <c r="A125" t="inlineStr">
        <is>
          <t>roles.icuNuevo.base</t>
        </is>
      </c>
      <c r="B125" t="inlineStr">
        <is>
          <t>RN ICU años 1-2 (incl. diferencial nocturno)</t>
        </is>
      </c>
      <c r="C125" s="3" t="n">
        <v>92000</v>
      </c>
      <c r="D125" t="inlineStr">
        <is>
          <t>$</t>
        </is>
      </c>
      <c r="E125" t="inlineStr">
        <is>
          <t>BLS OOH – Registered Nurses (mediana $97,550; media nacional $101,420, mayo 2025)</t>
        </is>
      </c>
      <c r="F125" t="inlineStr">
        <is>
          <t>https://www.bls.gov/ooh/healthcare/registered-nurses.htm</t>
        </is>
      </c>
      <c r="G125" t="inlineStr">
        <is>
          <t>media</t>
        </is>
      </c>
      <c r="H125" t="inlineStr">
        <is>
          <t>sí</t>
        </is>
      </c>
      <c r="I125" t="inlineStr">
        <is>
          <t>~0.85× media RN + ~8% diferencial nocturno/fines de semana.</t>
        </is>
      </c>
    </row>
    <row r="126">
      <c r="A126" t="inlineStr">
        <is>
          <t>roles.icuNuevo.aumento</t>
        </is>
      </c>
      <c r="B126" t="inlineStr">
        <is>
          <t>Aumento anual RN bedside</t>
        </is>
      </c>
      <c r="C126" s="6" t="n">
        <v>0.035</v>
      </c>
      <c r="D126" t="inlineStr">
        <is>
          <t>%</t>
        </is>
      </c>
      <c r="E126" t="inlineStr">
        <is>
          <t>Estimación propia del modelo (sin dato publicado directo); ver nota</t>
        </is>
      </c>
      <c r="F126" t="inlineStr"/>
      <c r="G126" t="inlineStr">
        <is>
          <t>media</t>
        </is>
      </c>
      <c r="H126" t="inlineStr">
        <is>
          <t>sí</t>
        </is>
      </c>
    </row>
    <row r="127">
      <c r="A127" t="inlineStr">
        <is>
          <t>roles.icuExp.base</t>
        </is>
      </c>
      <c r="B127" t="inlineStr">
        <is>
          <t>RN ICU con 3+ años (incl. diferenciales)</t>
        </is>
      </c>
      <c r="C127" s="3" t="n">
        <v>108000</v>
      </c>
      <c r="D127" t="inlineStr">
        <is>
          <t>$</t>
        </is>
      </c>
      <c r="E127" t="inlineStr">
        <is>
          <t>BLS OOH – Registered Nurses (mediana $97,550; media nacional $101,420, mayo 2025)</t>
        </is>
      </c>
      <c r="F127" t="inlineStr">
        <is>
          <t>https://www.bls.gov/ooh/healthcare/registered-nurses.htm</t>
        </is>
      </c>
      <c r="G127" t="inlineStr">
        <is>
          <t>media</t>
        </is>
      </c>
      <c r="H127" t="inlineStr">
        <is>
          <t>sí</t>
        </is>
      </c>
    </row>
    <row r="128">
      <c r="A128" t="inlineStr">
        <is>
          <t>roles.icuExp.aumento</t>
        </is>
      </c>
      <c r="B128" t="inlineStr">
        <is>
          <t>Aumento anual RN ICU experimentado</t>
        </is>
      </c>
      <c r="C128" s="6" t="n">
        <v>0.03</v>
      </c>
      <c r="D128" t="inlineStr">
        <is>
          <t>%</t>
        </is>
      </c>
      <c r="E128" t="inlineStr">
        <is>
          <t>Estimación propia del modelo (sin dato publicado directo); ver nota</t>
        </is>
      </c>
      <c r="F128" t="inlineStr"/>
      <c r="G128" t="inlineStr">
        <is>
          <t>media</t>
        </is>
      </c>
      <c r="H128" t="inlineStr">
        <is>
          <t>sí</t>
        </is>
      </c>
    </row>
    <row r="129">
      <c r="A129" t="inlineStr">
        <is>
          <t>roles.travel.base</t>
        </is>
      </c>
      <c r="B129" t="inlineStr">
        <is>
          <t>Travel ICU: pago semanal bruto (incl. stipends)</t>
        </is>
      </c>
      <c r="C129" s="3" t="n">
        <v>2300</v>
      </c>
      <c r="D129" t="inlineStr">
        <is>
          <t>$/sem</t>
        </is>
      </c>
      <c r="E129" t="inlineStr">
        <is>
          <t>Travel nurse: promedio semanal ~$2,216 (Vivian, oct 2026), Aya $2,234</t>
        </is>
      </c>
      <c r="F129" t="inlineStr">
        <is>
          <t>https://dreambound.com/blog/travel-nurse-salary</t>
        </is>
      </c>
      <c r="G129" t="inlineStr">
        <is>
          <t>media</t>
        </is>
      </c>
      <c r="H129" t="inlineStr"/>
    </row>
    <row r="130">
      <c r="A130" t="inlineStr">
        <is>
          <t>roles.travel.aumento</t>
        </is>
      </c>
      <c r="B130" t="inlineStr">
        <is>
          <t>Aumento anual travel</t>
        </is>
      </c>
      <c r="C130" s="6" t="n">
        <v>0.02</v>
      </c>
      <c r="D130" t="inlineStr">
        <is>
          <t>%</t>
        </is>
      </c>
      <c r="E130" t="inlineStr">
        <is>
          <t>Estimación propia del modelo (sin dato publicado directo); ver nota</t>
        </is>
      </c>
      <c r="F130" t="inlineStr"/>
      <c r="G130" t="inlineStr">
        <is>
          <t>baja</t>
        </is>
      </c>
      <c r="H130" t="inlineStr">
        <is>
          <t>sí</t>
        </is>
      </c>
    </row>
    <row r="131">
      <c r="A131" t="inlineStr">
        <is>
          <t>roles.cdi.base</t>
        </is>
      </c>
      <c r="B131" t="inlineStr">
        <is>
          <t>CDI specialist / clinical liaison / informática</t>
        </is>
      </c>
      <c r="C131" s="3" t="n">
        <v>95000</v>
      </c>
      <c r="D131" t="inlineStr">
        <is>
          <t>$</t>
        </is>
      </c>
      <c r="E131" t="inlineStr">
        <is>
          <t>CDI Specialist: Payscale 2026 $84.6k; ACDIS 2023 ~$99k; postings $68k–$113k</t>
        </is>
      </c>
      <c r="F131" t="inlineStr">
        <is>
          <t>https://payscale.com/research/US/Job=Clinical_Documentation_Specialist/Salary</t>
        </is>
      </c>
      <c r="G131" t="inlineStr">
        <is>
          <t>media</t>
        </is>
      </c>
      <c r="H131" t="inlineStr">
        <is>
          <t>sí</t>
        </is>
      </c>
      <c r="I131" t="inlineStr">
        <is>
          <t>El MD extranjero es muy valorado en CDI; muchos puestos aceptan MD sin bedside.</t>
        </is>
      </c>
    </row>
    <row r="132">
      <c r="A132" t="inlineStr">
        <is>
          <t>roles.cdi.aumento</t>
        </is>
      </c>
      <c r="B132" t="inlineStr">
        <is>
          <t>Aumento anual CDI</t>
        </is>
      </c>
      <c r="C132" s="6" t="n">
        <v>0.03</v>
      </c>
      <c r="D132" t="inlineStr">
        <is>
          <t>%</t>
        </is>
      </c>
      <c r="E132" t="inlineStr">
        <is>
          <t>Estimación propia del modelo (sin dato publicado directo); ver nota</t>
        </is>
      </c>
      <c r="F132" t="inlineStr"/>
      <c r="G132" t="inlineStr">
        <is>
          <t>media</t>
        </is>
      </c>
      <c r="H132" t="inlineStr">
        <is>
          <t>sí</t>
        </is>
      </c>
    </row>
    <row r="133">
      <c r="A133" t="inlineStr">
        <is>
          <t>roles.manager.base</t>
        </is>
      </c>
      <c r="B133" t="inlineStr">
        <is>
          <t>Nurse manager</t>
        </is>
      </c>
      <c r="C133" s="3" t="n">
        <v>120000</v>
      </c>
      <c r="D133" t="inlineStr">
        <is>
          <t>$</t>
        </is>
      </c>
      <c r="E133" t="inlineStr">
        <is>
          <t>Clinical Nurse Manager Payscale 2026 ~$102.7k; educador clínico Indeed ~$112k</t>
        </is>
      </c>
      <c r="F133" t="inlineStr">
        <is>
          <t>https://www.payscale.com/research/US/Job=Clinical_Nurse_Manager/Salary/1645540c/Clinical-Education</t>
        </is>
      </c>
      <c r="G133" t="inlineStr">
        <is>
          <t>media</t>
        </is>
      </c>
      <c r="H133" t="inlineStr">
        <is>
          <t>sí</t>
        </is>
      </c>
    </row>
    <row r="134">
      <c r="A134" t="inlineStr">
        <is>
          <t>roles.manager.aumento</t>
        </is>
      </c>
      <c r="B134" t="inlineStr">
        <is>
          <t>Aumento anual manager</t>
        </is>
      </c>
      <c r="C134" s="6" t="n">
        <v>0.03</v>
      </c>
      <c r="D134" t="inlineStr">
        <is>
          <t>%</t>
        </is>
      </c>
      <c r="E134" t="inlineStr">
        <is>
          <t>Estimación propia del modelo (sin dato publicado directo); ver nota</t>
        </is>
      </c>
      <c r="F134" t="inlineStr"/>
      <c r="G134" t="inlineStr">
        <is>
          <t>media</t>
        </is>
      </c>
      <c r="H134" t="inlineStr">
        <is>
          <t>sí</t>
        </is>
      </c>
    </row>
    <row r="135">
      <c r="A135" t="inlineStr">
        <is>
          <t>roles.educador.base</t>
        </is>
      </c>
      <c r="B135" t="inlineStr">
        <is>
          <t>Educador clínico</t>
        </is>
      </c>
      <c r="C135" s="3" t="n">
        <v>102000</v>
      </c>
      <c r="D135" t="inlineStr">
        <is>
          <t>$</t>
        </is>
      </c>
      <c r="E135" t="inlineStr">
        <is>
          <t>Clinical Nurse Manager Payscale 2026 ~$102.7k; educador clínico Indeed ~$112k</t>
        </is>
      </c>
      <c r="F135" t="inlineStr">
        <is>
          <t>https://www.payscale.com/research/US/Job=Clinical_Nurse_Manager/Salary/1645540c/Clinical-Education</t>
        </is>
      </c>
      <c r="G135" t="inlineStr">
        <is>
          <t>media</t>
        </is>
      </c>
      <c r="H135" t="inlineStr">
        <is>
          <t>sí</t>
        </is>
      </c>
    </row>
    <row r="136">
      <c r="A136" t="inlineStr">
        <is>
          <t>roles.educador.aumento</t>
        </is>
      </c>
      <c r="B136" t="inlineStr">
        <is>
          <t>Aumento anual educador</t>
        </is>
      </c>
      <c r="C136" s="6" t="n">
        <v>0.03</v>
      </c>
      <c r="D136" t="inlineStr">
        <is>
          <t>%</t>
        </is>
      </c>
      <c r="E136" t="inlineStr">
        <is>
          <t>Estimación propia del modelo (sin dato publicado directo); ver nota</t>
        </is>
      </c>
      <c r="F136" t="inlineStr"/>
      <c r="G136" t="inlineStr">
        <is>
          <t>media</t>
        </is>
      </c>
      <c r="H136" t="inlineStr">
        <is>
          <t>sí</t>
        </is>
      </c>
    </row>
    <row r="137">
      <c r="A137" t="inlineStr">
        <is>
          <t>roles.injector.base</t>
        </is>
      </c>
      <c r="B137" t="inlineStr">
        <is>
          <t>Nurse injector (estética) ya establecido</t>
        </is>
      </c>
      <c r="C137" s="3" t="n">
        <v>90000</v>
      </c>
      <c r="D137" t="inlineStr">
        <is>
          <t>$</t>
        </is>
      </c>
      <c r="E137" t="inlineStr">
        <is>
          <t>Aesthetic injector RN postings 2026 $75k–$125k (NakedMD)</t>
        </is>
      </c>
      <c r="F137" t="inlineStr">
        <is>
          <t>https://apply.workable.com/nakedmd/jobs/view/EC42AEE17C.md</t>
        </is>
      </c>
      <c r="G137" t="inlineStr">
        <is>
          <t>baja</t>
        </is>
      </c>
      <c r="H137" t="inlineStr">
        <is>
          <t>sí</t>
        </is>
      </c>
      <c r="I137" t="inlineStr">
        <is>
          <t>Mucho componente de comisión; año 1 ~70% de esta cifra.</t>
        </is>
      </c>
    </row>
    <row r="138">
      <c r="A138" t="inlineStr">
        <is>
          <t>roles.injector.aumento</t>
        </is>
      </c>
      <c r="B138" t="inlineStr">
        <is>
          <t>Aumento anual injector</t>
        </is>
      </c>
      <c r="C138" s="6" t="n">
        <v>0.03</v>
      </c>
      <c r="D138" t="inlineStr">
        <is>
          <t>%</t>
        </is>
      </c>
      <c r="E138" t="inlineStr">
        <is>
          <t>Estimación propia del modelo (sin dato publicado directo); ver nota</t>
        </is>
      </c>
      <c r="F138" t="inlineStr"/>
      <c r="G138" t="inlineStr">
        <is>
          <t>baja</t>
        </is>
      </c>
      <c r="H138" t="inlineStr">
        <is>
          <t>sí</t>
        </is>
      </c>
    </row>
    <row r="139">
      <c r="A139" t="inlineStr">
        <is>
          <t>roles.crna.base</t>
        </is>
      </c>
      <c r="B139" t="inlineStr">
        <is>
          <t>CRNA</t>
        </is>
      </c>
      <c r="C139" s="3" t="n">
        <v>240000</v>
      </c>
      <c r="D139" t="inlineStr">
        <is>
          <t>$</t>
        </is>
      </c>
      <c r="E139" t="inlineStr">
        <is>
          <t>BLS mayo 2025 – CRNA mediana $236,590 (vía Becker's)</t>
        </is>
      </c>
      <c r="F139" t="inlineStr">
        <is>
          <t>https://www.beckershospitalreview.com/compensation-issues/crna-median-pay-by-state/</t>
        </is>
      </c>
      <c r="G139" t="inlineStr">
        <is>
          <t>alta</t>
        </is>
      </c>
      <c r="H139" t="inlineStr"/>
      <c r="I139" t="inlineStr">
        <is>
          <t>BLS mayo 2025 mediana $236,590.</t>
        </is>
      </c>
    </row>
    <row r="140">
      <c r="A140" t="inlineStr">
        <is>
          <t>roles.crna.aumento</t>
        </is>
      </c>
      <c r="B140" t="inlineStr">
        <is>
          <t>Aumento anual CRNA</t>
        </is>
      </c>
      <c r="C140" s="6" t="n">
        <v>0.03</v>
      </c>
      <c r="D140" t="inlineStr">
        <is>
          <t>%</t>
        </is>
      </c>
      <c r="E140" t="inlineStr">
        <is>
          <t>Estimación propia del modelo (sin dato publicado directo); ver nota</t>
        </is>
      </c>
      <c r="F140" t="inlineStr"/>
      <c r="G140" t="inlineStr">
        <is>
          <t>media</t>
        </is>
      </c>
      <c r="H140" t="inlineStr">
        <is>
          <t>sí</t>
        </is>
      </c>
    </row>
    <row r="141">
      <c r="A141" t="inlineStr">
        <is>
          <t>roles.fnp.base</t>
        </is>
      </c>
      <c r="B141" t="inlineStr">
        <is>
          <t>NP familiar (FNP)</t>
        </is>
      </c>
      <c r="C141" s="3" t="n">
        <v>128000</v>
      </c>
      <c r="D141" t="inlineStr">
        <is>
          <t>$</t>
        </is>
      </c>
      <c r="E141" t="inlineStr">
        <is>
          <t>BLS mayo 2025 – NP mediana $132,300 (vía Becker's)</t>
        </is>
      </c>
      <c r="F141" t="inlineStr">
        <is>
          <t>https://www.beckershospitalreview.com/compensation-issues/np-median-pay-by-state/</t>
        </is>
      </c>
      <c r="G141" t="inlineStr">
        <is>
          <t>media</t>
        </is>
      </c>
      <c r="H141" t="inlineStr"/>
      <c r="I141" t="inlineStr">
        <is>
          <t>BLS 2025 mediana NP $132,300; FNP recién graduado algo menos.</t>
        </is>
      </c>
    </row>
    <row r="142">
      <c r="A142" t="inlineStr">
        <is>
          <t>roles.fnp.aumento</t>
        </is>
      </c>
      <c r="B142" t="inlineStr">
        <is>
          <t>Aumento anual FNP</t>
        </is>
      </c>
      <c r="C142" s="6" t="n">
        <v>0.03</v>
      </c>
      <c r="D142" t="inlineStr">
        <is>
          <t>%</t>
        </is>
      </c>
      <c r="E142" t="inlineStr">
        <is>
          <t>Estimación propia del modelo (sin dato publicado directo); ver nota</t>
        </is>
      </c>
      <c r="F142" t="inlineStr"/>
      <c r="G142" t="inlineStr">
        <is>
          <t>media</t>
        </is>
      </c>
      <c r="H142" t="inlineStr">
        <is>
          <t>sí</t>
        </is>
      </c>
    </row>
    <row r="143">
      <c r="A143" t="inlineStr">
        <is>
          <t>roles.pmhnp.base</t>
        </is>
      </c>
      <c r="B143" t="inlineStr">
        <is>
          <t>NP psiquiátrico (PMHNP)</t>
        </is>
      </c>
      <c r="C143" s="3" t="n">
        <v>145000</v>
      </c>
      <c r="D143" t="inlineStr">
        <is>
          <t>$</t>
        </is>
      </c>
      <c r="E143" t="inlineStr">
        <is>
          <t>PMHNP ~$145k (AANP 2024 / Indeed 2026, vía Barton)</t>
        </is>
      </c>
      <c r="F143" t="inlineStr">
        <is>
          <t>https://www.bartonassociates.com/np-psychiatry-salary-guide/</t>
        </is>
      </c>
      <c r="G143" t="inlineStr">
        <is>
          <t>media</t>
        </is>
      </c>
      <c r="H143" t="inlineStr"/>
    </row>
    <row r="144">
      <c r="A144" t="inlineStr">
        <is>
          <t>roles.pmhnp.aumento</t>
        </is>
      </c>
      <c r="B144" t="inlineStr">
        <is>
          <t>Aumento anual PMHNP</t>
        </is>
      </c>
      <c r="C144" s="6" t="n">
        <v>0.03</v>
      </c>
      <c r="D144" t="inlineStr">
        <is>
          <t>%</t>
        </is>
      </c>
      <c r="E144" t="inlineStr">
        <is>
          <t>Estimación propia del modelo (sin dato publicado directo); ver nota</t>
        </is>
      </c>
      <c r="F144" t="inlineStr"/>
      <c r="G144" t="inlineStr">
        <is>
          <t>media</t>
        </is>
      </c>
      <c r="H144" t="inlineStr">
        <is>
          <t>sí</t>
        </is>
      </c>
    </row>
    <row r="145">
      <c r="A145" t="inlineStr">
        <is>
          <t>roles.residente.base</t>
        </is>
      </c>
      <c r="B145" t="inlineStr">
        <is>
          <t>(Residente: ver salario PGY-1 por ubicación)</t>
        </is>
      </c>
      <c r="C145" s="3" t="n">
        <v>1</v>
      </c>
      <c r="D145" t="inlineStr">
        <is>
          <t>x</t>
        </is>
      </c>
      <c r="E145" t="inlineStr">
        <is>
          <t>Encuesta AAMC 2025 de salarios de residentes por región (vía MedSchoolCoach)</t>
        </is>
      </c>
      <c r="F145" t="inlineStr">
        <is>
          <t>https://www.medschoolcoach.com/average-residency-salary</t>
        </is>
      </c>
      <c r="G145" t="inlineStr">
        <is>
          <t>media</t>
        </is>
      </c>
      <c r="H145" t="inlineStr"/>
    </row>
    <row r="146">
      <c r="A146" t="inlineStr">
        <is>
          <t>roles.residente.aumento</t>
        </is>
      </c>
      <c r="B146" t="inlineStr">
        <is>
          <t>Aumento por año de residencia (PGY2, PGY3)</t>
        </is>
      </c>
      <c r="C146" s="6" t="n">
        <v>0.04</v>
      </c>
      <c r="D146" t="inlineStr">
        <is>
          <t>%</t>
        </is>
      </c>
      <c r="E146" t="inlineStr">
        <is>
          <t>Encuesta AAMC 2025 de salarios de residentes por región (vía MedSchoolCoach)</t>
        </is>
      </c>
      <c r="F146" t="inlineStr">
        <is>
          <t>https://www.medschoolcoach.com/average-residency-salary</t>
        </is>
      </c>
      <c r="G146" t="inlineStr">
        <is>
          <t>media</t>
        </is>
      </c>
      <c r="H146" t="inlineStr">
        <is>
          <t>sí</t>
        </is>
      </c>
    </row>
    <row r="147">
      <c r="A147" t="inlineStr">
        <is>
          <t>roles.hospitalista.base</t>
        </is>
      </c>
      <c r="B147" t="inlineStr">
        <is>
          <t>Hospitalista IM (attending)</t>
        </is>
      </c>
      <c r="C147" s="3" t="n">
        <v>320000</v>
      </c>
      <c r="D147" t="inlineStr">
        <is>
          <t>$</t>
        </is>
      </c>
      <c r="E147" t="inlineStr">
        <is>
          <t>Medscape 2026 – internistas $307k (vía Weatherby)</t>
        </is>
      </c>
      <c r="F147" t="inlineStr">
        <is>
          <t>https://m.weatherbyhealthcare.com/blog/internal-medicine-salary-report</t>
        </is>
      </c>
      <c r="G147" t="inlineStr">
        <is>
          <t>media</t>
        </is>
      </c>
      <c r="H147" t="inlineStr">
        <is>
          <t>sí</t>
        </is>
      </c>
      <c r="I147" t="inlineStr">
        <is>
          <t>Medscape 2026 internistas $307k; hospitalistas suelen ganar más que IM ambulatoria.</t>
        </is>
      </c>
    </row>
    <row r="148">
      <c r="A148" t="inlineStr">
        <is>
          <t>roles.hospitalista.aumento</t>
        </is>
      </c>
      <c r="B148" t="inlineStr">
        <is>
          <t>Aumento anual attending</t>
        </is>
      </c>
      <c r="C148" s="6" t="n">
        <v>0.025</v>
      </c>
      <c r="D148" t="inlineStr">
        <is>
          <t>%</t>
        </is>
      </c>
      <c r="E148" t="inlineStr">
        <is>
          <t>Estimación propia del modelo (sin dato publicado directo); ver nota</t>
        </is>
      </c>
      <c r="F148" t="inlineStr"/>
      <c r="G148" t="inlineStr">
        <is>
          <t>media</t>
        </is>
      </c>
      <c r="H148" t="inlineStr">
        <is>
          <t>sí</t>
        </is>
      </c>
    </row>
    <row r="149">
      <c r="A149" t="inlineStr">
        <is>
          <t>roles.fm.base</t>
        </is>
      </c>
      <c r="B149" t="inlineStr">
        <is>
          <t>Medicina familiar (attending)</t>
        </is>
      </c>
      <c r="C149" s="3" t="n">
        <v>288000</v>
      </c>
      <c r="D149" t="inlineStr">
        <is>
          <t>$</t>
        </is>
      </c>
      <c r="E149" t="inlineStr">
        <is>
          <t>Medicina familiar ~$288k (Medscape, vía Physician on FIRE)</t>
        </is>
      </c>
      <c r="F149" t="inlineStr">
        <is>
          <t>https://www.physicianonfire.com/physician-salary-by-specialty/</t>
        </is>
      </c>
      <c r="G149" t="inlineStr">
        <is>
          <t>media</t>
        </is>
      </c>
      <c r="H149" t="inlineStr"/>
    </row>
    <row r="150">
      <c r="A150" t="inlineStr">
        <is>
          <t>roles.fm.aumento</t>
        </is>
      </c>
      <c r="B150" t="inlineStr">
        <is>
          <t>Aumento anual FM</t>
        </is>
      </c>
      <c r="C150" s="6" t="n">
        <v>0.025</v>
      </c>
      <c r="D150" t="inlineStr">
        <is>
          <t>%</t>
        </is>
      </c>
      <c r="E150" t="inlineStr">
        <is>
          <t>Estimación propia del modelo (sin dato publicado directo); ver nota</t>
        </is>
      </c>
      <c r="F150" t="inlineStr"/>
      <c r="G150" t="inlineStr">
        <is>
          <t>media</t>
        </is>
      </c>
      <c r="H150" t="inlineStr">
        <is>
          <t>sí</t>
        </is>
      </c>
    </row>
    <row r="151">
      <c r="A151" t="inlineStr">
        <is>
          <t>tiempos.bedsideInicioLag</t>
        </is>
      </c>
      <c r="B151" t="inlineStr">
        <is>
          <t>Meses tras BSN para entrar a programa de transición ICU</t>
        </is>
      </c>
      <c r="C151" s="3" t="n">
        <v>0.25</v>
      </c>
      <c r="D151" t="inlineStr">
        <is>
          <t>años</t>
        </is>
      </c>
      <c r="E151" t="inlineStr">
        <is>
          <t>Programas de transición/fellowship ICU para RN experimentados (CHI Memorial, CommonSpirit)</t>
        </is>
      </c>
      <c r="F151" t="inlineStr">
        <is>
          <t>https://memorial.org/careers/nurse-fellowship</t>
        </is>
      </c>
      <c r="G151" t="inlineStr">
        <is>
          <t>media</t>
        </is>
      </c>
      <c r="H151" t="inlineStr">
        <is>
          <t>sí</t>
        </is>
      </c>
      <c r="I151" t="inlineStr">
        <is>
          <t>Muchos programas piden 1 año de experiencia aguda; algunos (p.ej. CHI Memorial) aceptan RN experimentados sin ICU.</t>
        </is>
      </c>
    </row>
    <row r="152">
      <c r="A152" t="inlineStr">
        <is>
          <t>tiempos.icuAnios</t>
        </is>
      </c>
      <c r="B152" t="inlineStr">
        <is>
          <t>Años de ICU antes de travel/CRNA/charge</t>
        </is>
      </c>
      <c r="C152" s="3" t="n">
        <v>2</v>
      </c>
      <c r="D152" t="inlineStr">
        <is>
          <t>años</t>
        </is>
      </c>
      <c r="E152" t="inlineStr">
        <is>
          <t>Estimación propia del modelo (sin dato publicado directo); ver nota</t>
        </is>
      </c>
      <c r="F152" t="inlineStr"/>
      <c r="G152" t="inlineStr">
        <is>
          <t>media</t>
        </is>
      </c>
      <c r="H152" t="inlineStr"/>
    </row>
    <row r="153">
      <c r="A153" t="inlineStr">
        <is>
          <t>tiempos.bonoFirmaICU</t>
        </is>
      </c>
      <c r="B153" t="inlineStr">
        <is>
          <t>Bono de firma ICU</t>
        </is>
      </c>
      <c r="C153" s="3" t="n">
        <v>7500</v>
      </c>
      <c r="D153" t="inlineStr">
        <is>
          <t>$</t>
        </is>
      </c>
      <c r="E153" t="inlineStr">
        <is>
          <t>Estimación propia del modelo (sin dato publicado directo); ver nota</t>
        </is>
      </c>
      <c r="F153" t="inlineStr"/>
      <c r="G153" t="inlineStr">
        <is>
          <t>baja</t>
        </is>
      </c>
      <c r="H153" t="inlineStr">
        <is>
          <t>sí</t>
        </is>
      </c>
    </row>
    <row r="154">
      <c r="A154" t="inlineStr">
        <is>
          <t>tiempos.travelAnios</t>
        </is>
      </c>
      <c r="B154" t="inlineStr">
        <is>
          <t>Años como travel nurse</t>
        </is>
      </c>
      <c r="C154" s="3" t="n">
        <v>3</v>
      </c>
      <c r="D154" t="inlineStr">
        <is>
          <t>años</t>
        </is>
      </c>
      <c r="E154" t="inlineStr">
        <is>
          <t>Estimación propia del modelo (sin dato publicado directo); ver nota</t>
        </is>
      </c>
      <c r="F154" t="inlineStr"/>
      <c r="G154" t="inlineStr">
        <is>
          <t>media</t>
        </is>
      </c>
      <c r="H154" t="inlineStr"/>
    </row>
    <row r="155">
      <c r="A155" t="inlineStr">
        <is>
          <t>tiempos.travelSemanas</t>
        </is>
      </c>
      <c r="B155" t="inlineStr">
        <is>
          <t>Semanas trabajadas por año en travel</t>
        </is>
      </c>
      <c r="C155" s="3" t="n">
        <v>46</v>
      </c>
      <c r="D155" t="inlineStr">
        <is>
          <t>sem</t>
        </is>
      </c>
      <c r="E155" t="inlineStr">
        <is>
          <t>Estimación propia del modelo (sin dato publicado directo); ver nota</t>
        </is>
      </c>
      <c r="F155" t="inlineStr"/>
      <c r="G155" t="inlineStr">
        <is>
          <t>media</t>
        </is>
      </c>
      <c r="H155" t="inlineStr">
        <is>
          <t>sí</t>
        </is>
      </c>
    </row>
    <row r="156">
      <c r="A156" t="inlineStr">
        <is>
          <t>tiempos.travelStipendPct</t>
        </is>
      </c>
      <c r="B156" t="inlineStr">
        <is>
          <t>Porción libre de impuestos (stipends)</t>
        </is>
      </c>
      <c r="C156" s="6" t="n">
        <v>0.45</v>
      </c>
      <c r="D156" t="inlineStr">
        <is>
          <t>%</t>
        </is>
      </c>
      <c r="E156" t="inlineStr">
        <is>
          <t>Travel nurse: promedio semanal ~$2,216 (Vivian, oct 2026), Aya $2,234</t>
        </is>
      </c>
      <c r="F156" t="inlineStr">
        <is>
          <t>https://dreambound.com/blog/travel-nurse-salary</t>
        </is>
      </c>
      <c r="G156" t="inlineStr">
        <is>
          <t>media</t>
        </is>
      </c>
      <c r="H156" t="inlineStr">
        <is>
          <t>sí</t>
        </is>
      </c>
      <c r="I156" t="inlineStr">
        <is>
          <t>Requiere 'tax home' real (p. ej. el dúplex en DFW).</t>
        </is>
      </c>
    </row>
    <row r="157">
      <c r="A157" t="inlineStr">
        <is>
          <t>tiempos.travelGastoExtraMes</t>
        </is>
      </c>
      <c r="B157" t="inlineStr">
        <is>
          <t>Gasto extra mensual en travel (doble vivienda, viajes)</t>
        </is>
      </c>
      <c r="C157" s="3" t="n">
        <v>1200</v>
      </c>
      <c r="D157" t="inlineStr">
        <is>
          <t>$</t>
        </is>
      </c>
      <c r="E157" t="inlineStr">
        <is>
          <t>Estimación propia del modelo (sin dato publicado directo); ver nota</t>
        </is>
      </c>
      <c r="F157" t="inlineStr"/>
      <c r="G157" t="inlineStr">
        <is>
          <t>baja</t>
        </is>
      </c>
      <c r="H157" t="inlineStr">
        <is>
          <t>sí</t>
        </is>
      </c>
    </row>
    <row r="158">
      <c r="A158" t="inlineStr">
        <is>
          <t>tiempos.crnaLagAplicacion</t>
        </is>
      </c>
      <c r="B158" t="inlineStr">
        <is>
          <t>Tiempo extra de aplicación CRNA tras cumplir ICU</t>
        </is>
      </c>
      <c r="C158" s="3" t="n">
        <v>0.5</v>
      </c>
      <c r="D158" t="inlineStr">
        <is>
          <t>años</t>
        </is>
      </c>
      <c r="E158" t="inlineStr">
        <is>
          <t>Estimación propia del modelo (sin dato publicado directo); ver nota</t>
        </is>
      </c>
      <c r="F158" t="inlineStr"/>
      <c r="G158" t="inlineStr">
        <is>
          <t>media</t>
        </is>
      </c>
      <c r="H158" t="inlineStr">
        <is>
          <t>sí</t>
        </is>
      </c>
    </row>
    <row r="159">
      <c r="A159" t="inlineStr">
        <is>
          <t>tiempos.crnaDuracion</t>
        </is>
      </c>
      <c r="B159" t="inlineStr">
        <is>
          <t>Duración DNP-CRNA (sin trabajar)</t>
        </is>
      </c>
      <c r="C159" s="3" t="n">
        <v>3</v>
      </c>
      <c r="D159" t="inlineStr">
        <is>
          <t>años</t>
        </is>
      </c>
      <c r="E159" t="inlineStr">
        <is>
          <t>Costo programas DNP-CRNA (Iowa $85.7k residente/$163.8k no residente; Duke $2,250/crédito; rango $60k–$100k+)</t>
        </is>
      </c>
      <c r="F159" t="inlineStr">
        <is>
          <t>https://nursing.uiowa.edu/sites/nursing.uiowa.edu/files/2025-09/ANP_costs_estimates_2025.pdf</t>
        </is>
      </c>
      <c r="G159" t="inlineStr">
        <is>
          <t>alta</t>
        </is>
      </c>
      <c r="H159" t="inlineStr"/>
    </row>
    <row r="160">
      <c r="A160" t="inlineStr">
        <is>
          <t>tiempos.crnaMatricula</t>
        </is>
      </c>
      <c r="B160" t="inlineStr">
        <is>
          <t>Matrícula + cuotas totales CRNA</t>
        </is>
      </c>
      <c r="C160" s="3" t="n">
        <v>120000</v>
      </c>
      <c r="D160" t="inlineStr">
        <is>
          <t>$</t>
        </is>
      </c>
      <c r="E160" t="inlineStr">
        <is>
          <t>Costo programas DNP-CRNA (Iowa $85.7k residente/$163.8k no residente; Duke $2,250/crédito; rango $60k–$100k+)</t>
        </is>
      </c>
      <c r="F160" t="inlineStr">
        <is>
          <t>https://nursing.uiowa.edu/sites/nursing.uiowa.edu/files/2025-09/ANP_costs_estimates_2025.pdf</t>
        </is>
      </c>
      <c r="G160" t="inlineStr">
        <is>
          <t>media</t>
        </is>
      </c>
      <c r="H160" t="inlineStr"/>
    </row>
    <row r="161">
      <c r="A161" t="inlineStr">
        <is>
          <t>tiempos.crnaPslf</t>
        </is>
      </c>
      <c r="B161" t="inlineStr">
        <is>
          <t>CRNA trabaja en hospital sin fines de lucro (PSLF)</t>
        </is>
      </c>
      <c r="C161" s="3" t="n">
        <v>0</v>
      </c>
      <c r="D161" t="inlineStr">
        <is>
          <t>bool</t>
        </is>
      </c>
      <c r="E161" t="inlineStr">
        <is>
          <t>Estimación propia del modelo (sin dato publicado directo); ver nota</t>
        </is>
      </c>
      <c r="F161" t="inlineStr"/>
      <c r="G161" t="inlineStr">
        <is>
          <t>baja</t>
        </is>
      </c>
      <c r="H161" t="inlineStr">
        <is>
          <t>sí</t>
        </is>
      </c>
    </row>
    <row r="162">
      <c r="A162" t="inlineStr">
        <is>
          <t>tiempos.npInicio</t>
        </is>
      </c>
      <c r="B162" t="inlineStr">
        <is>
          <t>Inicio MSN-NP part-time</t>
        </is>
      </c>
      <c r="C162" s="3" t="n">
        <v>2028</v>
      </c>
      <c r="D162" t="inlineStr">
        <is>
          <t>año</t>
        </is>
      </c>
      <c r="E162" t="inlineStr">
        <is>
          <t>Estimación propia del modelo (sin dato publicado directo); ver nota</t>
        </is>
      </c>
      <c r="F162" t="inlineStr"/>
      <c r="G162" t="inlineStr">
        <is>
          <t>media</t>
        </is>
      </c>
      <c r="H162" t="inlineStr"/>
    </row>
    <row r="163">
      <c r="A163" t="inlineStr">
        <is>
          <t>tiempos.npDuracion</t>
        </is>
      </c>
      <c r="B163" t="inlineStr">
        <is>
          <t>Duración MSN-NP part-time</t>
        </is>
      </c>
      <c r="C163" s="3" t="n">
        <v>3</v>
      </c>
      <c r="D163" t="inlineStr">
        <is>
          <t>años</t>
        </is>
      </c>
      <c r="E163" t="inlineStr">
        <is>
          <t>Costo MSN-FNP online part-time ($18k–$42k; Frontier ~$34.6k)</t>
        </is>
      </c>
      <c r="F163" t="inlineStr">
        <is>
          <t>https://www.nursingprocess.org/online-part-time-fnp-programs.html</t>
        </is>
      </c>
      <c r="G163" t="inlineStr">
        <is>
          <t>media</t>
        </is>
      </c>
      <c r="H163" t="inlineStr"/>
    </row>
    <row r="164">
      <c r="A164" t="inlineStr">
        <is>
          <t>tiempos.npMatricula</t>
        </is>
      </c>
      <c r="B164" t="inlineStr">
        <is>
          <t>Matrícula total MSN-NP</t>
        </is>
      </c>
      <c r="C164" s="3" t="n">
        <v>38000</v>
      </c>
      <c r="D164" t="inlineStr">
        <is>
          <t>$</t>
        </is>
      </c>
      <c r="E164" t="inlineStr">
        <is>
          <t>Costo MSN-FNP online part-time ($18k–$42k; Frontier ~$34.6k)</t>
        </is>
      </c>
      <c r="F164" t="inlineStr">
        <is>
          <t>https://www.nursingprocess.org/online-part-time-fnp-programs.html</t>
        </is>
      </c>
      <c r="G164" t="inlineStr">
        <is>
          <t>media</t>
        </is>
      </c>
      <c r="H164" t="inlineStr"/>
    </row>
    <row r="165">
      <c r="A165" t="inlineStr">
        <is>
          <t>tiempos.npHorasTrabajo</t>
        </is>
      </c>
      <c r="B165" t="inlineStr">
        <is>
          <t>Fracción de jornada mientras estudias NP</t>
        </is>
      </c>
      <c r="C165" s="3" t="n">
        <v>0.8</v>
      </c>
      <c r="D165" t="inlineStr">
        <is>
          <t>x</t>
        </is>
      </c>
      <c r="E165" t="inlineStr">
        <is>
          <t>Estimación propia del modelo (sin dato publicado directo); ver nota</t>
        </is>
      </c>
      <c r="F165" t="inlineStr"/>
      <c r="G165" t="inlineStr">
        <is>
          <t>media</t>
        </is>
      </c>
      <c r="H165" t="inlineStr">
        <is>
          <t>sí</t>
        </is>
      </c>
    </row>
    <row r="166">
      <c r="A166" t="inlineStr">
        <is>
          <t>tiempos.msnLiderazgoCosto</t>
        </is>
      </c>
      <c r="B166" t="inlineStr">
        <is>
          <t>MSN liderazgo/educación (part-time)</t>
        </is>
      </c>
      <c r="C166" s="3" t="n">
        <v>22000</v>
      </c>
      <c r="D166" t="inlineStr">
        <is>
          <t>$</t>
        </is>
      </c>
      <c r="E166" t="inlineStr">
        <is>
          <t>Costo MSN-FNP online part-time ($18k–$42k; Frontier ~$34.6k)</t>
        </is>
      </c>
      <c r="F166" t="inlineStr">
        <is>
          <t>https://www.nursingprocess.org/online-part-time-fnp-programs.html</t>
        </is>
      </c>
      <c r="G166" t="inlineStr">
        <is>
          <t>baja</t>
        </is>
      </c>
      <c r="H166" t="inlineStr">
        <is>
          <t>sí</t>
        </is>
      </c>
    </row>
    <row r="167">
      <c r="A167" t="inlineStr">
        <is>
          <t>tiempos.injectorCurso</t>
        </is>
      </c>
      <c r="B167" t="inlineStr">
        <is>
          <t>Curso/certificación de inyecciones</t>
        </is>
      </c>
      <c r="C167" s="3" t="n">
        <v>6000</v>
      </c>
      <c r="D167" t="inlineStr">
        <is>
          <t>$</t>
        </is>
      </c>
      <c r="E167" t="inlineStr">
        <is>
          <t>Estimación propia del modelo (sin dato publicado directo); ver nota</t>
        </is>
      </c>
      <c r="F167" t="inlineStr"/>
      <c r="G167" t="inlineStr">
        <is>
          <t>baja</t>
        </is>
      </c>
      <c r="H167" t="inlineStr">
        <is>
          <t>sí</t>
        </is>
      </c>
    </row>
    <row r="168">
      <c r="A168" t="inlineStr">
        <is>
          <t>tiempos.cdiCertAumento</t>
        </is>
      </c>
      <c r="B168" t="inlineStr">
        <is>
          <t>Aumento CDI tras CCDS (año 2) y liderazgo (año 6)</t>
        </is>
      </c>
      <c r="C168" s="6" t="n">
        <v>0.1</v>
      </c>
      <c r="D168" t="inlineStr">
        <is>
          <t>%</t>
        </is>
      </c>
      <c r="E168" t="inlineStr">
        <is>
          <t>Estimación propia del modelo (sin dato publicado directo); ver nota</t>
        </is>
      </c>
      <c r="F168" t="inlineStr"/>
      <c r="G168" t="inlineStr">
        <is>
          <t>baja</t>
        </is>
      </c>
      <c r="H168" t="inlineStr">
        <is>
          <t>sí</t>
        </is>
      </c>
    </row>
    <row r="169">
      <c r="A169" t="inlineStr">
        <is>
          <t>md.step1Fecha</t>
        </is>
      </c>
      <c r="B169" t="inlineStr">
        <is>
          <t>Fecha Step 1 (sept 2027)</t>
        </is>
      </c>
      <c r="C169" s="3" t="n">
        <v>2027.67</v>
      </c>
      <c r="D169" t="inlineStr">
        <is>
          <t>año</t>
        </is>
      </c>
      <c r="E169" t="inlineStr">
        <is>
          <t>Dato proporcionado por ti (README del repositorio)</t>
        </is>
      </c>
      <c r="F169" t="inlineStr"/>
      <c r="G169" t="inlineStr">
        <is>
          <t>alta</t>
        </is>
      </c>
      <c r="H169" t="inlineStr"/>
    </row>
    <row r="170">
      <c r="A170" t="inlineStr">
        <is>
          <t>md.step2Gap</t>
        </is>
      </c>
      <c r="B170" t="inlineStr">
        <is>
          <t>Meses entre Step 1 y Step 2 CK</t>
        </is>
      </c>
      <c r="C170" s="3" t="n">
        <v>0.6</v>
      </c>
      <c r="D170" t="inlineStr">
        <is>
          <t>años</t>
        </is>
      </c>
      <c r="E170" t="inlineStr">
        <is>
          <t>Estimación propia del modelo (sin dato publicado directo); ver nota</t>
        </is>
      </c>
      <c r="F170" t="inlineStr"/>
      <c r="G170" t="inlineStr">
        <is>
          <t>media</t>
        </is>
      </c>
      <c r="H170" t="inlineStr">
        <is>
          <t>sí</t>
        </is>
      </c>
    </row>
    <row r="171">
      <c r="A171" t="inlineStr">
        <is>
          <t>md.dedicadoStep1</t>
        </is>
      </c>
      <c r="B171" t="inlineStr">
        <is>
          <t>Estudio dedicado sin sueldo antes de Step 1</t>
        </is>
      </c>
      <c r="C171" s="3" t="n">
        <v>0.17</v>
      </c>
      <c r="D171" t="inlineStr">
        <is>
          <t>años</t>
        </is>
      </c>
      <c r="E171" t="inlineStr">
        <is>
          <t>Estimación propia del modelo (sin dato publicado directo); ver nota</t>
        </is>
      </c>
      <c r="F171" t="inlineStr"/>
      <c r="G171" t="inlineStr">
        <is>
          <t>media</t>
        </is>
      </c>
      <c r="H171" t="inlineStr">
        <is>
          <t>sí</t>
        </is>
      </c>
      <c r="I171" t="inlineStr">
        <is>
          <t>~2 meses.</t>
        </is>
      </c>
    </row>
    <row r="172">
      <c r="A172" t="inlineStr">
        <is>
          <t>md.dedicadoStep2</t>
        </is>
      </c>
      <c r="B172" t="inlineStr">
        <is>
          <t>Estudio dedicado sin sueldo antes de Step 2 CK</t>
        </is>
      </c>
      <c r="C172" s="3" t="n">
        <v>0.12</v>
      </c>
      <c r="D172" t="inlineStr">
        <is>
          <t>años</t>
        </is>
      </c>
      <c r="E172" t="inlineStr">
        <is>
          <t>Estimación propia del modelo (sin dato publicado directo); ver nota</t>
        </is>
      </c>
      <c r="F172" t="inlineStr"/>
      <c r="G172" t="inlineStr">
        <is>
          <t>media</t>
        </is>
      </c>
      <c r="H172" t="inlineStr">
        <is>
          <t>sí</t>
        </is>
      </c>
    </row>
    <row r="173">
      <c r="A173" t="inlineStr">
        <is>
          <t>md.usceDuracion</t>
        </is>
      </c>
      <c r="B173" t="inlineStr">
        <is>
          <t>USCE (observership/externship)</t>
        </is>
      </c>
      <c r="C173" s="3" t="n">
        <v>0.25</v>
      </c>
      <c r="D173" t="inlineStr">
        <is>
          <t>años</t>
        </is>
      </c>
      <c r="E173" t="inlineStr">
        <is>
          <t>Estimación propia del modelo (sin dato publicado directo); ver nota</t>
        </is>
      </c>
      <c r="F173" t="inlineStr"/>
      <c r="G173" t="inlineStr">
        <is>
          <t>media</t>
        </is>
      </c>
      <c r="H173" t="inlineStr">
        <is>
          <t>sí</t>
        </is>
      </c>
    </row>
    <row r="174">
      <c r="A174" t="inlineStr">
        <is>
          <t>md.usceCostoMes</t>
        </is>
      </c>
      <c r="B174" t="inlineStr">
        <is>
          <t>Costo USCE por mes (programa + estancia)</t>
        </is>
      </c>
      <c r="C174" s="3" t="n">
        <v>2000</v>
      </c>
      <c r="D174" t="inlineStr">
        <is>
          <t>$</t>
        </is>
      </c>
      <c r="E174" t="inlineStr">
        <is>
          <t>Estimación propia del modelo (sin dato publicado directo); ver nota</t>
        </is>
      </c>
      <c r="F174" t="inlineStr"/>
      <c r="G174" t="inlineStr">
        <is>
          <t>baja</t>
        </is>
      </c>
      <c r="H174" t="inlineStr">
        <is>
          <t>sí</t>
        </is>
      </c>
    </row>
    <row r="175">
      <c r="A175" t="inlineStr">
        <is>
          <t>md.horasEstudioSemana</t>
        </is>
      </c>
      <c r="B175" t="inlineStr">
        <is>
          <t>Horas de estudio/semana mientras trabajas</t>
        </is>
      </c>
      <c r="C175" s="3" t="n">
        <v>20</v>
      </c>
      <c r="D175" t="inlineStr">
        <is>
          <t>h</t>
        </is>
      </c>
      <c r="E175" t="inlineStr">
        <is>
          <t>Estimación propia del modelo (sin dato publicado directo); ver nota</t>
        </is>
      </c>
      <c r="F175" t="inlineStr"/>
      <c r="G175" t="inlineStr">
        <is>
          <t>media</t>
        </is>
      </c>
      <c r="H175" t="inlineStr">
        <is>
          <t>sí</t>
        </is>
      </c>
    </row>
    <row r="176">
      <c r="A176" t="inlineStr">
        <is>
          <t>md.horasTrabajoEstudiando</t>
        </is>
      </c>
      <c r="B176" t="inlineStr">
        <is>
          <t>Horas de trabajo/semana mientras estudias USMLE</t>
        </is>
      </c>
      <c r="C176" s="3" t="n">
        <v>32</v>
      </c>
      <c r="D176" t="inlineStr">
        <is>
          <t>h</t>
        </is>
      </c>
      <c r="E176" t="inlineStr">
        <is>
          <t>Estimación propia del modelo (sin dato publicado directo); ver nota</t>
        </is>
      </c>
      <c r="F176" t="inlineStr"/>
      <c r="G176" t="inlineStr">
        <is>
          <t>media</t>
        </is>
      </c>
      <c r="H176" t="inlineStr"/>
      <c r="I176" t="inlineStr">
        <is>
          <t>Reducir horas baja el ingreso pero mejora la probabilidad de aprobar.</t>
        </is>
      </c>
    </row>
    <row r="177">
      <c r="A177" t="inlineStr">
        <is>
          <t>md.costoStep1</t>
        </is>
      </c>
      <c r="B177" t="inlineStr">
        <is>
          <t>Tarifa Step 1</t>
        </is>
      </c>
      <c r="C177" s="3" t="n">
        <v>695</v>
      </c>
      <c r="D177" t="inlineStr">
        <is>
          <t>$</t>
        </is>
      </c>
      <c r="E177" t="inlineStr">
        <is>
          <t>FSMB – tarifas USMLE 2026/2027</t>
        </is>
      </c>
      <c r="F177" t="inlineStr">
        <is>
          <t>https://www.fsmb.org/usmle/</t>
        </is>
      </c>
      <c r="G177" t="inlineStr">
        <is>
          <t>alta</t>
        </is>
      </c>
      <c r="H177" t="inlineStr"/>
    </row>
    <row r="178">
      <c r="A178" t="inlineStr">
        <is>
          <t>md.costoStep2</t>
        </is>
      </c>
      <c r="B178" t="inlineStr">
        <is>
          <t>Tarifa Step 2 CK</t>
        </is>
      </c>
      <c r="C178" s="3" t="n">
        <v>695</v>
      </c>
      <c r="D178" t="inlineStr">
        <is>
          <t>$</t>
        </is>
      </c>
      <c r="E178" t="inlineStr">
        <is>
          <t>FSMB – tarifas USMLE 2026/2027</t>
        </is>
      </c>
      <c r="F178" t="inlineStr">
        <is>
          <t>https://www.fsmb.org/usmle/</t>
        </is>
      </c>
      <c r="G178" t="inlineStr">
        <is>
          <t>alta</t>
        </is>
      </c>
      <c r="H178" t="inlineStr"/>
    </row>
    <row r="179">
      <c r="A179" t="inlineStr">
        <is>
          <t>md.costoPrepUSMLE</t>
        </is>
      </c>
      <c r="B179" t="inlineStr">
        <is>
          <t>Material de estudio (UWorld, NBMEs, Amboss)</t>
        </is>
      </c>
      <c r="C179" s="3" t="n">
        <v>3500</v>
      </c>
      <c r="D179" t="inlineStr">
        <is>
          <t>$</t>
        </is>
      </c>
      <c r="E179" t="inlineStr">
        <is>
          <t>Estimación propia del modelo (sin dato publicado directo); ver nota</t>
        </is>
      </c>
      <c r="F179" t="inlineStr"/>
      <c r="G179" t="inlineStr">
        <is>
          <t>media</t>
        </is>
      </c>
      <c r="H179" t="inlineStr">
        <is>
          <t>sí</t>
        </is>
      </c>
    </row>
    <row r="180">
      <c r="A180" t="inlineStr">
        <is>
          <t>md.costoECFMG</t>
        </is>
      </c>
      <c r="B180" t="inlineStr">
        <is>
          <t>ECFMG (Pathway $945 + OET Medicine ~$500)</t>
        </is>
      </c>
      <c r="C180" s="3" t="n">
        <v>1500</v>
      </c>
      <c r="D180" t="inlineStr">
        <is>
          <t>$</t>
        </is>
      </c>
      <c r="E180" t="inlineStr">
        <is>
          <t>Pathways ECFMG 2027 ($945) y OET Medicine</t>
        </is>
      </c>
      <c r="F180" t="inlineStr">
        <is>
          <t>https://thematchguy.com/pathways-ecfmg-certification/</t>
        </is>
      </c>
      <c r="G180" t="inlineStr">
        <is>
          <t>media</t>
        </is>
      </c>
      <c r="H180" t="inlineStr"/>
    </row>
    <row r="181">
      <c r="A181" t="inlineStr">
        <is>
          <t>md.costoERAS</t>
        </is>
      </c>
      <c r="B181" t="inlineStr">
        <is>
          <t>ERAS (~100 programas IM/FM) + NRMP + transcript</t>
        </is>
      </c>
      <c r="C181" s="3" t="n">
        <v>4500</v>
      </c>
      <c r="D181" t="inlineStr">
        <is>
          <t>$</t>
        </is>
      </c>
      <c r="E181" t="inlineStr">
        <is>
          <t>AAMC – tarifas ERAS 2027</t>
        </is>
      </c>
      <c r="F181" t="inlineStr">
        <is>
          <t>https://students-residents.aamc.org/applying-residencies-eras/publication-chapters/fees-2027-eras-season</t>
        </is>
      </c>
      <c r="G181" t="inlineStr">
        <is>
          <t>media</t>
        </is>
      </c>
      <c r="H181" t="inlineStr"/>
      <c r="I181" t="inlineStr">
        <is>
          <t>1–30 programas $11 c/u; 31+ $30 c/u por especialidad; ~100 IM + 30 FM ≈ $3.8k + NRMP.</t>
        </is>
      </c>
    </row>
    <row r="182">
      <c r="A182" t="inlineStr">
        <is>
          <t>md.costoEntrevistas</t>
        </is>
      </c>
      <c r="B182" t="inlineStr">
        <is>
          <t>Entrevistas (mayoría virtuales) + viaje a 1-2</t>
        </is>
      </c>
      <c r="C182" s="3" t="n">
        <v>1500</v>
      </c>
      <c r="D182" t="inlineStr">
        <is>
          <t>$</t>
        </is>
      </c>
      <c r="E182" t="inlineStr">
        <is>
          <t>Estimación propia del modelo (sin dato publicado directo); ver nota</t>
        </is>
      </c>
      <c r="F182" t="inlineStr"/>
      <c r="G182" t="inlineStr">
        <is>
          <t>media</t>
        </is>
      </c>
      <c r="H182" t="inlineStr">
        <is>
          <t>sí</t>
        </is>
      </c>
    </row>
    <row r="183">
      <c r="A183" t="inlineStr">
        <is>
          <t>md.costoMudanza</t>
        </is>
      </c>
      <c r="B183" t="inlineStr">
        <is>
          <t>Mudanza a la residencia</t>
        </is>
      </c>
      <c r="C183" s="3" t="n">
        <v>6000</v>
      </c>
      <c r="D183" t="inlineStr">
        <is>
          <t>$</t>
        </is>
      </c>
      <c r="E183" t="inlineStr">
        <is>
          <t>Estimación propia del modelo (sin dato publicado directo); ver nota</t>
        </is>
      </c>
      <c r="F183" t="inlineStr"/>
      <c r="G183" t="inlineStr">
        <is>
          <t>media</t>
        </is>
      </c>
      <c r="H183" t="inlineStr">
        <is>
          <t>sí</t>
        </is>
      </c>
    </row>
    <row r="184">
      <c r="A184" t="inlineStr">
        <is>
          <t>md.costoLicencia</t>
        </is>
      </c>
      <c r="B184" t="inlineStr">
        <is>
          <t>Step 3 + licencia + DEA + board exam</t>
        </is>
      </c>
      <c r="C184" s="3" t="n">
        <v>3500</v>
      </c>
      <c r="D184" t="inlineStr">
        <is>
          <t>$</t>
        </is>
      </c>
      <c r="E184" t="inlineStr">
        <is>
          <t>FSMB – tarifas USMLE 2026/2027</t>
        </is>
      </c>
      <c r="F184" t="inlineStr">
        <is>
          <t>https://www.fsmb.org/usmle/</t>
        </is>
      </c>
      <c r="G184" t="inlineStr">
        <is>
          <t>media</t>
        </is>
      </c>
      <c r="H184" t="inlineStr">
        <is>
          <t>sí</t>
        </is>
      </c>
    </row>
    <row r="185">
      <c r="A185" t="inlineStr">
        <is>
          <t>md.probStep1</t>
        </is>
      </c>
      <c r="B185" t="inlineStr">
        <is>
          <t>Prob. aprobar Step 1 (cada intento)</t>
        </is>
      </c>
      <c r="C185" s="6" t="n">
        <v>0.8</v>
      </c>
      <c r="D185" t="inlineStr">
        <is>
          <t>%</t>
        </is>
      </c>
      <c r="E185" t="inlineStr">
        <is>
          <t>Tasas de aprobación USMLE IMGs (Step 1 ~72%, Step 2 CK ~68%)</t>
        </is>
      </c>
      <c r="F185" t="inlineStr">
        <is>
          <t>https://www.iatrox.com/blog/usmle-step-1-step-2-ck-pass-rates-difficulty-2026</t>
        </is>
      </c>
      <c r="G185" t="inlineStr">
        <is>
          <t>baja</t>
        </is>
      </c>
      <c r="H185" t="inlineStr">
        <is>
          <t>sí</t>
        </is>
      </c>
      <c r="I185" t="inlineStr">
        <is>
          <t>IMGs primera vez ~72% (2025); se asume algo más por preparación estructurada.</t>
        </is>
      </c>
    </row>
    <row r="186">
      <c r="A186" t="inlineStr">
        <is>
          <t>md.probStep2</t>
        </is>
      </c>
      <c r="B186" t="inlineStr">
        <is>
          <t>Prob. aprobar Step 2 CK (cada intento)</t>
        </is>
      </c>
      <c r="C186" s="6" t="n">
        <v>0.8</v>
      </c>
      <c r="D186" t="inlineStr">
        <is>
          <t>%</t>
        </is>
      </c>
      <c r="E186" t="inlineStr">
        <is>
          <t>Tasas de aprobación USMLE IMGs (Step 1 ~72%, Step 2 CK ~68%)</t>
        </is>
      </c>
      <c r="F186" t="inlineStr">
        <is>
          <t>https://www.iatrox.com/blog/usmle-step-1-step-2-ck-pass-rates-difficulty-2026</t>
        </is>
      </c>
      <c r="G186" t="inlineStr">
        <is>
          <t>baja</t>
        </is>
      </c>
      <c r="H186" t="inlineStr">
        <is>
          <t>sí</t>
        </is>
      </c>
    </row>
    <row r="187">
      <c r="A187" t="inlineStr">
        <is>
          <t>md.retrasoReprobar</t>
        </is>
      </c>
      <c r="B187" t="inlineStr">
        <is>
          <t>Retraso por reprobar un examen</t>
        </is>
      </c>
      <c r="C187" s="3" t="n">
        <v>0.5</v>
      </c>
      <c r="D187" t="inlineStr">
        <is>
          <t>años</t>
        </is>
      </c>
      <c r="E187" t="inlineStr">
        <is>
          <t>Estimación propia del modelo (sin dato publicado directo); ver nota</t>
        </is>
      </c>
      <c r="F187" t="inlineStr"/>
      <c r="G187" t="inlineStr">
        <is>
          <t>media</t>
        </is>
      </c>
      <c r="H187" t="inlineStr"/>
    </row>
    <row r="188">
      <c r="A188" t="inlineStr">
        <is>
          <t>md.probMatch</t>
        </is>
      </c>
      <c r="B188" t="inlineStr">
        <is>
          <t>Prob. de match (Main Match, IM/FM/Peds, aplicación amplia)</t>
        </is>
      </c>
      <c r="C188" s="6" t="n">
        <v>0.45</v>
      </c>
      <c r="D188" t="inlineStr">
        <is>
          <t>%</t>
        </is>
      </c>
      <c r="E188" t="inlineStr">
        <is>
          <t>Desglose por visa 2026: 67.9% sin visa vs 54.4% con visa (fuente secundaria)</t>
        </is>
      </c>
      <c r="F188" t="inlineStr">
        <is>
          <t>https://academically.com/blogs/img-match-rate-2026-can-indian-mbbs-doctors-actually-get-us-residency/</t>
        </is>
      </c>
      <c r="G188" t="inlineStr">
        <is>
          <t>baja</t>
        </is>
      </c>
      <c r="H188" t="inlineStr">
        <is>
          <t>sí</t>
        </is>
      </c>
      <c r="I188" t="inlineStr">
        <is>
          <t>Non-US IMG sin visa 67.9% (2026); se reduce por ~8-9 años desde graduación (YOG), sin experiencia clínica médica reciente. Rango razonable 25–60%.</t>
        </is>
      </c>
    </row>
    <row r="189">
      <c r="A189" t="inlineStr">
        <is>
          <t>md.abiertoMudarse</t>
        </is>
      </c>
      <c r="B189" t="inlineStr">
        <is>
          <t>Dispuesto a mudarte a cualquier estado para la residencia</t>
        </is>
      </c>
      <c r="C189" s="3" t="n">
        <v>1</v>
      </c>
      <c r="D189" t="inlineStr">
        <is>
          <t>bool</t>
        </is>
      </c>
      <c r="E189" t="inlineStr">
        <is>
          <t>% de puestos IM PGY-1 2026 ocupados por non-US IMG por estado (NY 37.4%, NJ 42.4%, PA 33.4%)</t>
        </is>
      </c>
      <c r="F189" t="inlineStr">
        <is>
          <t>https://www.residencyprogramslist.com/img-friendly-internal-medicine-in-new-york</t>
        </is>
      </c>
      <c r="G189" t="inlineStr">
        <is>
          <t>media</t>
        </is>
      </c>
      <c r="H189" t="inlineStr"/>
      <c r="I189" t="inlineStr">
        <is>
          <t>Si es 'no', prob. de match × factor de la región × 0.75 (menos programas).</t>
        </is>
      </c>
    </row>
    <row r="190">
      <c r="A190" t="inlineStr">
        <is>
          <t>md.probSoap</t>
        </is>
      </c>
      <c r="B190" t="inlineStr">
        <is>
          <t>Prob. de obtener puesto en SOAP si no hay match</t>
        </is>
      </c>
      <c r="C190" s="6" t="n">
        <v>0.25</v>
      </c>
      <c r="D190" t="inlineStr">
        <is>
          <t>%</t>
        </is>
      </c>
      <c r="E190" t="inlineStr">
        <is>
          <t>ResidencyAdvisor – resultados SOAP para IMGs (estimación 20–35%)</t>
        </is>
      </c>
      <c r="F190" t="inlineStr">
        <is>
          <t>https://residencyadvisor.com/resources/img-residency-guide/postmatch-soap-outcomes-for-imgs-positions-specialties-and-odds</t>
        </is>
      </c>
      <c r="G190" t="inlineStr">
        <is>
          <t>baja</t>
        </is>
      </c>
      <c r="H190" t="inlineStr">
        <is>
          <t>sí</t>
        </is>
      </c>
    </row>
    <row r="191">
      <c r="A191" t="inlineStr">
        <is>
          <t>md.soapCategoricoPct</t>
        </is>
      </c>
      <c r="B191" t="inlineStr">
        <is>
          <t>Del SOAP, fracción categórico (vs preliminar)</t>
        </is>
      </c>
      <c r="C191" s="6" t="n">
        <v>0.4</v>
      </c>
      <c r="D191" t="inlineStr">
        <is>
          <t>%</t>
        </is>
      </c>
      <c r="E191" t="inlineStr">
        <is>
          <t>AMA – especialidades que más colocan por SOAP (IMGs 27.1% de puestos SOAP)</t>
        </is>
      </c>
      <c r="F191" t="inlineStr">
        <is>
          <t>https://www.ama-assn.org/medical-students/preparing-residency/match-which-specialties-place-most-residents-through-soap</t>
        </is>
      </c>
      <c r="G191" t="inlineStr">
        <is>
          <t>baja</t>
        </is>
      </c>
      <c r="H191" t="inlineStr">
        <is>
          <t>sí</t>
        </is>
      </c>
      <c r="I191" t="inlineStr">
        <is>
          <t>En 2025, 146 puestos preliminares de medicina y 260 transicionales en SOAP.</t>
        </is>
      </c>
    </row>
    <row r="192">
      <c r="A192" t="inlineStr">
        <is>
          <t>md.probMatchTrasPrelim</t>
        </is>
      </c>
      <c r="B192" t="inlineStr">
        <is>
          <t>Prob. de match categórico tras año preliminar</t>
        </is>
      </c>
      <c r="C192" s="6" t="n">
        <v>0.55</v>
      </c>
      <c r="D192" t="inlineStr">
        <is>
          <t>%</t>
        </is>
      </c>
      <c r="E192" t="inlineStr">
        <is>
          <t>Estimación propia del modelo (sin dato publicado directo); ver nota</t>
        </is>
      </c>
      <c r="F192" t="inlineStr"/>
      <c r="G192" t="inlineStr">
        <is>
          <t>baja</t>
        </is>
      </c>
      <c r="H192" t="inlineStr">
        <is>
          <t>sí</t>
        </is>
      </c>
    </row>
    <row r="193">
      <c r="A193" t="inlineStr">
        <is>
          <t>md.probMatchReintento</t>
        </is>
      </c>
      <c r="B193" t="inlineStr">
        <is>
          <t>Prob. de match en reintento (sin puesto previo)</t>
        </is>
      </c>
      <c r="C193" s="6" t="n">
        <v>0.3</v>
      </c>
      <c r="D193" t="inlineStr">
        <is>
          <t>%</t>
        </is>
      </c>
      <c r="E193" t="inlineStr">
        <is>
          <t>Estimación propia del modelo (sin dato publicado directo); ver nota</t>
        </is>
      </c>
      <c r="F193" t="inlineStr"/>
      <c r="G193" t="inlineStr">
        <is>
          <t>baja</t>
        </is>
      </c>
      <c r="H193" t="inlineStr">
        <is>
          <t>sí</t>
        </is>
      </c>
    </row>
    <row r="194">
      <c r="A194" t="inlineStr">
        <is>
          <t>md.intentosMax</t>
        </is>
      </c>
      <c r="B194" t="inlineStr">
        <is>
          <t>Ciclos de Match que estás dispuesto a intentar</t>
        </is>
      </c>
      <c r="C194" s="3" t="n">
        <v>2</v>
      </c>
      <c r="D194" t="inlineStr">
        <is>
          <t>n</t>
        </is>
      </c>
      <c r="E194" t="inlineStr">
        <is>
          <t>Parámetro de diseño del modelo</t>
        </is>
      </c>
      <c r="F194" t="inlineStr"/>
      <c r="G194" t="inlineStr">
        <is>
          <t>media</t>
        </is>
      </c>
      <c r="H194" t="inlineStr"/>
    </row>
    <row r="195">
      <c r="A195" t="inlineStr">
        <is>
          <t>md.residenciaAnios</t>
        </is>
      </c>
      <c r="B195" t="inlineStr">
        <is>
          <t>Duración residencia IM/FM</t>
        </is>
      </c>
      <c r="C195" s="3" t="n">
        <v>3</v>
      </c>
      <c r="D195" t="inlineStr">
        <is>
          <t>años</t>
        </is>
      </c>
      <c r="E195" t="inlineStr">
        <is>
          <t>Parámetro de diseño del modelo</t>
        </is>
      </c>
      <c r="F195" t="inlineStr"/>
      <c r="G195" t="inlineStr">
        <is>
          <t>alta</t>
        </is>
      </c>
      <c r="H195" t="inlineStr"/>
    </row>
    <row r="196">
      <c r="A196" t="inlineStr">
        <is>
          <t>md.especialidad</t>
        </is>
      </c>
      <c r="B196" t="inlineStr">
        <is>
          <t>Salida como attending</t>
        </is>
      </c>
      <c r="C196" s="3" t="inlineStr">
        <is>
          <t>hospitalista</t>
        </is>
      </c>
      <c r="D196" t="inlineStr">
        <is>
          <t>opcion</t>
        </is>
      </c>
      <c r="E196" t="inlineStr">
        <is>
          <t>Parámetro de diseño del modelo</t>
        </is>
      </c>
      <c r="F196" t="inlineStr"/>
      <c r="G196" t="inlineStr">
        <is>
          <t>alta</t>
        </is>
      </c>
      <c r="H196" t="inlineStr"/>
    </row>
    <row r="197">
      <c r="A197" t="inlineStr">
        <is>
          <t>md.locumsTurnosMes</t>
        </is>
      </c>
      <c r="B197" t="inlineStr">
        <is>
          <t>Turnos locum extra por mes (12 h, vía S-corp)</t>
        </is>
      </c>
      <c r="C197" s="3" t="n">
        <v>2</v>
      </c>
      <c r="D197" t="inlineStr">
        <is>
          <t>n</t>
        </is>
      </c>
      <c r="E197" t="inlineStr">
        <is>
          <t>Barton Associates – hospitalista locum $130–175/h; postings $200/h</t>
        </is>
      </c>
      <c r="F197" t="inlineStr">
        <is>
          <t>https://www.bartonassociates.com/salary-tool/physician/hospitalist/</t>
        </is>
      </c>
      <c r="G197" t="inlineStr">
        <is>
          <t>media</t>
        </is>
      </c>
      <c r="H197" t="inlineStr"/>
    </row>
    <row r="198">
      <c r="A198" t="inlineStr">
        <is>
          <t>md.locumsTarifa</t>
        </is>
      </c>
      <c r="B198" t="inlineStr">
        <is>
          <t>Tarifa locum hospitalista</t>
        </is>
      </c>
      <c r="C198" s="3" t="n">
        <v>170</v>
      </c>
      <c r="D198" t="inlineStr">
        <is>
          <t>$/h</t>
        </is>
      </c>
      <c r="E198" t="inlineStr">
        <is>
          <t>Barton Associates – hospitalista locum $130–175/h; postings $200/h</t>
        </is>
      </c>
      <c r="F198" t="inlineStr">
        <is>
          <t>https://www.bartonassociates.com/salary-tool/physician/hospitalist/</t>
        </is>
      </c>
      <c r="G198" t="inlineStr">
        <is>
          <t>media</t>
        </is>
      </c>
      <c r="H198" t="inlineStr"/>
    </row>
    <row r="199">
      <c r="A199" t="inlineStr">
        <is>
          <t>md.directorMedico</t>
        </is>
      </c>
      <c r="B199" t="inlineStr">
        <is>
          <t>Ingreso medical director (desde attending año 3)</t>
        </is>
      </c>
      <c r="C199" s="3" t="n">
        <v>0</v>
      </c>
      <c r="D199" t="inlineStr">
        <is>
          <t>$</t>
        </is>
      </c>
      <c r="E199" t="inlineStr">
        <is>
          <t>Estimación propia del modelo (sin dato publicado directo); ver nota</t>
        </is>
      </c>
      <c r="F199" t="inlineStr"/>
      <c r="G199" t="inlineStr">
        <is>
          <t>baja</t>
        </is>
      </c>
      <c r="H199" t="inlineStr">
        <is>
          <t>sí</t>
        </is>
      </c>
    </row>
    <row r="200">
      <c r="A200" t="inlineStr">
        <is>
          <t>md.tutoria</t>
        </is>
      </c>
      <c r="B200" t="inlineStr">
        <is>
          <t>Tutoría USMLE/médica anual (tras aprobar Steps)</t>
        </is>
      </c>
      <c r="C200" s="3" t="n">
        <v>0</v>
      </c>
      <c r="D200" t="inlineStr">
        <is>
          <t>$</t>
        </is>
      </c>
      <c r="E200" t="inlineStr">
        <is>
          <t>Estimación propia del modelo (sin dato publicado directo); ver nota</t>
        </is>
      </c>
      <c r="F200" t="inlineStr"/>
      <c r="G200" t="inlineStr">
        <is>
          <t>baja</t>
        </is>
      </c>
      <c r="H200" t="inlineStr">
        <is>
          <t>sí</t>
        </is>
      </c>
    </row>
    <row r="201">
      <c r="A201" t="inlineStr">
        <is>
          <t>md.residentePslf</t>
        </is>
      </c>
      <c r="B201" t="inlineStr">
        <is>
          <t>Residencia y empleo attending en sin fines de lucro (PSLF)</t>
        </is>
      </c>
      <c r="C201" s="3" t="n">
        <v>1</v>
      </c>
      <c r="D201" t="inlineStr">
        <is>
          <t>bool</t>
        </is>
      </c>
      <c r="E201" t="inlineStr">
        <is>
          <t>Cambios PSLF/RAP 2026 (OBBBA): RAP califica para PSLF, 1–10% del AGI</t>
        </is>
      </c>
      <c r="F201" t="inlineStr">
        <is>
          <t>https://www.tateesq.com/learn/pslf-changes-2026</t>
        </is>
      </c>
      <c r="G201" t="inlineStr">
        <is>
          <t>media</t>
        </is>
      </c>
      <c r="H201" t="inlineStr"/>
    </row>
    <row r="202">
      <c r="A202" t="inlineStr">
        <is>
          <t>md.montecarloN</t>
        </is>
      </c>
      <c r="B202" t="inlineStr">
        <is>
          <t>Simulaciones Monte Carlo</t>
        </is>
      </c>
      <c r="C202" s="3" t="n">
        <v>1000</v>
      </c>
      <c r="D202" t="inlineStr">
        <is>
          <t>n</t>
        </is>
      </c>
      <c r="E202" t="inlineStr">
        <is>
          <t>Parámetro de diseño del modelo</t>
        </is>
      </c>
      <c r="F202" t="inlineStr"/>
      <c r="G202" t="inlineStr">
        <is>
          <t>alta</t>
        </is>
      </c>
      <c r="H202" t="inlineStr"/>
    </row>
    <row r="203">
      <c r="A203" t="inlineStr">
        <is>
          <t>md.bonoFirmaAttending</t>
        </is>
      </c>
      <c r="B203" t="inlineStr">
        <is>
          <t>Bono de firma como attending</t>
        </is>
      </c>
      <c r="C203" s="3" t="n">
        <v>20000</v>
      </c>
      <c r="D203" t="inlineStr">
        <is>
          <t>$</t>
        </is>
      </c>
      <c r="E203" t="inlineStr">
        <is>
          <t>Estimación propia del modelo (sin dato publicado directo); ver nota</t>
        </is>
      </c>
      <c r="F203" t="inlineStr"/>
      <c r="G203" t="inlineStr">
        <is>
          <t>baja</t>
        </is>
      </c>
      <c r="H203" t="inlineStr">
        <is>
          <t>sí</t>
        </is>
      </c>
    </row>
    <row r="204">
      <c r="A204" t="inlineStr">
        <is>
          <t>md.factorMatchSiReprueba</t>
        </is>
      </c>
      <c r="B204" t="inlineStr">
        <is>
          <t>Multiplicador de prob. de match por cada examen reprobado</t>
        </is>
      </c>
      <c r="C204" s="3" t="n">
        <v>0.5</v>
      </c>
      <c r="D204" t="inlineStr">
        <is>
          <t>x</t>
        </is>
      </c>
      <c r="E204" t="inlineStr">
        <is>
          <t>Estimación propia del modelo (sin dato publicado directo); ver nota</t>
        </is>
      </c>
      <c r="F204" t="inlineStr"/>
      <c r="G204" t="inlineStr">
        <is>
          <t>baja</t>
        </is>
      </c>
      <c r="H204" t="inlineStr">
        <is>
          <t>sí</t>
        </is>
      </c>
      <c r="I204" t="inlineStr">
        <is>
          <t>Reprobar un Step es una 'red flag' fuerte para los programas.</t>
        </is>
      </c>
    </row>
    <row r="205">
      <c r="A205" t="inlineStr">
        <is>
          <t>md.creditoPrelim</t>
        </is>
      </c>
      <c r="B205" t="inlineStr">
        <is>
          <t>El año preliminar cuenta como PGY-1 (no se repite)</t>
        </is>
      </c>
      <c r="C205" s="3" t="n">
        <v>0</v>
      </c>
      <c r="D205" t="inlineStr">
        <is>
          <t>bool</t>
        </is>
      </c>
      <c r="E205" t="inlineStr">
        <is>
          <t>Estimación propia del modelo (sin dato publicado directo); ver nota</t>
        </is>
      </c>
      <c r="F205" t="inlineStr"/>
      <c r="G205" t="inlineStr">
        <is>
          <t>baja</t>
        </is>
      </c>
      <c r="H205" t="inlineStr">
        <is>
          <t>sí</t>
        </is>
      </c>
    </row>
  </sheetData>
  <dataValidations count="3">
    <dataValidation sqref="B3" showDropDown="0" showInputMessage="0" showErrorMessage="0" allowBlank="0" type="list">
      <formula1>$H$3:$H$7</formula1>
    </dataValidation>
    <dataValidation sqref="B4" showDropDown="0" showInputMessage="0" showErrorMessage="0" allowBlank="0" type="list">
      <formula1>$J$3:$J$7</formula1>
    </dataValidation>
    <dataValidation sqref="B5" showDropDown="0" showInputMessage="0" showErrorMessage="0" allowBlank="0" type="list">
      <formula1>$L$3:$L$5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55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</cols>
  <sheetData>
    <row r="1">
      <c r="A1" s="1" t="inlineStr">
        <is>
          <t>Comparativa de caminos (ubicación, vivienda y escenario según la hoja Supuestos)</t>
        </is>
      </c>
    </row>
    <row r="2">
      <c r="A2">
        <f>CONCATENATE("Ubicación: ",sel_loc,"  ·  Vivienda: ",sel_cfg,"  ·  Escenario: ",Supuestos!B5)</f>
        <v/>
      </c>
    </row>
    <row r="4">
      <c r="A4" s="5" t="inlineStr">
        <is>
          <t>Año</t>
        </is>
      </c>
      <c r="B4" s="5" t="inlineStr">
        <is>
          <t>A1 · Case mgmt → UR payer-side (remoto)</t>
        </is>
      </c>
      <c r="C4" s="5" t="inlineStr">
        <is>
          <t>A2 · Bedside ICU (residencia RN experimentado)</t>
        </is>
      </c>
      <c r="D4" s="5" t="inlineStr">
        <is>
          <t>A3 · ICU → Travel nurse</t>
        </is>
      </c>
      <c r="E4" s="5" t="inlineStr">
        <is>
          <t>A4 · CDI / informática (valora tu MD)</t>
        </is>
      </c>
      <c r="F4" s="5" t="inlineStr">
        <is>
          <t>A5 · ICU → charge → nurse manager</t>
        </is>
      </c>
      <c r="G4" s="5" t="inlineStr">
        <is>
          <t>A5b · ICU → educador clínico</t>
        </is>
      </c>
      <c r="H4" s="5" t="inlineStr">
        <is>
          <t>A6 · Nurse injector / estética</t>
        </is>
      </c>
      <c r="I4" s="5" t="inlineStr">
        <is>
          <t>A7 · ICU → CRNA</t>
        </is>
      </c>
      <c r="J4" s="5" t="inlineStr">
        <is>
          <t>A7b · ICU → Travel → CRNA</t>
        </is>
      </c>
      <c r="K4" s="5" t="inlineStr">
        <is>
          <t>A8 · NP familiar (FNP)</t>
        </is>
      </c>
      <c r="L4" s="5" t="inlineStr">
        <is>
          <t>A8b · NP psiquiátrico (PMHNP)</t>
        </is>
      </c>
      <c r="M4" s="5" t="inlineStr">
        <is>
          <t>B1 · MD: match al primer intento</t>
        </is>
      </c>
      <c r="N4" s="5" t="inlineStr">
        <is>
          <t>B2 · MD: SOAP preliminar → categórico</t>
        </is>
      </c>
      <c r="O4" s="5" t="inlineStr">
        <is>
          <t>B3 · MD: no match → match al reintento</t>
        </is>
      </c>
      <c r="P4" s="5" t="inlineStr">
        <is>
          <t>B4 · MD: nunca hace match → vuelve a CDI</t>
        </is>
      </c>
    </row>
    <row r="5">
      <c r="A5" t="n">
        <v>2027</v>
      </c>
      <c r="B5" s="7">
        <f>'A1 cm_ur'!EG33</f>
        <v/>
      </c>
      <c r="C5" s="7">
        <f>'A2 icu'!EG33</f>
        <v/>
      </c>
      <c r="D5" s="7">
        <f>'A3 icu_travel'!EG33</f>
        <v/>
      </c>
      <c r="E5" s="7">
        <f>'A4 cdi'!EG33</f>
        <v/>
      </c>
      <c r="F5" s="7">
        <f>'A5 manager'!EG33</f>
        <v/>
      </c>
      <c r="G5" s="7">
        <f>'A5b educador'!EG33</f>
        <v/>
      </c>
      <c r="H5" s="7">
        <f>'A6 injector'!EG33</f>
        <v/>
      </c>
      <c r="I5" s="7">
        <f>'A7 crna'!EG33</f>
        <v/>
      </c>
      <c r="J5" s="7">
        <f>'A7b icu_travel_crna'!EG33</f>
        <v/>
      </c>
      <c r="K5" s="7">
        <f>'A8 fnp'!EG33</f>
        <v/>
      </c>
      <c r="L5" s="7">
        <f>'A8b pmhnp'!EG33</f>
        <v/>
      </c>
      <c r="M5" s="7">
        <f>'B1 md_match1'!EG33</f>
        <v/>
      </c>
      <c r="N5" s="7">
        <f>'B2 md_soap_prelim'!EG33</f>
        <v/>
      </c>
      <c r="O5" s="7">
        <f>'B3 md_reintento'!EG33</f>
        <v/>
      </c>
      <c r="P5" s="7">
        <f>'B4 md_fallo'!EG33</f>
        <v/>
      </c>
    </row>
    <row r="6">
      <c r="A6" t="n">
        <v>2028</v>
      </c>
      <c r="B6" s="7">
        <f>'A1 cm_ur'!EG34</f>
        <v/>
      </c>
      <c r="C6" s="7">
        <f>'A2 icu'!EG34</f>
        <v/>
      </c>
      <c r="D6" s="7">
        <f>'A3 icu_travel'!EG34</f>
        <v/>
      </c>
      <c r="E6" s="7">
        <f>'A4 cdi'!EG34</f>
        <v/>
      </c>
      <c r="F6" s="7">
        <f>'A5 manager'!EG34</f>
        <v/>
      </c>
      <c r="G6" s="7">
        <f>'A5b educador'!EG34</f>
        <v/>
      </c>
      <c r="H6" s="7">
        <f>'A6 injector'!EG34</f>
        <v/>
      </c>
      <c r="I6" s="7">
        <f>'A7 crna'!EG34</f>
        <v/>
      </c>
      <c r="J6" s="7">
        <f>'A7b icu_travel_crna'!EG34</f>
        <v/>
      </c>
      <c r="K6" s="7">
        <f>'A8 fnp'!EG34</f>
        <v/>
      </c>
      <c r="L6" s="7">
        <f>'A8b pmhnp'!EG34</f>
        <v/>
      </c>
      <c r="M6" s="7">
        <f>'B1 md_match1'!EG34</f>
        <v/>
      </c>
      <c r="N6" s="7">
        <f>'B2 md_soap_prelim'!EG34</f>
        <v/>
      </c>
      <c r="O6" s="7">
        <f>'B3 md_reintento'!EG34</f>
        <v/>
      </c>
      <c r="P6" s="7">
        <f>'B4 md_fallo'!EG34</f>
        <v/>
      </c>
    </row>
    <row r="7">
      <c r="A7" t="n">
        <v>2029</v>
      </c>
      <c r="B7" s="7">
        <f>'A1 cm_ur'!EG35</f>
        <v/>
      </c>
      <c r="C7" s="7">
        <f>'A2 icu'!EG35</f>
        <v/>
      </c>
      <c r="D7" s="7">
        <f>'A3 icu_travel'!EG35</f>
        <v/>
      </c>
      <c r="E7" s="7">
        <f>'A4 cdi'!EG35</f>
        <v/>
      </c>
      <c r="F7" s="7">
        <f>'A5 manager'!EG35</f>
        <v/>
      </c>
      <c r="G7" s="7">
        <f>'A5b educador'!EG35</f>
        <v/>
      </c>
      <c r="H7" s="7">
        <f>'A6 injector'!EG35</f>
        <v/>
      </c>
      <c r="I7" s="7">
        <f>'A7 crna'!EG35</f>
        <v/>
      </c>
      <c r="J7" s="7">
        <f>'A7b icu_travel_crna'!EG35</f>
        <v/>
      </c>
      <c r="K7" s="7">
        <f>'A8 fnp'!EG35</f>
        <v/>
      </c>
      <c r="L7" s="7">
        <f>'A8b pmhnp'!EG35</f>
        <v/>
      </c>
      <c r="M7" s="7">
        <f>'B1 md_match1'!EG35</f>
        <v/>
      </c>
      <c r="N7" s="7">
        <f>'B2 md_soap_prelim'!EG35</f>
        <v/>
      </c>
      <c r="O7" s="7">
        <f>'B3 md_reintento'!EG35</f>
        <v/>
      </c>
      <c r="P7" s="7">
        <f>'B4 md_fallo'!EG35</f>
        <v/>
      </c>
    </row>
    <row r="8">
      <c r="A8" t="n">
        <v>2030</v>
      </c>
      <c r="B8" s="7">
        <f>'A1 cm_ur'!EG36</f>
        <v/>
      </c>
      <c r="C8" s="7">
        <f>'A2 icu'!EG36</f>
        <v/>
      </c>
      <c r="D8" s="7">
        <f>'A3 icu_travel'!EG36</f>
        <v/>
      </c>
      <c r="E8" s="7">
        <f>'A4 cdi'!EG36</f>
        <v/>
      </c>
      <c r="F8" s="7">
        <f>'A5 manager'!EG36</f>
        <v/>
      </c>
      <c r="G8" s="7">
        <f>'A5b educador'!EG36</f>
        <v/>
      </c>
      <c r="H8" s="7">
        <f>'A6 injector'!EG36</f>
        <v/>
      </c>
      <c r="I8" s="7">
        <f>'A7 crna'!EG36</f>
        <v/>
      </c>
      <c r="J8" s="7">
        <f>'A7b icu_travel_crna'!EG36</f>
        <v/>
      </c>
      <c r="K8" s="7">
        <f>'A8 fnp'!EG36</f>
        <v/>
      </c>
      <c r="L8" s="7">
        <f>'A8b pmhnp'!EG36</f>
        <v/>
      </c>
      <c r="M8" s="7">
        <f>'B1 md_match1'!EG36</f>
        <v/>
      </c>
      <c r="N8" s="7">
        <f>'B2 md_soap_prelim'!EG36</f>
        <v/>
      </c>
      <c r="O8" s="7">
        <f>'B3 md_reintento'!EG36</f>
        <v/>
      </c>
      <c r="P8" s="7">
        <f>'B4 md_fallo'!EG36</f>
        <v/>
      </c>
    </row>
    <row r="9">
      <c r="A9" t="n">
        <v>2031</v>
      </c>
      <c r="B9" s="7">
        <f>'A1 cm_ur'!EG37</f>
        <v/>
      </c>
      <c r="C9" s="7">
        <f>'A2 icu'!EG37</f>
        <v/>
      </c>
      <c r="D9" s="7">
        <f>'A3 icu_travel'!EG37</f>
        <v/>
      </c>
      <c r="E9" s="7">
        <f>'A4 cdi'!EG37</f>
        <v/>
      </c>
      <c r="F9" s="7">
        <f>'A5 manager'!EG37</f>
        <v/>
      </c>
      <c r="G9" s="7">
        <f>'A5b educador'!EG37</f>
        <v/>
      </c>
      <c r="H9" s="7">
        <f>'A6 injector'!EG37</f>
        <v/>
      </c>
      <c r="I9" s="7">
        <f>'A7 crna'!EG37</f>
        <v/>
      </c>
      <c r="J9" s="7">
        <f>'A7b icu_travel_crna'!EG37</f>
        <v/>
      </c>
      <c r="K9" s="7">
        <f>'A8 fnp'!EG37</f>
        <v/>
      </c>
      <c r="L9" s="7">
        <f>'A8b pmhnp'!EG37</f>
        <v/>
      </c>
      <c r="M9" s="7">
        <f>'B1 md_match1'!EG37</f>
        <v/>
      </c>
      <c r="N9" s="7">
        <f>'B2 md_soap_prelim'!EG37</f>
        <v/>
      </c>
      <c r="O9" s="7">
        <f>'B3 md_reintento'!EG37</f>
        <v/>
      </c>
      <c r="P9" s="7">
        <f>'B4 md_fallo'!EG37</f>
        <v/>
      </c>
    </row>
    <row r="10">
      <c r="A10" t="n">
        <v>2032</v>
      </c>
      <c r="B10" s="7">
        <f>'A1 cm_ur'!EG38</f>
        <v/>
      </c>
      <c r="C10" s="7">
        <f>'A2 icu'!EG38</f>
        <v/>
      </c>
      <c r="D10" s="7">
        <f>'A3 icu_travel'!EG38</f>
        <v/>
      </c>
      <c r="E10" s="7">
        <f>'A4 cdi'!EG38</f>
        <v/>
      </c>
      <c r="F10" s="7">
        <f>'A5 manager'!EG38</f>
        <v/>
      </c>
      <c r="G10" s="7">
        <f>'A5b educador'!EG38</f>
        <v/>
      </c>
      <c r="H10" s="7">
        <f>'A6 injector'!EG38</f>
        <v/>
      </c>
      <c r="I10" s="7">
        <f>'A7 crna'!EG38</f>
        <v/>
      </c>
      <c r="J10" s="7">
        <f>'A7b icu_travel_crna'!EG38</f>
        <v/>
      </c>
      <c r="K10" s="7">
        <f>'A8 fnp'!EG38</f>
        <v/>
      </c>
      <c r="L10" s="7">
        <f>'A8b pmhnp'!EG38</f>
        <v/>
      </c>
      <c r="M10" s="7">
        <f>'B1 md_match1'!EG38</f>
        <v/>
      </c>
      <c r="N10" s="7">
        <f>'B2 md_soap_prelim'!EG38</f>
        <v/>
      </c>
      <c r="O10" s="7">
        <f>'B3 md_reintento'!EG38</f>
        <v/>
      </c>
      <c r="P10" s="7">
        <f>'B4 md_fallo'!EG38</f>
        <v/>
      </c>
    </row>
    <row r="11">
      <c r="A11" t="n">
        <v>2033</v>
      </c>
      <c r="B11" s="7">
        <f>'A1 cm_ur'!EG39</f>
        <v/>
      </c>
      <c r="C11" s="7">
        <f>'A2 icu'!EG39</f>
        <v/>
      </c>
      <c r="D11" s="7">
        <f>'A3 icu_travel'!EG39</f>
        <v/>
      </c>
      <c r="E11" s="7">
        <f>'A4 cdi'!EG39</f>
        <v/>
      </c>
      <c r="F11" s="7">
        <f>'A5 manager'!EG39</f>
        <v/>
      </c>
      <c r="G11" s="7">
        <f>'A5b educador'!EG39</f>
        <v/>
      </c>
      <c r="H11" s="7">
        <f>'A6 injector'!EG39</f>
        <v/>
      </c>
      <c r="I11" s="7">
        <f>'A7 crna'!EG39</f>
        <v/>
      </c>
      <c r="J11" s="7">
        <f>'A7b icu_travel_crna'!EG39</f>
        <v/>
      </c>
      <c r="K11" s="7">
        <f>'A8 fnp'!EG39</f>
        <v/>
      </c>
      <c r="L11" s="7">
        <f>'A8b pmhnp'!EG39</f>
        <v/>
      </c>
      <c r="M11" s="7">
        <f>'B1 md_match1'!EG39</f>
        <v/>
      </c>
      <c r="N11" s="7">
        <f>'B2 md_soap_prelim'!EG39</f>
        <v/>
      </c>
      <c r="O11" s="7">
        <f>'B3 md_reintento'!EG39</f>
        <v/>
      </c>
      <c r="P11" s="7">
        <f>'B4 md_fallo'!EG39</f>
        <v/>
      </c>
    </row>
    <row r="12">
      <c r="A12" t="n">
        <v>2034</v>
      </c>
      <c r="B12" s="7">
        <f>'A1 cm_ur'!EG40</f>
        <v/>
      </c>
      <c r="C12" s="7">
        <f>'A2 icu'!EG40</f>
        <v/>
      </c>
      <c r="D12" s="7">
        <f>'A3 icu_travel'!EG40</f>
        <v/>
      </c>
      <c r="E12" s="7">
        <f>'A4 cdi'!EG40</f>
        <v/>
      </c>
      <c r="F12" s="7">
        <f>'A5 manager'!EG40</f>
        <v/>
      </c>
      <c r="G12" s="7">
        <f>'A5b educador'!EG40</f>
        <v/>
      </c>
      <c r="H12" s="7">
        <f>'A6 injector'!EG40</f>
        <v/>
      </c>
      <c r="I12" s="7">
        <f>'A7 crna'!EG40</f>
        <v/>
      </c>
      <c r="J12" s="7">
        <f>'A7b icu_travel_crna'!EG40</f>
        <v/>
      </c>
      <c r="K12" s="7">
        <f>'A8 fnp'!EG40</f>
        <v/>
      </c>
      <c r="L12" s="7">
        <f>'A8b pmhnp'!EG40</f>
        <v/>
      </c>
      <c r="M12" s="7">
        <f>'B1 md_match1'!EG40</f>
        <v/>
      </c>
      <c r="N12" s="7">
        <f>'B2 md_soap_prelim'!EG40</f>
        <v/>
      </c>
      <c r="O12" s="7">
        <f>'B3 md_reintento'!EG40</f>
        <v/>
      </c>
      <c r="P12" s="7">
        <f>'B4 md_fallo'!EG40</f>
        <v/>
      </c>
    </row>
    <row r="13">
      <c r="A13" t="n">
        <v>2035</v>
      </c>
      <c r="B13" s="7">
        <f>'A1 cm_ur'!EG41</f>
        <v/>
      </c>
      <c r="C13" s="7">
        <f>'A2 icu'!EG41</f>
        <v/>
      </c>
      <c r="D13" s="7">
        <f>'A3 icu_travel'!EG41</f>
        <v/>
      </c>
      <c r="E13" s="7">
        <f>'A4 cdi'!EG41</f>
        <v/>
      </c>
      <c r="F13" s="7">
        <f>'A5 manager'!EG41</f>
        <v/>
      </c>
      <c r="G13" s="7">
        <f>'A5b educador'!EG41</f>
        <v/>
      </c>
      <c r="H13" s="7">
        <f>'A6 injector'!EG41</f>
        <v/>
      </c>
      <c r="I13" s="7">
        <f>'A7 crna'!EG41</f>
        <v/>
      </c>
      <c r="J13" s="7">
        <f>'A7b icu_travel_crna'!EG41</f>
        <v/>
      </c>
      <c r="K13" s="7">
        <f>'A8 fnp'!EG41</f>
        <v/>
      </c>
      <c r="L13" s="7">
        <f>'A8b pmhnp'!EG41</f>
        <v/>
      </c>
      <c r="M13" s="7">
        <f>'B1 md_match1'!EG41</f>
        <v/>
      </c>
      <c r="N13" s="7">
        <f>'B2 md_soap_prelim'!EG41</f>
        <v/>
      </c>
      <c r="O13" s="7">
        <f>'B3 md_reintento'!EG41</f>
        <v/>
      </c>
      <c r="P13" s="7">
        <f>'B4 md_fallo'!EG41</f>
        <v/>
      </c>
    </row>
    <row r="14">
      <c r="A14" t="n">
        <v>2036</v>
      </c>
      <c r="B14" s="7">
        <f>'A1 cm_ur'!EG42</f>
        <v/>
      </c>
      <c r="C14" s="7">
        <f>'A2 icu'!EG42</f>
        <v/>
      </c>
      <c r="D14" s="7">
        <f>'A3 icu_travel'!EG42</f>
        <v/>
      </c>
      <c r="E14" s="7">
        <f>'A4 cdi'!EG42</f>
        <v/>
      </c>
      <c r="F14" s="7">
        <f>'A5 manager'!EG42</f>
        <v/>
      </c>
      <c r="G14" s="7">
        <f>'A5b educador'!EG42</f>
        <v/>
      </c>
      <c r="H14" s="7">
        <f>'A6 injector'!EG42</f>
        <v/>
      </c>
      <c r="I14" s="7">
        <f>'A7 crna'!EG42</f>
        <v/>
      </c>
      <c r="J14" s="7">
        <f>'A7b icu_travel_crna'!EG42</f>
        <v/>
      </c>
      <c r="K14" s="7">
        <f>'A8 fnp'!EG42</f>
        <v/>
      </c>
      <c r="L14" s="7">
        <f>'A8b pmhnp'!EG42</f>
        <v/>
      </c>
      <c r="M14" s="7">
        <f>'B1 md_match1'!EG42</f>
        <v/>
      </c>
      <c r="N14" s="7">
        <f>'B2 md_soap_prelim'!EG42</f>
        <v/>
      </c>
      <c r="O14" s="7">
        <f>'B3 md_reintento'!EG42</f>
        <v/>
      </c>
      <c r="P14" s="7">
        <f>'B4 md_fallo'!EG42</f>
        <v/>
      </c>
    </row>
    <row r="15">
      <c r="A15" t="n">
        <v>2037</v>
      </c>
      <c r="B15" s="7">
        <f>'A1 cm_ur'!EG43</f>
        <v/>
      </c>
      <c r="C15" s="7">
        <f>'A2 icu'!EG43</f>
        <v/>
      </c>
      <c r="D15" s="7">
        <f>'A3 icu_travel'!EG43</f>
        <v/>
      </c>
      <c r="E15" s="7">
        <f>'A4 cdi'!EG43</f>
        <v/>
      </c>
      <c r="F15" s="7">
        <f>'A5 manager'!EG43</f>
        <v/>
      </c>
      <c r="G15" s="7">
        <f>'A5b educador'!EG43</f>
        <v/>
      </c>
      <c r="H15" s="7">
        <f>'A6 injector'!EG43</f>
        <v/>
      </c>
      <c r="I15" s="7">
        <f>'A7 crna'!EG43</f>
        <v/>
      </c>
      <c r="J15" s="7">
        <f>'A7b icu_travel_crna'!EG43</f>
        <v/>
      </c>
      <c r="K15" s="7">
        <f>'A8 fnp'!EG43</f>
        <v/>
      </c>
      <c r="L15" s="7">
        <f>'A8b pmhnp'!EG43</f>
        <v/>
      </c>
      <c r="M15" s="7">
        <f>'B1 md_match1'!EG43</f>
        <v/>
      </c>
      <c r="N15" s="7">
        <f>'B2 md_soap_prelim'!EG43</f>
        <v/>
      </c>
      <c r="O15" s="7">
        <f>'B3 md_reintento'!EG43</f>
        <v/>
      </c>
      <c r="P15" s="7">
        <f>'B4 md_fallo'!EG43</f>
        <v/>
      </c>
    </row>
    <row r="16">
      <c r="A16" t="n">
        <v>2038</v>
      </c>
      <c r="B16" s="7">
        <f>'A1 cm_ur'!EG44</f>
        <v/>
      </c>
      <c r="C16" s="7">
        <f>'A2 icu'!EG44</f>
        <v/>
      </c>
      <c r="D16" s="7">
        <f>'A3 icu_travel'!EG44</f>
        <v/>
      </c>
      <c r="E16" s="7">
        <f>'A4 cdi'!EG44</f>
        <v/>
      </c>
      <c r="F16" s="7">
        <f>'A5 manager'!EG44</f>
        <v/>
      </c>
      <c r="G16" s="7">
        <f>'A5b educador'!EG44</f>
        <v/>
      </c>
      <c r="H16" s="7">
        <f>'A6 injector'!EG44</f>
        <v/>
      </c>
      <c r="I16" s="7">
        <f>'A7 crna'!EG44</f>
        <v/>
      </c>
      <c r="J16" s="7">
        <f>'A7b icu_travel_crna'!EG44</f>
        <v/>
      </c>
      <c r="K16" s="7">
        <f>'A8 fnp'!EG44</f>
        <v/>
      </c>
      <c r="L16" s="7">
        <f>'A8b pmhnp'!EG44</f>
        <v/>
      </c>
      <c r="M16" s="7">
        <f>'B1 md_match1'!EG44</f>
        <v/>
      </c>
      <c r="N16" s="7">
        <f>'B2 md_soap_prelim'!EG44</f>
        <v/>
      </c>
      <c r="O16" s="7">
        <f>'B3 md_reintento'!EG44</f>
        <v/>
      </c>
      <c r="P16" s="7">
        <f>'B4 md_fallo'!EG44</f>
        <v/>
      </c>
    </row>
    <row r="17">
      <c r="A17" t="n">
        <v>2039</v>
      </c>
      <c r="B17" s="7">
        <f>'A1 cm_ur'!EG45</f>
        <v/>
      </c>
      <c r="C17" s="7">
        <f>'A2 icu'!EG45</f>
        <v/>
      </c>
      <c r="D17" s="7">
        <f>'A3 icu_travel'!EG45</f>
        <v/>
      </c>
      <c r="E17" s="7">
        <f>'A4 cdi'!EG45</f>
        <v/>
      </c>
      <c r="F17" s="7">
        <f>'A5 manager'!EG45</f>
        <v/>
      </c>
      <c r="G17" s="7">
        <f>'A5b educador'!EG45</f>
        <v/>
      </c>
      <c r="H17" s="7">
        <f>'A6 injector'!EG45</f>
        <v/>
      </c>
      <c r="I17" s="7">
        <f>'A7 crna'!EG45</f>
        <v/>
      </c>
      <c r="J17" s="7">
        <f>'A7b icu_travel_crna'!EG45</f>
        <v/>
      </c>
      <c r="K17" s="7">
        <f>'A8 fnp'!EG45</f>
        <v/>
      </c>
      <c r="L17" s="7">
        <f>'A8b pmhnp'!EG45</f>
        <v/>
      </c>
      <c r="M17" s="7">
        <f>'B1 md_match1'!EG45</f>
        <v/>
      </c>
      <c r="N17" s="7">
        <f>'B2 md_soap_prelim'!EG45</f>
        <v/>
      </c>
      <c r="O17" s="7">
        <f>'B3 md_reintento'!EG45</f>
        <v/>
      </c>
      <c r="P17" s="7">
        <f>'B4 md_fallo'!EG45</f>
        <v/>
      </c>
    </row>
    <row r="18">
      <c r="A18" t="n">
        <v>2040</v>
      </c>
      <c r="B18" s="7">
        <f>'A1 cm_ur'!EG46</f>
        <v/>
      </c>
      <c r="C18" s="7">
        <f>'A2 icu'!EG46</f>
        <v/>
      </c>
      <c r="D18" s="7">
        <f>'A3 icu_travel'!EG46</f>
        <v/>
      </c>
      <c r="E18" s="7">
        <f>'A4 cdi'!EG46</f>
        <v/>
      </c>
      <c r="F18" s="7">
        <f>'A5 manager'!EG46</f>
        <v/>
      </c>
      <c r="G18" s="7">
        <f>'A5b educador'!EG46</f>
        <v/>
      </c>
      <c r="H18" s="7">
        <f>'A6 injector'!EG46</f>
        <v/>
      </c>
      <c r="I18" s="7">
        <f>'A7 crna'!EG46</f>
        <v/>
      </c>
      <c r="J18" s="7">
        <f>'A7b icu_travel_crna'!EG46</f>
        <v/>
      </c>
      <c r="K18" s="7">
        <f>'A8 fnp'!EG46</f>
        <v/>
      </c>
      <c r="L18" s="7">
        <f>'A8b pmhnp'!EG46</f>
        <v/>
      </c>
      <c r="M18" s="7">
        <f>'B1 md_match1'!EG46</f>
        <v/>
      </c>
      <c r="N18" s="7">
        <f>'B2 md_soap_prelim'!EG46</f>
        <v/>
      </c>
      <c r="O18" s="7">
        <f>'B3 md_reintento'!EG46</f>
        <v/>
      </c>
      <c r="P18" s="7">
        <f>'B4 md_fallo'!EG46</f>
        <v/>
      </c>
    </row>
    <row r="19">
      <c r="A19" t="n">
        <v>2041</v>
      </c>
      <c r="B19" s="7">
        <f>'A1 cm_ur'!EG47</f>
        <v/>
      </c>
      <c r="C19" s="7">
        <f>'A2 icu'!EG47</f>
        <v/>
      </c>
      <c r="D19" s="7">
        <f>'A3 icu_travel'!EG47</f>
        <v/>
      </c>
      <c r="E19" s="7">
        <f>'A4 cdi'!EG47</f>
        <v/>
      </c>
      <c r="F19" s="7">
        <f>'A5 manager'!EG47</f>
        <v/>
      </c>
      <c r="G19" s="7">
        <f>'A5b educador'!EG47</f>
        <v/>
      </c>
      <c r="H19" s="7">
        <f>'A6 injector'!EG47</f>
        <v/>
      </c>
      <c r="I19" s="7">
        <f>'A7 crna'!EG47</f>
        <v/>
      </c>
      <c r="J19" s="7">
        <f>'A7b icu_travel_crna'!EG47</f>
        <v/>
      </c>
      <c r="K19" s="7">
        <f>'A8 fnp'!EG47</f>
        <v/>
      </c>
      <c r="L19" s="7">
        <f>'A8b pmhnp'!EG47</f>
        <v/>
      </c>
      <c r="M19" s="7">
        <f>'B1 md_match1'!EG47</f>
        <v/>
      </c>
      <c r="N19" s="7">
        <f>'B2 md_soap_prelim'!EG47</f>
        <v/>
      </c>
      <c r="O19" s="7">
        <f>'B3 md_reintento'!EG47</f>
        <v/>
      </c>
      <c r="P19" s="7">
        <f>'B4 md_fallo'!EG47</f>
        <v/>
      </c>
    </row>
    <row r="20">
      <c r="A20" t="n">
        <v>2042</v>
      </c>
      <c r="B20" s="7">
        <f>'A1 cm_ur'!EG48</f>
        <v/>
      </c>
      <c r="C20" s="7">
        <f>'A2 icu'!EG48</f>
        <v/>
      </c>
      <c r="D20" s="7">
        <f>'A3 icu_travel'!EG48</f>
        <v/>
      </c>
      <c r="E20" s="7">
        <f>'A4 cdi'!EG48</f>
        <v/>
      </c>
      <c r="F20" s="7">
        <f>'A5 manager'!EG48</f>
        <v/>
      </c>
      <c r="G20" s="7">
        <f>'A5b educador'!EG48</f>
        <v/>
      </c>
      <c r="H20" s="7">
        <f>'A6 injector'!EG48</f>
        <v/>
      </c>
      <c r="I20" s="7">
        <f>'A7 crna'!EG48</f>
        <v/>
      </c>
      <c r="J20" s="7">
        <f>'A7b icu_travel_crna'!EG48</f>
        <v/>
      </c>
      <c r="K20" s="7">
        <f>'A8 fnp'!EG48</f>
        <v/>
      </c>
      <c r="L20" s="7">
        <f>'A8b pmhnp'!EG48</f>
        <v/>
      </c>
      <c r="M20" s="7">
        <f>'B1 md_match1'!EG48</f>
        <v/>
      </c>
      <c r="N20" s="7">
        <f>'B2 md_soap_prelim'!EG48</f>
        <v/>
      </c>
      <c r="O20" s="7">
        <f>'B3 md_reintento'!EG48</f>
        <v/>
      </c>
      <c r="P20" s="7">
        <f>'B4 md_fallo'!EG48</f>
        <v/>
      </c>
    </row>
    <row r="21">
      <c r="A21" t="n">
        <v>2043</v>
      </c>
      <c r="B21" s="7">
        <f>'A1 cm_ur'!EG49</f>
        <v/>
      </c>
      <c r="C21" s="7">
        <f>'A2 icu'!EG49</f>
        <v/>
      </c>
      <c r="D21" s="7">
        <f>'A3 icu_travel'!EG49</f>
        <v/>
      </c>
      <c r="E21" s="7">
        <f>'A4 cdi'!EG49</f>
        <v/>
      </c>
      <c r="F21" s="7">
        <f>'A5 manager'!EG49</f>
        <v/>
      </c>
      <c r="G21" s="7">
        <f>'A5b educador'!EG49</f>
        <v/>
      </c>
      <c r="H21" s="7">
        <f>'A6 injector'!EG49</f>
        <v/>
      </c>
      <c r="I21" s="7">
        <f>'A7 crna'!EG49</f>
        <v/>
      </c>
      <c r="J21" s="7">
        <f>'A7b icu_travel_crna'!EG49</f>
        <v/>
      </c>
      <c r="K21" s="7">
        <f>'A8 fnp'!EG49</f>
        <v/>
      </c>
      <c r="L21" s="7">
        <f>'A8b pmhnp'!EG49</f>
        <v/>
      </c>
      <c r="M21" s="7">
        <f>'B1 md_match1'!EG49</f>
        <v/>
      </c>
      <c r="N21" s="7">
        <f>'B2 md_soap_prelim'!EG49</f>
        <v/>
      </c>
      <c r="O21" s="7">
        <f>'B3 md_reintento'!EG49</f>
        <v/>
      </c>
      <c r="P21" s="7">
        <f>'B4 md_fallo'!EG49</f>
        <v/>
      </c>
    </row>
    <row r="22">
      <c r="A22" t="n">
        <v>2044</v>
      </c>
      <c r="B22" s="7">
        <f>'A1 cm_ur'!EG50</f>
        <v/>
      </c>
      <c r="C22" s="7">
        <f>'A2 icu'!EG50</f>
        <v/>
      </c>
      <c r="D22" s="7">
        <f>'A3 icu_travel'!EG50</f>
        <v/>
      </c>
      <c r="E22" s="7">
        <f>'A4 cdi'!EG50</f>
        <v/>
      </c>
      <c r="F22" s="7">
        <f>'A5 manager'!EG50</f>
        <v/>
      </c>
      <c r="G22" s="7">
        <f>'A5b educador'!EG50</f>
        <v/>
      </c>
      <c r="H22" s="7">
        <f>'A6 injector'!EG50</f>
        <v/>
      </c>
      <c r="I22" s="7">
        <f>'A7 crna'!EG50</f>
        <v/>
      </c>
      <c r="J22" s="7">
        <f>'A7b icu_travel_crna'!EG50</f>
        <v/>
      </c>
      <c r="K22" s="7">
        <f>'A8 fnp'!EG50</f>
        <v/>
      </c>
      <c r="L22" s="7">
        <f>'A8b pmhnp'!EG50</f>
        <v/>
      </c>
      <c r="M22" s="7">
        <f>'B1 md_match1'!EG50</f>
        <v/>
      </c>
      <c r="N22" s="7">
        <f>'B2 md_soap_prelim'!EG50</f>
        <v/>
      </c>
      <c r="O22" s="7">
        <f>'B3 md_reintento'!EG50</f>
        <v/>
      </c>
      <c r="P22" s="7">
        <f>'B4 md_fallo'!EG50</f>
        <v/>
      </c>
    </row>
    <row r="23">
      <c r="A23" t="n">
        <v>2045</v>
      </c>
      <c r="B23" s="7">
        <f>'A1 cm_ur'!EG51</f>
        <v/>
      </c>
      <c r="C23" s="7">
        <f>'A2 icu'!EG51</f>
        <v/>
      </c>
      <c r="D23" s="7">
        <f>'A3 icu_travel'!EG51</f>
        <v/>
      </c>
      <c r="E23" s="7">
        <f>'A4 cdi'!EG51</f>
        <v/>
      </c>
      <c r="F23" s="7">
        <f>'A5 manager'!EG51</f>
        <v/>
      </c>
      <c r="G23" s="7">
        <f>'A5b educador'!EG51</f>
        <v/>
      </c>
      <c r="H23" s="7">
        <f>'A6 injector'!EG51</f>
        <v/>
      </c>
      <c r="I23" s="7">
        <f>'A7 crna'!EG51</f>
        <v/>
      </c>
      <c r="J23" s="7">
        <f>'A7b icu_travel_crna'!EG51</f>
        <v/>
      </c>
      <c r="K23" s="7">
        <f>'A8 fnp'!EG51</f>
        <v/>
      </c>
      <c r="L23" s="7">
        <f>'A8b pmhnp'!EG51</f>
        <v/>
      </c>
      <c r="M23" s="7">
        <f>'B1 md_match1'!EG51</f>
        <v/>
      </c>
      <c r="N23" s="7">
        <f>'B2 md_soap_prelim'!EG51</f>
        <v/>
      </c>
      <c r="O23" s="7">
        <f>'B3 md_reintento'!EG51</f>
        <v/>
      </c>
      <c r="P23" s="7">
        <f>'B4 md_fallo'!EG51</f>
        <v/>
      </c>
    </row>
    <row r="24">
      <c r="A24" t="n">
        <v>2046</v>
      </c>
      <c r="B24" s="7">
        <f>'A1 cm_ur'!EG52</f>
        <v/>
      </c>
      <c r="C24" s="7">
        <f>'A2 icu'!EG52</f>
        <v/>
      </c>
      <c r="D24" s="7">
        <f>'A3 icu_travel'!EG52</f>
        <v/>
      </c>
      <c r="E24" s="7">
        <f>'A4 cdi'!EG52</f>
        <v/>
      </c>
      <c r="F24" s="7">
        <f>'A5 manager'!EG52</f>
        <v/>
      </c>
      <c r="G24" s="7">
        <f>'A5b educador'!EG52</f>
        <v/>
      </c>
      <c r="H24" s="7">
        <f>'A6 injector'!EG52</f>
        <v/>
      </c>
      <c r="I24" s="7">
        <f>'A7 crna'!EG52</f>
        <v/>
      </c>
      <c r="J24" s="7">
        <f>'A7b icu_travel_crna'!EG52</f>
        <v/>
      </c>
      <c r="K24" s="7">
        <f>'A8 fnp'!EG52</f>
        <v/>
      </c>
      <c r="L24" s="7">
        <f>'A8b pmhnp'!EG52</f>
        <v/>
      </c>
      <c r="M24" s="7">
        <f>'B1 md_match1'!EG52</f>
        <v/>
      </c>
      <c r="N24" s="7">
        <f>'B2 md_soap_prelim'!EG52</f>
        <v/>
      </c>
      <c r="O24" s="7">
        <f>'B3 md_reintento'!EG52</f>
        <v/>
      </c>
      <c r="P24" s="7">
        <f>'B4 md_fallo'!EG52</f>
        <v/>
      </c>
    </row>
    <row r="26">
      <c r="A26" s="4" t="inlineStr">
        <is>
          <t>Patrimonio año 10</t>
        </is>
      </c>
      <c r="B26" s="7">
        <f>B14</f>
        <v/>
      </c>
      <c r="C26" s="7">
        <f>C14</f>
        <v/>
      </c>
      <c r="D26" s="7">
        <f>D14</f>
        <v/>
      </c>
      <c r="E26" s="7">
        <f>E14</f>
        <v/>
      </c>
      <c r="F26" s="7">
        <f>F14</f>
        <v/>
      </c>
      <c r="G26" s="7">
        <f>G14</f>
        <v/>
      </c>
      <c r="H26" s="7">
        <f>H14</f>
        <v/>
      </c>
      <c r="I26" s="7">
        <f>I14</f>
        <v/>
      </c>
      <c r="J26" s="7">
        <f>J14</f>
        <v/>
      </c>
      <c r="K26" s="7">
        <f>K14</f>
        <v/>
      </c>
      <c r="L26" s="7">
        <f>L14</f>
        <v/>
      </c>
      <c r="M26" s="7">
        <f>M14</f>
        <v/>
      </c>
      <c r="N26" s="7">
        <f>N14</f>
        <v/>
      </c>
      <c r="O26" s="7">
        <f>O14</f>
        <v/>
      </c>
      <c r="P26" s="7">
        <f>P14</f>
        <v/>
      </c>
    </row>
    <row r="27">
      <c r="A27" s="4" t="inlineStr">
        <is>
          <t>Patrimonio año 20</t>
        </is>
      </c>
      <c r="B27" s="7">
        <f>B24</f>
        <v/>
      </c>
      <c r="C27" s="7">
        <f>C24</f>
        <v/>
      </c>
      <c r="D27" s="7">
        <f>D24</f>
        <v/>
      </c>
      <c r="E27" s="7">
        <f>E24</f>
        <v/>
      </c>
      <c r="F27" s="7">
        <f>F24</f>
        <v/>
      </c>
      <c r="G27" s="7">
        <f>G24</f>
        <v/>
      </c>
      <c r="H27" s="7">
        <f>H24</f>
        <v/>
      </c>
      <c r="I27" s="7">
        <f>I24</f>
        <v/>
      </c>
      <c r="J27" s="7">
        <f>J24</f>
        <v/>
      </c>
      <c r="K27" s="7">
        <f>K24</f>
        <v/>
      </c>
      <c r="L27" s="7">
        <f>L24</f>
        <v/>
      </c>
      <c r="M27" s="7">
        <f>M24</f>
        <v/>
      </c>
      <c r="N27" s="7">
        <f>N24</f>
        <v/>
      </c>
      <c r="O27" s="7">
        <f>O24</f>
        <v/>
      </c>
      <c r="P27" s="7">
        <f>P24</f>
        <v/>
      </c>
    </row>
    <row r="28">
      <c r="A28" s="4" t="inlineStr">
        <is>
          <t>Año compra vivienda</t>
        </is>
      </c>
      <c r="B28">
        <f>IF('A1 cm_ur'!BC52="","no viable",'A1 cm_ur'!BC52)</f>
        <v/>
      </c>
      <c r="C28">
        <f>IF('A2 icu'!BC52="","no viable",'A2 icu'!BC52)</f>
        <v/>
      </c>
      <c r="D28">
        <f>IF('A3 icu_travel'!BC52="","no viable",'A3 icu_travel'!BC52)</f>
        <v/>
      </c>
      <c r="E28">
        <f>IF('A4 cdi'!BC52="","no viable",'A4 cdi'!BC52)</f>
        <v/>
      </c>
      <c r="F28">
        <f>IF('A5 manager'!BC52="","no viable",'A5 manager'!BC52)</f>
        <v/>
      </c>
      <c r="G28">
        <f>IF('A5b educador'!BC52="","no viable",'A5b educador'!BC52)</f>
        <v/>
      </c>
      <c r="H28">
        <f>IF('A6 injector'!BC52="","no viable",'A6 injector'!BC52)</f>
        <v/>
      </c>
      <c r="I28">
        <f>IF('A7 crna'!BC52="","no viable",'A7 crna'!BC52)</f>
        <v/>
      </c>
      <c r="J28">
        <f>IF('A7b icu_travel_crna'!BC52="","no viable",'A7b icu_travel_crna'!BC52)</f>
        <v/>
      </c>
      <c r="K28">
        <f>IF('A8 fnp'!BC52="","no viable",'A8 fnp'!BC52)</f>
        <v/>
      </c>
      <c r="L28">
        <f>IF('A8b pmhnp'!BC52="","no viable",'A8b pmhnp'!BC52)</f>
        <v/>
      </c>
      <c r="M28">
        <f>IF('B1 md_match1'!BC52="","no viable",'B1 md_match1'!BC52)</f>
        <v/>
      </c>
      <c r="N28">
        <f>IF('B2 md_soap_prelim'!BC52="","no viable",'B2 md_soap_prelim'!BC52)</f>
        <v/>
      </c>
      <c r="O28">
        <f>IF('B3 md_reintento'!BC52="","no viable",'B3 md_reintento'!BC52)</f>
        <v/>
      </c>
      <c r="P28">
        <f>IF('B4 md_fallo'!BC52="","no viable",'B4 md_fallo'!BC52)</f>
        <v/>
      </c>
    </row>
    <row r="29">
      <c r="A29" s="4" t="inlineStr">
        <is>
          <t>Año vivienda pagada</t>
        </is>
      </c>
      <c r="B29">
        <f>IF('A1 cm_ur'!EE52="","—",'A1 cm_ur'!EE52)</f>
        <v/>
      </c>
      <c r="C29">
        <f>IF('A2 icu'!EE52="","—",'A2 icu'!EE52)</f>
        <v/>
      </c>
      <c r="D29">
        <f>IF('A3 icu_travel'!EE52="","—",'A3 icu_travel'!EE52)</f>
        <v/>
      </c>
      <c r="E29">
        <f>IF('A4 cdi'!EE52="","—",'A4 cdi'!EE52)</f>
        <v/>
      </c>
      <c r="F29">
        <f>IF('A5 manager'!EE52="","—",'A5 manager'!EE52)</f>
        <v/>
      </c>
      <c r="G29">
        <f>IF('A5b educador'!EE52="","—",'A5b educador'!EE52)</f>
        <v/>
      </c>
      <c r="H29">
        <f>IF('A6 injector'!EE52="","—",'A6 injector'!EE52)</f>
        <v/>
      </c>
      <c r="I29">
        <f>IF('A7 crna'!EE52="","—",'A7 crna'!EE52)</f>
        <v/>
      </c>
      <c r="J29">
        <f>IF('A7b icu_travel_crna'!EE52="","—",'A7b icu_travel_crna'!EE52)</f>
        <v/>
      </c>
      <c r="K29">
        <f>IF('A8 fnp'!EE52="","—",'A8 fnp'!EE52)</f>
        <v/>
      </c>
      <c r="L29">
        <f>IF('A8b pmhnp'!EE52="","—",'A8b pmhnp'!EE52)</f>
        <v/>
      </c>
      <c r="M29">
        <f>IF('B1 md_match1'!EE52="","—",'B1 md_match1'!EE52)</f>
        <v/>
      </c>
      <c r="N29">
        <f>IF('B2 md_soap_prelim'!EE52="","—",'B2 md_soap_prelim'!EE52)</f>
        <v/>
      </c>
      <c r="O29">
        <f>IF('B3 md_reintento'!EE52="","—",'B3 md_reintento'!EE52)</f>
        <v/>
      </c>
      <c r="P29">
        <f>IF('B4 md_fallo'!EE52="","—",'B4 md_fallo'!EE52)</f>
        <v/>
      </c>
    </row>
    <row r="30">
      <c r="A30" s="4" t="inlineStr">
        <is>
          <t>Deuda máxima</t>
        </is>
      </c>
      <c r="B30" s="7">
        <f>MAX('A1 cm_ur'!EF33:EF52)</f>
        <v/>
      </c>
      <c r="C30" s="7">
        <f>MAX('A2 icu'!EF33:EF52)</f>
        <v/>
      </c>
      <c r="D30" s="7">
        <f>MAX('A3 icu_travel'!EF33:EF52)</f>
        <v/>
      </c>
      <c r="E30" s="7">
        <f>MAX('A4 cdi'!EF33:EF52)</f>
        <v/>
      </c>
      <c r="F30" s="7">
        <f>MAX('A5 manager'!EF33:EF52)</f>
        <v/>
      </c>
      <c r="G30" s="7">
        <f>MAX('A5b educador'!EF33:EF52)</f>
        <v/>
      </c>
      <c r="H30" s="7">
        <f>MAX('A6 injector'!EF33:EF52)</f>
        <v/>
      </c>
      <c r="I30" s="7">
        <f>MAX('A7 crna'!EF33:EF52)</f>
        <v/>
      </c>
      <c r="J30" s="7">
        <f>MAX('A7b icu_travel_crna'!EF33:EF52)</f>
        <v/>
      </c>
      <c r="K30" s="7">
        <f>MAX('A8 fnp'!EF33:EF52)</f>
        <v/>
      </c>
      <c r="L30" s="7">
        <f>MAX('A8b pmhnp'!EF33:EF52)</f>
        <v/>
      </c>
      <c r="M30" s="7">
        <f>MAX('B1 md_match1'!EF33:EF52)</f>
        <v/>
      </c>
      <c r="N30" s="7">
        <f>MAX('B2 md_soap_prelim'!EF33:EF52)</f>
        <v/>
      </c>
      <c r="O30" s="7">
        <f>MAX('B3 md_reintento'!EF33:EF52)</f>
        <v/>
      </c>
      <c r="P30" s="7">
        <f>MAX('B4 md_fallo'!EF33:EF52)</f>
        <v/>
      </c>
    </row>
    <row r="31">
      <c r="A31" s="4" t="inlineStr">
        <is>
          <t>Ranking (año 20)</t>
        </is>
      </c>
      <c r="B31">
        <f>RANK(B24,$B$24:$P$24)</f>
        <v/>
      </c>
      <c r="C31">
        <f>RANK(C24,$B$24:$P$24)</f>
        <v/>
      </c>
      <c r="D31">
        <f>RANK(D24,$B$24:$P$24)</f>
        <v/>
      </c>
      <c r="E31">
        <f>RANK(E24,$B$24:$P$24)</f>
        <v/>
      </c>
      <c r="F31">
        <f>RANK(F24,$B$24:$P$24)</f>
        <v/>
      </c>
      <c r="G31">
        <f>RANK(G24,$B$24:$P$24)</f>
        <v/>
      </c>
      <c r="H31">
        <f>RANK(H24,$B$24:$P$24)</f>
        <v/>
      </c>
      <c r="I31">
        <f>RANK(I24,$B$24:$P$24)</f>
        <v/>
      </c>
      <c r="J31">
        <f>RANK(J24,$B$24:$P$24)</f>
        <v/>
      </c>
      <c r="K31">
        <f>RANK(K24,$B$24:$P$24)</f>
        <v/>
      </c>
      <c r="L31">
        <f>RANK(L24,$B$24:$P$24)</f>
        <v/>
      </c>
      <c r="M31">
        <f>RANK(M24,$B$24:$P$24)</f>
        <v/>
      </c>
      <c r="N31">
        <f>RANK(N24,$B$24:$P$24)</f>
        <v/>
      </c>
      <c r="O31">
        <f>RANK(O24,$B$24:$P$24)</f>
        <v/>
      </c>
      <c r="P31">
        <f>RANK(P24,$B$24:$P$24)</f>
        <v/>
      </c>
    </row>
    <row r="34">
      <c r="A34" s="4" t="inlineStr">
        <is>
          <t>Cruces: año desde el cual el camino de la FILA supera permanentemente al de la COLUMNA</t>
        </is>
      </c>
    </row>
    <row r="35">
      <c r="A35" s="5" t="inlineStr">
        <is>
          <t>Camino</t>
        </is>
      </c>
      <c r="B35" s="5" t="inlineStr">
        <is>
          <t>A1</t>
        </is>
      </c>
      <c r="C35" s="5" t="inlineStr">
        <is>
          <t>A2</t>
        </is>
      </c>
      <c r="D35" s="5" t="inlineStr">
        <is>
          <t>A3</t>
        </is>
      </c>
      <c r="E35" s="5" t="inlineStr">
        <is>
          <t>A4</t>
        </is>
      </c>
      <c r="F35" s="5" t="inlineStr">
        <is>
          <t>A5</t>
        </is>
      </c>
      <c r="G35" s="5" t="inlineStr">
        <is>
          <t>A5b</t>
        </is>
      </c>
      <c r="H35" s="5" t="inlineStr">
        <is>
          <t>A6</t>
        </is>
      </c>
      <c r="I35" s="5" t="inlineStr">
        <is>
          <t>A7</t>
        </is>
      </c>
      <c r="J35" s="5" t="inlineStr">
        <is>
          <t>A7b</t>
        </is>
      </c>
      <c r="K35" s="5" t="inlineStr">
        <is>
          <t>A8</t>
        </is>
      </c>
      <c r="L35" s="5" t="inlineStr">
        <is>
          <t>A8b</t>
        </is>
      </c>
      <c r="M35" s="5" t="inlineStr">
        <is>
          <t>B1</t>
        </is>
      </c>
      <c r="N35" s="5" t="inlineStr">
        <is>
          <t>B2</t>
        </is>
      </c>
      <c r="O35" s="5" t="inlineStr">
        <is>
          <t>B3</t>
        </is>
      </c>
      <c r="P35" s="5" t="inlineStr">
        <is>
          <t>B4</t>
        </is>
      </c>
    </row>
    <row r="36">
      <c r="A36" t="inlineStr">
        <is>
          <t>A1 · Case mgmt → UR payer-side (remoto)</t>
        </is>
      </c>
      <c r="B36" t="inlineStr">
        <is>
          <t>—</t>
        </is>
      </c>
      <c r="C36">
        <f>IF(SUMPRODUCT(--(B$5:B$24&lt;=C$5:C$24))=0,"siempre",IF(LOOKUP(2,1/(B$5:B$24&lt;=C$5:C$24),$A$5:$A$24)&gt;=2046,"nunca",LOOKUP(2,1/(B$5:B$24&lt;=C$5:C$24),$A$5:$A$24)+1))</f>
        <v/>
      </c>
      <c r="D36">
        <f>IF(SUMPRODUCT(--(B$5:B$24&lt;=D$5:D$24))=0,"siempre",IF(LOOKUP(2,1/(B$5:B$24&lt;=D$5:D$24),$A$5:$A$24)&gt;=2046,"nunca",LOOKUP(2,1/(B$5:B$24&lt;=D$5:D$24),$A$5:$A$24)+1))</f>
        <v/>
      </c>
      <c r="E36">
        <f>IF(SUMPRODUCT(--(B$5:B$24&lt;=E$5:E$24))=0,"siempre",IF(LOOKUP(2,1/(B$5:B$24&lt;=E$5:E$24),$A$5:$A$24)&gt;=2046,"nunca",LOOKUP(2,1/(B$5:B$24&lt;=E$5:E$24),$A$5:$A$24)+1))</f>
        <v/>
      </c>
      <c r="F36">
        <f>IF(SUMPRODUCT(--(B$5:B$24&lt;=F$5:F$24))=0,"siempre",IF(LOOKUP(2,1/(B$5:B$24&lt;=F$5:F$24),$A$5:$A$24)&gt;=2046,"nunca",LOOKUP(2,1/(B$5:B$24&lt;=F$5:F$24),$A$5:$A$24)+1))</f>
        <v/>
      </c>
      <c r="G36">
        <f>IF(SUMPRODUCT(--(B$5:B$24&lt;=G$5:G$24))=0,"siempre",IF(LOOKUP(2,1/(B$5:B$24&lt;=G$5:G$24),$A$5:$A$24)&gt;=2046,"nunca",LOOKUP(2,1/(B$5:B$24&lt;=G$5:G$24),$A$5:$A$24)+1))</f>
        <v/>
      </c>
      <c r="H36">
        <f>IF(SUMPRODUCT(--(B$5:B$24&lt;=H$5:H$24))=0,"siempre",IF(LOOKUP(2,1/(B$5:B$24&lt;=H$5:H$24),$A$5:$A$24)&gt;=2046,"nunca",LOOKUP(2,1/(B$5:B$24&lt;=H$5:H$24),$A$5:$A$24)+1))</f>
        <v/>
      </c>
      <c r="I36">
        <f>IF(SUMPRODUCT(--(B$5:B$24&lt;=I$5:I$24))=0,"siempre",IF(LOOKUP(2,1/(B$5:B$24&lt;=I$5:I$24),$A$5:$A$24)&gt;=2046,"nunca",LOOKUP(2,1/(B$5:B$24&lt;=I$5:I$24),$A$5:$A$24)+1))</f>
        <v/>
      </c>
      <c r="J36">
        <f>IF(SUMPRODUCT(--(B$5:B$24&lt;=J$5:J$24))=0,"siempre",IF(LOOKUP(2,1/(B$5:B$24&lt;=J$5:J$24),$A$5:$A$24)&gt;=2046,"nunca",LOOKUP(2,1/(B$5:B$24&lt;=J$5:J$24),$A$5:$A$24)+1))</f>
        <v/>
      </c>
      <c r="K36">
        <f>IF(SUMPRODUCT(--(B$5:B$24&lt;=K$5:K$24))=0,"siempre",IF(LOOKUP(2,1/(B$5:B$24&lt;=K$5:K$24),$A$5:$A$24)&gt;=2046,"nunca",LOOKUP(2,1/(B$5:B$24&lt;=K$5:K$24),$A$5:$A$24)+1))</f>
        <v/>
      </c>
      <c r="L36">
        <f>IF(SUMPRODUCT(--(B$5:B$24&lt;=L$5:L$24))=0,"siempre",IF(LOOKUP(2,1/(B$5:B$24&lt;=L$5:L$24),$A$5:$A$24)&gt;=2046,"nunca",LOOKUP(2,1/(B$5:B$24&lt;=L$5:L$24),$A$5:$A$24)+1))</f>
        <v/>
      </c>
      <c r="M36">
        <f>IF(SUMPRODUCT(--(B$5:B$24&lt;=M$5:M$24))=0,"siempre",IF(LOOKUP(2,1/(B$5:B$24&lt;=M$5:M$24),$A$5:$A$24)&gt;=2046,"nunca",LOOKUP(2,1/(B$5:B$24&lt;=M$5:M$24),$A$5:$A$24)+1))</f>
        <v/>
      </c>
      <c r="N36">
        <f>IF(SUMPRODUCT(--(B$5:B$24&lt;=N$5:N$24))=0,"siempre",IF(LOOKUP(2,1/(B$5:B$24&lt;=N$5:N$24),$A$5:$A$24)&gt;=2046,"nunca",LOOKUP(2,1/(B$5:B$24&lt;=N$5:N$24),$A$5:$A$24)+1))</f>
        <v/>
      </c>
      <c r="O36">
        <f>IF(SUMPRODUCT(--(B$5:B$24&lt;=O$5:O$24))=0,"siempre",IF(LOOKUP(2,1/(B$5:B$24&lt;=O$5:O$24),$A$5:$A$24)&gt;=2046,"nunca",LOOKUP(2,1/(B$5:B$24&lt;=O$5:O$24),$A$5:$A$24)+1))</f>
        <v/>
      </c>
      <c r="P36">
        <f>IF(SUMPRODUCT(--(B$5:B$24&lt;=P$5:P$24))=0,"siempre",IF(LOOKUP(2,1/(B$5:B$24&lt;=P$5:P$24),$A$5:$A$24)&gt;=2046,"nunca",LOOKUP(2,1/(B$5:B$24&lt;=P$5:P$24),$A$5:$A$24)+1))</f>
        <v/>
      </c>
    </row>
    <row r="37">
      <c r="A37" t="inlineStr">
        <is>
          <t>A2 · Bedside ICU (residencia RN experimentado)</t>
        </is>
      </c>
      <c r="B37">
        <f>IF(SUMPRODUCT(--(C$5:C$24&lt;=B$5:B$24))=0,"siempre",IF(LOOKUP(2,1/(C$5:C$24&lt;=B$5:B$24),$A$5:$A$24)&gt;=2046,"nunca",LOOKUP(2,1/(C$5:C$24&lt;=B$5:B$24),$A$5:$A$24)+1))</f>
        <v/>
      </c>
      <c r="C37" t="inlineStr">
        <is>
          <t>—</t>
        </is>
      </c>
      <c r="D37">
        <f>IF(SUMPRODUCT(--(C$5:C$24&lt;=D$5:D$24))=0,"siempre",IF(LOOKUP(2,1/(C$5:C$24&lt;=D$5:D$24),$A$5:$A$24)&gt;=2046,"nunca",LOOKUP(2,1/(C$5:C$24&lt;=D$5:D$24),$A$5:$A$24)+1))</f>
        <v/>
      </c>
      <c r="E37">
        <f>IF(SUMPRODUCT(--(C$5:C$24&lt;=E$5:E$24))=0,"siempre",IF(LOOKUP(2,1/(C$5:C$24&lt;=E$5:E$24),$A$5:$A$24)&gt;=2046,"nunca",LOOKUP(2,1/(C$5:C$24&lt;=E$5:E$24),$A$5:$A$24)+1))</f>
        <v/>
      </c>
      <c r="F37">
        <f>IF(SUMPRODUCT(--(C$5:C$24&lt;=F$5:F$24))=0,"siempre",IF(LOOKUP(2,1/(C$5:C$24&lt;=F$5:F$24),$A$5:$A$24)&gt;=2046,"nunca",LOOKUP(2,1/(C$5:C$24&lt;=F$5:F$24),$A$5:$A$24)+1))</f>
        <v/>
      </c>
      <c r="G37">
        <f>IF(SUMPRODUCT(--(C$5:C$24&lt;=G$5:G$24))=0,"siempre",IF(LOOKUP(2,1/(C$5:C$24&lt;=G$5:G$24),$A$5:$A$24)&gt;=2046,"nunca",LOOKUP(2,1/(C$5:C$24&lt;=G$5:G$24),$A$5:$A$24)+1))</f>
        <v/>
      </c>
      <c r="H37">
        <f>IF(SUMPRODUCT(--(C$5:C$24&lt;=H$5:H$24))=0,"siempre",IF(LOOKUP(2,1/(C$5:C$24&lt;=H$5:H$24),$A$5:$A$24)&gt;=2046,"nunca",LOOKUP(2,1/(C$5:C$24&lt;=H$5:H$24),$A$5:$A$24)+1))</f>
        <v/>
      </c>
      <c r="I37">
        <f>IF(SUMPRODUCT(--(C$5:C$24&lt;=I$5:I$24))=0,"siempre",IF(LOOKUP(2,1/(C$5:C$24&lt;=I$5:I$24),$A$5:$A$24)&gt;=2046,"nunca",LOOKUP(2,1/(C$5:C$24&lt;=I$5:I$24),$A$5:$A$24)+1))</f>
        <v/>
      </c>
      <c r="J37">
        <f>IF(SUMPRODUCT(--(C$5:C$24&lt;=J$5:J$24))=0,"siempre",IF(LOOKUP(2,1/(C$5:C$24&lt;=J$5:J$24),$A$5:$A$24)&gt;=2046,"nunca",LOOKUP(2,1/(C$5:C$24&lt;=J$5:J$24),$A$5:$A$24)+1))</f>
        <v/>
      </c>
      <c r="K37">
        <f>IF(SUMPRODUCT(--(C$5:C$24&lt;=K$5:K$24))=0,"siempre",IF(LOOKUP(2,1/(C$5:C$24&lt;=K$5:K$24),$A$5:$A$24)&gt;=2046,"nunca",LOOKUP(2,1/(C$5:C$24&lt;=K$5:K$24),$A$5:$A$24)+1))</f>
        <v/>
      </c>
      <c r="L37">
        <f>IF(SUMPRODUCT(--(C$5:C$24&lt;=L$5:L$24))=0,"siempre",IF(LOOKUP(2,1/(C$5:C$24&lt;=L$5:L$24),$A$5:$A$24)&gt;=2046,"nunca",LOOKUP(2,1/(C$5:C$24&lt;=L$5:L$24),$A$5:$A$24)+1))</f>
        <v/>
      </c>
      <c r="M37">
        <f>IF(SUMPRODUCT(--(C$5:C$24&lt;=M$5:M$24))=0,"siempre",IF(LOOKUP(2,1/(C$5:C$24&lt;=M$5:M$24),$A$5:$A$24)&gt;=2046,"nunca",LOOKUP(2,1/(C$5:C$24&lt;=M$5:M$24),$A$5:$A$24)+1))</f>
        <v/>
      </c>
      <c r="N37">
        <f>IF(SUMPRODUCT(--(C$5:C$24&lt;=N$5:N$24))=0,"siempre",IF(LOOKUP(2,1/(C$5:C$24&lt;=N$5:N$24),$A$5:$A$24)&gt;=2046,"nunca",LOOKUP(2,1/(C$5:C$24&lt;=N$5:N$24),$A$5:$A$24)+1))</f>
        <v/>
      </c>
      <c r="O37">
        <f>IF(SUMPRODUCT(--(C$5:C$24&lt;=O$5:O$24))=0,"siempre",IF(LOOKUP(2,1/(C$5:C$24&lt;=O$5:O$24),$A$5:$A$24)&gt;=2046,"nunca",LOOKUP(2,1/(C$5:C$24&lt;=O$5:O$24),$A$5:$A$24)+1))</f>
        <v/>
      </c>
      <c r="P37">
        <f>IF(SUMPRODUCT(--(C$5:C$24&lt;=P$5:P$24))=0,"siempre",IF(LOOKUP(2,1/(C$5:C$24&lt;=P$5:P$24),$A$5:$A$24)&gt;=2046,"nunca",LOOKUP(2,1/(C$5:C$24&lt;=P$5:P$24),$A$5:$A$24)+1))</f>
        <v/>
      </c>
    </row>
    <row r="38">
      <c r="A38" t="inlineStr">
        <is>
          <t>A3 · ICU → Travel nurse</t>
        </is>
      </c>
      <c r="B38">
        <f>IF(SUMPRODUCT(--(D$5:D$24&lt;=B$5:B$24))=0,"siempre",IF(LOOKUP(2,1/(D$5:D$24&lt;=B$5:B$24),$A$5:$A$24)&gt;=2046,"nunca",LOOKUP(2,1/(D$5:D$24&lt;=B$5:B$24),$A$5:$A$24)+1))</f>
        <v/>
      </c>
      <c r="C38">
        <f>IF(SUMPRODUCT(--(D$5:D$24&lt;=C$5:C$24))=0,"siempre",IF(LOOKUP(2,1/(D$5:D$24&lt;=C$5:C$24),$A$5:$A$24)&gt;=2046,"nunca",LOOKUP(2,1/(D$5:D$24&lt;=C$5:C$24),$A$5:$A$24)+1))</f>
        <v/>
      </c>
      <c r="D38" t="inlineStr">
        <is>
          <t>—</t>
        </is>
      </c>
      <c r="E38">
        <f>IF(SUMPRODUCT(--(D$5:D$24&lt;=E$5:E$24))=0,"siempre",IF(LOOKUP(2,1/(D$5:D$24&lt;=E$5:E$24),$A$5:$A$24)&gt;=2046,"nunca",LOOKUP(2,1/(D$5:D$24&lt;=E$5:E$24),$A$5:$A$24)+1))</f>
        <v/>
      </c>
      <c r="F38">
        <f>IF(SUMPRODUCT(--(D$5:D$24&lt;=F$5:F$24))=0,"siempre",IF(LOOKUP(2,1/(D$5:D$24&lt;=F$5:F$24),$A$5:$A$24)&gt;=2046,"nunca",LOOKUP(2,1/(D$5:D$24&lt;=F$5:F$24),$A$5:$A$24)+1))</f>
        <v/>
      </c>
      <c r="G38">
        <f>IF(SUMPRODUCT(--(D$5:D$24&lt;=G$5:G$24))=0,"siempre",IF(LOOKUP(2,1/(D$5:D$24&lt;=G$5:G$24),$A$5:$A$24)&gt;=2046,"nunca",LOOKUP(2,1/(D$5:D$24&lt;=G$5:G$24),$A$5:$A$24)+1))</f>
        <v/>
      </c>
      <c r="H38">
        <f>IF(SUMPRODUCT(--(D$5:D$24&lt;=H$5:H$24))=0,"siempre",IF(LOOKUP(2,1/(D$5:D$24&lt;=H$5:H$24),$A$5:$A$24)&gt;=2046,"nunca",LOOKUP(2,1/(D$5:D$24&lt;=H$5:H$24),$A$5:$A$24)+1))</f>
        <v/>
      </c>
      <c r="I38">
        <f>IF(SUMPRODUCT(--(D$5:D$24&lt;=I$5:I$24))=0,"siempre",IF(LOOKUP(2,1/(D$5:D$24&lt;=I$5:I$24),$A$5:$A$24)&gt;=2046,"nunca",LOOKUP(2,1/(D$5:D$24&lt;=I$5:I$24),$A$5:$A$24)+1))</f>
        <v/>
      </c>
      <c r="J38">
        <f>IF(SUMPRODUCT(--(D$5:D$24&lt;=J$5:J$24))=0,"siempre",IF(LOOKUP(2,1/(D$5:D$24&lt;=J$5:J$24),$A$5:$A$24)&gt;=2046,"nunca",LOOKUP(2,1/(D$5:D$24&lt;=J$5:J$24),$A$5:$A$24)+1))</f>
        <v/>
      </c>
      <c r="K38">
        <f>IF(SUMPRODUCT(--(D$5:D$24&lt;=K$5:K$24))=0,"siempre",IF(LOOKUP(2,1/(D$5:D$24&lt;=K$5:K$24),$A$5:$A$24)&gt;=2046,"nunca",LOOKUP(2,1/(D$5:D$24&lt;=K$5:K$24),$A$5:$A$24)+1))</f>
        <v/>
      </c>
      <c r="L38">
        <f>IF(SUMPRODUCT(--(D$5:D$24&lt;=L$5:L$24))=0,"siempre",IF(LOOKUP(2,1/(D$5:D$24&lt;=L$5:L$24),$A$5:$A$24)&gt;=2046,"nunca",LOOKUP(2,1/(D$5:D$24&lt;=L$5:L$24),$A$5:$A$24)+1))</f>
        <v/>
      </c>
      <c r="M38">
        <f>IF(SUMPRODUCT(--(D$5:D$24&lt;=M$5:M$24))=0,"siempre",IF(LOOKUP(2,1/(D$5:D$24&lt;=M$5:M$24),$A$5:$A$24)&gt;=2046,"nunca",LOOKUP(2,1/(D$5:D$24&lt;=M$5:M$24),$A$5:$A$24)+1))</f>
        <v/>
      </c>
      <c r="N38">
        <f>IF(SUMPRODUCT(--(D$5:D$24&lt;=N$5:N$24))=0,"siempre",IF(LOOKUP(2,1/(D$5:D$24&lt;=N$5:N$24),$A$5:$A$24)&gt;=2046,"nunca",LOOKUP(2,1/(D$5:D$24&lt;=N$5:N$24),$A$5:$A$24)+1))</f>
        <v/>
      </c>
      <c r="O38">
        <f>IF(SUMPRODUCT(--(D$5:D$24&lt;=O$5:O$24))=0,"siempre",IF(LOOKUP(2,1/(D$5:D$24&lt;=O$5:O$24),$A$5:$A$24)&gt;=2046,"nunca",LOOKUP(2,1/(D$5:D$24&lt;=O$5:O$24),$A$5:$A$24)+1))</f>
        <v/>
      </c>
      <c r="P38">
        <f>IF(SUMPRODUCT(--(D$5:D$24&lt;=P$5:P$24))=0,"siempre",IF(LOOKUP(2,1/(D$5:D$24&lt;=P$5:P$24),$A$5:$A$24)&gt;=2046,"nunca",LOOKUP(2,1/(D$5:D$24&lt;=P$5:P$24),$A$5:$A$24)+1))</f>
        <v/>
      </c>
    </row>
    <row r="39">
      <c r="A39" t="inlineStr">
        <is>
          <t>A4 · CDI / informática (valora tu MD)</t>
        </is>
      </c>
      <c r="B39">
        <f>IF(SUMPRODUCT(--(E$5:E$24&lt;=B$5:B$24))=0,"siempre",IF(LOOKUP(2,1/(E$5:E$24&lt;=B$5:B$24),$A$5:$A$24)&gt;=2046,"nunca",LOOKUP(2,1/(E$5:E$24&lt;=B$5:B$24),$A$5:$A$24)+1))</f>
        <v/>
      </c>
      <c r="C39">
        <f>IF(SUMPRODUCT(--(E$5:E$24&lt;=C$5:C$24))=0,"siempre",IF(LOOKUP(2,1/(E$5:E$24&lt;=C$5:C$24),$A$5:$A$24)&gt;=2046,"nunca",LOOKUP(2,1/(E$5:E$24&lt;=C$5:C$24),$A$5:$A$24)+1))</f>
        <v/>
      </c>
      <c r="D39">
        <f>IF(SUMPRODUCT(--(E$5:E$24&lt;=D$5:D$24))=0,"siempre",IF(LOOKUP(2,1/(E$5:E$24&lt;=D$5:D$24),$A$5:$A$24)&gt;=2046,"nunca",LOOKUP(2,1/(E$5:E$24&lt;=D$5:D$24),$A$5:$A$24)+1))</f>
        <v/>
      </c>
      <c r="E39" t="inlineStr">
        <is>
          <t>—</t>
        </is>
      </c>
      <c r="F39">
        <f>IF(SUMPRODUCT(--(E$5:E$24&lt;=F$5:F$24))=0,"siempre",IF(LOOKUP(2,1/(E$5:E$24&lt;=F$5:F$24),$A$5:$A$24)&gt;=2046,"nunca",LOOKUP(2,1/(E$5:E$24&lt;=F$5:F$24),$A$5:$A$24)+1))</f>
        <v/>
      </c>
      <c r="G39">
        <f>IF(SUMPRODUCT(--(E$5:E$24&lt;=G$5:G$24))=0,"siempre",IF(LOOKUP(2,1/(E$5:E$24&lt;=G$5:G$24),$A$5:$A$24)&gt;=2046,"nunca",LOOKUP(2,1/(E$5:E$24&lt;=G$5:G$24),$A$5:$A$24)+1))</f>
        <v/>
      </c>
      <c r="H39">
        <f>IF(SUMPRODUCT(--(E$5:E$24&lt;=H$5:H$24))=0,"siempre",IF(LOOKUP(2,1/(E$5:E$24&lt;=H$5:H$24),$A$5:$A$24)&gt;=2046,"nunca",LOOKUP(2,1/(E$5:E$24&lt;=H$5:H$24),$A$5:$A$24)+1))</f>
        <v/>
      </c>
      <c r="I39">
        <f>IF(SUMPRODUCT(--(E$5:E$24&lt;=I$5:I$24))=0,"siempre",IF(LOOKUP(2,1/(E$5:E$24&lt;=I$5:I$24),$A$5:$A$24)&gt;=2046,"nunca",LOOKUP(2,1/(E$5:E$24&lt;=I$5:I$24),$A$5:$A$24)+1))</f>
        <v/>
      </c>
      <c r="J39">
        <f>IF(SUMPRODUCT(--(E$5:E$24&lt;=J$5:J$24))=0,"siempre",IF(LOOKUP(2,1/(E$5:E$24&lt;=J$5:J$24),$A$5:$A$24)&gt;=2046,"nunca",LOOKUP(2,1/(E$5:E$24&lt;=J$5:J$24),$A$5:$A$24)+1))</f>
        <v/>
      </c>
      <c r="K39">
        <f>IF(SUMPRODUCT(--(E$5:E$24&lt;=K$5:K$24))=0,"siempre",IF(LOOKUP(2,1/(E$5:E$24&lt;=K$5:K$24),$A$5:$A$24)&gt;=2046,"nunca",LOOKUP(2,1/(E$5:E$24&lt;=K$5:K$24),$A$5:$A$24)+1))</f>
        <v/>
      </c>
      <c r="L39">
        <f>IF(SUMPRODUCT(--(E$5:E$24&lt;=L$5:L$24))=0,"siempre",IF(LOOKUP(2,1/(E$5:E$24&lt;=L$5:L$24),$A$5:$A$24)&gt;=2046,"nunca",LOOKUP(2,1/(E$5:E$24&lt;=L$5:L$24),$A$5:$A$24)+1))</f>
        <v/>
      </c>
      <c r="M39">
        <f>IF(SUMPRODUCT(--(E$5:E$24&lt;=M$5:M$24))=0,"siempre",IF(LOOKUP(2,1/(E$5:E$24&lt;=M$5:M$24),$A$5:$A$24)&gt;=2046,"nunca",LOOKUP(2,1/(E$5:E$24&lt;=M$5:M$24),$A$5:$A$24)+1))</f>
        <v/>
      </c>
      <c r="N39">
        <f>IF(SUMPRODUCT(--(E$5:E$24&lt;=N$5:N$24))=0,"siempre",IF(LOOKUP(2,1/(E$5:E$24&lt;=N$5:N$24),$A$5:$A$24)&gt;=2046,"nunca",LOOKUP(2,1/(E$5:E$24&lt;=N$5:N$24),$A$5:$A$24)+1))</f>
        <v/>
      </c>
      <c r="O39">
        <f>IF(SUMPRODUCT(--(E$5:E$24&lt;=O$5:O$24))=0,"siempre",IF(LOOKUP(2,1/(E$5:E$24&lt;=O$5:O$24),$A$5:$A$24)&gt;=2046,"nunca",LOOKUP(2,1/(E$5:E$24&lt;=O$5:O$24),$A$5:$A$24)+1))</f>
        <v/>
      </c>
      <c r="P39">
        <f>IF(SUMPRODUCT(--(E$5:E$24&lt;=P$5:P$24))=0,"siempre",IF(LOOKUP(2,1/(E$5:E$24&lt;=P$5:P$24),$A$5:$A$24)&gt;=2046,"nunca",LOOKUP(2,1/(E$5:E$24&lt;=P$5:P$24),$A$5:$A$24)+1))</f>
        <v/>
      </c>
    </row>
    <row r="40">
      <c r="A40" t="inlineStr">
        <is>
          <t>A5 · ICU → charge → nurse manager</t>
        </is>
      </c>
      <c r="B40">
        <f>IF(SUMPRODUCT(--(F$5:F$24&lt;=B$5:B$24))=0,"siempre",IF(LOOKUP(2,1/(F$5:F$24&lt;=B$5:B$24),$A$5:$A$24)&gt;=2046,"nunca",LOOKUP(2,1/(F$5:F$24&lt;=B$5:B$24),$A$5:$A$24)+1))</f>
        <v/>
      </c>
      <c r="C40">
        <f>IF(SUMPRODUCT(--(F$5:F$24&lt;=C$5:C$24))=0,"siempre",IF(LOOKUP(2,1/(F$5:F$24&lt;=C$5:C$24),$A$5:$A$24)&gt;=2046,"nunca",LOOKUP(2,1/(F$5:F$24&lt;=C$5:C$24),$A$5:$A$24)+1))</f>
        <v/>
      </c>
      <c r="D40">
        <f>IF(SUMPRODUCT(--(F$5:F$24&lt;=D$5:D$24))=0,"siempre",IF(LOOKUP(2,1/(F$5:F$24&lt;=D$5:D$24),$A$5:$A$24)&gt;=2046,"nunca",LOOKUP(2,1/(F$5:F$24&lt;=D$5:D$24),$A$5:$A$24)+1))</f>
        <v/>
      </c>
      <c r="E40">
        <f>IF(SUMPRODUCT(--(F$5:F$24&lt;=E$5:E$24))=0,"siempre",IF(LOOKUP(2,1/(F$5:F$24&lt;=E$5:E$24),$A$5:$A$24)&gt;=2046,"nunca",LOOKUP(2,1/(F$5:F$24&lt;=E$5:E$24),$A$5:$A$24)+1))</f>
        <v/>
      </c>
      <c r="F40" t="inlineStr">
        <is>
          <t>—</t>
        </is>
      </c>
      <c r="G40">
        <f>IF(SUMPRODUCT(--(F$5:F$24&lt;=G$5:G$24))=0,"siempre",IF(LOOKUP(2,1/(F$5:F$24&lt;=G$5:G$24),$A$5:$A$24)&gt;=2046,"nunca",LOOKUP(2,1/(F$5:F$24&lt;=G$5:G$24),$A$5:$A$24)+1))</f>
        <v/>
      </c>
      <c r="H40">
        <f>IF(SUMPRODUCT(--(F$5:F$24&lt;=H$5:H$24))=0,"siempre",IF(LOOKUP(2,1/(F$5:F$24&lt;=H$5:H$24),$A$5:$A$24)&gt;=2046,"nunca",LOOKUP(2,1/(F$5:F$24&lt;=H$5:H$24),$A$5:$A$24)+1))</f>
        <v/>
      </c>
      <c r="I40">
        <f>IF(SUMPRODUCT(--(F$5:F$24&lt;=I$5:I$24))=0,"siempre",IF(LOOKUP(2,1/(F$5:F$24&lt;=I$5:I$24),$A$5:$A$24)&gt;=2046,"nunca",LOOKUP(2,1/(F$5:F$24&lt;=I$5:I$24),$A$5:$A$24)+1))</f>
        <v/>
      </c>
      <c r="J40">
        <f>IF(SUMPRODUCT(--(F$5:F$24&lt;=J$5:J$24))=0,"siempre",IF(LOOKUP(2,1/(F$5:F$24&lt;=J$5:J$24),$A$5:$A$24)&gt;=2046,"nunca",LOOKUP(2,1/(F$5:F$24&lt;=J$5:J$24),$A$5:$A$24)+1))</f>
        <v/>
      </c>
      <c r="K40">
        <f>IF(SUMPRODUCT(--(F$5:F$24&lt;=K$5:K$24))=0,"siempre",IF(LOOKUP(2,1/(F$5:F$24&lt;=K$5:K$24),$A$5:$A$24)&gt;=2046,"nunca",LOOKUP(2,1/(F$5:F$24&lt;=K$5:K$24),$A$5:$A$24)+1))</f>
        <v/>
      </c>
      <c r="L40">
        <f>IF(SUMPRODUCT(--(F$5:F$24&lt;=L$5:L$24))=0,"siempre",IF(LOOKUP(2,1/(F$5:F$24&lt;=L$5:L$24),$A$5:$A$24)&gt;=2046,"nunca",LOOKUP(2,1/(F$5:F$24&lt;=L$5:L$24),$A$5:$A$24)+1))</f>
        <v/>
      </c>
      <c r="M40">
        <f>IF(SUMPRODUCT(--(F$5:F$24&lt;=M$5:M$24))=0,"siempre",IF(LOOKUP(2,1/(F$5:F$24&lt;=M$5:M$24),$A$5:$A$24)&gt;=2046,"nunca",LOOKUP(2,1/(F$5:F$24&lt;=M$5:M$24),$A$5:$A$24)+1))</f>
        <v/>
      </c>
      <c r="N40">
        <f>IF(SUMPRODUCT(--(F$5:F$24&lt;=N$5:N$24))=0,"siempre",IF(LOOKUP(2,1/(F$5:F$24&lt;=N$5:N$24),$A$5:$A$24)&gt;=2046,"nunca",LOOKUP(2,1/(F$5:F$24&lt;=N$5:N$24),$A$5:$A$24)+1))</f>
        <v/>
      </c>
      <c r="O40">
        <f>IF(SUMPRODUCT(--(F$5:F$24&lt;=O$5:O$24))=0,"siempre",IF(LOOKUP(2,1/(F$5:F$24&lt;=O$5:O$24),$A$5:$A$24)&gt;=2046,"nunca",LOOKUP(2,1/(F$5:F$24&lt;=O$5:O$24),$A$5:$A$24)+1))</f>
        <v/>
      </c>
      <c r="P40">
        <f>IF(SUMPRODUCT(--(F$5:F$24&lt;=P$5:P$24))=0,"siempre",IF(LOOKUP(2,1/(F$5:F$24&lt;=P$5:P$24),$A$5:$A$24)&gt;=2046,"nunca",LOOKUP(2,1/(F$5:F$24&lt;=P$5:P$24),$A$5:$A$24)+1))</f>
        <v/>
      </c>
    </row>
    <row r="41">
      <c r="A41" t="inlineStr">
        <is>
          <t>A5b · ICU → educador clínico</t>
        </is>
      </c>
      <c r="B41">
        <f>IF(SUMPRODUCT(--(G$5:G$24&lt;=B$5:B$24))=0,"siempre",IF(LOOKUP(2,1/(G$5:G$24&lt;=B$5:B$24),$A$5:$A$24)&gt;=2046,"nunca",LOOKUP(2,1/(G$5:G$24&lt;=B$5:B$24),$A$5:$A$24)+1))</f>
        <v/>
      </c>
      <c r="C41">
        <f>IF(SUMPRODUCT(--(G$5:G$24&lt;=C$5:C$24))=0,"siempre",IF(LOOKUP(2,1/(G$5:G$24&lt;=C$5:C$24),$A$5:$A$24)&gt;=2046,"nunca",LOOKUP(2,1/(G$5:G$24&lt;=C$5:C$24),$A$5:$A$24)+1))</f>
        <v/>
      </c>
      <c r="D41">
        <f>IF(SUMPRODUCT(--(G$5:G$24&lt;=D$5:D$24))=0,"siempre",IF(LOOKUP(2,1/(G$5:G$24&lt;=D$5:D$24),$A$5:$A$24)&gt;=2046,"nunca",LOOKUP(2,1/(G$5:G$24&lt;=D$5:D$24),$A$5:$A$24)+1))</f>
        <v/>
      </c>
      <c r="E41">
        <f>IF(SUMPRODUCT(--(G$5:G$24&lt;=E$5:E$24))=0,"siempre",IF(LOOKUP(2,1/(G$5:G$24&lt;=E$5:E$24),$A$5:$A$24)&gt;=2046,"nunca",LOOKUP(2,1/(G$5:G$24&lt;=E$5:E$24),$A$5:$A$24)+1))</f>
        <v/>
      </c>
      <c r="F41">
        <f>IF(SUMPRODUCT(--(G$5:G$24&lt;=F$5:F$24))=0,"siempre",IF(LOOKUP(2,1/(G$5:G$24&lt;=F$5:F$24),$A$5:$A$24)&gt;=2046,"nunca",LOOKUP(2,1/(G$5:G$24&lt;=F$5:F$24),$A$5:$A$24)+1))</f>
        <v/>
      </c>
      <c r="G41" t="inlineStr">
        <is>
          <t>—</t>
        </is>
      </c>
      <c r="H41">
        <f>IF(SUMPRODUCT(--(G$5:G$24&lt;=H$5:H$24))=0,"siempre",IF(LOOKUP(2,1/(G$5:G$24&lt;=H$5:H$24),$A$5:$A$24)&gt;=2046,"nunca",LOOKUP(2,1/(G$5:G$24&lt;=H$5:H$24),$A$5:$A$24)+1))</f>
        <v/>
      </c>
      <c r="I41">
        <f>IF(SUMPRODUCT(--(G$5:G$24&lt;=I$5:I$24))=0,"siempre",IF(LOOKUP(2,1/(G$5:G$24&lt;=I$5:I$24),$A$5:$A$24)&gt;=2046,"nunca",LOOKUP(2,1/(G$5:G$24&lt;=I$5:I$24),$A$5:$A$24)+1))</f>
        <v/>
      </c>
      <c r="J41">
        <f>IF(SUMPRODUCT(--(G$5:G$24&lt;=J$5:J$24))=0,"siempre",IF(LOOKUP(2,1/(G$5:G$24&lt;=J$5:J$24),$A$5:$A$24)&gt;=2046,"nunca",LOOKUP(2,1/(G$5:G$24&lt;=J$5:J$24),$A$5:$A$24)+1))</f>
        <v/>
      </c>
      <c r="K41">
        <f>IF(SUMPRODUCT(--(G$5:G$24&lt;=K$5:K$24))=0,"siempre",IF(LOOKUP(2,1/(G$5:G$24&lt;=K$5:K$24),$A$5:$A$24)&gt;=2046,"nunca",LOOKUP(2,1/(G$5:G$24&lt;=K$5:K$24),$A$5:$A$24)+1))</f>
        <v/>
      </c>
      <c r="L41">
        <f>IF(SUMPRODUCT(--(G$5:G$24&lt;=L$5:L$24))=0,"siempre",IF(LOOKUP(2,1/(G$5:G$24&lt;=L$5:L$24),$A$5:$A$24)&gt;=2046,"nunca",LOOKUP(2,1/(G$5:G$24&lt;=L$5:L$24),$A$5:$A$24)+1))</f>
        <v/>
      </c>
      <c r="M41">
        <f>IF(SUMPRODUCT(--(G$5:G$24&lt;=M$5:M$24))=0,"siempre",IF(LOOKUP(2,1/(G$5:G$24&lt;=M$5:M$24),$A$5:$A$24)&gt;=2046,"nunca",LOOKUP(2,1/(G$5:G$24&lt;=M$5:M$24),$A$5:$A$24)+1))</f>
        <v/>
      </c>
      <c r="N41">
        <f>IF(SUMPRODUCT(--(G$5:G$24&lt;=N$5:N$24))=0,"siempre",IF(LOOKUP(2,1/(G$5:G$24&lt;=N$5:N$24),$A$5:$A$24)&gt;=2046,"nunca",LOOKUP(2,1/(G$5:G$24&lt;=N$5:N$24),$A$5:$A$24)+1))</f>
        <v/>
      </c>
      <c r="O41">
        <f>IF(SUMPRODUCT(--(G$5:G$24&lt;=O$5:O$24))=0,"siempre",IF(LOOKUP(2,1/(G$5:G$24&lt;=O$5:O$24),$A$5:$A$24)&gt;=2046,"nunca",LOOKUP(2,1/(G$5:G$24&lt;=O$5:O$24),$A$5:$A$24)+1))</f>
        <v/>
      </c>
      <c r="P41">
        <f>IF(SUMPRODUCT(--(G$5:G$24&lt;=P$5:P$24))=0,"siempre",IF(LOOKUP(2,1/(G$5:G$24&lt;=P$5:P$24),$A$5:$A$24)&gt;=2046,"nunca",LOOKUP(2,1/(G$5:G$24&lt;=P$5:P$24),$A$5:$A$24)+1))</f>
        <v/>
      </c>
    </row>
    <row r="42">
      <c r="A42" t="inlineStr">
        <is>
          <t>A6 · Nurse injector / estética</t>
        </is>
      </c>
      <c r="B42">
        <f>IF(SUMPRODUCT(--(H$5:H$24&lt;=B$5:B$24))=0,"siempre",IF(LOOKUP(2,1/(H$5:H$24&lt;=B$5:B$24),$A$5:$A$24)&gt;=2046,"nunca",LOOKUP(2,1/(H$5:H$24&lt;=B$5:B$24),$A$5:$A$24)+1))</f>
        <v/>
      </c>
      <c r="C42">
        <f>IF(SUMPRODUCT(--(H$5:H$24&lt;=C$5:C$24))=0,"siempre",IF(LOOKUP(2,1/(H$5:H$24&lt;=C$5:C$24),$A$5:$A$24)&gt;=2046,"nunca",LOOKUP(2,1/(H$5:H$24&lt;=C$5:C$24),$A$5:$A$24)+1))</f>
        <v/>
      </c>
      <c r="D42">
        <f>IF(SUMPRODUCT(--(H$5:H$24&lt;=D$5:D$24))=0,"siempre",IF(LOOKUP(2,1/(H$5:H$24&lt;=D$5:D$24),$A$5:$A$24)&gt;=2046,"nunca",LOOKUP(2,1/(H$5:H$24&lt;=D$5:D$24),$A$5:$A$24)+1))</f>
        <v/>
      </c>
      <c r="E42">
        <f>IF(SUMPRODUCT(--(H$5:H$24&lt;=E$5:E$24))=0,"siempre",IF(LOOKUP(2,1/(H$5:H$24&lt;=E$5:E$24),$A$5:$A$24)&gt;=2046,"nunca",LOOKUP(2,1/(H$5:H$24&lt;=E$5:E$24),$A$5:$A$24)+1))</f>
        <v/>
      </c>
      <c r="F42">
        <f>IF(SUMPRODUCT(--(H$5:H$24&lt;=F$5:F$24))=0,"siempre",IF(LOOKUP(2,1/(H$5:H$24&lt;=F$5:F$24),$A$5:$A$24)&gt;=2046,"nunca",LOOKUP(2,1/(H$5:H$24&lt;=F$5:F$24),$A$5:$A$24)+1))</f>
        <v/>
      </c>
      <c r="G42">
        <f>IF(SUMPRODUCT(--(H$5:H$24&lt;=G$5:G$24))=0,"siempre",IF(LOOKUP(2,1/(H$5:H$24&lt;=G$5:G$24),$A$5:$A$24)&gt;=2046,"nunca",LOOKUP(2,1/(H$5:H$24&lt;=G$5:G$24),$A$5:$A$24)+1))</f>
        <v/>
      </c>
      <c r="H42" t="inlineStr">
        <is>
          <t>—</t>
        </is>
      </c>
      <c r="I42">
        <f>IF(SUMPRODUCT(--(H$5:H$24&lt;=I$5:I$24))=0,"siempre",IF(LOOKUP(2,1/(H$5:H$24&lt;=I$5:I$24),$A$5:$A$24)&gt;=2046,"nunca",LOOKUP(2,1/(H$5:H$24&lt;=I$5:I$24),$A$5:$A$24)+1))</f>
        <v/>
      </c>
      <c r="J42">
        <f>IF(SUMPRODUCT(--(H$5:H$24&lt;=J$5:J$24))=0,"siempre",IF(LOOKUP(2,1/(H$5:H$24&lt;=J$5:J$24),$A$5:$A$24)&gt;=2046,"nunca",LOOKUP(2,1/(H$5:H$24&lt;=J$5:J$24),$A$5:$A$24)+1))</f>
        <v/>
      </c>
      <c r="K42">
        <f>IF(SUMPRODUCT(--(H$5:H$24&lt;=K$5:K$24))=0,"siempre",IF(LOOKUP(2,1/(H$5:H$24&lt;=K$5:K$24),$A$5:$A$24)&gt;=2046,"nunca",LOOKUP(2,1/(H$5:H$24&lt;=K$5:K$24),$A$5:$A$24)+1))</f>
        <v/>
      </c>
      <c r="L42">
        <f>IF(SUMPRODUCT(--(H$5:H$24&lt;=L$5:L$24))=0,"siempre",IF(LOOKUP(2,1/(H$5:H$24&lt;=L$5:L$24),$A$5:$A$24)&gt;=2046,"nunca",LOOKUP(2,1/(H$5:H$24&lt;=L$5:L$24),$A$5:$A$24)+1))</f>
        <v/>
      </c>
      <c r="M42">
        <f>IF(SUMPRODUCT(--(H$5:H$24&lt;=M$5:M$24))=0,"siempre",IF(LOOKUP(2,1/(H$5:H$24&lt;=M$5:M$24),$A$5:$A$24)&gt;=2046,"nunca",LOOKUP(2,1/(H$5:H$24&lt;=M$5:M$24),$A$5:$A$24)+1))</f>
        <v/>
      </c>
      <c r="N42">
        <f>IF(SUMPRODUCT(--(H$5:H$24&lt;=N$5:N$24))=0,"siempre",IF(LOOKUP(2,1/(H$5:H$24&lt;=N$5:N$24),$A$5:$A$24)&gt;=2046,"nunca",LOOKUP(2,1/(H$5:H$24&lt;=N$5:N$24),$A$5:$A$24)+1))</f>
        <v/>
      </c>
      <c r="O42">
        <f>IF(SUMPRODUCT(--(H$5:H$24&lt;=O$5:O$24))=0,"siempre",IF(LOOKUP(2,1/(H$5:H$24&lt;=O$5:O$24),$A$5:$A$24)&gt;=2046,"nunca",LOOKUP(2,1/(H$5:H$24&lt;=O$5:O$24),$A$5:$A$24)+1))</f>
        <v/>
      </c>
      <c r="P42">
        <f>IF(SUMPRODUCT(--(H$5:H$24&lt;=P$5:P$24))=0,"siempre",IF(LOOKUP(2,1/(H$5:H$24&lt;=P$5:P$24),$A$5:$A$24)&gt;=2046,"nunca",LOOKUP(2,1/(H$5:H$24&lt;=P$5:P$24),$A$5:$A$24)+1))</f>
        <v/>
      </c>
    </row>
    <row r="43">
      <c r="A43" t="inlineStr">
        <is>
          <t>A7 · ICU → CRNA</t>
        </is>
      </c>
      <c r="B43">
        <f>IF(SUMPRODUCT(--(I$5:I$24&lt;=B$5:B$24))=0,"siempre",IF(LOOKUP(2,1/(I$5:I$24&lt;=B$5:B$24),$A$5:$A$24)&gt;=2046,"nunca",LOOKUP(2,1/(I$5:I$24&lt;=B$5:B$24),$A$5:$A$24)+1))</f>
        <v/>
      </c>
      <c r="C43">
        <f>IF(SUMPRODUCT(--(I$5:I$24&lt;=C$5:C$24))=0,"siempre",IF(LOOKUP(2,1/(I$5:I$24&lt;=C$5:C$24),$A$5:$A$24)&gt;=2046,"nunca",LOOKUP(2,1/(I$5:I$24&lt;=C$5:C$24),$A$5:$A$24)+1))</f>
        <v/>
      </c>
      <c r="D43">
        <f>IF(SUMPRODUCT(--(I$5:I$24&lt;=D$5:D$24))=0,"siempre",IF(LOOKUP(2,1/(I$5:I$24&lt;=D$5:D$24),$A$5:$A$24)&gt;=2046,"nunca",LOOKUP(2,1/(I$5:I$24&lt;=D$5:D$24),$A$5:$A$24)+1))</f>
        <v/>
      </c>
      <c r="E43">
        <f>IF(SUMPRODUCT(--(I$5:I$24&lt;=E$5:E$24))=0,"siempre",IF(LOOKUP(2,1/(I$5:I$24&lt;=E$5:E$24),$A$5:$A$24)&gt;=2046,"nunca",LOOKUP(2,1/(I$5:I$24&lt;=E$5:E$24),$A$5:$A$24)+1))</f>
        <v/>
      </c>
      <c r="F43">
        <f>IF(SUMPRODUCT(--(I$5:I$24&lt;=F$5:F$24))=0,"siempre",IF(LOOKUP(2,1/(I$5:I$24&lt;=F$5:F$24),$A$5:$A$24)&gt;=2046,"nunca",LOOKUP(2,1/(I$5:I$24&lt;=F$5:F$24),$A$5:$A$24)+1))</f>
        <v/>
      </c>
      <c r="G43">
        <f>IF(SUMPRODUCT(--(I$5:I$24&lt;=G$5:G$24))=0,"siempre",IF(LOOKUP(2,1/(I$5:I$24&lt;=G$5:G$24),$A$5:$A$24)&gt;=2046,"nunca",LOOKUP(2,1/(I$5:I$24&lt;=G$5:G$24),$A$5:$A$24)+1))</f>
        <v/>
      </c>
      <c r="H43">
        <f>IF(SUMPRODUCT(--(I$5:I$24&lt;=H$5:H$24))=0,"siempre",IF(LOOKUP(2,1/(I$5:I$24&lt;=H$5:H$24),$A$5:$A$24)&gt;=2046,"nunca",LOOKUP(2,1/(I$5:I$24&lt;=H$5:H$24),$A$5:$A$24)+1))</f>
        <v/>
      </c>
      <c r="I43" t="inlineStr">
        <is>
          <t>—</t>
        </is>
      </c>
      <c r="J43">
        <f>IF(SUMPRODUCT(--(I$5:I$24&lt;=J$5:J$24))=0,"siempre",IF(LOOKUP(2,1/(I$5:I$24&lt;=J$5:J$24),$A$5:$A$24)&gt;=2046,"nunca",LOOKUP(2,1/(I$5:I$24&lt;=J$5:J$24),$A$5:$A$24)+1))</f>
        <v/>
      </c>
      <c r="K43">
        <f>IF(SUMPRODUCT(--(I$5:I$24&lt;=K$5:K$24))=0,"siempre",IF(LOOKUP(2,1/(I$5:I$24&lt;=K$5:K$24),$A$5:$A$24)&gt;=2046,"nunca",LOOKUP(2,1/(I$5:I$24&lt;=K$5:K$24),$A$5:$A$24)+1))</f>
        <v/>
      </c>
      <c r="L43">
        <f>IF(SUMPRODUCT(--(I$5:I$24&lt;=L$5:L$24))=0,"siempre",IF(LOOKUP(2,1/(I$5:I$24&lt;=L$5:L$24),$A$5:$A$24)&gt;=2046,"nunca",LOOKUP(2,1/(I$5:I$24&lt;=L$5:L$24),$A$5:$A$24)+1))</f>
        <v/>
      </c>
      <c r="M43">
        <f>IF(SUMPRODUCT(--(I$5:I$24&lt;=M$5:M$24))=0,"siempre",IF(LOOKUP(2,1/(I$5:I$24&lt;=M$5:M$24),$A$5:$A$24)&gt;=2046,"nunca",LOOKUP(2,1/(I$5:I$24&lt;=M$5:M$24),$A$5:$A$24)+1))</f>
        <v/>
      </c>
      <c r="N43">
        <f>IF(SUMPRODUCT(--(I$5:I$24&lt;=N$5:N$24))=0,"siempre",IF(LOOKUP(2,1/(I$5:I$24&lt;=N$5:N$24),$A$5:$A$24)&gt;=2046,"nunca",LOOKUP(2,1/(I$5:I$24&lt;=N$5:N$24),$A$5:$A$24)+1))</f>
        <v/>
      </c>
      <c r="O43">
        <f>IF(SUMPRODUCT(--(I$5:I$24&lt;=O$5:O$24))=0,"siempre",IF(LOOKUP(2,1/(I$5:I$24&lt;=O$5:O$24),$A$5:$A$24)&gt;=2046,"nunca",LOOKUP(2,1/(I$5:I$24&lt;=O$5:O$24),$A$5:$A$24)+1))</f>
        <v/>
      </c>
      <c r="P43">
        <f>IF(SUMPRODUCT(--(I$5:I$24&lt;=P$5:P$24))=0,"siempre",IF(LOOKUP(2,1/(I$5:I$24&lt;=P$5:P$24),$A$5:$A$24)&gt;=2046,"nunca",LOOKUP(2,1/(I$5:I$24&lt;=P$5:P$24),$A$5:$A$24)+1))</f>
        <v/>
      </c>
    </row>
    <row r="44">
      <c r="A44" t="inlineStr">
        <is>
          <t>A7b · ICU → Travel → CRNA</t>
        </is>
      </c>
      <c r="B44">
        <f>IF(SUMPRODUCT(--(J$5:J$24&lt;=B$5:B$24))=0,"siempre",IF(LOOKUP(2,1/(J$5:J$24&lt;=B$5:B$24),$A$5:$A$24)&gt;=2046,"nunca",LOOKUP(2,1/(J$5:J$24&lt;=B$5:B$24),$A$5:$A$24)+1))</f>
        <v/>
      </c>
      <c r="C44">
        <f>IF(SUMPRODUCT(--(J$5:J$24&lt;=C$5:C$24))=0,"siempre",IF(LOOKUP(2,1/(J$5:J$24&lt;=C$5:C$24),$A$5:$A$24)&gt;=2046,"nunca",LOOKUP(2,1/(J$5:J$24&lt;=C$5:C$24),$A$5:$A$24)+1))</f>
        <v/>
      </c>
      <c r="D44">
        <f>IF(SUMPRODUCT(--(J$5:J$24&lt;=D$5:D$24))=0,"siempre",IF(LOOKUP(2,1/(J$5:J$24&lt;=D$5:D$24),$A$5:$A$24)&gt;=2046,"nunca",LOOKUP(2,1/(J$5:J$24&lt;=D$5:D$24),$A$5:$A$24)+1))</f>
        <v/>
      </c>
      <c r="E44">
        <f>IF(SUMPRODUCT(--(J$5:J$24&lt;=E$5:E$24))=0,"siempre",IF(LOOKUP(2,1/(J$5:J$24&lt;=E$5:E$24),$A$5:$A$24)&gt;=2046,"nunca",LOOKUP(2,1/(J$5:J$24&lt;=E$5:E$24),$A$5:$A$24)+1))</f>
        <v/>
      </c>
      <c r="F44">
        <f>IF(SUMPRODUCT(--(J$5:J$24&lt;=F$5:F$24))=0,"siempre",IF(LOOKUP(2,1/(J$5:J$24&lt;=F$5:F$24),$A$5:$A$24)&gt;=2046,"nunca",LOOKUP(2,1/(J$5:J$24&lt;=F$5:F$24),$A$5:$A$24)+1))</f>
        <v/>
      </c>
      <c r="G44">
        <f>IF(SUMPRODUCT(--(J$5:J$24&lt;=G$5:G$24))=0,"siempre",IF(LOOKUP(2,1/(J$5:J$24&lt;=G$5:G$24),$A$5:$A$24)&gt;=2046,"nunca",LOOKUP(2,1/(J$5:J$24&lt;=G$5:G$24),$A$5:$A$24)+1))</f>
        <v/>
      </c>
      <c r="H44">
        <f>IF(SUMPRODUCT(--(J$5:J$24&lt;=H$5:H$24))=0,"siempre",IF(LOOKUP(2,1/(J$5:J$24&lt;=H$5:H$24),$A$5:$A$24)&gt;=2046,"nunca",LOOKUP(2,1/(J$5:J$24&lt;=H$5:H$24),$A$5:$A$24)+1))</f>
        <v/>
      </c>
      <c r="I44">
        <f>IF(SUMPRODUCT(--(J$5:J$24&lt;=I$5:I$24))=0,"siempre",IF(LOOKUP(2,1/(J$5:J$24&lt;=I$5:I$24),$A$5:$A$24)&gt;=2046,"nunca",LOOKUP(2,1/(J$5:J$24&lt;=I$5:I$24),$A$5:$A$24)+1))</f>
        <v/>
      </c>
      <c r="J44" t="inlineStr">
        <is>
          <t>—</t>
        </is>
      </c>
      <c r="K44">
        <f>IF(SUMPRODUCT(--(J$5:J$24&lt;=K$5:K$24))=0,"siempre",IF(LOOKUP(2,1/(J$5:J$24&lt;=K$5:K$24),$A$5:$A$24)&gt;=2046,"nunca",LOOKUP(2,1/(J$5:J$24&lt;=K$5:K$24),$A$5:$A$24)+1))</f>
        <v/>
      </c>
      <c r="L44">
        <f>IF(SUMPRODUCT(--(J$5:J$24&lt;=L$5:L$24))=0,"siempre",IF(LOOKUP(2,1/(J$5:J$24&lt;=L$5:L$24),$A$5:$A$24)&gt;=2046,"nunca",LOOKUP(2,1/(J$5:J$24&lt;=L$5:L$24),$A$5:$A$24)+1))</f>
        <v/>
      </c>
      <c r="M44">
        <f>IF(SUMPRODUCT(--(J$5:J$24&lt;=M$5:M$24))=0,"siempre",IF(LOOKUP(2,1/(J$5:J$24&lt;=M$5:M$24),$A$5:$A$24)&gt;=2046,"nunca",LOOKUP(2,1/(J$5:J$24&lt;=M$5:M$24),$A$5:$A$24)+1))</f>
        <v/>
      </c>
      <c r="N44">
        <f>IF(SUMPRODUCT(--(J$5:J$24&lt;=N$5:N$24))=0,"siempre",IF(LOOKUP(2,1/(J$5:J$24&lt;=N$5:N$24),$A$5:$A$24)&gt;=2046,"nunca",LOOKUP(2,1/(J$5:J$24&lt;=N$5:N$24),$A$5:$A$24)+1))</f>
        <v/>
      </c>
      <c r="O44">
        <f>IF(SUMPRODUCT(--(J$5:J$24&lt;=O$5:O$24))=0,"siempre",IF(LOOKUP(2,1/(J$5:J$24&lt;=O$5:O$24),$A$5:$A$24)&gt;=2046,"nunca",LOOKUP(2,1/(J$5:J$24&lt;=O$5:O$24),$A$5:$A$24)+1))</f>
        <v/>
      </c>
      <c r="P44">
        <f>IF(SUMPRODUCT(--(J$5:J$24&lt;=P$5:P$24))=0,"siempre",IF(LOOKUP(2,1/(J$5:J$24&lt;=P$5:P$24),$A$5:$A$24)&gt;=2046,"nunca",LOOKUP(2,1/(J$5:J$24&lt;=P$5:P$24),$A$5:$A$24)+1))</f>
        <v/>
      </c>
    </row>
    <row r="45">
      <c r="A45" t="inlineStr">
        <is>
          <t>A8 · NP familiar (FNP)</t>
        </is>
      </c>
      <c r="B45">
        <f>IF(SUMPRODUCT(--(K$5:K$24&lt;=B$5:B$24))=0,"siempre",IF(LOOKUP(2,1/(K$5:K$24&lt;=B$5:B$24),$A$5:$A$24)&gt;=2046,"nunca",LOOKUP(2,1/(K$5:K$24&lt;=B$5:B$24),$A$5:$A$24)+1))</f>
        <v/>
      </c>
      <c r="C45">
        <f>IF(SUMPRODUCT(--(K$5:K$24&lt;=C$5:C$24))=0,"siempre",IF(LOOKUP(2,1/(K$5:K$24&lt;=C$5:C$24),$A$5:$A$24)&gt;=2046,"nunca",LOOKUP(2,1/(K$5:K$24&lt;=C$5:C$24),$A$5:$A$24)+1))</f>
        <v/>
      </c>
      <c r="D45">
        <f>IF(SUMPRODUCT(--(K$5:K$24&lt;=D$5:D$24))=0,"siempre",IF(LOOKUP(2,1/(K$5:K$24&lt;=D$5:D$24),$A$5:$A$24)&gt;=2046,"nunca",LOOKUP(2,1/(K$5:K$24&lt;=D$5:D$24),$A$5:$A$24)+1))</f>
        <v/>
      </c>
      <c r="E45">
        <f>IF(SUMPRODUCT(--(K$5:K$24&lt;=E$5:E$24))=0,"siempre",IF(LOOKUP(2,1/(K$5:K$24&lt;=E$5:E$24),$A$5:$A$24)&gt;=2046,"nunca",LOOKUP(2,1/(K$5:K$24&lt;=E$5:E$24),$A$5:$A$24)+1))</f>
        <v/>
      </c>
      <c r="F45">
        <f>IF(SUMPRODUCT(--(K$5:K$24&lt;=F$5:F$24))=0,"siempre",IF(LOOKUP(2,1/(K$5:K$24&lt;=F$5:F$24),$A$5:$A$24)&gt;=2046,"nunca",LOOKUP(2,1/(K$5:K$24&lt;=F$5:F$24),$A$5:$A$24)+1))</f>
        <v/>
      </c>
      <c r="G45">
        <f>IF(SUMPRODUCT(--(K$5:K$24&lt;=G$5:G$24))=0,"siempre",IF(LOOKUP(2,1/(K$5:K$24&lt;=G$5:G$24),$A$5:$A$24)&gt;=2046,"nunca",LOOKUP(2,1/(K$5:K$24&lt;=G$5:G$24),$A$5:$A$24)+1))</f>
        <v/>
      </c>
      <c r="H45">
        <f>IF(SUMPRODUCT(--(K$5:K$24&lt;=H$5:H$24))=0,"siempre",IF(LOOKUP(2,1/(K$5:K$24&lt;=H$5:H$24),$A$5:$A$24)&gt;=2046,"nunca",LOOKUP(2,1/(K$5:K$24&lt;=H$5:H$24),$A$5:$A$24)+1))</f>
        <v/>
      </c>
      <c r="I45">
        <f>IF(SUMPRODUCT(--(K$5:K$24&lt;=I$5:I$24))=0,"siempre",IF(LOOKUP(2,1/(K$5:K$24&lt;=I$5:I$24),$A$5:$A$24)&gt;=2046,"nunca",LOOKUP(2,1/(K$5:K$24&lt;=I$5:I$24),$A$5:$A$24)+1))</f>
        <v/>
      </c>
      <c r="J45">
        <f>IF(SUMPRODUCT(--(K$5:K$24&lt;=J$5:J$24))=0,"siempre",IF(LOOKUP(2,1/(K$5:K$24&lt;=J$5:J$24),$A$5:$A$24)&gt;=2046,"nunca",LOOKUP(2,1/(K$5:K$24&lt;=J$5:J$24),$A$5:$A$24)+1))</f>
        <v/>
      </c>
      <c r="K45" t="inlineStr">
        <is>
          <t>—</t>
        </is>
      </c>
      <c r="L45">
        <f>IF(SUMPRODUCT(--(K$5:K$24&lt;=L$5:L$24))=0,"siempre",IF(LOOKUP(2,1/(K$5:K$24&lt;=L$5:L$24),$A$5:$A$24)&gt;=2046,"nunca",LOOKUP(2,1/(K$5:K$24&lt;=L$5:L$24),$A$5:$A$24)+1))</f>
        <v/>
      </c>
      <c r="M45">
        <f>IF(SUMPRODUCT(--(K$5:K$24&lt;=M$5:M$24))=0,"siempre",IF(LOOKUP(2,1/(K$5:K$24&lt;=M$5:M$24),$A$5:$A$24)&gt;=2046,"nunca",LOOKUP(2,1/(K$5:K$24&lt;=M$5:M$24),$A$5:$A$24)+1))</f>
        <v/>
      </c>
      <c r="N45">
        <f>IF(SUMPRODUCT(--(K$5:K$24&lt;=N$5:N$24))=0,"siempre",IF(LOOKUP(2,1/(K$5:K$24&lt;=N$5:N$24),$A$5:$A$24)&gt;=2046,"nunca",LOOKUP(2,1/(K$5:K$24&lt;=N$5:N$24),$A$5:$A$24)+1))</f>
        <v/>
      </c>
      <c r="O45">
        <f>IF(SUMPRODUCT(--(K$5:K$24&lt;=O$5:O$24))=0,"siempre",IF(LOOKUP(2,1/(K$5:K$24&lt;=O$5:O$24),$A$5:$A$24)&gt;=2046,"nunca",LOOKUP(2,1/(K$5:K$24&lt;=O$5:O$24),$A$5:$A$24)+1))</f>
        <v/>
      </c>
      <c r="P45">
        <f>IF(SUMPRODUCT(--(K$5:K$24&lt;=P$5:P$24))=0,"siempre",IF(LOOKUP(2,1/(K$5:K$24&lt;=P$5:P$24),$A$5:$A$24)&gt;=2046,"nunca",LOOKUP(2,1/(K$5:K$24&lt;=P$5:P$24),$A$5:$A$24)+1))</f>
        <v/>
      </c>
    </row>
    <row r="46">
      <c r="A46" t="inlineStr">
        <is>
          <t>A8b · NP psiquiátrico (PMHNP)</t>
        </is>
      </c>
      <c r="B46">
        <f>IF(SUMPRODUCT(--(L$5:L$24&lt;=B$5:B$24))=0,"siempre",IF(LOOKUP(2,1/(L$5:L$24&lt;=B$5:B$24),$A$5:$A$24)&gt;=2046,"nunca",LOOKUP(2,1/(L$5:L$24&lt;=B$5:B$24),$A$5:$A$24)+1))</f>
        <v/>
      </c>
      <c r="C46">
        <f>IF(SUMPRODUCT(--(L$5:L$24&lt;=C$5:C$24))=0,"siempre",IF(LOOKUP(2,1/(L$5:L$24&lt;=C$5:C$24),$A$5:$A$24)&gt;=2046,"nunca",LOOKUP(2,1/(L$5:L$24&lt;=C$5:C$24),$A$5:$A$24)+1))</f>
        <v/>
      </c>
      <c r="D46">
        <f>IF(SUMPRODUCT(--(L$5:L$24&lt;=D$5:D$24))=0,"siempre",IF(LOOKUP(2,1/(L$5:L$24&lt;=D$5:D$24),$A$5:$A$24)&gt;=2046,"nunca",LOOKUP(2,1/(L$5:L$24&lt;=D$5:D$24),$A$5:$A$24)+1))</f>
        <v/>
      </c>
      <c r="E46">
        <f>IF(SUMPRODUCT(--(L$5:L$24&lt;=E$5:E$24))=0,"siempre",IF(LOOKUP(2,1/(L$5:L$24&lt;=E$5:E$24),$A$5:$A$24)&gt;=2046,"nunca",LOOKUP(2,1/(L$5:L$24&lt;=E$5:E$24),$A$5:$A$24)+1))</f>
        <v/>
      </c>
      <c r="F46">
        <f>IF(SUMPRODUCT(--(L$5:L$24&lt;=F$5:F$24))=0,"siempre",IF(LOOKUP(2,1/(L$5:L$24&lt;=F$5:F$24),$A$5:$A$24)&gt;=2046,"nunca",LOOKUP(2,1/(L$5:L$24&lt;=F$5:F$24),$A$5:$A$24)+1))</f>
        <v/>
      </c>
      <c r="G46">
        <f>IF(SUMPRODUCT(--(L$5:L$24&lt;=G$5:G$24))=0,"siempre",IF(LOOKUP(2,1/(L$5:L$24&lt;=G$5:G$24),$A$5:$A$24)&gt;=2046,"nunca",LOOKUP(2,1/(L$5:L$24&lt;=G$5:G$24),$A$5:$A$24)+1))</f>
        <v/>
      </c>
      <c r="H46">
        <f>IF(SUMPRODUCT(--(L$5:L$24&lt;=H$5:H$24))=0,"siempre",IF(LOOKUP(2,1/(L$5:L$24&lt;=H$5:H$24),$A$5:$A$24)&gt;=2046,"nunca",LOOKUP(2,1/(L$5:L$24&lt;=H$5:H$24),$A$5:$A$24)+1))</f>
        <v/>
      </c>
      <c r="I46">
        <f>IF(SUMPRODUCT(--(L$5:L$24&lt;=I$5:I$24))=0,"siempre",IF(LOOKUP(2,1/(L$5:L$24&lt;=I$5:I$24),$A$5:$A$24)&gt;=2046,"nunca",LOOKUP(2,1/(L$5:L$24&lt;=I$5:I$24),$A$5:$A$24)+1))</f>
        <v/>
      </c>
      <c r="J46">
        <f>IF(SUMPRODUCT(--(L$5:L$24&lt;=J$5:J$24))=0,"siempre",IF(LOOKUP(2,1/(L$5:L$24&lt;=J$5:J$24),$A$5:$A$24)&gt;=2046,"nunca",LOOKUP(2,1/(L$5:L$24&lt;=J$5:J$24),$A$5:$A$24)+1))</f>
        <v/>
      </c>
      <c r="K46">
        <f>IF(SUMPRODUCT(--(L$5:L$24&lt;=K$5:K$24))=0,"siempre",IF(LOOKUP(2,1/(L$5:L$24&lt;=K$5:K$24),$A$5:$A$24)&gt;=2046,"nunca",LOOKUP(2,1/(L$5:L$24&lt;=K$5:K$24),$A$5:$A$24)+1))</f>
        <v/>
      </c>
      <c r="L46" t="inlineStr">
        <is>
          <t>—</t>
        </is>
      </c>
      <c r="M46">
        <f>IF(SUMPRODUCT(--(L$5:L$24&lt;=M$5:M$24))=0,"siempre",IF(LOOKUP(2,1/(L$5:L$24&lt;=M$5:M$24),$A$5:$A$24)&gt;=2046,"nunca",LOOKUP(2,1/(L$5:L$24&lt;=M$5:M$24),$A$5:$A$24)+1))</f>
        <v/>
      </c>
      <c r="N46">
        <f>IF(SUMPRODUCT(--(L$5:L$24&lt;=N$5:N$24))=0,"siempre",IF(LOOKUP(2,1/(L$5:L$24&lt;=N$5:N$24),$A$5:$A$24)&gt;=2046,"nunca",LOOKUP(2,1/(L$5:L$24&lt;=N$5:N$24),$A$5:$A$24)+1))</f>
        <v/>
      </c>
      <c r="O46">
        <f>IF(SUMPRODUCT(--(L$5:L$24&lt;=O$5:O$24))=0,"siempre",IF(LOOKUP(2,1/(L$5:L$24&lt;=O$5:O$24),$A$5:$A$24)&gt;=2046,"nunca",LOOKUP(2,1/(L$5:L$24&lt;=O$5:O$24),$A$5:$A$24)+1))</f>
        <v/>
      </c>
      <c r="P46">
        <f>IF(SUMPRODUCT(--(L$5:L$24&lt;=P$5:P$24))=0,"siempre",IF(LOOKUP(2,1/(L$5:L$24&lt;=P$5:P$24),$A$5:$A$24)&gt;=2046,"nunca",LOOKUP(2,1/(L$5:L$24&lt;=P$5:P$24),$A$5:$A$24)+1))</f>
        <v/>
      </c>
    </row>
    <row r="47">
      <c r="A47" t="inlineStr">
        <is>
          <t>B1 · MD: match al primer intento</t>
        </is>
      </c>
      <c r="B47">
        <f>IF(SUMPRODUCT(--(M$5:M$24&lt;=B$5:B$24))=0,"siempre",IF(LOOKUP(2,1/(M$5:M$24&lt;=B$5:B$24),$A$5:$A$24)&gt;=2046,"nunca",LOOKUP(2,1/(M$5:M$24&lt;=B$5:B$24),$A$5:$A$24)+1))</f>
        <v/>
      </c>
      <c r="C47">
        <f>IF(SUMPRODUCT(--(M$5:M$24&lt;=C$5:C$24))=0,"siempre",IF(LOOKUP(2,1/(M$5:M$24&lt;=C$5:C$24),$A$5:$A$24)&gt;=2046,"nunca",LOOKUP(2,1/(M$5:M$24&lt;=C$5:C$24),$A$5:$A$24)+1))</f>
        <v/>
      </c>
      <c r="D47">
        <f>IF(SUMPRODUCT(--(M$5:M$24&lt;=D$5:D$24))=0,"siempre",IF(LOOKUP(2,1/(M$5:M$24&lt;=D$5:D$24),$A$5:$A$24)&gt;=2046,"nunca",LOOKUP(2,1/(M$5:M$24&lt;=D$5:D$24),$A$5:$A$24)+1))</f>
        <v/>
      </c>
      <c r="E47">
        <f>IF(SUMPRODUCT(--(M$5:M$24&lt;=E$5:E$24))=0,"siempre",IF(LOOKUP(2,1/(M$5:M$24&lt;=E$5:E$24),$A$5:$A$24)&gt;=2046,"nunca",LOOKUP(2,1/(M$5:M$24&lt;=E$5:E$24),$A$5:$A$24)+1))</f>
        <v/>
      </c>
      <c r="F47">
        <f>IF(SUMPRODUCT(--(M$5:M$24&lt;=F$5:F$24))=0,"siempre",IF(LOOKUP(2,1/(M$5:M$24&lt;=F$5:F$24),$A$5:$A$24)&gt;=2046,"nunca",LOOKUP(2,1/(M$5:M$24&lt;=F$5:F$24),$A$5:$A$24)+1))</f>
        <v/>
      </c>
      <c r="G47">
        <f>IF(SUMPRODUCT(--(M$5:M$24&lt;=G$5:G$24))=0,"siempre",IF(LOOKUP(2,1/(M$5:M$24&lt;=G$5:G$24),$A$5:$A$24)&gt;=2046,"nunca",LOOKUP(2,1/(M$5:M$24&lt;=G$5:G$24),$A$5:$A$24)+1))</f>
        <v/>
      </c>
      <c r="H47">
        <f>IF(SUMPRODUCT(--(M$5:M$24&lt;=H$5:H$24))=0,"siempre",IF(LOOKUP(2,1/(M$5:M$24&lt;=H$5:H$24),$A$5:$A$24)&gt;=2046,"nunca",LOOKUP(2,1/(M$5:M$24&lt;=H$5:H$24),$A$5:$A$24)+1))</f>
        <v/>
      </c>
      <c r="I47">
        <f>IF(SUMPRODUCT(--(M$5:M$24&lt;=I$5:I$24))=0,"siempre",IF(LOOKUP(2,1/(M$5:M$24&lt;=I$5:I$24),$A$5:$A$24)&gt;=2046,"nunca",LOOKUP(2,1/(M$5:M$24&lt;=I$5:I$24),$A$5:$A$24)+1))</f>
        <v/>
      </c>
      <c r="J47">
        <f>IF(SUMPRODUCT(--(M$5:M$24&lt;=J$5:J$24))=0,"siempre",IF(LOOKUP(2,1/(M$5:M$24&lt;=J$5:J$24),$A$5:$A$24)&gt;=2046,"nunca",LOOKUP(2,1/(M$5:M$24&lt;=J$5:J$24),$A$5:$A$24)+1))</f>
        <v/>
      </c>
      <c r="K47">
        <f>IF(SUMPRODUCT(--(M$5:M$24&lt;=K$5:K$24))=0,"siempre",IF(LOOKUP(2,1/(M$5:M$24&lt;=K$5:K$24),$A$5:$A$24)&gt;=2046,"nunca",LOOKUP(2,1/(M$5:M$24&lt;=K$5:K$24),$A$5:$A$24)+1))</f>
        <v/>
      </c>
      <c r="L47">
        <f>IF(SUMPRODUCT(--(M$5:M$24&lt;=L$5:L$24))=0,"siempre",IF(LOOKUP(2,1/(M$5:M$24&lt;=L$5:L$24),$A$5:$A$24)&gt;=2046,"nunca",LOOKUP(2,1/(M$5:M$24&lt;=L$5:L$24),$A$5:$A$24)+1))</f>
        <v/>
      </c>
      <c r="M47" t="inlineStr">
        <is>
          <t>—</t>
        </is>
      </c>
      <c r="N47">
        <f>IF(SUMPRODUCT(--(M$5:M$24&lt;=N$5:N$24))=0,"siempre",IF(LOOKUP(2,1/(M$5:M$24&lt;=N$5:N$24),$A$5:$A$24)&gt;=2046,"nunca",LOOKUP(2,1/(M$5:M$24&lt;=N$5:N$24),$A$5:$A$24)+1))</f>
        <v/>
      </c>
      <c r="O47">
        <f>IF(SUMPRODUCT(--(M$5:M$24&lt;=O$5:O$24))=0,"siempre",IF(LOOKUP(2,1/(M$5:M$24&lt;=O$5:O$24),$A$5:$A$24)&gt;=2046,"nunca",LOOKUP(2,1/(M$5:M$24&lt;=O$5:O$24),$A$5:$A$24)+1))</f>
        <v/>
      </c>
      <c r="P47">
        <f>IF(SUMPRODUCT(--(M$5:M$24&lt;=P$5:P$24))=0,"siempre",IF(LOOKUP(2,1/(M$5:M$24&lt;=P$5:P$24),$A$5:$A$24)&gt;=2046,"nunca",LOOKUP(2,1/(M$5:M$24&lt;=P$5:P$24),$A$5:$A$24)+1))</f>
        <v/>
      </c>
    </row>
    <row r="48">
      <c r="A48" t="inlineStr">
        <is>
          <t>B2 · MD: SOAP preliminar → categórico</t>
        </is>
      </c>
      <c r="B48">
        <f>IF(SUMPRODUCT(--(N$5:N$24&lt;=B$5:B$24))=0,"siempre",IF(LOOKUP(2,1/(N$5:N$24&lt;=B$5:B$24),$A$5:$A$24)&gt;=2046,"nunca",LOOKUP(2,1/(N$5:N$24&lt;=B$5:B$24),$A$5:$A$24)+1))</f>
        <v/>
      </c>
      <c r="C48">
        <f>IF(SUMPRODUCT(--(N$5:N$24&lt;=C$5:C$24))=0,"siempre",IF(LOOKUP(2,1/(N$5:N$24&lt;=C$5:C$24),$A$5:$A$24)&gt;=2046,"nunca",LOOKUP(2,1/(N$5:N$24&lt;=C$5:C$24),$A$5:$A$24)+1))</f>
        <v/>
      </c>
      <c r="D48">
        <f>IF(SUMPRODUCT(--(N$5:N$24&lt;=D$5:D$24))=0,"siempre",IF(LOOKUP(2,1/(N$5:N$24&lt;=D$5:D$24),$A$5:$A$24)&gt;=2046,"nunca",LOOKUP(2,1/(N$5:N$24&lt;=D$5:D$24),$A$5:$A$24)+1))</f>
        <v/>
      </c>
      <c r="E48">
        <f>IF(SUMPRODUCT(--(N$5:N$24&lt;=E$5:E$24))=0,"siempre",IF(LOOKUP(2,1/(N$5:N$24&lt;=E$5:E$24),$A$5:$A$24)&gt;=2046,"nunca",LOOKUP(2,1/(N$5:N$24&lt;=E$5:E$24),$A$5:$A$24)+1))</f>
        <v/>
      </c>
      <c r="F48">
        <f>IF(SUMPRODUCT(--(N$5:N$24&lt;=F$5:F$24))=0,"siempre",IF(LOOKUP(2,1/(N$5:N$24&lt;=F$5:F$24),$A$5:$A$24)&gt;=2046,"nunca",LOOKUP(2,1/(N$5:N$24&lt;=F$5:F$24),$A$5:$A$24)+1))</f>
        <v/>
      </c>
      <c r="G48">
        <f>IF(SUMPRODUCT(--(N$5:N$24&lt;=G$5:G$24))=0,"siempre",IF(LOOKUP(2,1/(N$5:N$24&lt;=G$5:G$24),$A$5:$A$24)&gt;=2046,"nunca",LOOKUP(2,1/(N$5:N$24&lt;=G$5:G$24),$A$5:$A$24)+1))</f>
        <v/>
      </c>
      <c r="H48">
        <f>IF(SUMPRODUCT(--(N$5:N$24&lt;=H$5:H$24))=0,"siempre",IF(LOOKUP(2,1/(N$5:N$24&lt;=H$5:H$24),$A$5:$A$24)&gt;=2046,"nunca",LOOKUP(2,1/(N$5:N$24&lt;=H$5:H$24),$A$5:$A$24)+1))</f>
        <v/>
      </c>
      <c r="I48">
        <f>IF(SUMPRODUCT(--(N$5:N$24&lt;=I$5:I$24))=0,"siempre",IF(LOOKUP(2,1/(N$5:N$24&lt;=I$5:I$24),$A$5:$A$24)&gt;=2046,"nunca",LOOKUP(2,1/(N$5:N$24&lt;=I$5:I$24),$A$5:$A$24)+1))</f>
        <v/>
      </c>
      <c r="J48">
        <f>IF(SUMPRODUCT(--(N$5:N$24&lt;=J$5:J$24))=0,"siempre",IF(LOOKUP(2,1/(N$5:N$24&lt;=J$5:J$24),$A$5:$A$24)&gt;=2046,"nunca",LOOKUP(2,1/(N$5:N$24&lt;=J$5:J$24),$A$5:$A$24)+1))</f>
        <v/>
      </c>
      <c r="K48">
        <f>IF(SUMPRODUCT(--(N$5:N$24&lt;=K$5:K$24))=0,"siempre",IF(LOOKUP(2,1/(N$5:N$24&lt;=K$5:K$24),$A$5:$A$24)&gt;=2046,"nunca",LOOKUP(2,1/(N$5:N$24&lt;=K$5:K$24),$A$5:$A$24)+1))</f>
        <v/>
      </c>
      <c r="L48">
        <f>IF(SUMPRODUCT(--(N$5:N$24&lt;=L$5:L$24))=0,"siempre",IF(LOOKUP(2,1/(N$5:N$24&lt;=L$5:L$24),$A$5:$A$24)&gt;=2046,"nunca",LOOKUP(2,1/(N$5:N$24&lt;=L$5:L$24),$A$5:$A$24)+1))</f>
        <v/>
      </c>
      <c r="M48">
        <f>IF(SUMPRODUCT(--(N$5:N$24&lt;=M$5:M$24))=0,"siempre",IF(LOOKUP(2,1/(N$5:N$24&lt;=M$5:M$24),$A$5:$A$24)&gt;=2046,"nunca",LOOKUP(2,1/(N$5:N$24&lt;=M$5:M$24),$A$5:$A$24)+1))</f>
        <v/>
      </c>
      <c r="N48" t="inlineStr">
        <is>
          <t>—</t>
        </is>
      </c>
      <c r="O48">
        <f>IF(SUMPRODUCT(--(N$5:N$24&lt;=O$5:O$24))=0,"siempre",IF(LOOKUP(2,1/(N$5:N$24&lt;=O$5:O$24),$A$5:$A$24)&gt;=2046,"nunca",LOOKUP(2,1/(N$5:N$24&lt;=O$5:O$24),$A$5:$A$24)+1))</f>
        <v/>
      </c>
      <c r="P48">
        <f>IF(SUMPRODUCT(--(N$5:N$24&lt;=P$5:P$24))=0,"siempre",IF(LOOKUP(2,1/(N$5:N$24&lt;=P$5:P$24),$A$5:$A$24)&gt;=2046,"nunca",LOOKUP(2,1/(N$5:N$24&lt;=P$5:P$24),$A$5:$A$24)+1))</f>
        <v/>
      </c>
    </row>
    <row r="49">
      <c r="A49" t="inlineStr">
        <is>
          <t>B3 · MD: no match → match al reintento</t>
        </is>
      </c>
      <c r="B49">
        <f>IF(SUMPRODUCT(--(O$5:O$24&lt;=B$5:B$24))=0,"siempre",IF(LOOKUP(2,1/(O$5:O$24&lt;=B$5:B$24),$A$5:$A$24)&gt;=2046,"nunca",LOOKUP(2,1/(O$5:O$24&lt;=B$5:B$24),$A$5:$A$24)+1))</f>
        <v/>
      </c>
      <c r="C49">
        <f>IF(SUMPRODUCT(--(O$5:O$24&lt;=C$5:C$24))=0,"siempre",IF(LOOKUP(2,1/(O$5:O$24&lt;=C$5:C$24),$A$5:$A$24)&gt;=2046,"nunca",LOOKUP(2,1/(O$5:O$24&lt;=C$5:C$24),$A$5:$A$24)+1))</f>
        <v/>
      </c>
      <c r="D49">
        <f>IF(SUMPRODUCT(--(O$5:O$24&lt;=D$5:D$24))=0,"siempre",IF(LOOKUP(2,1/(O$5:O$24&lt;=D$5:D$24),$A$5:$A$24)&gt;=2046,"nunca",LOOKUP(2,1/(O$5:O$24&lt;=D$5:D$24),$A$5:$A$24)+1))</f>
        <v/>
      </c>
      <c r="E49">
        <f>IF(SUMPRODUCT(--(O$5:O$24&lt;=E$5:E$24))=0,"siempre",IF(LOOKUP(2,1/(O$5:O$24&lt;=E$5:E$24),$A$5:$A$24)&gt;=2046,"nunca",LOOKUP(2,1/(O$5:O$24&lt;=E$5:E$24),$A$5:$A$24)+1))</f>
        <v/>
      </c>
      <c r="F49">
        <f>IF(SUMPRODUCT(--(O$5:O$24&lt;=F$5:F$24))=0,"siempre",IF(LOOKUP(2,1/(O$5:O$24&lt;=F$5:F$24),$A$5:$A$24)&gt;=2046,"nunca",LOOKUP(2,1/(O$5:O$24&lt;=F$5:F$24),$A$5:$A$24)+1))</f>
        <v/>
      </c>
      <c r="G49">
        <f>IF(SUMPRODUCT(--(O$5:O$24&lt;=G$5:G$24))=0,"siempre",IF(LOOKUP(2,1/(O$5:O$24&lt;=G$5:G$24),$A$5:$A$24)&gt;=2046,"nunca",LOOKUP(2,1/(O$5:O$24&lt;=G$5:G$24),$A$5:$A$24)+1))</f>
        <v/>
      </c>
      <c r="H49">
        <f>IF(SUMPRODUCT(--(O$5:O$24&lt;=H$5:H$24))=0,"siempre",IF(LOOKUP(2,1/(O$5:O$24&lt;=H$5:H$24),$A$5:$A$24)&gt;=2046,"nunca",LOOKUP(2,1/(O$5:O$24&lt;=H$5:H$24),$A$5:$A$24)+1))</f>
        <v/>
      </c>
      <c r="I49">
        <f>IF(SUMPRODUCT(--(O$5:O$24&lt;=I$5:I$24))=0,"siempre",IF(LOOKUP(2,1/(O$5:O$24&lt;=I$5:I$24),$A$5:$A$24)&gt;=2046,"nunca",LOOKUP(2,1/(O$5:O$24&lt;=I$5:I$24),$A$5:$A$24)+1))</f>
        <v/>
      </c>
      <c r="J49">
        <f>IF(SUMPRODUCT(--(O$5:O$24&lt;=J$5:J$24))=0,"siempre",IF(LOOKUP(2,1/(O$5:O$24&lt;=J$5:J$24),$A$5:$A$24)&gt;=2046,"nunca",LOOKUP(2,1/(O$5:O$24&lt;=J$5:J$24),$A$5:$A$24)+1))</f>
        <v/>
      </c>
      <c r="K49">
        <f>IF(SUMPRODUCT(--(O$5:O$24&lt;=K$5:K$24))=0,"siempre",IF(LOOKUP(2,1/(O$5:O$24&lt;=K$5:K$24),$A$5:$A$24)&gt;=2046,"nunca",LOOKUP(2,1/(O$5:O$24&lt;=K$5:K$24),$A$5:$A$24)+1))</f>
        <v/>
      </c>
      <c r="L49">
        <f>IF(SUMPRODUCT(--(O$5:O$24&lt;=L$5:L$24))=0,"siempre",IF(LOOKUP(2,1/(O$5:O$24&lt;=L$5:L$24),$A$5:$A$24)&gt;=2046,"nunca",LOOKUP(2,1/(O$5:O$24&lt;=L$5:L$24),$A$5:$A$24)+1))</f>
        <v/>
      </c>
      <c r="M49">
        <f>IF(SUMPRODUCT(--(O$5:O$24&lt;=M$5:M$24))=0,"siempre",IF(LOOKUP(2,1/(O$5:O$24&lt;=M$5:M$24),$A$5:$A$24)&gt;=2046,"nunca",LOOKUP(2,1/(O$5:O$24&lt;=M$5:M$24),$A$5:$A$24)+1))</f>
        <v/>
      </c>
      <c r="N49">
        <f>IF(SUMPRODUCT(--(O$5:O$24&lt;=N$5:N$24))=0,"siempre",IF(LOOKUP(2,1/(O$5:O$24&lt;=N$5:N$24),$A$5:$A$24)&gt;=2046,"nunca",LOOKUP(2,1/(O$5:O$24&lt;=N$5:N$24),$A$5:$A$24)+1))</f>
        <v/>
      </c>
      <c r="O49" t="inlineStr">
        <is>
          <t>—</t>
        </is>
      </c>
      <c r="P49">
        <f>IF(SUMPRODUCT(--(O$5:O$24&lt;=P$5:P$24))=0,"siempre",IF(LOOKUP(2,1/(O$5:O$24&lt;=P$5:P$24),$A$5:$A$24)&gt;=2046,"nunca",LOOKUP(2,1/(O$5:O$24&lt;=P$5:P$24),$A$5:$A$24)+1))</f>
        <v/>
      </c>
    </row>
    <row r="50">
      <c r="A50" t="inlineStr">
        <is>
          <t>B4 · MD: nunca hace match → vuelve a CDI</t>
        </is>
      </c>
      <c r="B50">
        <f>IF(SUMPRODUCT(--(P$5:P$24&lt;=B$5:B$24))=0,"siempre",IF(LOOKUP(2,1/(P$5:P$24&lt;=B$5:B$24),$A$5:$A$24)&gt;=2046,"nunca",LOOKUP(2,1/(P$5:P$24&lt;=B$5:B$24),$A$5:$A$24)+1))</f>
        <v/>
      </c>
      <c r="C50">
        <f>IF(SUMPRODUCT(--(P$5:P$24&lt;=C$5:C$24))=0,"siempre",IF(LOOKUP(2,1/(P$5:P$24&lt;=C$5:C$24),$A$5:$A$24)&gt;=2046,"nunca",LOOKUP(2,1/(P$5:P$24&lt;=C$5:C$24),$A$5:$A$24)+1))</f>
        <v/>
      </c>
      <c r="D50">
        <f>IF(SUMPRODUCT(--(P$5:P$24&lt;=D$5:D$24))=0,"siempre",IF(LOOKUP(2,1/(P$5:P$24&lt;=D$5:D$24),$A$5:$A$24)&gt;=2046,"nunca",LOOKUP(2,1/(P$5:P$24&lt;=D$5:D$24),$A$5:$A$24)+1))</f>
        <v/>
      </c>
      <c r="E50">
        <f>IF(SUMPRODUCT(--(P$5:P$24&lt;=E$5:E$24))=0,"siempre",IF(LOOKUP(2,1/(P$5:P$24&lt;=E$5:E$24),$A$5:$A$24)&gt;=2046,"nunca",LOOKUP(2,1/(P$5:P$24&lt;=E$5:E$24),$A$5:$A$24)+1))</f>
        <v/>
      </c>
      <c r="F50">
        <f>IF(SUMPRODUCT(--(P$5:P$24&lt;=F$5:F$24))=0,"siempre",IF(LOOKUP(2,1/(P$5:P$24&lt;=F$5:F$24),$A$5:$A$24)&gt;=2046,"nunca",LOOKUP(2,1/(P$5:P$24&lt;=F$5:F$24),$A$5:$A$24)+1))</f>
        <v/>
      </c>
      <c r="G50">
        <f>IF(SUMPRODUCT(--(P$5:P$24&lt;=G$5:G$24))=0,"siempre",IF(LOOKUP(2,1/(P$5:P$24&lt;=G$5:G$24),$A$5:$A$24)&gt;=2046,"nunca",LOOKUP(2,1/(P$5:P$24&lt;=G$5:G$24),$A$5:$A$24)+1))</f>
        <v/>
      </c>
      <c r="H50">
        <f>IF(SUMPRODUCT(--(P$5:P$24&lt;=H$5:H$24))=0,"siempre",IF(LOOKUP(2,1/(P$5:P$24&lt;=H$5:H$24),$A$5:$A$24)&gt;=2046,"nunca",LOOKUP(2,1/(P$5:P$24&lt;=H$5:H$24),$A$5:$A$24)+1))</f>
        <v/>
      </c>
      <c r="I50">
        <f>IF(SUMPRODUCT(--(P$5:P$24&lt;=I$5:I$24))=0,"siempre",IF(LOOKUP(2,1/(P$5:P$24&lt;=I$5:I$24),$A$5:$A$24)&gt;=2046,"nunca",LOOKUP(2,1/(P$5:P$24&lt;=I$5:I$24),$A$5:$A$24)+1))</f>
        <v/>
      </c>
      <c r="J50">
        <f>IF(SUMPRODUCT(--(P$5:P$24&lt;=J$5:J$24))=0,"siempre",IF(LOOKUP(2,1/(P$5:P$24&lt;=J$5:J$24),$A$5:$A$24)&gt;=2046,"nunca",LOOKUP(2,1/(P$5:P$24&lt;=J$5:J$24),$A$5:$A$24)+1))</f>
        <v/>
      </c>
      <c r="K50">
        <f>IF(SUMPRODUCT(--(P$5:P$24&lt;=K$5:K$24))=0,"siempre",IF(LOOKUP(2,1/(P$5:P$24&lt;=K$5:K$24),$A$5:$A$24)&gt;=2046,"nunca",LOOKUP(2,1/(P$5:P$24&lt;=K$5:K$24),$A$5:$A$24)+1))</f>
        <v/>
      </c>
      <c r="L50">
        <f>IF(SUMPRODUCT(--(P$5:P$24&lt;=L$5:L$24))=0,"siempre",IF(LOOKUP(2,1/(P$5:P$24&lt;=L$5:L$24),$A$5:$A$24)&gt;=2046,"nunca",LOOKUP(2,1/(P$5:P$24&lt;=L$5:L$24),$A$5:$A$24)+1))</f>
        <v/>
      </c>
      <c r="M50">
        <f>IF(SUMPRODUCT(--(P$5:P$24&lt;=M$5:M$24))=0,"siempre",IF(LOOKUP(2,1/(P$5:P$24&lt;=M$5:M$24),$A$5:$A$24)&gt;=2046,"nunca",LOOKUP(2,1/(P$5:P$24&lt;=M$5:M$24),$A$5:$A$24)+1))</f>
        <v/>
      </c>
      <c r="N50">
        <f>IF(SUMPRODUCT(--(P$5:P$24&lt;=N$5:N$24))=0,"siempre",IF(LOOKUP(2,1/(P$5:P$24&lt;=N$5:N$24),$A$5:$A$24)&gt;=2046,"nunca",LOOKUP(2,1/(P$5:P$24&lt;=N$5:N$24),$A$5:$A$24)+1))</f>
        <v/>
      </c>
      <c r="O50">
        <f>IF(SUMPRODUCT(--(P$5:P$24&lt;=O$5:O$24))=0,"siempre",IF(LOOKUP(2,1/(P$5:P$24&lt;=O$5:O$24),$A$5:$A$24)&gt;=2046,"nunca",LOOKUP(2,1/(P$5:P$24&lt;=O$5:O$24),$A$5:$A$24)+1))</f>
        <v/>
      </c>
      <c r="P50" t="inlineStr">
        <is>
          <t>—</t>
        </is>
      </c>
    </row>
    <row r="52">
      <c r="A52" s="4" t="inlineStr">
        <is>
          <t>Notas</t>
        </is>
      </c>
    </row>
    <row r="53">
      <c r="A53" s="2" t="inlineStr">
        <is>
          <t>El Excel replica la lógica del dashboard (src/engine.cjs). El test tests/test_excel.py recalcula este libro con LibreOffice y compara el patrimonio con el motor.</t>
        </is>
      </c>
    </row>
    <row r="54">
      <c r="A54" s="2" t="inlineStr">
        <is>
          <t>Las fechas de las etapas (hojas de cada camino) son valores; el escenario "retraso" del dashboard no las mueve. El Monte Carlo del camino MD solo está en el dashboard.</t>
        </is>
      </c>
    </row>
    <row r="55">
      <c r="A55" s="2" t="inlineStr">
        <is>
          <t>Para cambiar ubicación, vivienda o escenario usa los selectores en Supuestos!B3:B5.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30"/>
  <sheetViews>
    <sheetView workbookViewId="0">
      <selection activeCell="A1" sqref="A1"/>
    </sheetView>
  </sheetViews>
  <sheetFormatPr baseColWidth="8" defaultRowHeight="15"/>
  <cols>
    <col width="46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Miami / Sur de Florida</t>
        </is>
      </c>
    </row>
    <row r="2">
      <c r="A2" s="2" t="inlineStr">
        <is>
          <t>Seguros muy caros; dúplex escasos y caros; mamá y tía tendrían que mudarse desde DFW.</t>
        </is>
      </c>
    </row>
    <row r="3">
      <c r="A3" s="2" t="inlineStr">
        <is>
          <t>Licencia compacta: Válida: FL es estado NLC. Ojo: viviendo en FL tu licencia multiestado debería ser de FL (estado de residencia primaria), no la de TX.</t>
        </is>
      </c>
    </row>
    <row r="5">
      <c r="A5" s="5" t="inlineStr">
        <is>
          <t>Parámetro</t>
        </is>
      </c>
      <c r="B5" s="5" t="inlineStr">
        <is>
          <t>Valor</t>
        </is>
      </c>
      <c r="C5" s="5" t="inlineStr">
        <is>
          <t>Unidad</t>
        </is>
      </c>
      <c r="D5" s="5" t="inlineStr">
        <is>
          <t>Fuente</t>
        </is>
      </c>
      <c r="E5" s="5" t="inlineStr">
        <is>
          <t>Confianza</t>
        </is>
      </c>
      <c r="F5" s="5" t="inlineStr">
        <is>
          <t>Estimado</t>
        </is>
      </c>
    </row>
    <row r="6">
      <c r="A6" t="inlineStr">
        <is>
          <t>Factor salarial RN vs nacional</t>
        </is>
      </c>
      <c r="B6" s="3" t="n">
        <v>0.9370000000000001</v>
      </c>
      <c r="C6" t="inlineStr">
        <is>
          <t>x</t>
        </is>
      </c>
      <c r="D6" t="inlineStr">
        <is>
          <t>RN Miami-Fort Lauderdale (BLS OEWS 2025 vía Hyring: media $94,990)</t>
        </is>
      </c>
      <c r="E6" t="inlineStr">
        <is>
          <t>media</t>
        </is>
      </c>
      <c r="F6" t="inlineStr"/>
    </row>
    <row r="7">
      <c r="A7" t="inlineStr">
        <is>
          <t>Factor salarial médico vs nacional</t>
        </is>
      </c>
      <c r="B7" s="3" t="n">
        <v>0.97</v>
      </c>
      <c r="C7" t="inlineStr">
        <is>
          <t>x</t>
        </is>
      </c>
      <c r="D7" t="inlineStr">
        <is>
          <t>Doximity Physician Compensation Report 2026</t>
        </is>
      </c>
      <c r="E7" t="inlineStr">
        <is>
          <t>baja</t>
        </is>
      </c>
      <c r="F7" t="inlineStr">
        <is>
          <t>sí</t>
        </is>
      </c>
    </row>
    <row r="8">
      <c r="A8" t="inlineStr">
        <is>
          <t>Salario PGY-1 2026</t>
        </is>
      </c>
      <c r="B8" s="3" t="n">
        <v>67400</v>
      </c>
      <c r="C8" t="inlineStr">
        <is>
          <t>$</t>
        </is>
      </c>
      <c r="D8" t="inlineStr">
        <is>
          <t>Encuesta AAMC 2025 de salarios de residentes por región (vía MedSchoolCoach)</t>
        </is>
      </c>
      <c r="E8" t="inlineStr">
        <is>
          <t>media</t>
        </is>
      </c>
      <c r="F8" t="inlineStr"/>
    </row>
    <row r="9">
      <c r="A9" t="inlineStr">
        <is>
          <t>Gastos de vida anuales (sin vivienda)</t>
        </is>
      </c>
      <c r="B9" s="3" t="n">
        <v>31000</v>
      </c>
      <c r="C9" t="inlineStr">
        <is>
          <t>$</t>
        </is>
      </c>
      <c r="D9" t="inlineStr">
        <is>
          <t>Estimación propia del modelo (sin dato publicado directo); ver nota</t>
        </is>
      </c>
      <c r="E9" t="inlineStr">
        <is>
          <t>baja</t>
        </is>
      </c>
      <c r="F9" t="inlineStr">
        <is>
          <t>sí</t>
        </is>
      </c>
    </row>
    <row r="10">
      <c r="A10" t="inlineStr">
        <is>
          <t>Renta propia mensual antes de comprar (1 hab.)</t>
        </is>
      </c>
      <c r="B10" s="3" t="n">
        <v>2250</v>
      </c>
      <c r="C10" t="inlineStr">
        <is>
          <t>$</t>
        </is>
      </c>
      <c r="D10" t="inlineStr">
        <is>
          <t>Estimación propia del modelo (sin dato publicado directo); ver nota</t>
        </is>
      </c>
      <c r="E10" t="inlineStr">
        <is>
          <t>baja</t>
        </is>
      </c>
      <c r="F10" t="inlineStr">
        <is>
          <t>sí</t>
        </is>
      </c>
    </row>
    <row r="11">
      <c r="A11" t="inlineStr">
        <is>
          <t>Seguro de vivienda (% del valor/año)</t>
        </is>
      </c>
      <c r="B11" s="6" t="n">
        <v>0.013</v>
      </c>
      <c r="C11" t="inlineStr">
        <is>
          <t>%</t>
        </is>
      </c>
      <c r="D11" t="inlineStr">
        <is>
          <t>Insurance.com 2026: prima promedio FL $8,471; TX $4,582; nacional $2,872</t>
        </is>
      </c>
      <c r="E11" t="inlineStr">
        <is>
          <t>media</t>
        </is>
      </c>
      <c r="F11" t="inlineStr">
        <is>
          <t>sí</t>
        </is>
      </c>
    </row>
    <row r="12">
      <c r="A12" t="inlineStr">
        <is>
          <t>Impuesto a la propiedad efectivo</t>
        </is>
      </c>
      <c r="B12" s="6" t="n">
        <v>0.016</v>
      </c>
      <c r="C12" t="inlineStr">
        <is>
          <t>%</t>
        </is>
      </c>
      <c r="D12" t="inlineStr">
        <is>
          <t>Estimación propia del modelo (sin dato publicado directo); ver nota</t>
        </is>
      </c>
      <c r="E12" t="inlineStr">
        <is>
          <t>baja</t>
        </is>
      </c>
      <c r="F12" t="inlineStr">
        <is>
          <t>sí</t>
        </is>
      </c>
    </row>
    <row r="13">
      <c r="A13" t="inlineStr">
        <is>
          <t>Facilidad de match IMG si te limitas a la región</t>
        </is>
      </c>
      <c r="B13" s="3" t="n">
        <v>0.85</v>
      </c>
      <c r="C13" t="inlineStr">
        <is>
          <t>x</t>
        </is>
      </c>
      <c r="D13" t="inlineStr">
        <is>
          <t>Estimación propia del modelo (sin dato publicado directo); ver nota</t>
        </is>
      </c>
      <c r="E13" t="inlineStr">
        <is>
          <t>baja</t>
        </is>
      </c>
      <c r="F13" t="inlineStr">
        <is>
          <t>sí</t>
        </is>
      </c>
    </row>
    <row r="14">
      <c r="A14" t="inlineStr">
        <is>
          <t>Renta mensual por unidad rentada (multifamiliar)</t>
        </is>
      </c>
      <c r="B14" s="3" t="n">
        <v>2300</v>
      </c>
      <c r="C14" t="inlineStr">
        <is>
          <t>$</t>
        </is>
      </c>
      <c r="D14" t="inlineStr">
        <is>
          <t>Estimación propia del modelo (sin dato publicado directo); ver nota</t>
        </is>
      </c>
      <c r="E14" t="inlineStr">
        <is>
          <t>baja</t>
        </is>
      </c>
      <c r="F14" t="inlineStr">
        <is>
          <t>sí</t>
        </is>
      </c>
    </row>
    <row r="15">
      <c r="A15" t="inlineStr">
        <is>
          <t>Precio dúplex</t>
        </is>
      </c>
      <c r="B15" s="3" t="n">
        <v>850000</v>
      </c>
      <c r="C15" t="inlineStr">
        <is>
          <t>$</t>
        </is>
      </c>
      <c r="D15" t="inlineStr">
        <is>
          <t>Miami-Dade unifamiliar mediana $692k (sep-2026, Echo Fine Properties)</t>
        </is>
      </c>
      <c r="E15" t="inlineStr">
        <is>
          <t>baja</t>
        </is>
      </c>
      <c r="F15" t="inlineStr">
        <is>
          <t>sí</t>
        </is>
      </c>
    </row>
    <row r="16">
      <c r="A16" t="inlineStr">
        <is>
          <t>Precio casa con in-law suite</t>
        </is>
      </c>
      <c r="B16" s="3" t="n">
        <v>950000</v>
      </c>
      <c r="C16" t="inlineStr">
        <is>
          <t>$</t>
        </is>
      </c>
      <c r="D16" t="inlineStr">
        <is>
          <t>Miami-Dade unifamiliar mediana $692k (sep-2026, Echo Fine Properties)</t>
        </is>
      </c>
      <c r="E16" t="inlineStr">
        <is>
          <t>baja</t>
        </is>
      </c>
      <c r="F16" t="inlineStr">
        <is>
          <t>sí</t>
        </is>
      </c>
    </row>
    <row r="17">
      <c r="A17" t="inlineStr">
        <is>
          <t>Precio dos casas pequeñas (total)</t>
        </is>
      </c>
      <c r="B17" s="3" t="n">
        <v>1150000</v>
      </c>
      <c r="C17" t="inlineStr">
        <is>
          <t>$</t>
        </is>
      </c>
      <c r="D17" t="inlineStr">
        <is>
          <t>Miami-Dade unifamiliar mediana $692k (sep-2026, Echo Fine Properties)</t>
        </is>
      </c>
      <c r="E17" t="inlineStr">
        <is>
          <t>baja</t>
        </is>
      </c>
      <c r="F17" t="inlineStr">
        <is>
          <t>sí</t>
        </is>
      </c>
    </row>
    <row r="18">
      <c r="A18" t="inlineStr">
        <is>
          <t>Precio casa (sin ADU)</t>
        </is>
      </c>
      <c r="B18" s="3" t="n">
        <v>700000</v>
      </c>
      <c r="C18" t="inlineStr">
        <is>
          <t>$</t>
        </is>
      </c>
      <c r="D18" t="inlineStr">
        <is>
          <t>Miami-Dade unifamiliar mediana $692k (sep-2026, Echo Fine Properties)</t>
        </is>
      </c>
      <c r="E18" t="inlineStr">
        <is>
          <t>media</t>
        </is>
      </c>
      <c r="F18" t="inlineStr">
        <is>
          <t>sí</t>
        </is>
      </c>
    </row>
    <row r="19">
      <c r="A19" t="inlineStr">
        <is>
          <t>Costo de construir ADU</t>
        </is>
      </c>
      <c r="B19" s="3" t="n">
        <v>180000</v>
      </c>
      <c r="C19" t="inlineStr">
        <is>
          <t>$</t>
        </is>
      </c>
      <c r="D19" t="inlineStr">
        <is>
          <t>Estimación propia del modelo (sin dato publicado directo); ver nota</t>
        </is>
      </c>
      <c r="E19" t="inlineStr">
        <is>
          <t>baja</t>
        </is>
      </c>
      <c r="F19" t="inlineStr">
        <is>
          <t>sí</t>
        </is>
      </c>
    </row>
    <row r="20">
      <c r="A20" t="inlineStr">
        <is>
          <t>Precio fourplex</t>
        </is>
      </c>
      <c r="B20" s="3" t="n">
        <v>1500000</v>
      </c>
      <c r="C20" t="inlineStr">
        <is>
          <t>$</t>
        </is>
      </c>
      <c r="D20" t="inlineStr">
        <is>
          <t>Estimación propia del modelo (sin dato publicado directo); ver nota</t>
        </is>
      </c>
      <c r="E20" t="inlineStr">
        <is>
          <t>baja</t>
        </is>
      </c>
      <c r="F20" t="inlineStr">
        <is>
          <t>sí</t>
        </is>
      </c>
    </row>
    <row r="21">
      <c r="A21" t="inlineStr">
        <is>
          <t>Impuesto estatal (1=ninguno, 2=Ohio, 3=Nueva York)</t>
        </is>
      </c>
      <c r="B21" s="3" t="n">
        <v>1</v>
      </c>
    </row>
    <row r="22">
      <c r="A22" t="inlineStr">
        <is>
          <t>Impuesto municipal NYC (1/0)</t>
        </is>
      </c>
      <c r="B22" s="3" t="n">
        <v>0</v>
      </c>
    </row>
    <row r="24">
      <c r="A24" s="4" t="inlineStr">
        <is>
          <t>Cotización de vivienda (precios 2026, escenario activo)</t>
        </is>
      </c>
    </row>
    <row r="25">
      <c r="A25" s="5" t="inlineStr">
        <is>
          <t>Configuración</t>
        </is>
      </c>
      <c r="B25" s="5" t="inlineStr">
        <is>
          <t>Precio</t>
        </is>
      </c>
      <c r="C25" s="5" t="inlineStr">
        <is>
          <t>Enganche</t>
        </is>
      </c>
      <c r="D25" s="5" t="inlineStr">
        <is>
          <t>Cierre</t>
        </is>
      </c>
      <c r="E25" s="5" t="inlineStr">
        <is>
          <t>Préstamo</t>
        </is>
      </c>
      <c r="F25" s="5" t="inlineStr">
        <is>
          <t>P&amp;I mensual</t>
        </is>
      </c>
      <c r="G25" s="5" t="inlineStr">
        <is>
          <t>Impuesto/mes</t>
        </is>
      </c>
      <c r="H25" s="5" t="inlineStr">
        <is>
          <t>Seguro/mes</t>
        </is>
      </c>
      <c r="I25" s="5" t="inlineStr">
        <is>
          <t>PMI/mes</t>
        </is>
      </c>
      <c r="J25" s="5" t="inlineStr">
        <is>
          <t>Mantenimiento/mes</t>
        </is>
      </c>
      <c r="K25" s="5" t="inlineStr">
        <is>
          <t>Renta recibida/mes</t>
        </is>
      </c>
      <c r="L25" s="5" t="inlineStr">
        <is>
          <t>PITI</t>
        </is>
      </c>
      <c r="M25" s="5" t="inlineStr">
        <is>
          <t>Costo neto/mes</t>
        </is>
      </c>
      <c r="N25" s="5" t="inlineStr">
        <is>
          <t>Ingreso bruto anual necesario</t>
        </is>
      </c>
    </row>
    <row r="26">
      <c r="A26" t="inlineStr">
        <is>
          <t>Dúplex (yo en una unidad, ellas en la otra)</t>
        </is>
      </c>
      <c r="B26" s="7">
        <f>ubic_miami_precio_duplex</f>
        <v/>
      </c>
      <c r="C26" s="7">
        <f>B26*vivienda_enganchePct</f>
        <v/>
      </c>
      <c r="D26" s="7">
        <f>B26*vivienda_cierrePct</f>
        <v/>
      </c>
      <c r="E26" s="7">
        <f>B26-C26</f>
        <v/>
      </c>
      <c r="F26" s="7">
        <f>PMT(g_mortRate/12,vivienda_plazoHipoteca*12,-E26)</f>
        <v/>
      </c>
      <c r="G26" s="7">
        <f>B26*ubic_miami_impuestoPropPct/12</f>
        <v/>
      </c>
      <c r="H26" s="7">
        <f>B26*ubic_miami_seguroPct/12</f>
        <v/>
      </c>
      <c r="I26" s="7">
        <f>IF(vivienda_enganchePct&lt;0.2,E26*vivienda_pmiTasa/12,0)</f>
        <v/>
      </c>
      <c r="J26" s="7">
        <f>B26*vivienda_mantenimientoPct/12</f>
        <v/>
      </c>
      <c r="K26" s="7">
        <f>0*ubic_miami_rentaUnidad*(1-vivienda_vacancia)</f>
        <v/>
      </c>
      <c r="L26" s="7">
        <f>F26+G26+H26+I26</f>
        <v/>
      </c>
      <c r="M26" s="7">
        <f>L26+J26-K26*(1-vivienda_gestionPct)</f>
        <v/>
      </c>
      <c r="N26" s="7">
        <f>12*MAX(0,L26-0.75*K26)/vivienda_dtiMax</f>
        <v/>
      </c>
    </row>
    <row r="27">
      <c r="A27" t="inlineStr">
        <is>
          <t>Casa grande con in-law suite</t>
        </is>
      </c>
      <c r="B27" s="7">
        <f>ubic_miami_precio_inlaw</f>
        <v/>
      </c>
      <c r="C27" s="7">
        <f>B27*vivienda_enganchePct</f>
        <v/>
      </c>
      <c r="D27" s="7">
        <f>B27*vivienda_cierrePct</f>
        <v/>
      </c>
      <c r="E27" s="7">
        <f>B27-C27</f>
        <v/>
      </c>
      <c r="F27" s="7">
        <f>PMT(g_mortRate/12,vivienda_plazoHipoteca*12,-E27)</f>
        <v/>
      </c>
      <c r="G27" s="7">
        <f>B27*ubic_miami_impuestoPropPct/12</f>
        <v/>
      </c>
      <c r="H27" s="7">
        <f>B27*ubic_miami_seguroPct/12</f>
        <v/>
      </c>
      <c r="I27" s="7">
        <f>IF(vivienda_enganchePct&lt;0.2,E27*vivienda_pmiTasa/12,0)</f>
        <v/>
      </c>
      <c r="J27" s="7">
        <f>B27*vivienda_mantenimientoPct/12</f>
        <v/>
      </c>
      <c r="K27" s="7">
        <f>0*ubic_miami_rentaUnidad*(1-vivienda_vacancia)</f>
        <v/>
      </c>
      <c r="L27" s="7">
        <f>F27+G27+H27+I27</f>
        <v/>
      </c>
      <c r="M27" s="7">
        <f>L27+J27-K27*(1-vivienda_gestionPct)</f>
        <v/>
      </c>
      <c r="N27" s="7">
        <f>12*MAX(0,L27-0.75*K27)/vivienda_dtiMax</f>
        <v/>
      </c>
    </row>
    <row r="28">
      <c r="A28" t="inlineStr">
        <is>
          <t>Dos casas pequeñas cercanas</t>
        </is>
      </c>
      <c r="B28" s="7">
        <f>ubic_miami_precio_dosCasas</f>
        <v/>
      </c>
      <c r="C28" s="7">
        <f>B28*vivienda_enganchePct</f>
        <v/>
      </c>
      <c r="D28" s="7">
        <f>B28*vivienda_cierrePct</f>
        <v/>
      </c>
      <c r="E28" s="7">
        <f>B28-C28</f>
        <v/>
      </c>
      <c r="F28" s="7">
        <f>PMT(g_mortRate/12,vivienda_plazoHipoteca*12,-E28)</f>
        <v/>
      </c>
      <c r="G28" s="7">
        <f>B28*ubic_miami_impuestoPropPct/12</f>
        <v/>
      </c>
      <c r="H28" s="7">
        <f>B28*ubic_miami_seguroPct/12</f>
        <v/>
      </c>
      <c r="I28" s="7">
        <f>IF(vivienda_enganchePct&lt;0.2,E28*vivienda_pmiTasa/12,0)</f>
        <v/>
      </c>
      <c r="J28" s="7">
        <f>B28*vivienda_mantenimientoPct/12</f>
        <v/>
      </c>
      <c r="K28" s="7">
        <f>0*ubic_miami_rentaUnidad*(1-vivienda_vacancia)</f>
        <v/>
      </c>
      <c r="L28" s="7">
        <f>F28+G28+H28+I28</f>
        <v/>
      </c>
      <c r="M28" s="7">
        <f>L28+J28-K28*(1-vivienda_gestionPct)</f>
        <v/>
      </c>
      <c r="N28" s="7">
        <f>12*MAX(0,L28-0.75*K28)/vivienda_dtiMax</f>
        <v/>
      </c>
    </row>
    <row r="29">
      <c r="A29" t="inlineStr">
        <is>
          <t>Casa + ADU construido después</t>
        </is>
      </c>
      <c r="B29" s="7">
        <f>ubic_miami_precio_casaAdu</f>
        <v/>
      </c>
      <c r="C29" s="7">
        <f>B29*vivienda_enganchePct</f>
        <v/>
      </c>
      <c r="D29" s="7">
        <f>B29*vivienda_cierrePct</f>
        <v/>
      </c>
      <c r="E29" s="7">
        <f>B29-C29</f>
        <v/>
      </c>
      <c r="F29" s="7">
        <f>PMT(g_mortRate/12,vivienda_plazoHipoteca*12,-E29)</f>
        <v/>
      </c>
      <c r="G29" s="7">
        <f>B29*ubic_miami_impuestoPropPct/12</f>
        <v/>
      </c>
      <c r="H29" s="7">
        <f>B29*ubic_miami_seguroPct/12</f>
        <v/>
      </c>
      <c r="I29" s="7">
        <f>IF(vivienda_enganchePct&lt;0.2,E29*vivienda_pmiTasa/12,0)</f>
        <v/>
      </c>
      <c r="J29" s="7">
        <f>B29*vivienda_mantenimientoPct/12</f>
        <v/>
      </c>
      <c r="K29" s="7">
        <f>0*ubic_miami_rentaUnidad*(1-vivienda_vacancia)</f>
        <v/>
      </c>
      <c r="L29" s="7">
        <f>F29+G29+H29+I29</f>
        <v/>
      </c>
      <c r="M29" s="7">
        <f>L29+J29-K29*(1-vivienda_gestionPct)</f>
        <v/>
      </c>
      <c r="N29" s="7">
        <f>12*MAX(0,L29-0.75*K29)/vivienda_dtiMax</f>
        <v/>
      </c>
    </row>
    <row r="30">
      <c r="A30" t="inlineStr">
        <is>
          <t>Multifamiliar 3-4 unidades (rentar 1-2)</t>
        </is>
      </c>
      <c r="B30" s="7">
        <f>ubic_miami_precio_multi</f>
        <v/>
      </c>
      <c r="C30" s="7">
        <f>B30*vivienda_enganchePct</f>
        <v/>
      </c>
      <c r="D30" s="7">
        <f>B30*vivienda_cierrePct</f>
        <v/>
      </c>
      <c r="E30" s="7">
        <f>B30-C30</f>
        <v/>
      </c>
      <c r="F30" s="7">
        <f>PMT(g_mortRate/12,vivienda_plazoHipoteca*12,-E30)</f>
        <v/>
      </c>
      <c r="G30" s="7">
        <f>B30*ubic_miami_impuestoPropPct/12</f>
        <v/>
      </c>
      <c r="H30" s="7">
        <f>B30*ubic_miami_seguroPct/12</f>
        <v/>
      </c>
      <c r="I30" s="7">
        <f>IF(vivienda_enganchePct&lt;0.2,E30*vivienda_pmiTasa/12,0)</f>
        <v/>
      </c>
      <c r="J30" s="7">
        <f>B30*vivienda_mantenimientoPct/12</f>
        <v/>
      </c>
      <c r="K30" s="7">
        <f>2*ubic_miami_rentaUnidad*(1-vivienda_vacancia)</f>
        <v/>
      </c>
      <c r="L30" s="7">
        <f>F30+G30+H30+I30</f>
        <v/>
      </c>
      <c r="M30" s="7">
        <f>L30+J30-K30*(1-vivienda_gestionPct)</f>
        <v/>
      </c>
      <c r="N30" s="7">
        <f>12*MAX(0,L30-0.75*K30)/vivienda_dtiMax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30"/>
  <sheetViews>
    <sheetView workbookViewId="0">
      <selection activeCell="A1" sqref="A1"/>
    </sheetView>
  </sheetViews>
  <sheetFormatPr baseColWidth="8" defaultRowHeight="15"/>
  <cols>
    <col width="46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Dallas–Fort Worth</t>
        </is>
      </c>
    </row>
    <row r="2">
      <c r="A2" s="2" t="inlineStr">
        <is>
          <t>Donde viven mamá y tía. Sin impuesto estatal; impuesto predial alto (~1.8–2.2%).</t>
        </is>
      </c>
    </row>
    <row r="3">
      <c r="A3" s="2" t="inlineStr">
        <is>
          <t>Licencia compacta: Válida: tu licencia compacta es de TX; al mudarte TX sería tu estado de residencia (lo ideal).</t>
        </is>
      </c>
    </row>
    <row r="5">
      <c r="A5" s="5" t="inlineStr">
        <is>
          <t>Parámetro</t>
        </is>
      </c>
      <c r="B5" s="5" t="inlineStr">
        <is>
          <t>Valor</t>
        </is>
      </c>
      <c r="C5" s="5" t="inlineStr">
        <is>
          <t>Unidad</t>
        </is>
      </c>
      <c r="D5" s="5" t="inlineStr">
        <is>
          <t>Fuente</t>
        </is>
      </c>
      <c r="E5" s="5" t="inlineStr">
        <is>
          <t>Confianza</t>
        </is>
      </c>
      <c r="F5" s="5" t="inlineStr">
        <is>
          <t>Estimado</t>
        </is>
      </c>
    </row>
    <row r="6">
      <c r="A6" t="inlineStr">
        <is>
          <t>Factor salarial RN vs nacional</t>
        </is>
      </c>
      <c r="B6" s="3" t="n">
        <v>0.976</v>
      </c>
      <c r="C6" t="inlineStr">
        <is>
          <t>x</t>
        </is>
      </c>
      <c r="D6" t="inlineStr">
        <is>
          <t>RN DFW $101,420 / Houston $99,830 (allnurses, año BLS no claro); DFW 2024 mediana $98,740</t>
        </is>
      </c>
      <c r="E6" t="inlineStr">
        <is>
          <t>media</t>
        </is>
      </c>
      <c r="F6" t="inlineStr"/>
    </row>
    <row r="7">
      <c r="A7" t="inlineStr">
        <is>
          <t>Factor salarial médico vs nacional</t>
        </is>
      </c>
      <c r="B7" s="3" t="n">
        <v>1.02</v>
      </c>
      <c r="C7" t="inlineStr">
        <is>
          <t>x</t>
        </is>
      </c>
      <c r="D7" t="inlineStr">
        <is>
          <t>Doximity Physician Compensation Report 2026</t>
        </is>
      </c>
      <c r="E7" t="inlineStr">
        <is>
          <t>baja</t>
        </is>
      </c>
      <c r="F7" t="inlineStr">
        <is>
          <t>sí</t>
        </is>
      </c>
    </row>
    <row r="8">
      <c r="A8" t="inlineStr">
        <is>
          <t>Salario PGY-1 2026</t>
        </is>
      </c>
      <c r="B8" s="3" t="n">
        <v>67400</v>
      </c>
      <c r="C8" t="inlineStr">
        <is>
          <t>$</t>
        </is>
      </c>
      <c r="D8" t="inlineStr">
        <is>
          <t>Encuesta AAMC 2025 de salarios de residentes por región (vía MedSchoolCoach)</t>
        </is>
      </c>
      <c r="E8" t="inlineStr">
        <is>
          <t>media</t>
        </is>
      </c>
      <c r="F8" t="inlineStr"/>
    </row>
    <row r="9">
      <c r="A9" t="inlineStr">
        <is>
          <t>Gastos de vida anuales (sin vivienda)</t>
        </is>
      </c>
      <c r="B9" s="3" t="n">
        <v>28500</v>
      </c>
      <c r="C9" t="inlineStr">
        <is>
          <t>$</t>
        </is>
      </c>
      <c r="D9" t="inlineStr">
        <is>
          <t>Estimación propia del modelo (sin dato publicado directo); ver nota</t>
        </is>
      </c>
      <c r="E9" t="inlineStr">
        <is>
          <t>baja</t>
        </is>
      </c>
      <c r="F9" t="inlineStr">
        <is>
          <t>sí</t>
        </is>
      </c>
    </row>
    <row r="10">
      <c r="A10" t="inlineStr">
        <is>
          <t>Renta propia mensual antes de comprar (1 hab.)</t>
        </is>
      </c>
      <c r="B10" s="3" t="n">
        <v>1400</v>
      </c>
      <c r="C10" t="inlineStr">
        <is>
          <t>$</t>
        </is>
      </c>
      <c r="D10" t="inlineStr">
        <is>
          <t>Estimación propia del modelo (sin dato publicado directo); ver nota</t>
        </is>
      </c>
      <c r="E10" t="inlineStr">
        <is>
          <t>baja</t>
        </is>
      </c>
      <c r="F10" t="inlineStr">
        <is>
          <t>sí</t>
        </is>
      </c>
    </row>
    <row r="11">
      <c r="A11" t="inlineStr">
        <is>
          <t>Seguro de vivienda (% del valor/año)</t>
        </is>
      </c>
      <c r="B11" s="6" t="n">
        <v>0.011</v>
      </c>
      <c r="C11" t="inlineStr">
        <is>
          <t>%</t>
        </is>
      </c>
      <c r="D11" t="inlineStr">
        <is>
          <t>Insurance.com 2026: prima promedio FL $8,471; TX $4,582; nacional $2,872</t>
        </is>
      </c>
      <c r="E11" t="inlineStr">
        <is>
          <t>media</t>
        </is>
      </c>
      <c r="F11" t="inlineStr">
        <is>
          <t>sí</t>
        </is>
      </c>
    </row>
    <row r="12">
      <c r="A12" t="inlineStr">
        <is>
          <t>Impuesto a la propiedad efectivo</t>
        </is>
      </c>
      <c r="B12" s="6" t="n">
        <v>0.019</v>
      </c>
      <c r="C12" t="inlineStr">
        <is>
          <t>%</t>
        </is>
      </c>
      <c r="D12" t="inlineStr">
        <is>
          <t>Impuesto predial efectivo Dallas 1.44–1.85%, Tarrant 1.54–1.80%</t>
        </is>
      </c>
      <c r="E12" t="inlineStr">
        <is>
          <t>media</t>
        </is>
      </c>
      <c r="F12" t="inlineStr"/>
    </row>
    <row r="13">
      <c r="A13" t="inlineStr">
        <is>
          <t>Facilidad de match IMG si te limitas a la región</t>
        </is>
      </c>
      <c r="B13" s="3" t="n">
        <v>0.9</v>
      </c>
      <c r="C13" t="inlineStr">
        <is>
          <t>x</t>
        </is>
      </c>
      <c r="D13" t="inlineStr">
        <is>
          <t>Estimación propia del modelo (sin dato publicado directo); ver nota</t>
        </is>
      </c>
      <c r="E13" t="inlineStr">
        <is>
          <t>baja</t>
        </is>
      </c>
      <c r="F13" t="inlineStr">
        <is>
          <t>sí</t>
        </is>
      </c>
    </row>
    <row r="14">
      <c r="A14" t="inlineStr">
        <is>
          <t>Renta mensual por unidad rentada (multifamiliar)</t>
        </is>
      </c>
      <c r="B14" s="3" t="n">
        <v>1750</v>
      </c>
      <c r="C14" t="inlineStr">
        <is>
          <t>$</t>
        </is>
      </c>
      <c r="D14" t="inlineStr">
        <is>
          <t>Dúplex DFW: nuevos Midlothian $699k; Fort Worth 2009 $525k (listados)</t>
        </is>
      </c>
      <c r="E14" t="inlineStr">
        <is>
          <t>media</t>
        </is>
      </c>
      <c r="F14" t="inlineStr">
        <is>
          <t>sí</t>
        </is>
      </c>
    </row>
    <row r="15">
      <c r="A15" t="inlineStr">
        <is>
          <t>Precio dúplex</t>
        </is>
      </c>
      <c r="B15" s="3" t="n">
        <v>520000</v>
      </c>
      <c r="C15" t="inlineStr">
        <is>
          <t>$</t>
        </is>
      </c>
      <c r="D15" t="inlineStr">
        <is>
          <t>Dúplex DFW: nuevos Midlothian $699k; Fort Worth 2009 $525k (listados)</t>
        </is>
      </c>
      <c r="E15" t="inlineStr">
        <is>
          <t>media</t>
        </is>
      </c>
      <c r="F15" t="inlineStr">
        <is>
          <t>sí</t>
        </is>
      </c>
    </row>
    <row r="16">
      <c r="A16" t="inlineStr">
        <is>
          <t>Precio casa con in-law suite</t>
        </is>
      </c>
      <c r="B16" s="3" t="n">
        <v>560000</v>
      </c>
      <c r="C16" t="inlineStr">
        <is>
          <t>$</t>
        </is>
      </c>
      <c r="D16" t="inlineStr">
        <is>
          <t>DFW mediana ~$395k (Opendoor, may-2026); $439,990 (Follow Up Ace, jul-2026)</t>
        </is>
      </c>
      <c r="E16" t="inlineStr">
        <is>
          <t>baja</t>
        </is>
      </c>
      <c r="F16" t="inlineStr">
        <is>
          <t>sí</t>
        </is>
      </c>
    </row>
    <row r="17">
      <c r="A17" t="inlineStr">
        <is>
          <t>Precio dos casas pequeñas (total)</t>
        </is>
      </c>
      <c r="B17" s="3" t="n">
        <v>640000</v>
      </c>
      <c r="C17" t="inlineStr">
        <is>
          <t>$</t>
        </is>
      </c>
      <c r="D17" t="inlineStr">
        <is>
          <t>DFW mediana ~$395k (Opendoor, may-2026); $439,990 (Follow Up Ace, jul-2026)</t>
        </is>
      </c>
      <c r="E17" t="inlineStr">
        <is>
          <t>media</t>
        </is>
      </c>
      <c r="F17" t="inlineStr">
        <is>
          <t>sí</t>
        </is>
      </c>
    </row>
    <row r="18">
      <c r="A18" t="inlineStr">
        <is>
          <t>Precio casa (sin ADU)</t>
        </is>
      </c>
      <c r="B18" s="3" t="n">
        <v>420000</v>
      </c>
      <c r="C18" t="inlineStr">
        <is>
          <t>$</t>
        </is>
      </c>
      <c r="D18" t="inlineStr">
        <is>
          <t>DFW mediana ~$395k (Opendoor, may-2026); $439,990 (Follow Up Ace, jul-2026)</t>
        </is>
      </c>
      <c r="E18" t="inlineStr">
        <is>
          <t>media</t>
        </is>
      </c>
      <c r="F18" t="inlineStr">
        <is>
          <t>sí</t>
        </is>
      </c>
    </row>
    <row r="19">
      <c r="A19" t="inlineStr">
        <is>
          <t>Costo de construir ADU</t>
        </is>
      </c>
      <c r="B19" s="3" t="n">
        <v>140000</v>
      </c>
      <c r="C19" t="inlineStr">
        <is>
          <t>$</t>
        </is>
      </c>
      <c r="D19" t="inlineStr">
        <is>
          <t>Estimación propia del modelo (sin dato publicado directo); ver nota</t>
        </is>
      </c>
      <c r="E19" t="inlineStr">
        <is>
          <t>baja</t>
        </is>
      </c>
      <c r="F19" t="inlineStr">
        <is>
          <t>sí</t>
        </is>
      </c>
    </row>
    <row r="20">
      <c r="A20" t="inlineStr">
        <is>
          <t>Precio fourplex</t>
        </is>
      </c>
      <c r="B20" s="3" t="n">
        <v>900000</v>
      </c>
      <c r="C20" t="inlineStr">
        <is>
          <t>$</t>
        </is>
      </c>
      <c r="D20" t="inlineStr">
        <is>
          <t>Estimación propia del modelo (sin dato publicado directo); ver nota</t>
        </is>
      </c>
      <c r="E20" t="inlineStr">
        <is>
          <t>baja</t>
        </is>
      </c>
      <c r="F20" t="inlineStr">
        <is>
          <t>sí</t>
        </is>
      </c>
    </row>
    <row r="21">
      <c r="A21" t="inlineStr">
        <is>
          <t>Impuesto estatal (1=ninguno, 2=Ohio, 3=Nueva York)</t>
        </is>
      </c>
      <c r="B21" s="3" t="n">
        <v>1</v>
      </c>
    </row>
    <row r="22">
      <c r="A22" t="inlineStr">
        <is>
          <t>Impuesto municipal NYC (1/0)</t>
        </is>
      </c>
      <c r="B22" s="3" t="n">
        <v>0</v>
      </c>
    </row>
    <row r="24">
      <c r="A24" s="4" t="inlineStr">
        <is>
          <t>Cotización de vivienda (precios 2026, escenario activo)</t>
        </is>
      </c>
    </row>
    <row r="25">
      <c r="A25" s="5" t="inlineStr">
        <is>
          <t>Configuración</t>
        </is>
      </c>
      <c r="B25" s="5" t="inlineStr">
        <is>
          <t>Precio</t>
        </is>
      </c>
      <c r="C25" s="5" t="inlineStr">
        <is>
          <t>Enganche</t>
        </is>
      </c>
      <c r="D25" s="5" t="inlineStr">
        <is>
          <t>Cierre</t>
        </is>
      </c>
      <c r="E25" s="5" t="inlineStr">
        <is>
          <t>Préstamo</t>
        </is>
      </c>
      <c r="F25" s="5" t="inlineStr">
        <is>
          <t>P&amp;I mensual</t>
        </is>
      </c>
      <c r="G25" s="5" t="inlineStr">
        <is>
          <t>Impuesto/mes</t>
        </is>
      </c>
      <c r="H25" s="5" t="inlineStr">
        <is>
          <t>Seguro/mes</t>
        </is>
      </c>
      <c r="I25" s="5" t="inlineStr">
        <is>
          <t>PMI/mes</t>
        </is>
      </c>
      <c r="J25" s="5" t="inlineStr">
        <is>
          <t>Mantenimiento/mes</t>
        </is>
      </c>
      <c r="K25" s="5" t="inlineStr">
        <is>
          <t>Renta recibida/mes</t>
        </is>
      </c>
      <c r="L25" s="5" t="inlineStr">
        <is>
          <t>PITI</t>
        </is>
      </c>
      <c r="M25" s="5" t="inlineStr">
        <is>
          <t>Costo neto/mes</t>
        </is>
      </c>
      <c r="N25" s="5" t="inlineStr">
        <is>
          <t>Ingreso bruto anual necesario</t>
        </is>
      </c>
    </row>
    <row r="26">
      <c r="A26" t="inlineStr">
        <is>
          <t>Dúplex (yo en una unidad, ellas en la otra)</t>
        </is>
      </c>
      <c r="B26" s="7">
        <f>ubic_dfw_precio_duplex</f>
        <v/>
      </c>
      <c r="C26" s="7">
        <f>B26*vivienda_enganchePct</f>
        <v/>
      </c>
      <c r="D26" s="7">
        <f>B26*vivienda_cierrePct</f>
        <v/>
      </c>
      <c r="E26" s="7">
        <f>B26-C26</f>
        <v/>
      </c>
      <c r="F26" s="7">
        <f>PMT(g_mortRate/12,vivienda_plazoHipoteca*12,-E26)</f>
        <v/>
      </c>
      <c r="G26" s="7">
        <f>B26*ubic_dfw_impuestoPropPct/12</f>
        <v/>
      </c>
      <c r="H26" s="7">
        <f>B26*ubic_dfw_seguroPct/12</f>
        <v/>
      </c>
      <c r="I26" s="7">
        <f>IF(vivienda_enganchePct&lt;0.2,E26*vivienda_pmiTasa/12,0)</f>
        <v/>
      </c>
      <c r="J26" s="7">
        <f>B26*vivienda_mantenimientoPct/12</f>
        <v/>
      </c>
      <c r="K26" s="7">
        <f>0*ubic_dfw_rentaUnidad*(1-vivienda_vacancia)</f>
        <v/>
      </c>
      <c r="L26" s="7">
        <f>F26+G26+H26+I26</f>
        <v/>
      </c>
      <c r="M26" s="7">
        <f>L26+J26-K26*(1-vivienda_gestionPct)</f>
        <v/>
      </c>
      <c r="N26" s="7">
        <f>12*MAX(0,L26-0.75*K26)/vivienda_dtiMax</f>
        <v/>
      </c>
    </row>
    <row r="27">
      <c r="A27" t="inlineStr">
        <is>
          <t>Casa grande con in-law suite</t>
        </is>
      </c>
      <c r="B27" s="7">
        <f>ubic_dfw_precio_inlaw</f>
        <v/>
      </c>
      <c r="C27" s="7">
        <f>B27*vivienda_enganchePct</f>
        <v/>
      </c>
      <c r="D27" s="7">
        <f>B27*vivienda_cierrePct</f>
        <v/>
      </c>
      <c r="E27" s="7">
        <f>B27-C27</f>
        <v/>
      </c>
      <c r="F27" s="7">
        <f>PMT(g_mortRate/12,vivienda_plazoHipoteca*12,-E27)</f>
        <v/>
      </c>
      <c r="G27" s="7">
        <f>B27*ubic_dfw_impuestoPropPct/12</f>
        <v/>
      </c>
      <c r="H27" s="7">
        <f>B27*ubic_dfw_seguroPct/12</f>
        <v/>
      </c>
      <c r="I27" s="7">
        <f>IF(vivienda_enganchePct&lt;0.2,E27*vivienda_pmiTasa/12,0)</f>
        <v/>
      </c>
      <c r="J27" s="7">
        <f>B27*vivienda_mantenimientoPct/12</f>
        <v/>
      </c>
      <c r="K27" s="7">
        <f>0*ubic_dfw_rentaUnidad*(1-vivienda_vacancia)</f>
        <v/>
      </c>
      <c r="L27" s="7">
        <f>F27+G27+H27+I27</f>
        <v/>
      </c>
      <c r="M27" s="7">
        <f>L27+J27-K27*(1-vivienda_gestionPct)</f>
        <v/>
      </c>
      <c r="N27" s="7">
        <f>12*MAX(0,L27-0.75*K27)/vivienda_dtiMax</f>
        <v/>
      </c>
    </row>
    <row r="28">
      <c r="A28" t="inlineStr">
        <is>
          <t>Dos casas pequeñas cercanas</t>
        </is>
      </c>
      <c r="B28" s="7">
        <f>ubic_dfw_precio_dosCasas</f>
        <v/>
      </c>
      <c r="C28" s="7">
        <f>B28*vivienda_enganchePct</f>
        <v/>
      </c>
      <c r="D28" s="7">
        <f>B28*vivienda_cierrePct</f>
        <v/>
      </c>
      <c r="E28" s="7">
        <f>B28-C28</f>
        <v/>
      </c>
      <c r="F28" s="7">
        <f>PMT(g_mortRate/12,vivienda_plazoHipoteca*12,-E28)</f>
        <v/>
      </c>
      <c r="G28" s="7">
        <f>B28*ubic_dfw_impuestoPropPct/12</f>
        <v/>
      </c>
      <c r="H28" s="7">
        <f>B28*ubic_dfw_seguroPct/12</f>
        <v/>
      </c>
      <c r="I28" s="7">
        <f>IF(vivienda_enganchePct&lt;0.2,E28*vivienda_pmiTasa/12,0)</f>
        <v/>
      </c>
      <c r="J28" s="7">
        <f>B28*vivienda_mantenimientoPct/12</f>
        <v/>
      </c>
      <c r="K28" s="7">
        <f>0*ubic_dfw_rentaUnidad*(1-vivienda_vacancia)</f>
        <v/>
      </c>
      <c r="L28" s="7">
        <f>F28+G28+H28+I28</f>
        <v/>
      </c>
      <c r="M28" s="7">
        <f>L28+J28-K28*(1-vivienda_gestionPct)</f>
        <v/>
      </c>
      <c r="N28" s="7">
        <f>12*MAX(0,L28-0.75*K28)/vivienda_dtiMax</f>
        <v/>
      </c>
    </row>
    <row r="29">
      <c r="A29" t="inlineStr">
        <is>
          <t>Casa + ADU construido después</t>
        </is>
      </c>
      <c r="B29" s="7">
        <f>ubic_dfw_precio_casaAdu</f>
        <v/>
      </c>
      <c r="C29" s="7">
        <f>B29*vivienda_enganchePct</f>
        <v/>
      </c>
      <c r="D29" s="7">
        <f>B29*vivienda_cierrePct</f>
        <v/>
      </c>
      <c r="E29" s="7">
        <f>B29-C29</f>
        <v/>
      </c>
      <c r="F29" s="7">
        <f>PMT(g_mortRate/12,vivienda_plazoHipoteca*12,-E29)</f>
        <v/>
      </c>
      <c r="G29" s="7">
        <f>B29*ubic_dfw_impuestoPropPct/12</f>
        <v/>
      </c>
      <c r="H29" s="7">
        <f>B29*ubic_dfw_seguroPct/12</f>
        <v/>
      </c>
      <c r="I29" s="7">
        <f>IF(vivienda_enganchePct&lt;0.2,E29*vivienda_pmiTasa/12,0)</f>
        <v/>
      </c>
      <c r="J29" s="7">
        <f>B29*vivienda_mantenimientoPct/12</f>
        <v/>
      </c>
      <c r="K29" s="7">
        <f>0*ubic_dfw_rentaUnidad*(1-vivienda_vacancia)</f>
        <v/>
      </c>
      <c r="L29" s="7">
        <f>F29+G29+H29+I29</f>
        <v/>
      </c>
      <c r="M29" s="7">
        <f>L29+J29-K29*(1-vivienda_gestionPct)</f>
        <v/>
      </c>
      <c r="N29" s="7">
        <f>12*MAX(0,L29-0.75*K29)/vivienda_dtiMax</f>
        <v/>
      </c>
    </row>
    <row r="30">
      <c r="A30" t="inlineStr">
        <is>
          <t>Multifamiliar 3-4 unidades (rentar 1-2)</t>
        </is>
      </c>
      <c r="B30" s="7">
        <f>ubic_dfw_precio_multi</f>
        <v/>
      </c>
      <c r="C30" s="7">
        <f>B30*vivienda_enganchePct</f>
        <v/>
      </c>
      <c r="D30" s="7">
        <f>B30*vivienda_cierrePct</f>
        <v/>
      </c>
      <c r="E30" s="7">
        <f>B30-C30</f>
        <v/>
      </c>
      <c r="F30" s="7">
        <f>PMT(g_mortRate/12,vivienda_plazoHipoteca*12,-E30)</f>
        <v/>
      </c>
      <c r="G30" s="7">
        <f>B30*ubic_dfw_impuestoPropPct/12</f>
        <v/>
      </c>
      <c r="H30" s="7">
        <f>B30*ubic_dfw_seguroPct/12</f>
        <v/>
      </c>
      <c r="I30" s="7">
        <f>IF(vivienda_enganchePct&lt;0.2,E30*vivienda_pmiTasa/12,0)</f>
        <v/>
      </c>
      <c r="J30" s="7">
        <f>B30*vivienda_mantenimientoPct/12</f>
        <v/>
      </c>
      <c r="K30" s="7">
        <f>2*ubic_dfw_rentaUnidad*(1-vivienda_vacancia)</f>
        <v/>
      </c>
      <c r="L30" s="7">
        <f>F30+G30+H30+I30</f>
        <v/>
      </c>
      <c r="M30" s="7">
        <f>L30+J30-K30*(1-vivienda_gestionPct)</f>
        <v/>
      </c>
      <c r="N30" s="7">
        <f>12*MAX(0,L30-0.75*K30)/vivienda_dtiMax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30"/>
  <sheetViews>
    <sheetView workbookViewId="0">
      <selection activeCell="A1" sqref="A1"/>
    </sheetView>
  </sheetViews>
  <sheetFormatPr baseColWidth="8" defaultRowHeight="15"/>
  <cols>
    <col width="46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Houston</t>
        </is>
      </c>
    </row>
    <row r="2">
      <c r="A2" s="2" t="inlineStr">
        <is>
          <t>TX sin impuesto estatal, Texas Medical Center (muchos programas y empleos RN), vivienda más barata que DFW; ~4 h de mamá y tía. Riesgo de huracán/inundación.</t>
        </is>
      </c>
    </row>
    <row r="3">
      <c r="A3" s="2" t="inlineStr">
        <is>
          <t>Licencia compacta: Válida: licencia compacta TX.</t>
        </is>
      </c>
    </row>
    <row r="5">
      <c r="A5" s="5" t="inlineStr">
        <is>
          <t>Parámetro</t>
        </is>
      </c>
      <c r="B5" s="5" t="inlineStr">
        <is>
          <t>Valor</t>
        </is>
      </c>
      <c r="C5" s="5" t="inlineStr">
        <is>
          <t>Unidad</t>
        </is>
      </c>
      <c r="D5" s="5" t="inlineStr">
        <is>
          <t>Fuente</t>
        </is>
      </c>
      <c r="E5" s="5" t="inlineStr">
        <is>
          <t>Confianza</t>
        </is>
      </c>
      <c r="F5" s="5" t="inlineStr">
        <is>
          <t>Estimado</t>
        </is>
      </c>
    </row>
    <row r="6">
      <c r="A6" t="inlineStr">
        <is>
          <t>Factor salarial RN vs nacional</t>
        </is>
      </c>
      <c r="B6" s="3" t="n">
        <v>0.984</v>
      </c>
      <c r="C6" t="inlineStr">
        <is>
          <t>x</t>
        </is>
      </c>
      <c r="D6" t="inlineStr">
        <is>
          <t>RN DFW $101,420 / Houston $99,830 (allnurses, año BLS no claro); DFW 2024 mediana $98,740</t>
        </is>
      </c>
      <c r="E6" t="inlineStr">
        <is>
          <t>media</t>
        </is>
      </c>
      <c r="F6" t="inlineStr"/>
    </row>
    <row r="7">
      <c r="A7" t="inlineStr">
        <is>
          <t>Factor salarial médico vs nacional</t>
        </is>
      </c>
      <c r="B7" s="3" t="n">
        <v>1.02</v>
      </c>
      <c r="C7" t="inlineStr">
        <is>
          <t>x</t>
        </is>
      </c>
      <c r="D7" t="inlineStr">
        <is>
          <t>Doximity Physician Compensation Report 2026</t>
        </is>
      </c>
      <c r="E7" t="inlineStr">
        <is>
          <t>baja</t>
        </is>
      </c>
      <c r="F7" t="inlineStr">
        <is>
          <t>sí</t>
        </is>
      </c>
    </row>
    <row r="8">
      <c r="A8" t="inlineStr">
        <is>
          <t>Salario PGY-1 2026</t>
        </is>
      </c>
      <c r="B8" s="3" t="n">
        <v>67400</v>
      </c>
      <c r="C8" t="inlineStr">
        <is>
          <t>$</t>
        </is>
      </c>
      <c r="D8" t="inlineStr">
        <is>
          <t>Encuesta AAMC 2025 de salarios de residentes por región (vía MedSchoolCoach)</t>
        </is>
      </c>
      <c r="E8" t="inlineStr">
        <is>
          <t>media</t>
        </is>
      </c>
      <c r="F8" t="inlineStr"/>
    </row>
    <row r="9">
      <c r="A9" t="inlineStr">
        <is>
          <t>Gastos de vida anuales (sin vivienda)</t>
        </is>
      </c>
      <c r="B9" s="3" t="n">
        <v>28000</v>
      </c>
      <c r="C9" t="inlineStr">
        <is>
          <t>$</t>
        </is>
      </c>
      <c r="D9" t="inlineStr">
        <is>
          <t>Estimación propia del modelo (sin dato publicado directo); ver nota</t>
        </is>
      </c>
      <c r="E9" t="inlineStr">
        <is>
          <t>baja</t>
        </is>
      </c>
      <c r="F9" t="inlineStr">
        <is>
          <t>sí</t>
        </is>
      </c>
    </row>
    <row r="10">
      <c r="A10" t="inlineStr">
        <is>
          <t>Renta propia mensual antes de comprar (1 hab.)</t>
        </is>
      </c>
      <c r="B10" s="3" t="n">
        <v>1300</v>
      </c>
      <c r="C10" t="inlineStr">
        <is>
          <t>$</t>
        </is>
      </c>
      <c r="D10" t="inlineStr">
        <is>
          <t>Estimación propia del modelo (sin dato publicado directo); ver nota</t>
        </is>
      </c>
      <c r="E10" t="inlineStr">
        <is>
          <t>baja</t>
        </is>
      </c>
      <c r="F10" t="inlineStr">
        <is>
          <t>sí</t>
        </is>
      </c>
    </row>
    <row r="11">
      <c r="A11" t="inlineStr">
        <is>
          <t>Seguro de vivienda (% del valor/año)</t>
        </is>
      </c>
      <c r="B11" s="6" t="n">
        <v>0.012</v>
      </c>
      <c r="C11" t="inlineStr">
        <is>
          <t>%</t>
        </is>
      </c>
      <c r="D11" t="inlineStr">
        <is>
          <t>Insurance.com 2026: prima promedio FL $8,471; TX $4,582; nacional $2,872</t>
        </is>
      </c>
      <c r="E11" t="inlineStr">
        <is>
          <t>media</t>
        </is>
      </c>
      <c r="F11" t="inlineStr">
        <is>
          <t>sí</t>
        </is>
      </c>
    </row>
    <row r="12">
      <c r="A12" t="inlineStr">
        <is>
          <t>Impuesto a la propiedad efectivo</t>
        </is>
      </c>
      <c r="B12" s="6" t="n">
        <v>0.02</v>
      </c>
      <c r="C12" t="inlineStr">
        <is>
          <t>%</t>
        </is>
      </c>
      <c r="D12" t="inlineStr">
        <is>
          <t>Estimación propia del modelo (sin dato publicado directo); ver nota</t>
        </is>
      </c>
      <c r="E12" t="inlineStr">
        <is>
          <t>media</t>
        </is>
      </c>
      <c r="F12" t="inlineStr">
        <is>
          <t>sí</t>
        </is>
      </c>
    </row>
    <row r="13">
      <c r="A13" t="inlineStr">
        <is>
          <t>Facilidad de match IMG si te limitas a la región</t>
        </is>
      </c>
      <c r="B13" s="3" t="n">
        <v>0.95</v>
      </c>
      <c r="C13" t="inlineStr">
        <is>
          <t>x</t>
        </is>
      </c>
      <c r="D13" t="inlineStr">
        <is>
          <t>Estimación propia del modelo (sin dato publicado directo); ver nota</t>
        </is>
      </c>
      <c r="E13" t="inlineStr">
        <is>
          <t>baja</t>
        </is>
      </c>
      <c r="F13" t="inlineStr">
        <is>
          <t>sí</t>
        </is>
      </c>
    </row>
    <row r="14">
      <c r="A14" t="inlineStr">
        <is>
          <t>Renta mensual por unidad rentada (multifamiliar)</t>
        </is>
      </c>
      <c r="B14" s="3" t="n">
        <v>1600</v>
      </c>
      <c r="C14" t="inlineStr">
        <is>
          <t>$</t>
        </is>
      </c>
      <c r="D14" t="inlineStr">
        <is>
          <t>Estimación propia del modelo (sin dato publicado directo); ver nota</t>
        </is>
      </c>
      <c r="E14" t="inlineStr">
        <is>
          <t>baja</t>
        </is>
      </c>
      <c r="F14" t="inlineStr">
        <is>
          <t>sí</t>
        </is>
      </c>
    </row>
    <row r="15">
      <c r="A15" t="inlineStr">
        <is>
          <t>Precio dúplex</t>
        </is>
      </c>
      <c r="B15" s="3" t="n">
        <v>460000</v>
      </c>
      <c r="C15" t="inlineStr">
        <is>
          <t>$</t>
        </is>
      </c>
      <c r="D15" t="inlineStr">
        <is>
          <t>Houston (HAR) mediana unifamiliar ~$345k (jun-2026)</t>
        </is>
      </c>
      <c r="E15" t="inlineStr">
        <is>
          <t>baja</t>
        </is>
      </c>
      <c r="F15" t="inlineStr">
        <is>
          <t>sí</t>
        </is>
      </c>
    </row>
    <row r="16">
      <c r="A16" t="inlineStr">
        <is>
          <t>Precio casa con in-law suite</t>
        </is>
      </c>
      <c r="B16" s="3" t="n">
        <v>500000</v>
      </c>
      <c r="C16" t="inlineStr">
        <is>
          <t>$</t>
        </is>
      </c>
      <c r="D16" t="inlineStr">
        <is>
          <t>Houston (HAR) mediana unifamiliar ~$345k (jun-2026)</t>
        </is>
      </c>
      <c r="E16" t="inlineStr">
        <is>
          <t>baja</t>
        </is>
      </c>
      <c r="F16" t="inlineStr">
        <is>
          <t>sí</t>
        </is>
      </c>
    </row>
    <row r="17">
      <c r="A17" t="inlineStr">
        <is>
          <t>Precio dos casas pequeñas (total)</t>
        </is>
      </c>
      <c r="B17" s="3" t="n">
        <v>580000</v>
      </c>
      <c r="C17" t="inlineStr">
        <is>
          <t>$</t>
        </is>
      </c>
      <c r="D17" t="inlineStr">
        <is>
          <t>Houston (HAR) mediana unifamiliar ~$345k (jun-2026)</t>
        </is>
      </c>
      <c r="E17" t="inlineStr">
        <is>
          <t>media</t>
        </is>
      </c>
      <c r="F17" t="inlineStr">
        <is>
          <t>sí</t>
        </is>
      </c>
    </row>
    <row r="18">
      <c r="A18" t="inlineStr">
        <is>
          <t>Precio casa (sin ADU)</t>
        </is>
      </c>
      <c r="B18" s="3" t="n">
        <v>380000</v>
      </c>
      <c r="C18" t="inlineStr">
        <is>
          <t>$</t>
        </is>
      </c>
      <c r="D18" t="inlineStr">
        <is>
          <t>Houston (HAR) mediana unifamiliar ~$345k (jun-2026)</t>
        </is>
      </c>
      <c r="E18" t="inlineStr">
        <is>
          <t>media</t>
        </is>
      </c>
      <c r="F18" t="inlineStr">
        <is>
          <t>sí</t>
        </is>
      </c>
    </row>
    <row r="19">
      <c r="A19" t="inlineStr">
        <is>
          <t>Costo de construir ADU</t>
        </is>
      </c>
      <c r="B19" s="3" t="n">
        <v>130000</v>
      </c>
      <c r="C19" t="inlineStr">
        <is>
          <t>$</t>
        </is>
      </c>
      <c r="D19" t="inlineStr">
        <is>
          <t>Estimación propia del modelo (sin dato publicado directo); ver nota</t>
        </is>
      </c>
      <c r="E19" t="inlineStr">
        <is>
          <t>baja</t>
        </is>
      </c>
      <c r="F19" t="inlineStr">
        <is>
          <t>sí</t>
        </is>
      </c>
    </row>
    <row r="20">
      <c r="A20" t="inlineStr">
        <is>
          <t>Precio fourplex</t>
        </is>
      </c>
      <c r="B20" s="3" t="n">
        <v>800000</v>
      </c>
      <c r="C20" t="inlineStr">
        <is>
          <t>$</t>
        </is>
      </c>
      <c r="D20" t="inlineStr">
        <is>
          <t>Estimación propia del modelo (sin dato publicado directo); ver nota</t>
        </is>
      </c>
      <c r="E20" t="inlineStr">
        <is>
          <t>baja</t>
        </is>
      </c>
      <c r="F20" t="inlineStr">
        <is>
          <t>sí</t>
        </is>
      </c>
    </row>
    <row r="21">
      <c r="A21" t="inlineStr">
        <is>
          <t>Impuesto estatal (1=ninguno, 2=Ohio, 3=Nueva York)</t>
        </is>
      </c>
      <c r="B21" s="3" t="n">
        <v>1</v>
      </c>
    </row>
    <row r="22">
      <c r="A22" t="inlineStr">
        <is>
          <t>Impuesto municipal NYC (1/0)</t>
        </is>
      </c>
      <c r="B22" s="3" t="n">
        <v>0</v>
      </c>
    </row>
    <row r="24">
      <c r="A24" s="4" t="inlineStr">
        <is>
          <t>Cotización de vivienda (precios 2026, escenario activo)</t>
        </is>
      </c>
    </row>
    <row r="25">
      <c r="A25" s="5" t="inlineStr">
        <is>
          <t>Configuración</t>
        </is>
      </c>
      <c r="B25" s="5" t="inlineStr">
        <is>
          <t>Precio</t>
        </is>
      </c>
      <c r="C25" s="5" t="inlineStr">
        <is>
          <t>Enganche</t>
        </is>
      </c>
      <c r="D25" s="5" t="inlineStr">
        <is>
          <t>Cierre</t>
        </is>
      </c>
      <c r="E25" s="5" t="inlineStr">
        <is>
          <t>Préstamo</t>
        </is>
      </c>
      <c r="F25" s="5" t="inlineStr">
        <is>
          <t>P&amp;I mensual</t>
        </is>
      </c>
      <c r="G25" s="5" t="inlineStr">
        <is>
          <t>Impuesto/mes</t>
        </is>
      </c>
      <c r="H25" s="5" t="inlineStr">
        <is>
          <t>Seguro/mes</t>
        </is>
      </c>
      <c r="I25" s="5" t="inlineStr">
        <is>
          <t>PMI/mes</t>
        </is>
      </c>
      <c r="J25" s="5" t="inlineStr">
        <is>
          <t>Mantenimiento/mes</t>
        </is>
      </c>
      <c r="K25" s="5" t="inlineStr">
        <is>
          <t>Renta recibida/mes</t>
        </is>
      </c>
      <c r="L25" s="5" t="inlineStr">
        <is>
          <t>PITI</t>
        </is>
      </c>
      <c r="M25" s="5" t="inlineStr">
        <is>
          <t>Costo neto/mes</t>
        </is>
      </c>
      <c r="N25" s="5" t="inlineStr">
        <is>
          <t>Ingreso bruto anual necesario</t>
        </is>
      </c>
    </row>
    <row r="26">
      <c r="A26" t="inlineStr">
        <is>
          <t>Dúplex (yo en una unidad, ellas en la otra)</t>
        </is>
      </c>
      <c r="B26" s="7">
        <f>ubic_houston_precio_duplex</f>
        <v/>
      </c>
      <c r="C26" s="7">
        <f>B26*vivienda_enganchePct</f>
        <v/>
      </c>
      <c r="D26" s="7">
        <f>B26*vivienda_cierrePct</f>
        <v/>
      </c>
      <c r="E26" s="7">
        <f>B26-C26</f>
        <v/>
      </c>
      <c r="F26" s="7">
        <f>PMT(g_mortRate/12,vivienda_plazoHipoteca*12,-E26)</f>
        <v/>
      </c>
      <c r="G26" s="7">
        <f>B26*ubic_houston_impuestoPropPct/12</f>
        <v/>
      </c>
      <c r="H26" s="7">
        <f>B26*ubic_houston_seguroPct/12</f>
        <v/>
      </c>
      <c r="I26" s="7">
        <f>IF(vivienda_enganchePct&lt;0.2,E26*vivienda_pmiTasa/12,0)</f>
        <v/>
      </c>
      <c r="J26" s="7">
        <f>B26*vivienda_mantenimientoPct/12</f>
        <v/>
      </c>
      <c r="K26" s="7">
        <f>0*ubic_houston_rentaUnidad*(1-vivienda_vacancia)</f>
        <v/>
      </c>
      <c r="L26" s="7">
        <f>F26+G26+H26+I26</f>
        <v/>
      </c>
      <c r="M26" s="7">
        <f>L26+J26-K26*(1-vivienda_gestionPct)</f>
        <v/>
      </c>
      <c r="N26" s="7">
        <f>12*MAX(0,L26-0.75*K26)/vivienda_dtiMax</f>
        <v/>
      </c>
    </row>
    <row r="27">
      <c r="A27" t="inlineStr">
        <is>
          <t>Casa grande con in-law suite</t>
        </is>
      </c>
      <c r="B27" s="7">
        <f>ubic_houston_precio_inlaw</f>
        <v/>
      </c>
      <c r="C27" s="7">
        <f>B27*vivienda_enganchePct</f>
        <v/>
      </c>
      <c r="D27" s="7">
        <f>B27*vivienda_cierrePct</f>
        <v/>
      </c>
      <c r="E27" s="7">
        <f>B27-C27</f>
        <v/>
      </c>
      <c r="F27" s="7">
        <f>PMT(g_mortRate/12,vivienda_plazoHipoteca*12,-E27)</f>
        <v/>
      </c>
      <c r="G27" s="7">
        <f>B27*ubic_houston_impuestoPropPct/12</f>
        <v/>
      </c>
      <c r="H27" s="7">
        <f>B27*ubic_houston_seguroPct/12</f>
        <v/>
      </c>
      <c r="I27" s="7">
        <f>IF(vivienda_enganchePct&lt;0.2,E27*vivienda_pmiTasa/12,0)</f>
        <v/>
      </c>
      <c r="J27" s="7">
        <f>B27*vivienda_mantenimientoPct/12</f>
        <v/>
      </c>
      <c r="K27" s="7">
        <f>0*ubic_houston_rentaUnidad*(1-vivienda_vacancia)</f>
        <v/>
      </c>
      <c r="L27" s="7">
        <f>F27+G27+H27+I27</f>
        <v/>
      </c>
      <c r="M27" s="7">
        <f>L27+J27-K27*(1-vivienda_gestionPct)</f>
        <v/>
      </c>
      <c r="N27" s="7">
        <f>12*MAX(0,L27-0.75*K27)/vivienda_dtiMax</f>
        <v/>
      </c>
    </row>
    <row r="28">
      <c r="A28" t="inlineStr">
        <is>
          <t>Dos casas pequeñas cercanas</t>
        </is>
      </c>
      <c r="B28" s="7">
        <f>ubic_houston_precio_dosCasas</f>
        <v/>
      </c>
      <c r="C28" s="7">
        <f>B28*vivienda_enganchePct</f>
        <v/>
      </c>
      <c r="D28" s="7">
        <f>B28*vivienda_cierrePct</f>
        <v/>
      </c>
      <c r="E28" s="7">
        <f>B28-C28</f>
        <v/>
      </c>
      <c r="F28" s="7">
        <f>PMT(g_mortRate/12,vivienda_plazoHipoteca*12,-E28)</f>
        <v/>
      </c>
      <c r="G28" s="7">
        <f>B28*ubic_houston_impuestoPropPct/12</f>
        <v/>
      </c>
      <c r="H28" s="7">
        <f>B28*ubic_houston_seguroPct/12</f>
        <v/>
      </c>
      <c r="I28" s="7">
        <f>IF(vivienda_enganchePct&lt;0.2,E28*vivienda_pmiTasa/12,0)</f>
        <v/>
      </c>
      <c r="J28" s="7">
        <f>B28*vivienda_mantenimientoPct/12</f>
        <v/>
      </c>
      <c r="K28" s="7">
        <f>0*ubic_houston_rentaUnidad*(1-vivienda_vacancia)</f>
        <v/>
      </c>
      <c r="L28" s="7">
        <f>F28+G28+H28+I28</f>
        <v/>
      </c>
      <c r="M28" s="7">
        <f>L28+J28-K28*(1-vivienda_gestionPct)</f>
        <v/>
      </c>
      <c r="N28" s="7">
        <f>12*MAX(0,L28-0.75*K28)/vivienda_dtiMax</f>
        <v/>
      </c>
    </row>
    <row r="29">
      <c r="A29" t="inlineStr">
        <is>
          <t>Casa + ADU construido después</t>
        </is>
      </c>
      <c r="B29" s="7">
        <f>ubic_houston_precio_casaAdu</f>
        <v/>
      </c>
      <c r="C29" s="7">
        <f>B29*vivienda_enganchePct</f>
        <v/>
      </c>
      <c r="D29" s="7">
        <f>B29*vivienda_cierrePct</f>
        <v/>
      </c>
      <c r="E29" s="7">
        <f>B29-C29</f>
        <v/>
      </c>
      <c r="F29" s="7">
        <f>PMT(g_mortRate/12,vivienda_plazoHipoteca*12,-E29)</f>
        <v/>
      </c>
      <c r="G29" s="7">
        <f>B29*ubic_houston_impuestoPropPct/12</f>
        <v/>
      </c>
      <c r="H29" s="7">
        <f>B29*ubic_houston_seguroPct/12</f>
        <v/>
      </c>
      <c r="I29" s="7">
        <f>IF(vivienda_enganchePct&lt;0.2,E29*vivienda_pmiTasa/12,0)</f>
        <v/>
      </c>
      <c r="J29" s="7">
        <f>B29*vivienda_mantenimientoPct/12</f>
        <v/>
      </c>
      <c r="K29" s="7">
        <f>0*ubic_houston_rentaUnidad*(1-vivienda_vacancia)</f>
        <v/>
      </c>
      <c r="L29" s="7">
        <f>F29+G29+H29+I29</f>
        <v/>
      </c>
      <c r="M29" s="7">
        <f>L29+J29-K29*(1-vivienda_gestionPct)</f>
        <v/>
      </c>
      <c r="N29" s="7">
        <f>12*MAX(0,L29-0.75*K29)/vivienda_dtiMax</f>
        <v/>
      </c>
    </row>
    <row r="30">
      <c r="A30" t="inlineStr">
        <is>
          <t>Multifamiliar 3-4 unidades (rentar 1-2)</t>
        </is>
      </c>
      <c r="B30" s="7">
        <f>ubic_houston_precio_multi</f>
        <v/>
      </c>
      <c r="C30" s="7">
        <f>B30*vivienda_enganchePct</f>
        <v/>
      </c>
      <c r="D30" s="7">
        <f>B30*vivienda_cierrePct</f>
        <v/>
      </c>
      <c r="E30" s="7">
        <f>B30-C30</f>
        <v/>
      </c>
      <c r="F30" s="7">
        <f>PMT(g_mortRate/12,vivienda_plazoHipoteca*12,-E30)</f>
        <v/>
      </c>
      <c r="G30" s="7">
        <f>B30*ubic_houston_impuestoPropPct/12</f>
        <v/>
      </c>
      <c r="H30" s="7">
        <f>B30*ubic_houston_seguroPct/12</f>
        <v/>
      </c>
      <c r="I30" s="7">
        <f>IF(vivienda_enganchePct&lt;0.2,E30*vivienda_pmiTasa/12,0)</f>
        <v/>
      </c>
      <c r="J30" s="7">
        <f>B30*vivienda_mantenimientoPct/12</f>
        <v/>
      </c>
      <c r="K30" s="7">
        <f>2*ubic_houston_rentaUnidad*(1-vivienda_vacancia)</f>
        <v/>
      </c>
      <c r="L30" s="7">
        <f>F30+G30+H30+I30</f>
        <v/>
      </c>
      <c r="M30" s="7">
        <f>L30+J30-K30*(1-vivienda_gestionPct)</f>
        <v/>
      </c>
      <c r="N30" s="7">
        <f>12*MAX(0,L30-0.75*K30)/vivienda_dtiMax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30"/>
  <sheetViews>
    <sheetView workbookViewId="0">
      <selection activeCell="A1" sqref="A1"/>
    </sheetView>
  </sheetViews>
  <sheetFormatPr baseColWidth="8" defaultRowHeight="15"/>
  <cols>
    <col width="46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Nueva York (Queens/Bronx)</t>
        </is>
      </c>
    </row>
    <row r="2">
      <c r="A2" s="2" t="inlineStr">
        <is>
          <t>El estado con más puestos de IM para IMGs (37% non-US IMG). Salarios RN altos pero impuestos estatal+municipal y vivienda muy caros.</t>
        </is>
      </c>
    </row>
    <row r="3">
      <c r="A3" s="2" t="inlineStr">
        <is>
          <t>Licencia compacta: NO válida: NY no pertenece al NLC. Necesitas licencia RN de NY por endoso (trámite de semanas).</t>
        </is>
      </c>
    </row>
    <row r="5">
      <c r="A5" s="5" t="inlineStr">
        <is>
          <t>Parámetro</t>
        </is>
      </c>
      <c r="B5" s="5" t="inlineStr">
        <is>
          <t>Valor</t>
        </is>
      </c>
      <c r="C5" s="5" t="inlineStr">
        <is>
          <t>Unidad</t>
        </is>
      </c>
      <c r="D5" s="5" t="inlineStr">
        <is>
          <t>Fuente</t>
        </is>
      </c>
      <c r="E5" s="5" t="inlineStr">
        <is>
          <t>Confianza</t>
        </is>
      </c>
      <c r="F5" s="5" t="inlineStr">
        <is>
          <t>Estimado</t>
        </is>
      </c>
    </row>
    <row r="6">
      <c r="A6" t="inlineStr">
        <is>
          <t>Factor salarial RN vs nacional</t>
        </is>
      </c>
      <c r="B6" s="3" t="n">
        <v>1.179</v>
      </c>
      <c r="C6" t="inlineStr">
        <is>
          <t>x</t>
        </is>
      </c>
      <c r="D6" t="inlineStr">
        <is>
          <t>RN New York-Newark-Jersey City (OEWS mayo 2025 vía Wagedex/Hyring: ~$119,600)</t>
        </is>
      </c>
      <c r="E6" t="inlineStr">
        <is>
          <t>media</t>
        </is>
      </c>
      <c r="F6" t="inlineStr"/>
    </row>
    <row r="7">
      <c r="A7" t="inlineStr">
        <is>
          <t>Factor salarial médico vs nacional</t>
        </is>
      </c>
      <c r="B7" s="3" t="n">
        <v>0.93</v>
      </c>
      <c r="C7" t="inlineStr">
        <is>
          <t>x</t>
        </is>
      </c>
      <c r="D7" t="inlineStr">
        <is>
          <t>Doximity Physician Compensation Report 2026</t>
        </is>
      </c>
      <c r="E7" t="inlineStr">
        <is>
          <t>baja</t>
        </is>
      </c>
      <c r="F7" t="inlineStr">
        <is>
          <t>sí</t>
        </is>
      </c>
    </row>
    <row r="8">
      <c r="A8" t="inlineStr">
        <is>
          <t>Salario PGY-1 2026</t>
        </is>
      </c>
      <c r="B8" s="3" t="n">
        <v>80000</v>
      </c>
      <c r="C8" t="inlineStr">
        <is>
          <t>$</t>
        </is>
      </c>
      <c r="D8" t="inlineStr">
        <is>
          <t>Encuesta AAMC 2025 de salarios de residentes por región (vía MedSchoolCoach)</t>
        </is>
      </c>
      <c r="E8" t="inlineStr">
        <is>
          <t>media</t>
        </is>
      </c>
      <c r="F8" t="inlineStr"/>
    </row>
    <row r="9">
      <c r="A9" t="inlineStr">
        <is>
          <t>Gastos de vida anuales (sin vivienda)</t>
        </is>
      </c>
      <c r="B9" s="3" t="n">
        <v>30000</v>
      </c>
      <c r="C9" t="inlineStr">
        <is>
          <t>$</t>
        </is>
      </c>
      <c r="D9" t="inlineStr">
        <is>
          <t>Estimación propia del modelo (sin dato publicado directo); ver nota</t>
        </is>
      </c>
      <c r="E9" t="inlineStr">
        <is>
          <t>baja</t>
        </is>
      </c>
      <c r="F9" t="inlineStr">
        <is>
          <t>sí</t>
        </is>
      </c>
    </row>
    <row r="10">
      <c r="A10" t="inlineStr">
        <is>
          <t>Renta propia mensual antes de comprar (1 hab.)</t>
        </is>
      </c>
      <c r="B10" s="3" t="n">
        <v>2600</v>
      </c>
      <c r="C10" t="inlineStr">
        <is>
          <t>$</t>
        </is>
      </c>
      <c r="D10" t="inlineStr">
        <is>
          <t>Estimación propia del modelo (sin dato publicado directo); ver nota</t>
        </is>
      </c>
      <c r="E10" t="inlineStr">
        <is>
          <t>baja</t>
        </is>
      </c>
      <c r="F10" t="inlineStr">
        <is>
          <t>sí</t>
        </is>
      </c>
    </row>
    <row r="11">
      <c r="A11" t="inlineStr">
        <is>
          <t>Seguro de vivienda (% del valor/año)</t>
        </is>
      </c>
      <c r="B11" s="6" t="n">
        <v>0.003</v>
      </c>
      <c r="C11" t="inlineStr">
        <is>
          <t>%</t>
        </is>
      </c>
      <c r="D11" t="inlineStr">
        <is>
          <t>Insurance.com 2026: prima promedio FL $8,471; TX $4,582; nacional $2,872</t>
        </is>
      </c>
      <c r="E11" t="inlineStr">
        <is>
          <t>baja</t>
        </is>
      </c>
      <c r="F11" t="inlineStr">
        <is>
          <t>sí</t>
        </is>
      </c>
    </row>
    <row r="12">
      <c r="A12" t="inlineStr">
        <is>
          <t>Impuesto a la propiedad efectivo</t>
        </is>
      </c>
      <c r="B12" s="6" t="n">
        <v>0.008999999999999999</v>
      </c>
      <c r="C12" t="inlineStr">
        <is>
          <t>%</t>
        </is>
      </c>
      <c r="D12" t="inlineStr">
        <is>
          <t>Estimación propia del modelo (sin dato publicado directo); ver nota</t>
        </is>
      </c>
      <c r="E12" t="inlineStr">
        <is>
          <t>baja</t>
        </is>
      </c>
      <c r="F12" t="inlineStr">
        <is>
          <t>sí</t>
        </is>
      </c>
    </row>
    <row r="13">
      <c r="A13" t="inlineStr">
        <is>
          <t>Facilidad de match IMG si te limitas a la región</t>
        </is>
      </c>
      <c r="B13" s="3" t="n">
        <v>1.25</v>
      </c>
      <c r="C13" t="inlineStr">
        <is>
          <t>x</t>
        </is>
      </c>
      <c r="D13" t="inlineStr">
        <is>
          <t>% de puestos IM PGY-1 2026 ocupados por non-US IMG por estado (NY 37.4%, NJ 42.4%, PA 33.4%)</t>
        </is>
      </c>
      <c r="E13" t="inlineStr">
        <is>
          <t>media</t>
        </is>
      </c>
      <c r="F13" t="inlineStr">
        <is>
          <t>sí</t>
        </is>
      </c>
    </row>
    <row r="14">
      <c r="A14" t="inlineStr">
        <is>
          <t>Renta mensual por unidad rentada (multifamiliar)</t>
        </is>
      </c>
      <c r="B14" s="3" t="n">
        <v>2600</v>
      </c>
      <c r="C14" t="inlineStr">
        <is>
          <t>$</t>
        </is>
      </c>
      <c r="D14" t="inlineStr">
        <is>
          <t>Estimación propia del modelo (sin dato publicado directo); ver nota</t>
        </is>
      </c>
      <c r="E14" t="inlineStr">
        <is>
          <t>baja</t>
        </is>
      </c>
      <c r="F14" t="inlineStr">
        <is>
          <t>sí</t>
        </is>
      </c>
    </row>
    <row r="15">
      <c r="A15" t="inlineStr">
        <is>
          <t>Precio casa bifamiliar</t>
        </is>
      </c>
      <c r="B15" s="3" t="n">
        <v>1250000</v>
      </c>
      <c r="C15" t="inlineStr">
        <is>
          <t>$</t>
        </is>
      </c>
      <c r="D15" t="inlineStr">
        <is>
          <t>Estimación propia del modelo (sin dato publicado directo); ver nota</t>
        </is>
      </c>
      <c r="E15" t="inlineStr">
        <is>
          <t>baja</t>
        </is>
      </c>
      <c r="F15" t="inlineStr">
        <is>
          <t>sí</t>
        </is>
      </c>
    </row>
    <row r="16">
      <c r="A16" t="inlineStr">
        <is>
          <t>Precio casa con in-law suite</t>
        </is>
      </c>
      <c r="B16" s="3" t="n">
        <v>1150000</v>
      </c>
      <c r="C16" t="inlineStr">
        <is>
          <t>$</t>
        </is>
      </c>
      <c r="D16" t="inlineStr">
        <is>
          <t>Estimación propia del modelo (sin dato publicado directo); ver nota</t>
        </is>
      </c>
      <c r="E16" t="inlineStr">
        <is>
          <t>baja</t>
        </is>
      </c>
      <c r="F16" t="inlineStr">
        <is>
          <t>sí</t>
        </is>
      </c>
    </row>
    <row r="17">
      <c r="A17" t="inlineStr">
        <is>
          <t>Precio dos casas pequeñas (total)</t>
        </is>
      </c>
      <c r="B17" s="3" t="n">
        <v>1900000</v>
      </c>
      <c r="C17" t="inlineStr">
        <is>
          <t>$</t>
        </is>
      </c>
      <c r="D17" t="inlineStr">
        <is>
          <t>Estimación propia del modelo (sin dato publicado directo); ver nota</t>
        </is>
      </c>
      <c r="E17" t="inlineStr">
        <is>
          <t>baja</t>
        </is>
      </c>
      <c r="F17" t="inlineStr">
        <is>
          <t>sí</t>
        </is>
      </c>
    </row>
    <row r="18">
      <c r="A18" t="inlineStr">
        <is>
          <t>Precio casa (sin ADU)</t>
        </is>
      </c>
      <c r="B18" s="3" t="n">
        <v>950000</v>
      </c>
      <c r="C18" t="inlineStr">
        <is>
          <t>$</t>
        </is>
      </c>
      <c r="D18" t="inlineStr">
        <is>
          <t>Estimación propia del modelo (sin dato publicado directo); ver nota</t>
        </is>
      </c>
      <c r="E18" t="inlineStr">
        <is>
          <t>baja</t>
        </is>
      </c>
      <c r="F18" t="inlineStr">
        <is>
          <t>sí</t>
        </is>
      </c>
    </row>
    <row r="19">
      <c r="A19" t="inlineStr">
        <is>
          <t>Costo de construir ADU</t>
        </is>
      </c>
      <c r="B19" s="3" t="n">
        <v>250000</v>
      </c>
      <c r="C19" t="inlineStr">
        <is>
          <t>$</t>
        </is>
      </c>
      <c r="D19" t="inlineStr">
        <is>
          <t>Estimación propia del modelo (sin dato publicado directo); ver nota</t>
        </is>
      </c>
      <c r="E19" t="inlineStr">
        <is>
          <t>baja</t>
        </is>
      </c>
      <c r="F19" t="inlineStr">
        <is>
          <t>sí</t>
        </is>
      </c>
    </row>
    <row r="20">
      <c r="A20" t="inlineStr">
        <is>
          <t>Precio 3-4 familias</t>
        </is>
      </c>
      <c r="B20" s="3" t="n">
        <v>1800000</v>
      </c>
      <c r="C20" t="inlineStr">
        <is>
          <t>$</t>
        </is>
      </c>
      <c r="D20" t="inlineStr">
        <is>
          <t>Estimación propia del modelo (sin dato publicado directo); ver nota</t>
        </is>
      </c>
      <c r="E20" t="inlineStr">
        <is>
          <t>baja</t>
        </is>
      </c>
      <c r="F20" t="inlineStr">
        <is>
          <t>sí</t>
        </is>
      </c>
    </row>
    <row r="21">
      <c r="A21" t="inlineStr">
        <is>
          <t>Impuesto estatal (1=ninguno, 2=Ohio, 3=Nueva York)</t>
        </is>
      </c>
      <c r="B21" s="3" t="n">
        <v>3</v>
      </c>
    </row>
    <row r="22">
      <c r="A22" t="inlineStr">
        <is>
          <t>Impuesto municipal NYC (1/0)</t>
        </is>
      </c>
      <c r="B22" s="3" t="n">
        <v>1</v>
      </c>
    </row>
    <row r="24">
      <c r="A24" s="4" t="inlineStr">
        <is>
          <t>Cotización de vivienda (precios 2026, escenario activo)</t>
        </is>
      </c>
    </row>
    <row r="25">
      <c r="A25" s="5" t="inlineStr">
        <is>
          <t>Configuración</t>
        </is>
      </c>
      <c r="B25" s="5" t="inlineStr">
        <is>
          <t>Precio</t>
        </is>
      </c>
      <c r="C25" s="5" t="inlineStr">
        <is>
          <t>Enganche</t>
        </is>
      </c>
      <c r="D25" s="5" t="inlineStr">
        <is>
          <t>Cierre</t>
        </is>
      </c>
      <c r="E25" s="5" t="inlineStr">
        <is>
          <t>Préstamo</t>
        </is>
      </c>
      <c r="F25" s="5" t="inlineStr">
        <is>
          <t>P&amp;I mensual</t>
        </is>
      </c>
      <c r="G25" s="5" t="inlineStr">
        <is>
          <t>Impuesto/mes</t>
        </is>
      </c>
      <c r="H25" s="5" t="inlineStr">
        <is>
          <t>Seguro/mes</t>
        </is>
      </c>
      <c r="I25" s="5" t="inlineStr">
        <is>
          <t>PMI/mes</t>
        </is>
      </c>
      <c r="J25" s="5" t="inlineStr">
        <is>
          <t>Mantenimiento/mes</t>
        </is>
      </c>
      <c r="K25" s="5" t="inlineStr">
        <is>
          <t>Renta recibida/mes</t>
        </is>
      </c>
      <c r="L25" s="5" t="inlineStr">
        <is>
          <t>PITI</t>
        </is>
      </c>
      <c r="M25" s="5" t="inlineStr">
        <is>
          <t>Costo neto/mes</t>
        </is>
      </c>
      <c r="N25" s="5" t="inlineStr">
        <is>
          <t>Ingreso bruto anual necesario</t>
        </is>
      </c>
    </row>
    <row r="26">
      <c r="A26" t="inlineStr">
        <is>
          <t>Dúplex (yo en una unidad, ellas en la otra)</t>
        </is>
      </c>
      <c r="B26" s="7">
        <f>ubic_nyc_precio_duplex</f>
        <v/>
      </c>
      <c r="C26" s="7">
        <f>B26*vivienda_enganchePct</f>
        <v/>
      </c>
      <c r="D26" s="7">
        <f>B26*vivienda_cierrePct</f>
        <v/>
      </c>
      <c r="E26" s="7">
        <f>B26-C26</f>
        <v/>
      </c>
      <c r="F26" s="7">
        <f>PMT(g_mortRate/12,vivienda_plazoHipoteca*12,-E26)</f>
        <v/>
      </c>
      <c r="G26" s="7">
        <f>B26*ubic_nyc_impuestoPropPct/12</f>
        <v/>
      </c>
      <c r="H26" s="7">
        <f>B26*ubic_nyc_seguroPct/12</f>
        <v/>
      </c>
      <c r="I26" s="7">
        <f>IF(vivienda_enganchePct&lt;0.2,E26*vivienda_pmiTasa/12,0)</f>
        <v/>
      </c>
      <c r="J26" s="7">
        <f>B26*vivienda_mantenimientoPct/12</f>
        <v/>
      </c>
      <c r="K26" s="7">
        <f>0*ubic_nyc_rentaUnidad*(1-vivienda_vacancia)</f>
        <v/>
      </c>
      <c r="L26" s="7">
        <f>F26+G26+H26+I26</f>
        <v/>
      </c>
      <c r="M26" s="7">
        <f>L26+J26-K26*(1-vivienda_gestionPct)</f>
        <v/>
      </c>
      <c r="N26" s="7">
        <f>12*MAX(0,L26-0.75*K26)/vivienda_dtiMax</f>
        <v/>
      </c>
    </row>
    <row r="27">
      <c r="A27" t="inlineStr">
        <is>
          <t>Casa grande con in-law suite</t>
        </is>
      </c>
      <c r="B27" s="7">
        <f>ubic_nyc_precio_inlaw</f>
        <v/>
      </c>
      <c r="C27" s="7">
        <f>B27*vivienda_enganchePct</f>
        <v/>
      </c>
      <c r="D27" s="7">
        <f>B27*vivienda_cierrePct</f>
        <v/>
      </c>
      <c r="E27" s="7">
        <f>B27-C27</f>
        <v/>
      </c>
      <c r="F27" s="7">
        <f>PMT(g_mortRate/12,vivienda_plazoHipoteca*12,-E27)</f>
        <v/>
      </c>
      <c r="G27" s="7">
        <f>B27*ubic_nyc_impuestoPropPct/12</f>
        <v/>
      </c>
      <c r="H27" s="7">
        <f>B27*ubic_nyc_seguroPct/12</f>
        <v/>
      </c>
      <c r="I27" s="7">
        <f>IF(vivienda_enganchePct&lt;0.2,E27*vivienda_pmiTasa/12,0)</f>
        <v/>
      </c>
      <c r="J27" s="7">
        <f>B27*vivienda_mantenimientoPct/12</f>
        <v/>
      </c>
      <c r="K27" s="7">
        <f>0*ubic_nyc_rentaUnidad*(1-vivienda_vacancia)</f>
        <v/>
      </c>
      <c r="L27" s="7">
        <f>F27+G27+H27+I27</f>
        <v/>
      </c>
      <c r="M27" s="7">
        <f>L27+J27-K27*(1-vivienda_gestionPct)</f>
        <v/>
      </c>
      <c r="N27" s="7">
        <f>12*MAX(0,L27-0.75*K27)/vivienda_dtiMax</f>
        <v/>
      </c>
    </row>
    <row r="28">
      <c r="A28" t="inlineStr">
        <is>
          <t>Dos casas pequeñas cercanas</t>
        </is>
      </c>
      <c r="B28" s="7">
        <f>ubic_nyc_precio_dosCasas</f>
        <v/>
      </c>
      <c r="C28" s="7">
        <f>B28*vivienda_enganchePct</f>
        <v/>
      </c>
      <c r="D28" s="7">
        <f>B28*vivienda_cierrePct</f>
        <v/>
      </c>
      <c r="E28" s="7">
        <f>B28-C28</f>
        <v/>
      </c>
      <c r="F28" s="7">
        <f>PMT(g_mortRate/12,vivienda_plazoHipoteca*12,-E28)</f>
        <v/>
      </c>
      <c r="G28" s="7">
        <f>B28*ubic_nyc_impuestoPropPct/12</f>
        <v/>
      </c>
      <c r="H28" s="7">
        <f>B28*ubic_nyc_seguroPct/12</f>
        <v/>
      </c>
      <c r="I28" s="7">
        <f>IF(vivienda_enganchePct&lt;0.2,E28*vivienda_pmiTasa/12,0)</f>
        <v/>
      </c>
      <c r="J28" s="7">
        <f>B28*vivienda_mantenimientoPct/12</f>
        <v/>
      </c>
      <c r="K28" s="7">
        <f>0*ubic_nyc_rentaUnidad*(1-vivienda_vacancia)</f>
        <v/>
      </c>
      <c r="L28" s="7">
        <f>F28+G28+H28+I28</f>
        <v/>
      </c>
      <c r="M28" s="7">
        <f>L28+J28-K28*(1-vivienda_gestionPct)</f>
        <v/>
      </c>
      <c r="N28" s="7">
        <f>12*MAX(0,L28-0.75*K28)/vivienda_dtiMax</f>
        <v/>
      </c>
    </row>
    <row r="29">
      <c r="A29" t="inlineStr">
        <is>
          <t>Casa + ADU construido después</t>
        </is>
      </c>
      <c r="B29" s="7">
        <f>ubic_nyc_precio_casaAdu</f>
        <v/>
      </c>
      <c r="C29" s="7">
        <f>B29*vivienda_enganchePct</f>
        <v/>
      </c>
      <c r="D29" s="7">
        <f>B29*vivienda_cierrePct</f>
        <v/>
      </c>
      <c r="E29" s="7">
        <f>B29-C29</f>
        <v/>
      </c>
      <c r="F29" s="7">
        <f>PMT(g_mortRate/12,vivienda_plazoHipoteca*12,-E29)</f>
        <v/>
      </c>
      <c r="G29" s="7">
        <f>B29*ubic_nyc_impuestoPropPct/12</f>
        <v/>
      </c>
      <c r="H29" s="7">
        <f>B29*ubic_nyc_seguroPct/12</f>
        <v/>
      </c>
      <c r="I29" s="7">
        <f>IF(vivienda_enganchePct&lt;0.2,E29*vivienda_pmiTasa/12,0)</f>
        <v/>
      </c>
      <c r="J29" s="7">
        <f>B29*vivienda_mantenimientoPct/12</f>
        <v/>
      </c>
      <c r="K29" s="7">
        <f>0*ubic_nyc_rentaUnidad*(1-vivienda_vacancia)</f>
        <v/>
      </c>
      <c r="L29" s="7">
        <f>F29+G29+H29+I29</f>
        <v/>
      </c>
      <c r="M29" s="7">
        <f>L29+J29-K29*(1-vivienda_gestionPct)</f>
        <v/>
      </c>
      <c r="N29" s="7">
        <f>12*MAX(0,L29-0.75*K29)/vivienda_dtiMax</f>
        <v/>
      </c>
    </row>
    <row r="30">
      <c r="A30" t="inlineStr">
        <is>
          <t>Multifamiliar 3-4 unidades (rentar 1-2)</t>
        </is>
      </c>
      <c r="B30" s="7">
        <f>ubic_nyc_precio_multi</f>
        <v/>
      </c>
      <c r="C30" s="7">
        <f>B30*vivienda_enganchePct</f>
        <v/>
      </c>
      <c r="D30" s="7">
        <f>B30*vivienda_cierrePct</f>
        <v/>
      </c>
      <c r="E30" s="7">
        <f>B30-C30</f>
        <v/>
      </c>
      <c r="F30" s="7">
        <f>PMT(g_mortRate/12,vivienda_plazoHipoteca*12,-E30)</f>
        <v/>
      </c>
      <c r="G30" s="7">
        <f>B30*ubic_nyc_impuestoPropPct/12</f>
        <v/>
      </c>
      <c r="H30" s="7">
        <f>B30*ubic_nyc_seguroPct/12</f>
        <v/>
      </c>
      <c r="I30" s="7">
        <f>IF(vivienda_enganchePct&lt;0.2,E30*vivienda_pmiTasa/12,0)</f>
        <v/>
      </c>
      <c r="J30" s="7">
        <f>B30*vivienda_mantenimientoPct/12</f>
        <v/>
      </c>
      <c r="K30" s="7">
        <f>2*ubic_nyc_rentaUnidad*(1-vivienda_vacancia)</f>
        <v/>
      </c>
      <c r="L30" s="7">
        <f>F30+G30+H30+I30</f>
        <v/>
      </c>
      <c r="M30" s="7">
        <f>L30+J30-K30*(1-vivienda_gestionPct)</f>
        <v/>
      </c>
      <c r="N30" s="7">
        <f>12*MAX(0,L30-0.75*K30)/vivienda_dtiMax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30"/>
  <sheetViews>
    <sheetView workbookViewId="0">
      <selection activeCell="A1" sqref="A1"/>
    </sheetView>
  </sheetViews>
  <sheetFormatPr baseColWidth="8" defaultRowHeight="15"/>
  <cols>
    <col width="46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Cleveland / NE de Ohio</t>
        </is>
      </c>
    </row>
    <row r="2">
      <c r="A2" s="2" t="inlineStr">
        <is>
          <t>Vivienda muy barata, Cleveland Clinic/UH/MetroHealth, muchos programas comunitarios de IM amigables con IMGs en OH/MI/PA. Invierno duro, lejos de la familia.</t>
        </is>
      </c>
    </row>
    <row r="3">
      <c r="A3" s="2" t="inlineStr">
        <is>
          <t>Licencia compacta: Válida: Ohio es miembro del NLC (implementado 2023). Al mudarte, Ohio sería tu estado de residencia.</t>
        </is>
      </c>
    </row>
    <row r="5">
      <c r="A5" s="5" t="inlineStr">
        <is>
          <t>Parámetro</t>
        </is>
      </c>
      <c r="B5" s="5" t="inlineStr">
        <is>
          <t>Valor</t>
        </is>
      </c>
      <c r="C5" s="5" t="inlineStr">
        <is>
          <t>Unidad</t>
        </is>
      </c>
      <c r="D5" s="5" t="inlineStr">
        <is>
          <t>Fuente</t>
        </is>
      </c>
      <c r="E5" s="5" t="inlineStr">
        <is>
          <t>Confianza</t>
        </is>
      </c>
      <c r="F5" s="5" t="inlineStr">
        <is>
          <t>Estimado</t>
        </is>
      </c>
    </row>
    <row r="6">
      <c r="A6" t="inlineStr">
        <is>
          <t>Factor salarial RN vs nacional</t>
        </is>
      </c>
      <c r="B6" s="3" t="n">
        <v>0.868</v>
      </c>
      <c r="C6" t="inlineStr">
        <is>
          <t>x</t>
        </is>
      </c>
      <c r="D6" t="inlineStr">
        <is>
          <t>RN Cleveland (OEWS mayo 2025 vía DegreeCalc: mediana $83,940)</t>
        </is>
      </c>
      <c r="E6" t="inlineStr">
        <is>
          <t>media</t>
        </is>
      </c>
      <c r="F6" t="inlineStr">
        <is>
          <t>sí</t>
        </is>
      </c>
    </row>
    <row r="7">
      <c r="A7" t="inlineStr">
        <is>
          <t>Factor salarial médico vs nacional</t>
        </is>
      </c>
      <c r="B7" s="3" t="n">
        <v>1.03</v>
      </c>
      <c r="C7" t="inlineStr">
        <is>
          <t>x</t>
        </is>
      </c>
      <c r="D7" t="inlineStr">
        <is>
          <t>Doximity Physician Compensation Report 2026</t>
        </is>
      </c>
      <c r="E7" t="inlineStr">
        <is>
          <t>baja</t>
        </is>
      </c>
      <c r="F7" t="inlineStr">
        <is>
          <t>sí</t>
        </is>
      </c>
    </row>
    <row r="8">
      <c r="A8" t="inlineStr">
        <is>
          <t>Salario PGY-1 2026</t>
        </is>
      </c>
      <c r="B8" s="3" t="n">
        <v>71000</v>
      </c>
      <c r="C8" t="inlineStr">
        <is>
          <t>$</t>
        </is>
      </c>
      <c r="D8" t="inlineStr">
        <is>
          <t>Encuesta AAMC 2025 de salarios de residentes por región (vía MedSchoolCoach)</t>
        </is>
      </c>
      <c r="E8" t="inlineStr">
        <is>
          <t>media</t>
        </is>
      </c>
      <c r="F8" t="inlineStr"/>
    </row>
    <row r="9">
      <c r="A9" t="inlineStr">
        <is>
          <t>Gastos de vida anuales (sin vivienda)</t>
        </is>
      </c>
      <c r="B9" s="3" t="n">
        <v>25500</v>
      </c>
      <c r="C9" t="inlineStr">
        <is>
          <t>$</t>
        </is>
      </c>
      <c r="D9" t="inlineStr">
        <is>
          <t>Estimación propia del modelo (sin dato publicado directo); ver nota</t>
        </is>
      </c>
      <c r="E9" t="inlineStr">
        <is>
          <t>baja</t>
        </is>
      </c>
      <c r="F9" t="inlineStr">
        <is>
          <t>sí</t>
        </is>
      </c>
    </row>
    <row r="10">
      <c r="A10" t="inlineStr">
        <is>
          <t>Renta propia mensual antes de comprar (1 hab.)</t>
        </is>
      </c>
      <c r="B10" s="3" t="n">
        <v>1100</v>
      </c>
      <c r="C10" t="inlineStr">
        <is>
          <t>$</t>
        </is>
      </c>
      <c r="D10" t="inlineStr">
        <is>
          <t>Estimación propia del modelo (sin dato publicado directo); ver nota</t>
        </is>
      </c>
      <c r="E10" t="inlineStr">
        <is>
          <t>baja</t>
        </is>
      </c>
      <c r="F10" t="inlineStr">
        <is>
          <t>sí</t>
        </is>
      </c>
    </row>
    <row r="11">
      <c r="A11" t="inlineStr">
        <is>
          <t>Seguro de vivienda (% del valor/año)</t>
        </is>
      </c>
      <c r="B11" s="6" t="n">
        <v>0.006</v>
      </c>
      <c r="C11" t="inlineStr">
        <is>
          <t>%</t>
        </is>
      </c>
      <c r="D11" t="inlineStr">
        <is>
          <t>Insurance.com 2026: prima promedio FL $8,471; TX $4,582; nacional $2,872</t>
        </is>
      </c>
      <c r="E11" t="inlineStr">
        <is>
          <t>baja</t>
        </is>
      </c>
      <c r="F11" t="inlineStr">
        <is>
          <t>sí</t>
        </is>
      </c>
    </row>
    <row r="12">
      <c r="A12" t="inlineStr">
        <is>
          <t>Impuesto a la propiedad efectivo</t>
        </is>
      </c>
      <c r="B12" s="6" t="n">
        <v>0.0172</v>
      </c>
      <c r="C12" t="inlineStr">
        <is>
          <t>%</t>
        </is>
      </c>
      <c r="D12" t="inlineStr">
        <is>
          <t>Cuyahoga County mediana venta ~$225k (Zillow jun-2026); ATTOM impuesto efectivo 1.72%</t>
        </is>
      </c>
      <c r="E12" t="inlineStr">
        <is>
          <t>media</t>
        </is>
      </c>
      <c r="F12" t="inlineStr"/>
    </row>
    <row r="13">
      <c r="A13" t="inlineStr">
        <is>
          <t>Facilidad de match IMG si te limitas a la región</t>
        </is>
      </c>
      <c r="B13" s="3" t="n">
        <v>1.15</v>
      </c>
      <c r="C13" t="inlineStr">
        <is>
          <t>x</t>
        </is>
      </c>
      <c r="D13" t="inlineStr">
        <is>
          <t>Estimación propia del modelo (sin dato publicado directo); ver nota</t>
        </is>
      </c>
      <c r="E13" t="inlineStr">
        <is>
          <t>baja</t>
        </is>
      </c>
      <c r="F13" t="inlineStr">
        <is>
          <t>sí</t>
        </is>
      </c>
    </row>
    <row r="14">
      <c r="A14" t="inlineStr">
        <is>
          <t>Renta mensual por unidad rentada (multifamiliar)</t>
        </is>
      </c>
      <c r="B14" s="3" t="n">
        <v>1100</v>
      </c>
      <c r="C14" t="inlineStr">
        <is>
          <t>$</t>
        </is>
      </c>
      <c r="D14" t="inlineStr">
        <is>
          <t>Estimación propia del modelo (sin dato publicado directo); ver nota</t>
        </is>
      </c>
      <c r="E14" t="inlineStr">
        <is>
          <t>baja</t>
        </is>
      </c>
      <c r="F14" t="inlineStr">
        <is>
          <t>sí</t>
        </is>
      </c>
    </row>
    <row r="15">
      <c r="A15" t="inlineStr">
        <is>
          <t>Precio dúplex ('up-down double')</t>
        </is>
      </c>
      <c r="B15" s="3" t="n">
        <v>260000</v>
      </c>
      <c r="C15" t="inlineStr">
        <is>
          <t>$</t>
        </is>
      </c>
      <c r="D15" t="inlineStr">
        <is>
          <t>Cuyahoga County mediana venta ~$225k (Zillow jun-2026); ATTOM impuesto efectivo 1.72%</t>
        </is>
      </c>
      <c r="E15" t="inlineStr">
        <is>
          <t>baja</t>
        </is>
      </c>
      <c r="F15" t="inlineStr">
        <is>
          <t>sí</t>
        </is>
      </c>
    </row>
    <row r="16">
      <c r="A16" t="inlineStr">
        <is>
          <t>Precio casa con in-law suite</t>
        </is>
      </c>
      <c r="B16" s="3" t="n">
        <v>340000</v>
      </c>
      <c r="C16" t="inlineStr">
        <is>
          <t>$</t>
        </is>
      </c>
      <c r="D16" t="inlineStr">
        <is>
          <t>Cuyahoga County mediana venta ~$225k (Zillow jun-2026); ATTOM impuesto efectivo 1.72%</t>
        </is>
      </c>
      <c r="E16" t="inlineStr">
        <is>
          <t>baja</t>
        </is>
      </c>
      <c r="F16" t="inlineStr">
        <is>
          <t>sí</t>
        </is>
      </c>
    </row>
    <row r="17">
      <c r="A17" t="inlineStr">
        <is>
          <t>Precio dos casas pequeñas (total)</t>
        </is>
      </c>
      <c r="B17" s="3" t="n">
        <v>400000</v>
      </c>
      <c r="C17" t="inlineStr">
        <is>
          <t>$</t>
        </is>
      </c>
      <c r="D17" t="inlineStr">
        <is>
          <t>Cuyahoga County mediana venta ~$225k (Zillow jun-2026); ATTOM impuesto efectivo 1.72%</t>
        </is>
      </c>
      <c r="E17" t="inlineStr">
        <is>
          <t>media</t>
        </is>
      </c>
      <c r="F17" t="inlineStr">
        <is>
          <t>sí</t>
        </is>
      </c>
    </row>
    <row r="18">
      <c r="A18" t="inlineStr">
        <is>
          <t>Precio casa (sin ADU)</t>
        </is>
      </c>
      <c r="B18" s="3" t="n">
        <v>240000</v>
      </c>
      <c r="C18" t="inlineStr">
        <is>
          <t>$</t>
        </is>
      </c>
      <c r="D18" t="inlineStr">
        <is>
          <t>Cuyahoga County mediana venta ~$225k (Zillow jun-2026); ATTOM impuesto efectivo 1.72%</t>
        </is>
      </c>
      <c r="E18" t="inlineStr">
        <is>
          <t>media</t>
        </is>
      </c>
      <c r="F18" t="inlineStr">
        <is>
          <t>sí</t>
        </is>
      </c>
    </row>
    <row r="19">
      <c r="A19" t="inlineStr">
        <is>
          <t>Costo de construir ADU</t>
        </is>
      </c>
      <c r="B19" s="3" t="n">
        <v>120000</v>
      </c>
      <c r="C19" t="inlineStr">
        <is>
          <t>$</t>
        </is>
      </c>
      <c r="D19" t="inlineStr">
        <is>
          <t>Estimación propia del modelo (sin dato publicado directo); ver nota</t>
        </is>
      </c>
      <c r="E19" t="inlineStr">
        <is>
          <t>baja</t>
        </is>
      </c>
      <c r="F19" t="inlineStr">
        <is>
          <t>sí</t>
        </is>
      </c>
    </row>
    <row r="20">
      <c r="A20" t="inlineStr">
        <is>
          <t>Precio fourplex</t>
        </is>
      </c>
      <c r="B20" s="3" t="n">
        <v>420000</v>
      </c>
      <c r="C20" t="inlineStr">
        <is>
          <t>$</t>
        </is>
      </c>
      <c r="D20" t="inlineStr">
        <is>
          <t>Estimación propia del modelo (sin dato publicado directo); ver nota</t>
        </is>
      </c>
      <c r="E20" t="inlineStr">
        <is>
          <t>baja</t>
        </is>
      </c>
      <c r="F20" t="inlineStr">
        <is>
          <t>sí</t>
        </is>
      </c>
    </row>
    <row r="21">
      <c r="A21" t="inlineStr">
        <is>
          <t>Impuesto estatal (1=ninguno, 2=Ohio, 3=Nueva York)</t>
        </is>
      </c>
      <c r="B21" s="3" t="n">
        <v>2</v>
      </c>
    </row>
    <row r="22">
      <c r="A22" t="inlineStr">
        <is>
          <t>Impuesto municipal NYC (1/0)</t>
        </is>
      </c>
      <c r="B22" s="3" t="n">
        <v>0</v>
      </c>
    </row>
    <row r="24">
      <c r="A24" s="4" t="inlineStr">
        <is>
          <t>Cotización de vivienda (precios 2026, escenario activo)</t>
        </is>
      </c>
    </row>
    <row r="25">
      <c r="A25" s="5" t="inlineStr">
        <is>
          <t>Configuración</t>
        </is>
      </c>
      <c r="B25" s="5" t="inlineStr">
        <is>
          <t>Precio</t>
        </is>
      </c>
      <c r="C25" s="5" t="inlineStr">
        <is>
          <t>Enganche</t>
        </is>
      </c>
      <c r="D25" s="5" t="inlineStr">
        <is>
          <t>Cierre</t>
        </is>
      </c>
      <c r="E25" s="5" t="inlineStr">
        <is>
          <t>Préstamo</t>
        </is>
      </c>
      <c r="F25" s="5" t="inlineStr">
        <is>
          <t>P&amp;I mensual</t>
        </is>
      </c>
      <c r="G25" s="5" t="inlineStr">
        <is>
          <t>Impuesto/mes</t>
        </is>
      </c>
      <c r="H25" s="5" t="inlineStr">
        <is>
          <t>Seguro/mes</t>
        </is>
      </c>
      <c r="I25" s="5" t="inlineStr">
        <is>
          <t>PMI/mes</t>
        </is>
      </c>
      <c r="J25" s="5" t="inlineStr">
        <is>
          <t>Mantenimiento/mes</t>
        </is>
      </c>
      <c r="K25" s="5" t="inlineStr">
        <is>
          <t>Renta recibida/mes</t>
        </is>
      </c>
      <c r="L25" s="5" t="inlineStr">
        <is>
          <t>PITI</t>
        </is>
      </c>
      <c r="M25" s="5" t="inlineStr">
        <is>
          <t>Costo neto/mes</t>
        </is>
      </c>
      <c r="N25" s="5" t="inlineStr">
        <is>
          <t>Ingreso bruto anual necesario</t>
        </is>
      </c>
    </row>
    <row r="26">
      <c r="A26" t="inlineStr">
        <is>
          <t>Dúplex (yo en una unidad, ellas en la otra)</t>
        </is>
      </c>
      <c r="B26" s="7">
        <f>ubic_cleveland_precio_duplex</f>
        <v/>
      </c>
      <c r="C26" s="7">
        <f>B26*vivienda_enganchePct</f>
        <v/>
      </c>
      <c r="D26" s="7">
        <f>B26*vivienda_cierrePct</f>
        <v/>
      </c>
      <c r="E26" s="7">
        <f>B26-C26</f>
        <v/>
      </c>
      <c r="F26" s="7">
        <f>PMT(g_mortRate/12,vivienda_plazoHipoteca*12,-E26)</f>
        <v/>
      </c>
      <c r="G26" s="7">
        <f>B26*ubic_cleveland_impuestoPropPct/12</f>
        <v/>
      </c>
      <c r="H26" s="7">
        <f>B26*ubic_cleveland_seguroPct/12</f>
        <v/>
      </c>
      <c r="I26" s="7">
        <f>IF(vivienda_enganchePct&lt;0.2,E26*vivienda_pmiTasa/12,0)</f>
        <v/>
      </c>
      <c r="J26" s="7">
        <f>B26*vivienda_mantenimientoPct/12</f>
        <v/>
      </c>
      <c r="K26" s="7">
        <f>0*ubic_cleveland_rentaUnidad*(1-vivienda_vacancia)</f>
        <v/>
      </c>
      <c r="L26" s="7">
        <f>F26+G26+H26+I26</f>
        <v/>
      </c>
      <c r="M26" s="7">
        <f>L26+J26-K26*(1-vivienda_gestionPct)</f>
        <v/>
      </c>
      <c r="N26" s="7">
        <f>12*MAX(0,L26-0.75*K26)/vivienda_dtiMax</f>
        <v/>
      </c>
    </row>
    <row r="27">
      <c r="A27" t="inlineStr">
        <is>
          <t>Casa grande con in-law suite</t>
        </is>
      </c>
      <c r="B27" s="7">
        <f>ubic_cleveland_precio_inlaw</f>
        <v/>
      </c>
      <c r="C27" s="7">
        <f>B27*vivienda_enganchePct</f>
        <v/>
      </c>
      <c r="D27" s="7">
        <f>B27*vivienda_cierrePct</f>
        <v/>
      </c>
      <c r="E27" s="7">
        <f>B27-C27</f>
        <v/>
      </c>
      <c r="F27" s="7">
        <f>PMT(g_mortRate/12,vivienda_plazoHipoteca*12,-E27)</f>
        <v/>
      </c>
      <c r="G27" s="7">
        <f>B27*ubic_cleveland_impuestoPropPct/12</f>
        <v/>
      </c>
      <c r="H27" s="7">
        <f>B27*ubic_cleveland_seguroPct/12</f>
        <v/>
      </c>
      <c r="I27" s="7">
        <f>IF(vivienda_enganchePct&lt;0.2,E27*vivienda_pmiTasa/12,0)</f>
        <v/>
      </c>
      <c r="J27" s="7">
        <f>B27*vivienda_mantenimientoPct/12</f>
        <v/>
      </c>
      <c r="K27" s="7">
        <f>0*ubic_cleveland_rentaUnidad*(1-vivienda_vacancia)</f>
        <v/>
      </c>
      <c r="L27" s="7">
        <f>F27+G27+H27+I27</f>
        <v/>
      </c>
      <c r="M27" s="7">
        <f>L27+J27-K27*(1-vivienda_gestionPct)</f>
        <v/>
      </c>
      <c r="N27" s="7">
        <f>12*MAX(0,L27-0.75*K27)/vivienda_dtiMax</f>
        <v/>
      </c>
    </row>
    <row r="28">
      <c r="A28" t="inlineStr">
        <is>
          <t>Dos casas pequeñas cercanas</t>
        </is>
      </c>
      <c r="B28" s="7">
        <f>ubic_cleveland_precio_dosCasas</f>
        <v/>
      </c>
      <c r="C28" s="7">
        <f>B28*vivienda_enganchePct</f>
        <v/>
      </c>
      <c r="D28" s="7">
        <f>B28*vivienda_cierrePct</f>
        <v/>
      </c>
      <c r="E28" s="7">
        <f>B28-C28</f>
        <v/>
      </c>
      <c r="F28" s="7">
        <f>PMT(g_mortRate/12,vivienda_plazoHipoteca*12,-E28)</f>
        <v/>
      </c>
      <c r="G28" s="7">
        <f>B28*ubic_cleveland_impuestoPropPct/12</f>
        <v/>
      </c>
      <c r="H28" s="7">
        <f>B28*ubic_cleveland_seguroPct/12</f>
        <v/>
      </c>
      <c r="I28" s="7">
        <f>IF(vivienda_enganchePct&lt;0.2,E28*vivienda_pmiTasa/12,0)</f>
        <v/>
      </c>
      <c r="J28" s="7">
        <f>B28*vivienda_mantenimientoPct/12</f>
        <v/>
      </c>
      <c r="K28" s="7">
        <f>0*ubic_cleveland_rentaUnidad*(1-vivienda_vacancia)</f>
        <v/>
      </c>
      <c r="L28" s="7">
        <f>F28+G28+H28+I28</f>
        <v/>
      </c>
      <c r="M28" s="7">
        <f>L28+J28-K28*(1-vivienda_gestionPct)</f>
        <v/>
      </c>
      <c r="N28" s="7">
        <f>12*MAX(0,L28-0.75*K28)/vivienda_dtiMax</f>
        <v/>
      </c>
    </row>
    <row r="29">
      <c r="A29" t="inlineStr">
        <is>
          <t>Casa + ADU construido después</t>
        </is>
      </c>
      <c r="B29" s="7">
        <f>ubic_cleveland_precio_casaAdu</f>
        <v/>
      </c>
      <c r="C29" s="7">
        <f>B29*vivienda_enganchePct</f>
        <v/>
      </c>
      <c r="D29" s="7">
        <f>B29*vivienda_cierrePct</f>
        <v/>
      </c>
      <c r="E29" s="7">
        <f>B29-C29</f>
        <v/>
      </c>
      <c r="F29" s="7">
        <f>PMT(g_mortRate/12,vivienda_plazoHipoteca*12,-E29)</f>
        <v/>
      </c>
      <c r="G29" s="7">
        <f>B29*ubic_cleveland_impuestoPropPct/12</f>
        <v/>
      </c>
      <c r="H29" s="7">
        <f>B29*ubic_cleveland_seguroPct/12</f>
        <v/>
      </c>
      <c r="I29" s="7">
        <f>IF(vivienda_enganchePct&lt;0.2,E29*vivienda_pmiTasa/12,0)</f>
        <v/>
      </c>
      <c r="J29" s="7">
        <f>B29*vivienda_mantenimientoPct/12</f>
        <v/>
      </c>
      <c r="K29" s="7">
        <f>0*ubic_cleveland_rentaUnidad*(1-vivienda_vacancia)</f>
        <v/>
      </c>
      <c r="L29" s="7">
        <f>F29+G29+H29+I29</f>
        <v/>
      </c>
      <c r="M29" s="7">
        <f>L29+J29-K29*(1-vivienda_gestionPct)</f>
        <v/>
      </c>
      <c r="N29" s="7">
        <f>12*MAX(0,L29-0.75*K29)/vivienda_dtiMax</f>
        <v/>
      </c>
    </row>
    <row r="30">
      <c r="A30" t="inlineStr">
        <is>
          <t>Multifamiliar 3-4 unidades (rentar 1-2)</t>
        </is>
      </c>
      <c r="B30" s="7">
        <f>ubic_cleveland_precio_multi</f>
        <v/>
      </c>
      <c r="C30" s="7">
        <f>B30*vivienda_enganchePct</f>
        <v/>
      </c>
      <c r="D30" s="7">
        <f>B30*vivienda_cierrePct</f>
        <v/>
      </c>
      <c r="E30" s="7">
        <f>B30-C30</f>
        <v/>
      </c>
      <c r="F30" s="7">
        <f>PMT(g_mortRate/12,vivienda_plazoHipoteca*12,-E30)</f>
        <v/>
      </c>
      <c r="G30" s="7">
        <f>B30*ubic_cleveland_impuestoPropPct/12</f>
        <v/>
      </c>
      <c r="H30" s="7">
        <f>B30*ubic_cleveland_seguroPct/12</f>
        <v/>
      </c>
      <c r="I30" s="7">
        <f>IF(vivienda_enganchePct&lt;0.2,E30*vivienda_pmiTasa/12,0)</f>
        <v/>
      </c>
      <c r="J30" s="7">
        <f>B30*vivienda_mantenimientoPct/12</f>
        <v/>
      </c>
      <c r="K30" s="7">
        <f>2*ubic_cleveland_rentaUnidad*(1-vivienda_vacancia)</f>
        <v/>
      </c>
      <c r="L30" s="7">
        <f>F30+G30+H30+I30</f>
        <v/>
      </c>
      <c r="M30" s="7">
        <f>L30+J30-K30*(1-vivienda_gestionPct)</f>
        <v/>
      </c>
      <c r="N30" s="7">
        <f>12*MAX(0,L30-0.75*K30)/vivienda_dtiMax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H52"/>
  <sheetViews>
    <sheetView workbookViewId="0">
      <pane xSplit="1" ySplit="32" topLeftCell="B3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0" customWidth="1" min="1" max="1"/>
  </cols>
  <sheetData>
    <row r="1">
      <c r="A1" s="1" t="inlineStr">
        <is>
          <t>A1 · Case mgmt → UR payer-side (remoto)</t>
        </is>
      </c>
    </row>
    <row r="2">
      <c r="A2" s="2" t="inlineStr">
        <is>
          <t>Etapas (celdas azules editables; fechas decimales: 2027.67 = sep-2027). Traslape por año en columnas T→AM. Hitos con costo en AN→AP.</t>
        </is>
      </c>
    </row>
    <row r="4">
      <c r="A4" s="5" t="inlineStr">
        <is>
          <t>Etapa</t>
        </is>
      </c>
      <c r="B4" s="5" t="inlineStr">
        <is>
          <t>Inicio</t>
        </is>
      </c>
      <c r="C4" s="5" t="inlineStr">
        <is>
          <t>Fin</t>
        </is>
      </c>
      <c r="D4" s="5" t="inlineStr">
        <is>
          <t>Rol</t>
        </is>
      </c>
      <c r="E4" s="5" t="inlineStr">
        <is>
          <t>Salario base FT 2026 ($)</t>
        </is>
      </c>
      <c r="F4" s="5" t="inlineStr">
        <is>
          <t>Aumento anual</t>
        </is>
      </c>
      <c r="G4" s="5" t="inlineStr">
        <is>
          <t>Horas (FTE)</t>
        </is>
      </c>
      <c r="H4" s="5" t="inlineStr">
        <is>
          <t>Multiplicador</t>
        </is>
      </c>
      <c r="I4" s="5" t="inlineStr">
        <is>
          <t>Bono al inicio</t>
        </is>
      </c>
      <c r="J4" s="5" t="inlineStr">
        <is>
          <t>Matrícula total (2026$)</t>
        </is>
      </c>
      <c r="K4" s="5" t="inlineStr">
        <is>
          <t>Estudio (1/0)</t>
        </is>
      </c>
      <c r="L4" s="5" t="inlineStr">
        <is>
          <t>PSLF (1/0)</t>
        </is>
      </c>
      <c r="M4" s="5" t="inlineStr">
        <is>
          <t>Match 403b (1/0)</t>
        </is>
      </c>
      <c r="N4" s="5" t="inlineStr">
        <is>
          <t>Travel (1/0)</t>
        </is>
      </c>
      <c r="O4" s="5" t="inlineStr">
        <is>
          <t>% stipend libre</t>
        </is>
      </c>
      <c r="P4" s="5" t="inlineStr">
        <is>
          <t>S-corp anual base</t>
        </is>
      </c>
      <c r="Q4" s="5" t="inlineStr">
        <is>
          <t>Autoempleo anual base</t>
        </is>
      </c>
      <c r="R4" s="5" t="inlineStr">
        <is>
          <t>Attending (1/0)</t>
        </is>
      </c>
      <c r="T4" s="8" t="n">
        <v>2027</v>
      </c>
      <c r="U4" s="8" t="n">
        <v>2028</v>
      </c>
      <c r="V4" s="8" t="n">
        <v>2029</v>
      </c>
      <c r="W4" s="8" t="n">
        <v>2030</v>
      </c>
      <c r="X4" s="8" t="n">
        <v>2031</v>
      </c>
      <c r="Y4" s="8" t="n">
        <v>2032</v>
      </c>
      <c r="Z4" s="8" t="n">
        <v>2033</v>
      </c>
      <c r="AA4" s="8" t="n">
        <v>2034</v>
      </c>
      <c r="AB4" s="8" t="n">
        <v>2035</v>
      </c>
      <c r="AC4" s="8" t="n">
        <v>2036</v>
      </c>
      <c r="AD4" s="8" t="n">
        <v>2037</v>
      </c>
      <c r="AE4" s="8" t="n">
        <v>2038</v>
      </c>
      <c r="AF4" s="8" t="n">
        <v>2039</v>
      </c>
      <c r="AG4" s="8" t="n">
        <v>2040</v>
      </c>
      <c r="AH4" s="8" t="n">
        <v>2041</v>
      </c>
      <c r="AI4" s="8" t="n">
        <v>2042</v>
      </c>
      <c r="AJ4" s="8" t="n">
        <v>2043</v>
      </c>
      <c r="AK4" s="8" t="n">
        <v>2044</v>
      </c>
      <c r="AL4" s="8" t="n">
        <v>2045</v>
      </c>
      <c r="AM4" s="8" t="n">
        <v>2046</v>
      </c>
      <c r="AN4" s="5" t="inlineStr">
        <is>
          <t>Hito</t>
        </is>
      </c>
      <c r="AO4" s="5" t="inlineStr">
        <is>
          <t>Fecha</t>
        </is>
      </c>
      <c r="AP4" s="5" t="inlineStr">
        <is>
          <t>Costo (2026$)</t>
        </is>
      </c>
    </row>
    <row r="5">
      <c r="A5" t="inlineStr">
        <is>
          <t>Case manager RN (cursando BSN)</t>
        </is>
      </c>
      <c r="B5" s="3" t="n">
        <v>2027</v>
      </c>
      <c r="C5" s="3" t="n">
        <v>2027.5</v>
      </c>
      <c r="D5" t="inlineStr">
        <is>
          <t>cm</t>
        </is>
      </c>
      <c r="E5">
        <f>personal_tarifaHora*2080*loc_factorRN/ubic_miami_factorRN</f>
        <v/>
      </c>
      <c r="F5">
        <f>roles_cm_aumento</f>
        <v/>
      </c>
      <c r="G5">
        <f>personal_horasSemana/40</f>
        <v/>
      </c>
      <c r="H5" s="3" t="n">
        <v>1</v>
      </c>
      <c r="I5" s="3" t="n">
        <v>0</v>
      </c>
      <c r="J5" s="3" t="n">
        <v>0</v>
      </c>
      <c r="K5" s="3" t="n">
        <v>0</v>
      </c>
      <c r="L5" s="3" t="n">
        <v>1</v>
      </c>
      <c r="M5" s="3" t="n">
        <v>1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T5">
        <f>MAX(0,MIN($C5,T$4+1)-MAX($B5,T$4))</f>
        <v/>
      </c>
      <c r="U5">
        <f>MAX(0,MIN($C5,U$4+1)-MAX($B5,U$4))</f>
        <v/>
      </c>
      <c r="V5">
        <f>MAX(0,MIN($C5,V$4+1)-MAX($B5,V$4))</f>
        <v/>
      </c>
      <c r="W5">
        <f>MAX(0,MIN($C5,W$4+1)-MAX($B5,W$4))</f>
        <v/>
      </c>
      <c r="X5">
        <f>MAX(0,MIN($C5,X$4+1)-MAX($B5,X$4))</f>
        <v/>
      </c>
      <c r="Y5">
        <f>MAX(0,MIN($C5,Y$4+1)-MAX($B5,Y$4))</f>
        <v/>
      </c>
      <c r="Z5">
        <f>MAX(0,MIN($C5,Z$4+1)-MAX($B5,Z$4))</f>
        <v/>
      </c>
      <c r="AA5">
        <f>MAX(0,MIN($C5,AA$4+1)-MAX($B5,AA$4))</f>
        <v/>
      </c>
      <c r="AB5">
        <f>MAX(0,MIN($C5,AB$4+1)-MAX($B5,AB$4))</f>
        <v/>
      </c>
      <c r="AC5">
        <f>MAX(0,MIN($C5,AC$4+1)-MAX($B5,AC$4))</f>
        <v/>
      </c>
      <c r="AD5">
        <f>MAX(0,MIN($C5,AD$4+1)-MAX($B5,AD$4))</f>
        <v/>
      </c>
      <c r="AE5">
        <f>MAX(0,MIN($C5,AE$4+1)-MAX($B5,AE$4))</f>
        <v/>
      </c>
      <c r="AF5">
        <f>MAX(0,MIN($C5,AF$4+1)-MAX($B5,AF$4))</f>
        <v/>
      </c>
      <c r="AG5">
        <f>MAX(0,MIN($C5,AG$4+1)-MAX($B5,AG$4))</f>
        <v/>
      </c>
      <c r="AH5">
        <f>MAX(0,MIN($C5,AH$4+1)-MAX($B5,AH$4))</f>
        <v/>
      </c>
      <c r="AI5">
        <f>MAX(0,MIN($C5,AI$4+1)-MAX($B5,AI$4))</f>
        <v/>
      </c>
      <c r="AJ5">
        <f>MAX(0,MIN($C5,AJ$4+1)-MAX($B5,AJ$4))</f>
        <v/>
      </c>
      <c r="AK5">
        <f>MAX(0,MIN($C5,AK$4+1)-MAX($B5,AK$4))</f>
        <v/>
      </c>
      <c r="AL5">
        <f>MAX(0,MIN($C5,AL$4+1)-MAX($B5,AL$4))</f>
        <v/>
      </c>
      <c r="AM5">
        <f>MAX(0,MIN($C5,AM$4+1)-MAX($B5,AM$4))</f>
        <v/>
      </c>
      <c r="AN5" t="inlineStr">
        <is>
          <t>Graduación RN-BSN</t>
        </is>
      </c>
      <c r="AO5" s="3" t="n">
        <v>2027.5</v>
      </c>
      <c r="AP5" s="3" t="n">
        <v>0</v>
      </c>
    </row>
    <row r="6">
      <c r="A6" t="inlineStr">
        <is>
          <t>Case manager RN (BSN)</t>
        </is>
      </c>
      <c r="B6" s="3" t="n">
        <v>2027.5</v>
      </c>
      <c r="C6" s="3" t="n">
        <v>2028</v>
      </c>
      <c r="D6" t="inlineStr">
        <is>
          <t>cm</t>
        </is>
      </c>
      <c r="E6">
        <f>personal_tarifaHora*2080*loc_factorRN/ubic_miami_factorRN</f>
        <v/>
      </c>
      <c r="F6">
        <f>roles_cm_aumento</f>
        <v/>
      </c>
      <c r="G6">
        <f>personal_horasSemana/40</f>
        <v/>
      </c>
      <c r="H6">
        <f>1+personal_bsnAumento</f>
        <v/>
      </c>
      <c r="I6" s="3" t="n">
        <v>0</v>
      </c>
      <c r="J6" s="3" t="n">
        <v>0</v>
      </c>
      <c r="K6" s="3" t="n">
        <v>0</v>
      </c>
      <c r="L6" s="3" t="n">
        <v>1</v>
      </c>
      <c r="M6" s="3" t="n">
        <v>1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  <c r="T6">
        <f>MAX(0,MIN($C6,T$4+1)-MAX($B6,T$4))</f>
        <v/>
      </c>
      <c r="U6">
        <f>MAX(0,MIN($C6,U$4+1)-MAX($B6,U$4))</f>
        <v/>
      </c>
      <c r="V6">
        <f>MAX(0,MIN($C6,V$4+1)-MAX($B6,V$4))</f>
        <v/>
      </c>
      <c r="W6">
        <f>MAX(0,MIN($C6,W$4+1)-MAX($B6,W$4))</f>
        <v/>
      </c>
      <c r="X6">
        <f>MAX(0,MIN($C6,X$4+1)-MAX($B6,X$4))</f>
        <v/>
      </c>
      <c r="Y6">
        <f>MAX(0,MIN($C6,Y$4+1)-MAX($B6,Y$4))</f>
        <v/>
      </c>
      <c r="Z6">
        <f>MAX(0,MIN($C6,Z$4+1)-MAX($B6,Z$4))</f>
        <v/>
      </c>
      <c r="AA6">
        <f>MAX(0,MIN($C6,AA$4+1)-MAX($B6,AA$4))</f>
        <v/>
      </c>
      <c r="AB6">
        <f>MAX(0,MIN($C6,AB$4+1)-MAX($B6,AB$4))</f>
        <v/>
      </c>
      <c r="AC6">
        <f>MAX(0,MIN($C6,AC$4+1)-MAX($B6,AC$4))</f>
        <v/>
      </c>
      <c r="AD6">
        <f>MAX(0,MIN($C6,AD$4+1)-MAX($B6,AD$4))</f>
        <v/>
      </c>
      <c r="AE6">
        <f>MAX(0,MIN($C6,AE$4+1)-MAX($B6,AE$4))</f>
        <v/>
      </c>
      <c r="AF6">
        <f>MAX(0,MIN($C6,AF$4+1)-MAX($B6,AF$4))</f>
        <v/>
      </c>
      <c r="AG6">
        <f>MAX(0,MIN($C6,AG$4+1)-MAX($B6,AG$4))</f>
        <v/>
      </c>
      <c r="AH6">
        <f>MAX(0,MIN($C6,AH$4+1)-MAX($B6,AH$4))</f>
        <v/>
      </c>
      <c r="AI6">
        <f>MAX(0,MIN($C6,AI$4+1)-MAX($B6,AI$4))</f>
        <v/>
      </c>
      <c r="AJ6">
        <f>MAX(0,MIN($C6,AJ$4+1)-MAX($B6,AJ$4))</f>
        <v/>
      </c>
      <c r="AK6">
        <f>MAX(0,MIN($C6,AK$4+1)-MAX($B6,AK$4))</f>
        <v/>
      </c>
      <c r="AL6">
        <f>MAX(0,MIN($C6,AL$4+1)-MAX($B6,AL$4))</f>
        <v/>
      </c>
      <c r="AM6">
        <f>MAX(0,MIN($C6,AM$4+1)-MAX($B6,AM$4))</f>
        <v/>
      </c>
      <c r="AN6" t="inlineStr">
        <is>
          <t>Matrícula restante BSN</t>
        </is>
      </c>
      <c r="AO6" s="3" t="n">
        <v>2027</v>
      </c>
      <c r="AP6" s="3">
        <f>personal_bsnCostoRestante</f>
        <v/>
      </c>
    </row>
    <row r="7">
      <c r="A7" t="inlineStr">
        <is>
          <t>Utilization review / payer-side (CVS/Aetna)</t>
        </is>
      </c>
      <c r="B7" s="3" t="n">
        <v>2028</v>
      </c>
      <c r="C7" s="3" t="n">
        <v>2048</v>
      </c>
      <c r="D7" t="inlineStr">
        <is>
          <t>ur</t>
        </is>
      </c>
      <c r="E7">
        <f>roles_ur_base*(1+(loc_factorRN-1)*0.5)</f>
        <v/>
      </c>
      <c r="F7">
        <f>roles_ur_aumento</f>
        <v/>
      </c>
      <c r="G7" s="3" t="n">
        <v>1</v>
      </c>
      <c r="H7" s="3" t="n">
        <v>1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1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T7">
        <f>MAX(0,MIN($C7,T$4+1)-MAX($B7,T$4))</f>
        <v/>
      </c>
      <c r="U7">
        <f>MAX(0,MIN($C7,U$4+1)-MAX($B7,U$4))</f>
        <v/>
      </c>
      <c r="V7">
        <f>MAX(0,MIN($C7,V$4+1)-MAX($B7,V$4))</f>
        <v/>
      </c>
      <c r="W7">
        <f>MAX(0,MIN($C7,W$4+1)-MAX($B7,W$4))</f>
        <v/>
      </c>
      <c r="X7">
        <f>MAX(0,MIN($C7,X$4+1)-MAX($B7,X$4))</f>
        <v/>
      </c>
      <c r="Y7">
        <f>MAX(0,MIN($C7,Y$4+1)-MAX($B7,Y$4))</f>
        <v/>
      </c>
      <c r="Z7">
        <f>MAX(0,MIN($C7,Z$4+1)-MAX($B7,Z$4))</f>
        <v/>
      </c>
      <c r="AA7">
        <f>MAX(0,MIN($C7,AA$4+1)-MAX($B7,AA$4))</f>
        <v/>
      </c>
      <c r="AB7">
        <f>MAX(0,MIN($C7,AB$4+1)-MAX($B7,AB$4))</f>
        <v/>
      </c>
      <c r="AC7">
        <f>MAX(0,MIN($C7,AC$4+1)-MAX($B7,AC$4))</f>
        <v/>
      </c>
      <c r="AD7">
        <f>MAX(0,MIN($C7,AD$4+1)-MAX($B7,AD$4))</f>
        <v/>
      </c>
      <c r="AE7">
        <f>MAX(0,MIN($C7,AE$4+1)-MAX($B7,AE$4))</f>
        <v/>
      </c>
      <c r="AF7">
        <f>MAX(0,MIN($C7,AF$4+1)-MAX($B7,AF$4))</f>
        <v/>
      </c>
      <c r="AG7">
        <f>MAX(0,MIN($C7,AG$4+1)-MAX($B7,AG$4))</f>
        <v/>
      </c>
      <c r="AH7">
        <f>MAX(0,MIN($C7,AH$4+1)-MAX($B7,AH$4))</f>
        <v/>
      </c>
      <c r="AI7">
        <f>MAX(0,MIN($C7,AI$4+1)-MAX($B7,AI$4))</f>
        <v/>
      </c>
      <c r="AJ7">
        <f>MAX(0,MIN($C7,AJ$4+1)-MAX($B7,AJ$4))</f>
        <v/>
      </c>
      <c r="AK7">
        <f>MAX(0,MIN($C7,AK$4+1)-MAX($B7,AK$4))</f>
        <v/>
      </c>
      <c r="AL7">
        <f>MAX(0,MIN($C7,AL$4+1)-MAX($B7,AL$4))</f>
        <v/>
      </c>
      <c r="AM7">
        <f>MAX(0,MIN($C7,AM$4+1)-MAX($B7,AM$4))</f>
        <v/>
      </c>
      <c r="AN7" t="inlineStr">
        <is>
          <t>Empieza UR payer-side</t>
        </is>
      </c>
      <c r="AO7" s="3" t="n">
        <v>2028</v>
      </c>
      <c r="AP7" s="3" t="n">
        <v>0</v>
      </c>
    </row>
    <row r="8">
      <c r="A8" t="inlineStr"/>
      <c r="B8" s="3" t="n">
        <v>0</v>
      </c>
      <c r="C8" s="3" t="n">
        <v>0</v>
      </c>
      <c r="D8" t="inlineStr"/>
      <c r="E8" t="n">
        <v>0</v>
      </c>
      <c r="F8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T8">
        <f>MAX(0,MIN($C8,T$4+1)-MAX($B8,T$4))</f>
        <v/>
      </c>
      <c r="U8">
        <f>MAX(0,MIN($C8,U$4+1)-MAX($B8,U$4))</f>
        <v/>
      </c>
      <c r="V8">
        <f>MAX(0,MIN($C8,V$4+1)-MAX($B8,V$4))</f>
        <v/>
      </c>
      <c r="W8">
        <f>MAX(0,MIN($C8,W$4+1)-MAX($B8,W$4))</f>
        <v/>
      </c>
      <c r="X8">
        <f>MAX(0,MIN($C8,X$4+1)-MAX($B8,X$4))</f>
        <v/>
      </c>
      <c r="Y8">
        <f>MAX(0,MIN($C8,Y$4+1)-MAX($B8,Y$4))</f>
        <v/>
      </c>
      <c r="Z8">
        <f>MAX(0,MIN($C8,Z$4+1)-MAX($B8,Z$4))</f>
        <v/>
      </c>
      <c r="AA8">
        <f>MAX(0,MIN($C8,AA$4+1)-MAX($B8,AA$4))</f>
        <v/>
      </c>
      <c r="AB8">
        <f>MAX(0,MIN($C8,AB$4+1)-MAX($B8,AB$4))</f>
        <v/>
      </c>
      <c r="AC8">
        <f>MAX(0,MIN($C8,AC$4+1)-MAX($B8,AC$4))</f>
        <v/>
      </c>
      <c r="AD8">
        <f>MAX(0,MIN($C8,AD$4+1)-MAX($B8,AD$4))</f>
        <v/>
      </c>
      <c r="AE8">
        <f>MAX(0,MIN($C8,AE$4+1)-MAX($B8,AE$4))</f>
        <v/>
      </c>
      <c r="AF8">
        <f>MAX(0,MIN($C8,AF$4+1)-MAX($B8,AF$4))</f>
        <v/>
      </c>
      <c r="AG8">
        <f>MAX(0,MIN($C8,AG$4+1)-MAX($B8,AG$4))</f>
        <v/>
      </c>
      <c r="AH8">
        <f>MAX(0,MIN($C8,AH$4+1)-MAX($B8,AH$4))</f>
        <v/>
      </c>
      <c r="AI8">
        <f>MAX(0,MIN($C8,AI$4+1)-MAX($B8,AI$4))</f>
        <v/>
      </c>
      <c r="AJ8">
        <f>MAX(0,MIN($C8,AJ$4+1)-MAX($B8,AJ$4))</f>
        <v/>
      </c>
      <c r="AK8">
        <f>MAX(0,MIN($C8,AK$4+1)-MAX($B8,AK$4))</f>
        <v/>
      </c>
      <c r="AL8">
        <f>MAX(0,MIN($C8,AL$4+1)-MAX($B8,AL$4))</f>
        <v/>
      </c>
      <c r="AM8">
        <f>MAX(0,MIN($C8,AM$4+1)-MAX($B8,AM$4))</f>
        <v/>
      </c>
      <c r="AO8" t="n">
        <v>0</v>
      </c>
      <c r="AP8" t="n">
        <v>0</v>
      </c>
    </row>
    <row r="9">
      <c r="A9" t="inlineStr"/>
      <c r="B9" s="3" t="n">
        <v>0</v>
      </c>
      <c r="C9" s="3" t="n">
        <v>0</v>
      </c>
      <c r="D9" t="inlineStr"/>
      <c r="E9" t="n">
        <v>0</v>
      </c>
      <c r="F9" t="n">
        <v>0</v>
      </c>
      <c r="G9" s="3" t="n">
        <v>0</v>
      </c>
      <c r="H9" s="3" t="n">
        <v>0</v>
      </c>
      <c r="I9" s="3" t="n">
        <v>0</v>
      </c>
      <c r="J9" s="3" t="n">
        <v>0</v>
      </c>
      <c r="K9" s="3" t="n">
        <v>0</v>
      </c>
      <c r="L9" s="3" t="n">
        <v>0</v>
      </c>
      <c r="M9" s="3" t="n">
        <v>0</v>
      </c>
      <c r="N9" s="3" t="n">
        <v>0</v>
      </c>
      <c r="O9" s="3" t="n">
        <v>0</v>
      </c>
      <c r="P9" s="3" t="n">
        <v>0</v>
      </c>
      <c r="Q9" s="3" t="n">
        <v>0</v>
      </c>
      <c r="R9" s="3" t="n">
        <v>0</v>
      </c>
      <c r="T9">
        <f>MAX(0,MIN($C9,T$4+1)-MAX($B9,T$4))</f>
        <v/>
      </c>
      <c r="U9">
        <f>MAX(0,MIN($C9,U$4+1)-MAX($B9,U$4))</f>
        <v/>
      </c>
      <c r="V9">
        <f>MAX(0,MIN($C9,V$4+1)-MAX($B9,V$4))</f>
        <v/>
      </c>
      <c r="W9">
        <f>MAX(0,MIN($C9,W$4+1)-MAX($B9,W$4))</f>
        <v/>
      </c>
      <c r="X9">
        <f>MAX(0,MIN($C9,X$4+1)-MAX($B9,X$4))</f>
        <v/>
      </c>
      <c r="Y9">
        <f>MAX(0,MIN($C9,Y$4+1)-MAX($B9,Y$4))</f>
        <v/>
      </c>
      <c r="Z9">
        <f>MAX(0,MIN($C9,Z$4+1)-MAX($B9,Z$4))</f>
        <v/>
      </c>
      <c r="AA9">
        <f>MAX(0,MIN($C9,AA$4+1)-MAX($B9,AA$4))</f>
        <v/>
      </c>
      <c r="AB9">
        <f>MAX(0,MIN($C9,AB$4+1)-MAX($B9,AB$4))</f>
        <v/>
      </c>
      <c r="AC9">
        <f>MAX(0,MIN($C9,AC$4+1)-MAX($B9,AC$4))</f>
        <v/>
      </c>
      <c r="AD9">
        <f>MAX(0,MIN($C9,AD$4+1)-MAX($B9,AD$4))</f>
        <v/>
      </c>
      <c r="AE9">
        <f>MAX(0,MIN($C9,AE$4+1)-MAX($B9,AE$4))</f>
        <v/>
      </c>
      <c r="AF9">
        <f>MAX(0,MIN($C9,AF$4+1)-MAX($B9,AF$4))</f>
        <v/>
      </c>
      <c r="AG9">
        <f>MAX(0,MIN($C9,AG$4+1)-MAX($B9,AG$4))</f>
        <v/>
      </c>
      <c r="AH9">
        <f>MAX(0,MIN($C9,AH$4+1)-MAX($B9,AH$4))</f>
        <v/>
      </c>
      <c r="AI9">
        <f>MAX(0,MIN($C9,AI$4+1)-MAX($B9,AI$4))</f>
        <v/>
      </c>
      <c r="AJ9">
        <f>MAX(0,MIN($C9,AJ$4+1)-MAX($B9,AJ$4))</f>
        <v/>
      </c>
      <c r="AK9">
        <f>MAX(0,MIN($C9,AK$4+1)-MAX($B9,AK$4))</f>
        <v/>
      </c>
      <c r="AL9">
        <f>MAX(0,MIN($C9,AL$4+1)-MAX($B9,AL$4))</f>
        <v/>
      </c>
      <c r="AM9">
        <f>MAX(0,MIN($C9,AM$4+1)-MAX($B9,AM$4))</f>
        <v/>
      </c>
      <c r="AO9" t="n">
        <v>0</v>
      </c>
      <c r="AP9" t="n">
        <v>0</v>
      </c>
    </row>
    <row r="10">
      <c r="A10" t="inlineStr"/>
      <c r="B10" s="3" t="n">
        <v>0</v>
      </c>
      <c r="C10" s="3" t="n">
        <v>0</v>
      </c>
      <c r="D10" t="inlineStr"/>
      <c r="E10" t="n">
        <v>0</v>
      </c>
      <c r="F10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T10">
        <f>MAX(0,MIN($C10,T$4+1)-MAX($B10,T$4))</f>
        <v/>
      </c>
      <c r="U10">
        <f>MAX(0,MIN($C10,U$4+1)-MAX($B10,U$4))</f>
        <v/>
      </c>
      <c r="V10">
        <f>MAX(0,MIN($C10,V$4+1)-MAX($B10,V$4))</f>
        <v/>
      </c>
      <c r="W10">
        <f>MAX(0,MIN($C10,W$4+1)-MAX($B10,W$4))</f>
        <v/>
      </c>
      <c r="X10">
        <f>MAX(0,MIN($C10,X$4+1)-MAX($B10,X$4))</f>
        <v/>
      </c>
      <c r="Y10">
        <f>MAX(0,MIN($C10,Y$4+1)-MAX($B10,Y$4))</f>
        <v/>
      </c>
      <c r="Z10">
        <f>MAX(0,MIN($C10,Z$4+1)-MAX($B10,Z$4))</f>
        <v/>
      </c>
      <c r="AA10">
        <f>MAX(0,MIN($C10,AA$4+1)-MAX($B10,AA$4))</f>
        <v/>
      </c>
      <c r="AB10">
        <f>MAX(0,MIN($C10,AB$4+1)-MAX($B10,AB$4))</f>
        <v/>
      </c>
      <c r="AC10">
        <f>MAX(0,MIN($C10,AC$4+1)-MAX($B10,AC$4))</f>
        <v/>
      </c>
      <c r="AD10">
        <f>MAX(0,MIN($C10,AD$4+1)-MAX($B10,AD$4))</f>
        <v/>
      </c>
      <c r="AE10">
        <f>MAX(0,MIN($C10,AE$4+1)-MAX($B10,AE$4))</f>
        <v/>
      </c>
      <c r="AF10">
        <f>MAX(0,MIN($C10,AF$4+1)-MAX($B10,AF$4))</f>
        <v/>
      </c>
      <c r="AG10">
        <f>MAX(0,MIN($C10,AG$4+1)-MAX($B10,AG$4))</f>
        <v/>
      </c>
      <c r="AH10">
        <f>MAX(0,MIN($C10,AH$4+1)-MAX($B10,AH$4))</f>
        <v/>
      </c>
      <c r="AI10">
        <f>MAX(0,MIN($C10,AI$4+1)-MAX($B10,AI$4))</f>
        <v/>
      </c>
      <c r="AJ10">
        <f>MAX(0,MIN($C10,AJ$4+1)-MAX($B10,AJ$4))</f>
        <v/>
      </c>
      <c r="AK10">
        <f>MAX(0,MIN($C10,AK$4+1)-MAX($B10,AK$4))</f>
        <v/>
      </c>
      <c r="AL10">
        <f>MAX(0,MIN($C10,AL$4+1)-MAX($B10,AL$4))</f>
        <v/>
      </c>
      <c r="AM10">
        <f>MAX(0,MIN($C10,AM$4+1)-MAX($B10,AM$4))</f>
        <v/>
      </c>
      <c r="AO10" t="n">
        <v>0</v>
      </c>
      <c r="AP10" t="n">
        <v>0</v>
      </c>
    </row>
    <row r="11">
      <c r="A11" t="inlineStr"/>
      <c r="B11" s="3" t="n">
        <v>0</v>
      </c>
      <c r="C11" s="3" t="n">
        <v>0</v>
      </c>
      <c r="D11" t="inlineStr"/>
      <c r="E11" t="n">
        <v>0</v>
      </c>
      <c r="F11" t="n">
        <v>0</v>
      </c>
      <c r="G11" s="3" t="n">
        <v>0</v>
      </c>
      <c r="H11" s="3" t="n">
        <v>0</v>
      </c>
      <c r="I11" s="3" t="n">
        <v>0</v>
      </c>
      <c r="J11" s="3" t="n">
        <v>0</v>
      </c>
      <c r="K11" s="3" t="n">
        <v>0</v>
      </c>
      <c r="L11" s="3" t="n">
        <v>0</v>
      </c>
      <c r="M11" s="3" t="n">
        <v>0</v>
      </c>
      <c r="N11" s="3" t="n">
        <v>0</v>
      </c>
      <c r="O11" s="3" t="n">
        <v>0</v>
      </c>
      <c r="P11" s="3" t="n">
        <v>0</v>
      </c>
      <c r="Q11" s="3" t="n">
        <v>0</v>
      </c>
      <c r="R11" s="3" t="n">
        <v>0</v>
      </c>
      <c r="T11">
        <f>MAX(0,MIN($C11,T$4+1)-MAX($B11,T$4))</f>
        <v/>
      </c>
      <c r="U11">
        <f>MAX(0,MIN($C11,U$4+1)-MAX($B11,U$4))</f>
        <v/>
      </c>
      <c r="V11">
        <f>MAX(0,MIN($C11,V$4+1)-MAX($B11,V$4))</f>
        <v/>
      </c>
      <c r="W11">
        <f>MAX(0,MIN($C11,W$4+1)-MAX($B11,W$4))</f>
        <v/>
      </c>
      <c r="X11">
        <f>MAX(0,MIN($C11,X$4+1)-MAX($B11,X$4))</f>
        <v/>
      </c>
      <c r="Y11">
        <f>MAX(0,MIN($C11,Y$4+1)-MAX($B11,Y$4))</f>
        <v/>
      </c>
      <c r="Z11">
        <f>MAX(0,MIN($C11,Z$4+1)-MAX($B11,Z$4))</f>
        <v/>
      </c>
      <c r="AA11">
        <f>MAX(0,MIN($C11,AA$4+1)-MAX($B11,AA$4))</f>
        <v/>
      </c>
      <c r="AB11">
        <f>MAX(0,MIN($C11,AB$4+1)-MAX($B11,AB$4))</f>
        <v/>
      </c>
      <c r="AC11">
        <f>MAX(0,MIN($C11,AC$4+1)-MAX($B11,AC$4))</f>
        <v/>
      </c>
      <c r="AD11">
        <f>MAX(0,MIN($C11,AD$4+1)-MAX($B11,AD$4))</f>
        <v/>
      </c>
      <c r="AE11">
        <f>MAX(0,MIN($C11,AE$4+1)-MAX($B11,AE$4))</f>
        <v/>
      </c>
      <c r="AF11">
        <f>MAX(0,MIN($C11,AF$4+1)-MAX($B11,AF$4))</f>
        <v/>
      </c>
      <c r="AG11">
        <f>MAX(0,MIN($C11,AG$4+1)-MAX($B11,AG$4))</f>
        <v/>
      </c>
      <c r="AH11">
        <f>MAX(0,MIN($C11,AH$4+1)-MAX($B11,AH$4))</f>
        <v/>
      </c>
      <c r="AI11">
        <f>MAX(0,MIN($C11,AI$4+1)-MAX($B11,AI$4))</f>
        <v/>
      </c>
      <c r="AJ11">
        <f>MAX(0,MIN($C11,AJ$4+1)-MAX($B11,AJ$4))</f>
        <v/>
      </c>
      <c r="AK11">
        <f>MAX(0,MIN($C11,AK$4+1)-MAX($B11,AK$4))</f>
        <v/>
      </c>
      <c r="AL11">
        <f>MAX(0,MIN($C11,AL$4+1)-MAX($B11,AL$4))</f>
        <v/>
      </c>
      <c r="AM11">
        <f>MAX(0,MIN($C11,AM$4+1)-MAX($B11,AM$4))</f>
        <v/>
      </c>
      <c r="AO11" t="n">
        <v>0</v>
      </c>
      <c r="AP11" t="n">
        <v>0</v>
      </c>
    </row>
    <row r="12">
      <c r="A12" t="inlineStr"/>
      <c r="B12" s="3" t="n">
        <v>0</v>
      </c>
      <c r="C12" s="3" t="n">
        <v>0</v>
      </c>
      <c r="D12" t="inlineStr"/>
      <c r="E12" t="n">
        <v>0</v>
      </c>
      <c r="F12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T12">
        <f>MAX(0,MIN($C12,T$4+1)-MAX($B12,T$4))</f>
        <v/>
      </c>
      <c r="U12">
        <f>MAX(0,MIN($C12,U$4+1)-MAX($B12,U$4))</f>
        <v/>
      </c>
      <c r="V12">
        <f>MAX(0,MIN($C12,V$4+1)-MAX($B12,V$4))</f>
        <v/>
      </c>
      <c r="W12">
        <f>MAX(0,MIN($C12,W$4+1)-MAX($B12,W$4))</f>
        <v/>
      </c>
      <c r="X12">
        <f>MAX(0,MIN($C12,X$4+1)-MAX($B12,X$4))</f>
        <v/>
      </c>
      <c r="Y12">
        <f>MAX(0,MIN($C12,Y$4+1)-MAX($B12,Y$4))</f>
        <v/>
      </c>
      <c r="Z12">
        <f>MAX(0,MIN($C12,Z$4+1)-MAX($B12,Z$4))</f>
        <v/>
      </c>
      <c r="AA12">
        <f>MAX(0,MIN($C12,AA$4+1)-MAX($B12,AA$4))</f>
        <v/>
      </c>
      <c r="AB12">
        <f>MAX(0,MIN($C12,AB$4+1)-MAX($B12,AB$4))</f>
        <v/>
      </c>
      <c r="AC12">
        <f>MAX(0,MIN($C12,AC$4+1)-MAX($B12,AC$4))</f>
        <v/>
      </c>
      <c r="AD12">
        <f>MAX(0,MIN($C12,AD$4+1)-MAX($B12,AD$4))</f>
        <v/>
      </c>
      <c r="AE12">
        <f>MAX(0,MIN($C12,AE$4+1)-MAX($B12,AE$4))</f>
        <v/>
      </c>
      <c r="AF12">
        <f>MAX(0,MIN($C12,AF$4+1)-MAX($B12,AF$4))</f>
        <v/>
      </c>
      <c r="AG12">
        <f>MAX(0,MIN($C12,AG$4+1)-MAX($B12,AG$4))</f>
        <v/>
      </c>
      <c r="AH12">
        <f>MAX(0,MIN($C12,AH$4+1)-MAX($B12,AH$4))</f>
        <v/>
      </c>
      <c r="AI12">
        <f>MAX(0,MIN($C12,AI$4+1)-MAX($B12,AI$4))</f>
        <v/>
      </c>
      <c r="AJ12">
        <f>MAX(0,MIN($C12,AJ$4+1)-MAX($B12,AJ$4))</f>
        <v/>
      </c>
      <c r="AK12">
        <f>MAX(0,MIN($C12,AK$4+1)-MAX($B12,AK$4))</f>
        <v/>
      </c>
      <c r="AL12">
        <f>MAX(0,MIN($C12,AL$4+1)-MAX($B12,AL$4))</f>
        <v/>
      </c>
      <c r="AM12">
        <f>MAX(0,MIN($C12,AM$4+1)-MAX($B12,AM$4))</f>
        <v/>
      </c>
      <c r="AO12" t="n">
        <v>0</v>
      </c>
      <c r="AP12" t="n">
        <v>0</v>
      </c>
    </row>
    <row r="13">
      <c r="A13" t="inlineStr"/>
      <c r="B13" s="3" t="n">
        <v>0</v>
      </c>
      <c r="C13" s="3" t="n">
        <v>0</v>
      </c>
      <c r="D13" t="inlineStr"/>
      <c r="E13" t="n">
        <v>0</v>
      </c>
      <c r="F1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T13">
        <f>MAX(0,MIN($C13,T$4+1)-MAX($B13,T$4))</f>
        <v/>
      </c>
      <c r="U13">
        <f>MAX(0,MIN($C13,U$4+1)-MAX($B13,U$4))</f>
        <v/>
      </c>
      <c r="V13">
        <f>MAX(0,MIN($C13,V$4+1)-MAX($B13,V$4))</f>
        <v/>
      </c>
      <c r="W13">
        <f>MAX(0,MIN($C13,W$4+1)-MAX($B13,W$4))</f>
        <v/>
      </c>
      <c r="X13">
        <f>MAX(0,MIN($C13,X$4+1)-MAX($B13,X$4))</f>
        <v/>
      </c>
      <c r="Y13">
        <f>MAX(0,MIN($C13,Y$4+1)-MAX($B13,Y$4))</f>
        <v/>
      </c>
      <c r="Z13">
        <f>MAX(0,MIN($C13,Z$4+1)-MAX($B13,Z$4))</f>
        <v/>
      </c>
      <c r="AA13">
        <f>MAX(0,MIN($C13,AA$4+1)-MAX($B13,AA$4))</f>
        <v/>
      </c>
      <c r="AB13">
        <f>MAX(0,MIN($C13,AB$4+1)-MAX($B13,AB$4))</f>
        <v/>
      </c>
      <c r="AC13">
        <f>MAX(0,MIN($C13,AC$4+1)-MAX($B13,AC$4))</f>
        <v/>
      </c>
      <c r="AD13">
        <f>MAX(0,MIN($C13,AD$4+1)-MAX($B13,AD$4))</f>
        <v/>
      </c>
      <c r="AE13">
        <f>MAX(0,MIN($C13,AE$4+1)-MAX($B13,AE$4))</f>
        <v/>
      </c>
      <c r="AF13">
        <f>MAX(0,MIN($C13,AF$4+1)-MAX($B13,AF$4))</f>
        <v/>
      </c>
      <c r="AG13">
        <f>MAX(0,MIN($C13,AG$4+1)-MAX($B13,AG$4))</f>
        <v/>
      </c>
      <c r="AH13">
        <f>MAX(0,MIN($C13,AH$4+1)-MAX($B13,AH$4))</f>
        <v/>
      </c>
      <c r="AI13">
        <f>MAX(0,MIN($C13,AI$4+1)-MAX($B13,AI$4))</f>
        <v/>
      </c>
      <c r="AJ13">
        <f>MAX(0,MIN($C13,AJ$4+1)-MAX($B13,AJ$4))</f>
        <v/>
      </c>
      <c r="AK13">
        <f>MAX(0,MIN($C13,AK$4+1)-MAX($B13,AK$4))</f>
        <v/>
      </c>
      <c r="AL13">
        <f>MAX(0,MIN($C13,AL$4+1)-MAX($B13,AL$4))</f>
        <v/>
      </c>
      <c r="AM13">
        <f>MAX(0,MIN($C13,AM$4+1)-MAX($B13,AM$4))</f>
        <v/>
      </c>
      <c r="AO13" t="n">
        <v>0</v>
      </c>
      <c r="AP13" t="n">
        <v>0</v>
      </c>
    </row>
    <row r="14">
      <c r="A14" t="inlineStr"/>
      <c r="B14" s="3" t="n">
        <v>0</v>
      </c>
      <c r="C14" s="3" t="n">
        <v>0</v>
      </c>
      <c r="D14" t="inlineStr"/>
      <c r="E14" t="n">
        <v>0</v>
      </c>
      <c r="F14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T14">
        <f>MAX(0,MIN($C14,T$4+1)-MAX($B14,T$4))</f>
        <v/>
      </c>
      <c r="U14">
        <f>MAX(0,MIN($C14,U$4+1)-MAX($B14,U$4))</f>
        <v/>
      </c>
      <c r="V14">
        <f>MAX(0,MIN($C14,V$4+1)-MAX($B14,V$4))</f>
        <v/>
      </c>
      <c r="W14">
        <f>MAX(0,MIN($C14,W$4+1)-MAX($B14,W$4))</f>
        <v/>
      </c>
      <c r="X14">
        <f>MAX(0,MIN($C14,X$4+1)-MAX($B14,X$4))</f>
        <v/>
      </c>
      <c r="Y14">
        <f>MAX(0,MIN($C14,Y$4+1)-MAX($B14,Y$4))</f>
        <v/>
      </c>
      <c r="Z14">
        <f>MAX(0,MIN($C14,Z$4+1)-MAX($B14,Z$4))</f>
        <v/>
      </c>
      <c r="AA14">
        <f>MAX(0,MIN($C14,AA$4+1)-MAX($B14,AA$4))</f>
        <v/>
      </c>
      <c r="AB14">
        <f>MAX(0,MIN($C14,AB$4+1)-MAX($B14,AB$4))</f>
        <v/>
      </c>
      <c r="AC14">
        <f>MAX(0,MIN($C14,AC$4+1)-MAX($B14,AC$4))</f>
        <v/>
      </c>
      <c r="AD14">
        <f>MAX(0,MIN($C14,AD$4+1)-MAX($B14,AD$4))</f>
        <v/>
      </c>
      <c r="AE14">
        <f>MAX(0,MIN($C14,AE$4+1)-MAX($B14,AE$4))</f>
        <v/>
      </c>
      <c r="AF14">
        <f>MAX(0,MIN($C14,AF$4+1)-MAX($B14,AF$4))</f>
        <v/>
      </c>
      <c r="AG14">
        <f>MAX(0,MIN($C14,AG$4+1)-MAX($B14,AG$4))</f>
        <v/>
      </c>
      <c r="AH14">
        <f>MAX(0,MIN($C14,AH$4+1)-MAX($B14,AH$4))</f>
        <v/>
      </c>
      <c r="AI14">
        <f>MAX(0,MIN($C14,AI$4+1)-MAX($B14,AI$4))</f>
        <v/>
      </c>
      <c r="AJ14">
        <f>MAX(0,MIN($C14,AJ$4+1)-MAX($B14,AJ$4))</f>
        <v/>
      </c>
      <c r="AK14">
        <f>MAX(0,MIN($C14,AK$4+1)-MAX($B14,AK$4))</f>
        <v/>
      </c>
      <c r="AL14">
        <f>MAX(0,MIN($C14,AL$4+1)-MAX($B14,AL$4))</f>
        <v/>
      </c>
      <c r="AM14">
        <f>MAX(0,MIN($C14,AM$4+1)-MAX($B14,AM$4))</f>
        <v/>
      </c>
      <c r="AO14" t="n">
        <v>0</v>
      </c>
      <c r="AP14" t="n">
        <v>0</v>
      </c>
    </row>
    <row r="15">
      <c r="A15" t="inlineStr"/>
      <c r="B15" s="3" t="n">
        <v>0</v>
      </c>
      <c r="C15" s="3" t="n">
        <v>0</v>
      </c>
      <c r="D15" t="inlineStr"/>
      <c r="E15" t="n">
        <v>0</v>
      </c>
      <c r="F15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T15">
        <f>MAX(0,MIN($C15,T$4+1)-MAX($B15,T$4))</f>
        <v/>
      </c>
      <c r="U15">
        <f>MAX(0,MIN($C15,U$4+1)-MAX($B15,U$4))</f>
        <v/>
      </c>
      <c r="V15">
        <f>MAX(0,MIN($C15,V$4+1)-MAX($B15,V$4))</f>
        <v/>
      </c>
      <c r="W15">
        <f>MAX(0,MIN($C15,W$4+1)-MAX($B15,W$4))</f>
        <v/>
      </c>
      <c r="X15">
        <f>MAX(0,MIN($C15,X$4+1)-MAX($B15,X$4))</f>
        <v/>
      </c>
      <c r="Y15">
        <f>MAX(0,MIN($C15,Y$4+1)-MAX($B15,Y$4))</f>
        <v/>
      </c>
      <c r="Z15">
        <f>MAX(0,MIN($C15,Z$4+1)-MAX($B15,Z$4))</f>
        <v/>
      </c>
      <c r="AA15">
        <f>MAX(0,MIN($C15,AA$4+1)-MAX($B15,AA$4))</f>
        <v/>
      </c>
      <c r="AB15">
        <f>MAX(0,MIN($C15,AB$4+1)-MAX($B15,AB$4))</f>
        <v/>
      </c>
      <c r="AC15">
        <f>MAX(0,MIN($C15,AC$4+1)-MAX($B15,AC$4))</f>
        <v/>
      </c>
      <c r="AD15">
        <f>MAX(0,MIN($C15,AD$4+1)-MAX($B15,AD$4))</f>
        <v/>
      </c>
      <c r="AE15">
        <f>MAX(0,MIN($C15,AE$4+1)-MAX($B15,AE$4))</f>
        <v/>
      </c>
      <c r="AF15">
        <f>MAX(0,MIN($C15,AF$4+1)-MAX($B15,AF$4))</f>
        <v/>
      </c>
      <c r="AG15">
        <f>MAX(0,MIN($C15,AG$4+1)-MAX($B15,AG$4))</f>
        <v/>
      </c>
      <c r="AH15">
        <f>MAX(0,MIN($C15,AH$4+1)-MAX($B15,AH$4))</f>
        <v/>
      </c>
      <c r="AI15">
        <f>MAX(0,MIN($C15,AI$4+1)-MAX($B15,AI$4))</f>
        <v/>
      </c>
      <c r="AJ15">
        <f>MAX(0,MIN($C15,AJ$4+1)-MAX($B15,AJ$4))</f>
        <v/>
      </c>
      <c r="AK15">
        <f>MAX(0,MIN($C15,AK$4+1)-MAX($B15,AK$4))</f>
        <v/>
      </c>
      <c r="AL15">
        <f>MAX(0,MIN($C15,AL$4+1)-MAX($B15,AL$4))</f>
        <v/>
      </c>
      <c r="AM15">
        <f>MAX(0,MIN($C15,AM$4+1)-MAX($B15,AM$4))</f>
        <v/>
      </c>
      <c r="AO15" t="n">
        <v>0</v>
      </c>
      <c r="AP15" t="n">
        <v>0</v>
      </c>
    </row>
    <row r="16">
      <c r="A16" t="inlineStr"/>
      <c r="B16" s="3" t="n">
        <v>0</v>
      </c>
      <c r="C16" s="3" t="n">
        <v>0</v>
      </c>
      <c r="D16" t="inlineStr"/>
      <c r="E16" t="n">
        <v>0</v>
      </c>
      <c r="F16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0</v>
      </c>
      <c r="T16">
        <f>MAX(0,MIN($C16,T$4+1)-MAX($B16,T$4))</f>
        <v/>
      </c>
      <c r="U16">
        <f>MAX(0,MIN($C16,U$4+1)-MAX($B16,U$4))</f>
        <v/>
      </c>
      <c r="V16">
        <f>MAX(0,MIN($C16,V$4+1)-MAX($B16,V$4))</f>
        <v/>
      </c>
      <c r="W16">
        <f>MAX(0,MIN($C16,W$4+1)-MAX($B16,W$4))</f>
        <v/>
      </c>
      <c r="X16">
        <f>MAX(0,MIN($C16,X$4+1)-MAX($B16,X$4))</f>
        <v/>
      </c>
      <c r="Y16">
        <f>MAX(0,MIN($C16,Y$4+1)-MAX($B16,Y$4))</f>
        <v/>
      </c>
      <c r="Z16">
        <f>MAX(0,MIN($C16,Z$4+1)-MAX($B16,Z$4))</f>
        <v/>
      </c>
      <c r="AA16">
        <f>MAX(0,MIN($C16,AA$4+1)-MAX($B16,AA$4))</f>
        <v/>
      </c>
      <c r="AB16">
        <f>MAX(0,MIN($C16,AB$4+1)-MAX($B16,AB$4))</f>
        <v/>
      </c>
      <c r="AC16">
        <f>MAX(0,MIN($C16,AC$4+1)-MAX($B16,AC$4))</f>
        <v/>
      </c>
      <c r="AD16">
        <f>MAX(0,MIN($C16,AD$4+1)-MAX($B16,AD$4))</f>
        <v/>
      </c>
      <c r="AE16">
        <f>MAX(0,MIN($C16,AE$4+1)-MAX($B16,AE$4))</f>
        <v/>
      </c>
      <c r="AF16">
        <f>MAX(0,MIN($C16,AF$4+1)-MAX($B16,AF$4))</f>
        <v/>
      </c>
      <c r="AG16">
        <f>MAX(0,MIN($C16,AG$4+1)-MAX($B16,AG$4))</f>
        <v/>
      </c>
      <c r="AH16">
        <f>MAX(0,MIN($C16,AH$4+1)-MAX($B16,AH$4))</f>
        <v/>
      </c>
      <c r="AI16">
        <f>MAX(0,MIN($C16,AI$4+1)-MAX($B16,AI$4))</f>
        <v/>
      </c>
      <c r="AJ16">
        <f>MAX(0,MIN($C16,AJ$4+1)-MAX($B16,AJ$4))</f>
        <v/>
      </c>
      <c r="AK16">
        <f>MAX(0,MIN($C16,AK$4+1)-MAX($B16,AK$4))</f>
        <v/>
      </c>
      <c r="AL16">
        <f>MAX(0,MIN($C16,AL$4+1)-MAX($B16,AL$4))</f>
        <v/>
      </c>
      <c r="AM16">
        <f>MAX(0,MIN($C16,AM$4+1)-MAX($B16,AM$4))</f>
        <v/>
      </c>
      <c r="AO16" t="n">
        <v>0</v>
      </c>
      <c r="AP16" t="n">
        <v>0</v>
      </c>
    </row>
    <row r="17">
      <c r="A17" t="inlineStr"/>
      <c r="B17" s="3" t="n">
        <v>0</v>
      </c>
      <c r="C17" s="3" t="n">
        <v>0</v>
      </c>
      <c r="D17" t="inlineStr"/>
      <c r="E17" t="n">
        <v>0</v>
      </c>
      <c r="F17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T17">
        <f>MAX(0,MIN($C17,T$4+1)-MAX($B17,T$4))</f>
        <v/>
      </c>
      <c r="U17">
        <f>MAX(0,MIN($C17,U$4+1)-MAX($B17,U$4))</f>
        <v/>
      </c>
      <c r="V17">
        <f>MAX(0,MIN($C17,V$4+1)-MAX($B17,V$4))</f>
        <v/>
      </c>
      <c r="W17">
        <f>MAX(0,MIN($C17,W$4+1)-MAX($B17,W$4))</f>
        <v/>
      </c>
      <c r="X17">
        <f>MAX(0,MIN($C17,X$4+1)-MAX($B17,X$4))</f>
        <v/>
      </c>
      <c r="Y17">
        <f>MAX(0,MIN($C17,Y$4+1)-MAX($B17,Y$4))</f>
        <v/>
      </c>
      <c r="Z17">
        <f>MAX(0,MIN($C17,Z$4+1)-MAX($B17,Z$4))</f>
        <v/>
      </c>
      <c r="AA17">
        <f>MAX(0,MIN($C17,AA$4+1)-MAX($B17,AA$4))</f>
        <v/>
      </c>
      <c r="AB17">
        <f>MAX(0,MIN($C17,AB$4+1)-MAX($B17,AB$4))</f>
        <v/>
      </c>
      <c r="AC17">
        <f>MAX(0,MIN($C17,AC$4+1)-MAX($B17,AC$4))</f>
        <v/>
      </c>
      <c r="AD17">
        <f>MAX(0,MIN($C17,AD$4+1)-MAX($B17,AD$4))</f>
        <v/>
      </c>
      <c r="AE17">
        <f>MAX(0,MIN($C17,AE$4+1)-MAX($B17,AE$4))</f>
        <v/>
      </c>
      <c r="AF17">
        <f>MAX(0,MIN($C17,AF$4+1)-MAX($B17,AF$4))</f>
        <v/>
      </c>
      <c r="AG17">
        <f>MAX(0,MIN($C17,AG$4+1)-MAX($B17,AG$4))</f>
        <v/>
      </c>
      <c r="AH17">
        <f>MAX(0,MIN($C17,AH$4+1)-MAX($B17,AH$4))</f>
        <v/>
      </c>
      <c r="AI17">
        <f>MAX(0,MIN($C17,AI$4+1)-MAX($B17,AI$4))</f>
        <v/>
      </c>
      <c r="AJ17">
        <f>MAX(0,MIN($C17,AJ$4+1)-MAX($B17,AJ$4))</f>
        <v/>
      </c>
      <c r="AK17">
        <f>MAX(0,MIN($C17,AK$4+1)-MAX($B17,AK$4))</f>
        <v/>
      </c>
      <c r="AL17">
        <f>MAX(0,MIN($C17,AL$4+1)-MAX($B17,AL$4))</f>
        <v/>
      </c>
      <c r="AM17">
        <f>MAX(0,MIN($C17,AM$4+1)-MAX($B17,AM$4))</f>
        <v/>
      </c>
      <c r="AO17" t="n">
        <v>0</v>
      </c>
      <c r="AP17" t="n">
        <v>0</v>
      </c>
    </row>
    <row r="18">
      <c r="A18" t="inlineStr"/>
      <c r="B18" s="3" t="n">
        <v>0</v>
      </c>
      <c r="C18" s="3" t="n">
        <v>0</v>
      </c>
      <c r="D18" t="inlineStr"/>
      <c r="E18" t="n">
        <v>0</v>
      </c>
      <c r="F18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T18">
        <f>MAX(0,MIN($C18,T$4+1)-MAX($B18,T$4))</f>
        <v/>
      </c>
      <c r="U18">
        <f>MAX(0,MIN($C18,U$4+1)-MAX($B18,U$4))</f>
        <v/>
      </c>
      <c r="V18">
        <f>MAX(0,MIN($C18,V$4+1)-MAX($B18,V$4))</f>
        <v/>
      </c>
      <c r="W18">
        <f>MAX(0,MIN($C18,W$4+1)-MAX($B18,W$4))</f>
        <v/>
      </c>
      <c r="X18">
        <f>MAX(0,MIN($C18,X$4+1)-MAX($B18,X$4))</f>
        <v/>
      </c>
      <c r="Y18">
        <f>MAX(0,MIN($C18,Y$4+1)-MAX($B18,Y$4))</f>
        <v/>
      </c>
      <c r="Z18">
        <f>MAX(0,MIN($C18,Z$4+1)-MAX($B18,Z$4))</f>
        <v/>
      </c>
      <c r="AA18">
        <f>MAX(0,MIN($C18,AA$4+1)-MAX($B18,AA$4))</f>
        <v/>
      </c>
      <c r="AB18">
        <f>MAX(0,MIN($C18,AB$4+1)-MAX($B18,AB$4))</f>
        <v/>
      </c>
      <c r="AC18">
        <f>MAX(0,MIN($C18,AC$4+1)-MAX($B18,AC$4))</f>
        <v/>
      </c>
      <c r="AD18">
        <f>MAX(0,MIN($C18,AD$4+1)-MAX($B18,AD$4))</f>
        <v/>
      </c>
      <c r="AE18">
        <f>MAX(0,MIN($C18,AE$4+1)-MAX($B18,AE$4))</f>
        <v/>
      </c>
      <c r="AF18">
        <f>MAX(0,MIN($C18,AF$4+1)-MAX($B18,AF$4))</f>
        <v/>
      </c>
      <c r="AG18">
        <f>MAX(0,MIN($C18,AG$4+1)-MAX($B18,AG$4))</f>
        <v/>
      </c>
      <c r="AH18">
        <f>MAX(0,MIN($C18,AH$4+1)-MAX($B18,AH$4))</f>
        <v/>
      </c>
      <c r="AI18">
        <f>MAX(0,MIN($C18,AI$4+1)-MAX($B18,AI$4))</f>
        <v/>
      </c>
      <c r="AJ18">
        <f>MAX(0,MIN($C18,AJ$4+1)-MAX($B18,AJ$4))</f>
        <v/>
      </c>
      <c r="AK18">
        <f>MAX(0,MIN($C18,AK$4+1)-MAX($B18,AK$4))</f>
        <v/>
      </c>
      <c r="AL18">
        <f>MAX(0,MIN($C18,AL$4+1)-MAX($B18,AL$4))</f>
        <v/>
      </c>
      <c r="AM18">
        <f>MAX(0,MIN($C18,AM$4+1)-MAX($B18,AM$4))</f>
        <v/>
      </c>
      <c r="AO18" t="n">
        <v>0</v>
      </c>
      <c r="AP18" t="n">
        <v>0</v>
      </c>
    </row>
    <row r="19">
      <c r="A19" t="inlineStr"/>
      <c r="B19" s="3" t="n">
        <v>0</v>
      </c>
      <c r="C19" s="3" t="n">
        <v>0</v>
      </c>
      <c r="D19" t="inlineStr"/>
      <c r="E19" t="n">
        <v>0</v>
      </c>
      <c r="F19" t="n">
        <v>0</v>
      </c>
      <c r="G19" s="3" t="n">
        <v>0</v>
      </c>
      <c r="H19" s="3" t="n">
        <v>0</v>
      </c>
      <c r="I19" s="3" t="n">
        <v>0</v>
      </c>
      <c r="J19" s="3" t="n">
        <v>0</v>
      </c>
      <c r="K19" s="3" t="n">
        <v>0</v>
      </c>
      <c r="L19" s="3" t="n">
        <v>0</v>
      </c>
      <c r="M19" s="3" t="n">
        <v>0</v>
      </c>
      <c r="N19" s="3" t="n">
        <v>0</v>
      </c>
      <c r="O19" s="3" t="n">
        <v>0</v>
      </c>
      <c r="P19" s="3" t="n">
        <v>0</v>
      </c>
      <c r="Q19" s="3" t="n">
        <v>0</v>
      </c>
      <c r="R19" s="3" t="n">
        <v>0</v>
      </c>
      <c r="T19">
        <f>MAX(0,MIN($C19,T$4+1)-MAX($B19,T$4))</f>
        <v/>
      </c>
      <c r="U19">
        <f>MAX(0,MIN($C19,U$4+1)-MAX($B19,U$4))</f>
        <v/>
      </c>
      <c r="V19">
        <f>MAX(0,MIN($C19,V$4+1)-MAX($B19,V$4))</f>
        <v/>
      </c>
      <c r="W19">
        <f>MAX(0,MIN($C19,W$4+1)-MAX($B19,W$4))</f>
        <v/>
      </c>
      <c r="X19">
        <f>MAX(0,MIN($C19,X$4+1)-MAX($B19,X$4))</f>
        <v/>
      </c>
      <c r="Y19">
        <f>MAX(0,MIN($C19,Y$4+1)-MAX($B19,Y$4))</f>
        <v/>
      </c>
      <c r="Z19">
        <f>MAX(0,MIN($C19,Z$4+1)-MAX($B19,Z$4))</f>
        <v/>
      </c>
      <c r="AA19">
        <f>MAX(0,MIN($C19,AA$4+1)-MAX($B19,AA$4))</f>
        <v/>
      </c>
      <c r="AB19">
        <f>MAX(0,MIN($C19,AB$4+1)-MAX($B19,AB$4))</f>
        <v/>
      </c>
      <c r="AC19">
        <f>MAX(0,MIN($C19,AC$4+1)-MAX($B19,AC$4))</f>
        <v/>
      </c>
      <c r="AD19">
        <f>MAX(0,MIN($C19,AD$4+1)-MAX($B19,AD$4))</f>
        <v/>
      </c>
      <c r="AE19">
        <f>MAX(0,MIN($C19,AE$4+1)-MAX($B19,AE$4))</f>
        <v/>
      </c>
      <c r="AF19">
        <f>MAX(0,MIN($C19,AF$4+1)-MAX($B19,AF$4))</f>
        <v/>
      </c>
      <c r="AG19">
        <f>MAX(0,MIN($C19,AG$4+1)-MAX($B19,AG$4))</f>
        <v/>
      </c>
      <c r="AH19">
        <f>MAX(0,MIN($C19,AH$4+1)-MAX($B19,AH$4))</f>
        <v/>
      </c>
      <c r="AI19">
        <f>MAX(0,MIN($C19,AI$4+1)-MAX($B19,AI$4))</f>
        <v/>
      </c>
      <c r="AJ19">
        <f>MAX(0,MIN($C19,AJ$4+1)-MAX($B19,AJ$4))</f>
        <v/>
      </c>
      <c r="AK19">
        <f>MAX(0,MIN($C19,AK$4+1)-MAX($B19,AK$4))</f>
        <v/>
      </c>
      <c r="AL19">
        <f>MAX(0,MIN($C19,AL$4+1)-MAX($B19,AL$4))</f>
        <v/>
      </c>
      <c r="AM19">
        <f>MAX(0,MIN($C19,AM$4+1)-MAX($B19,AM$4))</f>
        <v/>
      </c>
      <c r="AO19" t="n">
        <v>0</v>
      </c>
      <c r="AP19" t="n">
        <v>0</v>
      </c>
    </row>
    <row r="20">
      <c r="A20" t="inlineStr"/>
      <c r="B20" s="3" t="n">
        <v>0</v>
      </c>
      <c r="C20" s="3" t="n">
        <v>0</v>
      </c>
      <c r="D20" t="inlineStr"/>
      <c r="E20" t="n">
        <v>0</v>
      </c>
      <c r="F20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T20">
        <f>MAX(0,MIN($C20,T$4+1)-MAX($B20,T$4))</f>
        <v/>
      </c>
      <c r="U20">
        <f>MAX(0,MIN($C20,U$4+1)-MAX($B20,U$4))</f>
        <v/>
      </c>
      <c r="V20">
        <f>MAX(0,MIN($C20,V$4+1)-MAX($B20,V$4))</f>
        <v/>
      </c>
      <c r="W20">
        <f>MAX(0,MIN($C20,W$4+1)-MAX($B20,W$4))</f>
        <v/>
      </c>
      <c r="X20">
        <f>MAX(0,MIN($C20,X$4+1)-MAX($B20,X$4))</f>
        <v/>
      </c>
      <c r="Y20">
        <f>MAX(0,MIN($C20,Y$4+1)-MAX($B20,Y$4))</f>
        <v/>
      </c>
      <c r="Z20">
        <f>MAX(0,MIN($C20,Z$4+1)-MAX($B20,Z$4))</f>
        <v/>
      </c>
      <c r="AA20">
        <f>MAX(0,MIN($C20,AA$4+1)-MAX($B20,AA$4))</f>
        <v/>
      </c>
      <c r="AB20">
        <f>MAX(0,MIN($C20,AB$4+1)-MAX($B20,AB$4))</f>
        <v/>
      </c>
      <c r="AC20">
        <f>MAX(0,MIN($C20,AC$4+1)-MAX($B20,AC$4))</f>
        <v/>
      </c>
      <c r="AD20">
        <f>MAX(0,MIN($C20,AD$4+1)-MAX($B20,AD$4))</f>
        <v/>
      </c>
      <c r="AE20">
        <f>MAX(0,MIN($C20,AE$4+1)-MAX($B20,AE$4))</f>
        <v/>
      </c>
      <c r="AF20">
        <f>MAX(0,MIN($C20,AF$4+1)-MAX($B20,AF$4))</f>
        <v/>
      </c>
      <c r="AG20">
        <f>MAX(0,MIN($C20,AG$4+1)-MAX($B20,AG$4))</f>
        <v/>
      </c>
      <c r="AH20">
        <f>MAX(0,MIN($C20,AH$4+1)-MAX($B20,AH$4))</f>
        <v/>
      </c>
      <c r="AI20">
        <f>MAX(0,MIN($C20,AI$4+1)-MAX($B20,AI$4))</f>
        <v/>
      </c>
      <c r="AJ20">
        <f>MAX(0,MIN($C20,AJ$4+1)-MAX($B20,AJ$4))</f>
        <v/>
      </c>
      <c r="AK20">
        <f>MAX(0,MIN($C20,AK$4+1)-MAX($B20,AK$4))</f>
        <v/>
      </c>
      <c r="AL20">
        <f>MAX(0,MIN($C20,AL$4+1)-MAX($B20,AL$4))</f>
        <v/>
      </c>
      <c r="AM20">
        <f>MAX(0,MIN($C20,AM$4+1)-MAX($B20,AM$4))</f>
        <v/>
      </c>
      <c r="AO20" t="n">
        <v>0</v>
      </c>
      <c r="AP20" t="n">
        <v>0</v>
      </c>
    </row>
    <row r="21">
      <c r="A21" t="inlineStr"/>
      <c r="B21" s="3" t="n">
        <v>0</v>
      </c>
      <c r="C21" s="3" t="n">
        <v>0</v>
      </c>
      <c r="D21" t="inlineStr"/>
      <c r="E21" t="n">
        <v>0</v>
      </c>
      <c r="F21" t="n">
        <v>0</v>
      </c>
      <c r="G21" s="3" t="n">
        <v>0</v>
      </c>
      <c r="H21" s="3" t="n">
        <v>0</v>
      </c>
      <c r="I21" s="3" t="n">
        <v>0</v>
      </c>
      <c r="J21" s="3" t="n">
        <v>0</v>
      </c>
      <c r="K21" s="3" t="n">
        <v>0</v>
      </c>
      <c r="L21" s="3" t="n">
        <v>0</v>
      </c>
      <c r="M21" s="3" t="n">
        <v>0</v>
      </c>
      <c r="N21" s="3" t="n">
        <v>0</v>
      </c>
      <c r="O21" s="3" t="n">
        <v>0</v>
      </c>
      <c r="P21" s="3" t="n">
        <v>0</v>
      </c>
      <c r="Q21" s="3" t="n">
        <v>0</v>
      </c>
      <c r="R21" s="3" t="n">
        <v>0</v>
      </c>
      <c r="T21">
        <f>MAX(0,MIN($C21,T$4+1)-MAX($B21,T$4))</f>
        <v/>
      </c>
      <c r="U21">
        <f>MAX(0,MIN($C21,U$4+1)-MAX($B21,U$4))</f>
        <v/>
      </c>
      <c r="V21">
        <f>MAX(0,MIN($C21,V$4+1)-MAX($B21,V$4))</f>
        <v/>
      </c>
      <c r="W21">
        <f>MAX(0,MIN($C21,W$4+1)-MAX($B21,W$4))</f>
        <v/>
      </c>
      <c r="X21">
        <f>MAX(0,MIN($C21,X$4+1)-MAX($B21,X$4))</f>
        <v/>
      </c>
      <c r="Y21">
        <f>MAX(0,MIN($C21,Y$4+1)-MAX($B21,Y$4))</f>
        <v/>
      </c>
      <c r="Z21">
        <f>MAX(0,MIN($C21,Z$4+1)-MAX($B21,Z$4))</f>
        <v/>
      </c>
      <c r="AA21">
        <f>MAX(0,MIN($C21,AA$4+1)-MAX($B21,AA$4))</f>
        <v/>
      </c>
      <c r="AB21">
        <f>MAX(0,MIN($C21,AB$4+1)-MAX($B21,AB$4))</f>
        <v/>
      </c>
      <c r="AC21">
        <f>MAX(0,MIN($C21,AC$4+1)-MAX($B21,AC$4))</f>
        <v/>
      </c>
      <c r="AD21">
        <f>MAX(0,MIN($C21,AD$4+1)-MAX($B21,AD$4))</f>
        <v/>
      </c>
      <c r="AE21">
        <f>MAX(0,MIN($C21,AE$4+1)-MAX($B21,AE$4))</f>
        <v/>
      </c>
      <c r="AF21">
        <f>MAX(0,MIN($C21,AF$4+1)-MAX($B21,AF$4))</f>
        <v/>
      </c>
      <c r="AG21">
        <f>MAX(0,MIN($C21,AG$4+1)-MAX($B21,AG$4))</f>
        <v/>
      </c>
      <c r="AH21">
        <f>MAX(0,MIN($C21,AH$4+1)-MAX($B21,AH$4))</f>
        <v/>
      </c>
      <c r="AI21">
        <f>MAX(0,MIN($C21,AI$4+1)-MAX($B21,AI$4))</f>
        <v/>
      </c>
      <c r="AJ21">
        <f>MAX(0,MIN($C21,AJ$4+1)-MAX($B21,AJ$4))</f>
        <v/>
      </c>
      <c r="AK21">
        <f>MAX(0,MIN($C21,AK$4+1)-MAX($B21,AK$4))</f>
        <v/>
      </c>
      <c r="AL21">
        <f>MAX(0,MIN($C21,AL$4+1)-MAX($B21,AL$4))</f>
        <v/>
      </c>
      <c r="AM21">
        <f>MAX(0,MIN($C21,AM$4+1)-MAX($B21,AM$4))</f>
        <v/>
      </c>
      <c r="AO21" t="n">
        <v>0</v>
      </c>
      <c r="AP21" t="n">
        <v>0</v>
      </c>
    </row>
    <row r="22">
      <c r="A22" t="inlineStr"/>
      <c r="B22" s="3" t="n">
        <v>0</v>
      </c>
      <c r="C22" s="3" t="n">
        <v>0</v>
      </c>
      <c r="D22" t="inlineStr"/>
      <c r="E22" t="n">
        <v>0</v>
      </c>
      <c r="F22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T22">
        <f>MAX(0,MIN($C22,T$4+1)-MAX($B22,T$4))</f>
        <v/>
      </c>
      <c r="U22">
        <f>MAX(0,MIN($C22,U$4+1)-MAX($B22,U$4))</f>
        <v/>
      </c>
      <c r="V22">
        <f>MAX(0,MIN($C22,V$4+1)-MAX($B22,V$4))</f>
        <v/>
      </c>
      <c r="W22">
        <f>MAX(0,MIN($C22,W$4+1)-MAX($B22,W$4))</f>
        <v/>
      </c>
      <c r="X22">
        <f>MAX(0,MIN($C22,X$4+1)-MAX($B22,X$4))</f>
        <v/>
      </c>
      <c r="Y22">
        <f>MAX(0,MIN($C22,Y$4+1)-MAX($B22,Y$4))</f>
        <v/>
      </c>
      <c r="Z22">
        <f>MAX(0,MIN($C22,Z$4+1)-MAX($B22,Z$4))</f>
        <v/>
      </c>
      <c r="AA22">
        <f>MAX(0,MIN($C22,AA$4+1)-MAX($B22,AA$4))</f>
        <v/>
      </c>
      <c r="AB22">
        <f>MAX(0,MIN($C22,AB$4+1)-MAX($B22,AB$4))</f>
        <v/>
      </c>
      <c r="AC22">
        <f>MAX(0,MIN($C22,AC$4+1)-MAX($B22,AC$4))</f>
        <v/>
      </c>
      <c r="AD22">
        <f>MAX(0,MIN($C22,AD$4+1)-MAX($B22,AD$4))</f>
        <v/>
      </c>
      <c r="AE22">
        <f>MAX(0,MIN($C22,AE$4+1)-MAX($B22,AE$4))</f>
        <v/>
      </c>
      <c r="AF22">
        <f>MAX(0,MIN($C22,AF$4+1)-MAX($B22,AF$4))</f>
        <v/>
      </c>
      <c r="AG22">
        <f>MAX(0,MIN($C22,AG$4+1)-MAX($B22,AG$4))</f>
        <v/>
      </c>
      <c r="AH22">
        <f>MAX(0,MIN($C22,AH$4+1)-MAX($B22,AH$4))</f>
        <v/>
      </c>
      <c r="AI22">
        <f>MAX(0,MIN($C22,AI$4+1)-MAX($B22,AI$4))</f>
        <v/>
      </c>
      <c r="AJ22">
        <f>MAX(0,MIN($C22,AJ$4+1)-MAX($B22,AJ$4))</f>
        <v/>
      </c>
      <c r="AK22">
        <f>MAX(0,MIN($C22,AK$4+1)-MAX($B22,AK$4))</f>
        <v/>
      </c>
      <c r="AL22">
        <f>MAX(0,MIN($C22,AL$4+1)-MAX($B22,AL$4))</f>
        <v/>
      </c>
      <c r="AM22">
        <f>MAX(0,MIN($C22,AM$4+1)-MAX($B22,AM$4))</f>
        <v/>
      </c>
      <c r="AO22" t="n">
        <v>0</v>
      </c>
      <c r="AP22" t="n">
        <v>0</v>
      </c>
    </row>
    <row r="23">
      <c r="A23" t="inlineStr"/>
      <c r="B23" s="3" t="n">
        <v>0</v>
      </c>
      <c r="C23" s="3" t="n">
        <v>0</v>
      </c>
      <c r="D23" t="inlineStr"/>
      <c r="E23" t="n">
        <v>0</v>
      </c>
      <c r="F2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T23">
        <f>MAX(0,MIN($C23,T$4+1)-MAX($B23,T$4))</f>
        <v/>
      </c>
      <c r="U23">
        <f>MAX(0,MIN($C23,U$4+1)-MAX($B23,U$4))</f>
        <v/>
      </c>
      <c r="V23">
        <f>MAX(0,MIN($C23,V$4+1)-MAX($B23,V$4))</f>
        <v/>
      </c>
      <c r="W23">
        <f>MAX(0,MIN($C23,W$4+1)-MAX($B23,W$4))</f>
        <v/>
      </c>
      <c r="X23">
        <f>MAX(0,MIN($C23,X$4+1)-MAX($B23,X$4))</f>
        <v/>
      </c>
      <c r="Y23">
        <f>MAX(0,MIN($C23,Y$4+1)-MAX($B23,Y$4))</f>
        <v/>
      </c>
      <c r="Z23">
        <f>MAX(0,MIN($C23,Z$4+1)-MAX($B23,Z$4))</f>
        <v/>
      </c>
      <c r="AA23">
        <f>MAX(0,MIN($C23,AA$4+1)-MAX($B23,AA$4))</f>
        <v/>
      </c>
      <c r="AB23">
        <f>MAX(0,MIN($C23,AB$4+1)-MAX($B23,AB$4))</f>
        <v/>
      </c>
      <c r="AC23">
        <f>MAX(0,MIN($C23,AC$4+1)-MAX($B23,AC$4))</f>
        <v/>
      </c>
      <c r="AD23">
        <f>MAX(0,MIN($C23,AD$4+1)-MAX($B23,AD$4))</f>
        <v/>
      </c>
      <c r="AE23">
        <f>MAX(0,MIN($C23,AE$4+1)-MAX($B23,AE$4))</f>
        <v/>
      </c>
      <c r="AF23">
        <f>MAX(0,MIN($C23,AF$4+1)-MAX($B23,AF$4))</f>
        <v/>
      </c>
      <c r="AG23">
        <f>MAX(0,MIN($C23,AG$4+1)-MAX($B23,AG$4))</f>
        <v/>
      </c>
      <c r="AH23">
        <f>MAX(0,MIN($C23,AH$4+1)-MAX($B23,AH$4))</f>
        <v/>
      </c>
      <c r="AI23">
        <f>MAX(0,MIN($C23,AI$4+1)-MAX($B23,AI$4))</f>
        <v/>
      </c>
      <c r="AJ23">
        <f>MAX(0,MIN($C23,AJ$4+1)-MAX($B23,AJ$4))</f>
        <v/>
      </c>
      <c r="AK23">
        <f>MAX(0,MIN($C23,AK$4+1)-MAX($B23,AK$4))</f>
        <v/>
      </c>
      <c r="AL23">
        <f>MAX(0,MIN($C23,AL$4+1)-MAX($B23,AL$4))</f>
        <v/>
      </c>
      <c r="AM23">
        <f>MAX(0,MIN($C23,AM$4+1)-MAX($B23,AM$4))</f>
        <v/>
      </c>
      <c r="AO23" t="n">
        <v>0</v>
      </c>
      <c r="AP23" t="n">
        <v>0</v>
      </c>
    </row>
    <row r="24">
      <c r="A24" t="inlineStr"/>
      <c r="B24" s="3" t="n">
        <v>0</v>
      </c>
      <c r="C24" s="3" t="n">
        <v>0</v>
      </c>
      <c r="D24" t="inlineStr"/>
      <c r="E24" t="n">
        <v>0</v>
      </c>
      <c r="F24" t="n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  <c r="P24" s="3" t="n">
        <v>0</v>
      </c>
      <c r="Q24" s="3" t="n">
        <v>0</v>
      </c>
      <c r="R24" s="3" t="n">
        <v>0</v>
      </c>
      <c r="T24">
        <f>MAX(0,MIN($C24,T$4+1)-MAX($B24,T$4))</f>
        <v/>
      </c>
      <c r="U24">
        <f>MAX(0,MIN($C24,U$4+1)-MAX($B24,U$4))</f>
        <v/>
      </c>
      <c r="V24">
        <f>MAX(0,MIN($C24,V$4+1)-MAX($B24,V$4))</f>
        <v/>
      </c>
      <c r="W24">
        <f>MAX(0,MIN($C24,W$4+1)-MAX($B24,W$4))</f>
        <v/>
      </c>
      <c r="X24">
        <f>MAX(0,MIN($C24,X$4+1)-MAX($B24,X$4))</f>
        <v/>
      </c>
      <c r="Y24">
        <f>MAX(0,MIN($C24,Y$4+1)-MAX($B24,Y$4))</f>
        <v/>
      </c>
      <c r="Z24">
        <f>MAX(0,MIN($C24,Z$4+1)-MAX($B24,Z$4))</f>
        <v/>
      </c>
      <c r="AA24">
        <f>MAX(0,MIN($C24,AA$4+1)-MAX($B24,AA$4))</f>
        <v/>
      </c>
      <c r="AB24">
        <f>MAX(0,MIN($C24,AB$4+1)-MAX($B24,AB$4))</f>
        <v/>
      </c>
      <c r="AC24">
        <f>MAX(0,MIN($C24,AC$4+1)-MAX($B24,AC$4))</f>
        <v/>
      </c>
      <c r="AD24">
        <f>MAX(0,MIN($C24,AD$4+1)-MAX($B24,AD$4))</f>
        <v/>
      </c>
      <c r="AE24">
        <f>MAX(0,MIN($C24,AE$4+1)-MAX($B24,AE$4))</f>
        <v/>
      </c>
      <c r="AF24">
        <f>MAX(0,MIN($C24,AF$4+1)-MAX($B24,AF$4))</f>
        <v/>
      </c>
      <c r="AG24">
        <f>MAX(0,MIN($C24,AG$4+1)-MAX($B24,AG$4))</f>
        <v/>
      </c>
      <c r="AH24">
        <f>MAX(0,MIN($C24,AH$4+1)-MAX($B24,AH$4))</f>
        <v/>
      </c>
      <c r="AI24">
        <f>MAX(0,MIN($C24,AI$4+1)-MAX($B24,AI$4))</f>
        <v/>
      </c>
      <c r="AJ24">
        <f>MAX(0,MIN($C24,AJ$4+1)-MAX($B24,AJ$4))</f>
        <v/>
      </c>
      <c r="AK24">
        <f>MAX(0,MIN($C24,AK$4+1)-MAX($B24,AK$4))</f>
        <v/>
      </c>
      <c r="AL24">
        <f>MAX(0,MIN($C24,AL$4+1)-MAX($B24,AL$4))</f>
        <v/>
      </c>
      <c r="AM24">
        <f>MAX(0,MIN($C24,AM$4+1)-MAX($B24,AM$4))</f>
        <v/>
      </c>
      <c r="AO24" t="n">
        <v>0</v>
      </c>
      <c r="AP24" t="n">
        <v>0</v>
      </c>
    </row>
    <row r="25">
      <c r="A25" t="inlineStr"/>
      <c r="B25" s="3" t="n">
        <v>0</v>
      </c>
      <c r="C25" s="3" t="n">
        <v>0</v>
      </c>
      <c r="D25" t="inlineStr"/>
      <c r="E25" t="n">
        <v>0</v>
      </c>
      <c r="F25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T25">
        <f>MAX(0,MIN($C25,T$4+1)-MAX($B25,T$4))</f>
        <v/>
      </c>
      <c r="U25">
        <f>MAX(0,MIN($C25,U$4+1)-MAX($B25,U$4))</f>
        <v/>
      </c>
      <c r="V25">
        <f>MAX(0,MIN($C25,V$4+1)-MAX($B25,V$4))</f>
        <v/>
      </c>
      <c r="W25">
        <f>MAX(0,MIN($C25,W$4+1)-MAX($B25,W$4))</f>
        <v/>
      </c>
      <c r="X25">
        <f>MAX(0,MIN($C25,X$4+1)-MAX($B25,X$4))</f>
        <v/>
      </c>
      <c r="Y25">
        <f>MAX(0,MIN($C25,Y$4+1)-MAX($B25,Y$4))</f>
        <v/>
      </c>
      <c r="Z25">
        <f>MAX(0,MIN($C25,Z$4+1)-MAX($B25,Z$4))</f>
        <v/>
      </c>
      <c r="AA25">
        <f>MAX(0,MIN($C25,AA$4+1)-MAX($B25,AA$4))</f>
        <v/>
      </c>
      <c r="AB25">
        <f>MAX(0,MIN($C25,AB$4+1)-MAX($B25,AB$4))</f>
        <v/>
      </c>
      <c r="AC25">
        <f>MAX(0,MIN($C25,AC$4+1)-MAX($B25,AC$4))</f>
        <v/>
      </c>
      <c r="AD25">
        <f>MAX(0,MIN($C25,AD$4+1)-MAX($B25,AD$4))</f>
        <v/>
      </c>
      <c r="AE25">
        <f>MAX(0,MIN($C25,AE$4+1)-MAX($B25,AE$4))</f>
        <v/>
      </c>
      <c r="AF25">
        <f>MAX(0,MIN($C25,AF$4+1)-MAX($B25,AF$4))</f>
        <v/>
      </c>
      <c r="AG25">
        <f>MAX(0,MIN($C25,AG$4+1)-MAX($B25,AG$4))</f>
        <v/>
      </c>
      <c r="AH25">
        <f>MAX(0,MIN($C25,AH$4+1)-MAX($B25,AH$4))</f>
        <v/>
      </c>
      <c r="AI25">
        <f>MAX(0,MIN($C25,AI$4+1)-MAX($B25,AI$4))</f>
        <v/>
      </c>
      <c r="AJ25">
        <f>MAX(0,MIN($C25,AJ$4+1)-MAX($B25,AJ$4))</f>
        <v/>
      </c>
      <c r="AK25">
        <f>MAX(0,MIN($C25,AK$4+1)-MAX($B25,AK$4))</f>
        <v/>
      </c>
      <c r="AL25">
        <f>MAX(0,MIN($C25,AL$4+1)-MAX($B25,AL$4))</f>
        <v/>
      </c>
      <c r="AM25">
        <f>MAX(0,MIN($C25,AM$4+1)-MAX($B25,AM$4))</f>
        <v/>
      </c>
    </row>
    <row r="26">
      <c r="A26" t="inlineStr"/>
      <c r="B26" s="3" t="n">
        <v>0</v>
      </c>
      <c r="C26" s="3" t="n">
        <v>0</v>
      </c>
      <c r="D26" t="inlineStr"/>
      <c r="E26" t="n">
        <v>0</v>
      </c>
      <c r="F26" t="n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  <c r="T26">
        <f>MAX(0,MIN($C26,T$4+1)-MAX($B26,T$4))</f>
        <v/>
      </c>
      <c r="U26">
        <f>MAX(0,MIN($C26,U$4+1)-MAX($B26,U$4))</f>
        <v/>
      </c>
      <c r="V26">
        <f>MAX(0,MIN($C26,V$4+1)-MAX($B26,V$4))</f>
        <v/>
      </c>
      <c r="W26">
        <f>MAX(0,MIN($C26,W$4+1)-MAX($B26,W$4))</f>
        <v/>
      </c>
      <c r="X26">
        <f>MAX(0,MIN($C26,X$4+1)-MAX($B26,X$4))</f>
        <v/>
      </c>
      <c r="Y26">
        <f>MAX(0,MIN($C26,Y$4+1)-MAX($B26,Y$4))</f>
        <v/>
      </c>
      <c r="Z26">
        <f>MAX(0,MIN($C26,Z$4+1)-MAX($B26,Z$4))</f>
        <v/>
      </c>
      <c r="AA26">
        <f>MAX(0,MIN($C26,AA$4+1)-MAX($B26,AA$4))</f>
        <v/>
      </c>
      <c r="AB26">
        <f>MAX(0,MIN($C26,AB$4+1)-MAX($B26,AB$4))</f>
        <v/>
      </c>
      <c r="AC26">
        <f>MAX(0,MIN($C26,AC$4+1)-MAX($B26,AC$4))</f>
        <v/>
      </c>
      <c r="AD26">
        <f>MAX(0,MIN($C26,AD$4+1)-MAX($B26,AD$4))</f>
        <v/>
      </c>
      <c r="AE26">
        <f>MAX(0,MIN($C26,AE$4+1)-MAX($B26,AE$4))</f>
        <v/>
      </c>
      <c r="AF26">
        <f>MAX(0,MIN($C26,AF$4+1)-MAX($B26,AF$4))</f>
        <v/>
      </c>
      <c r="AG26">
        <f>MAX(0,MIN($C26,AG$4+1)-MAX($B26,AG$4))</f>
        <v/>
      </c>
      <c r="AH26">
        <f>MAX(0,MIN($C26,AH$4+1)-MAX($B26,AH$4))</f>
        <v/>
      </c>
      <c r="AI26">
        <f>MAX(0,MIN($C26,AI$4+1)-MAX($B26,AI$4))</f>
        <v/>
      </c>
      <c r="AJ26">
        <f>MAX(0,MIN($C26,AJ$4+1)-MAX($B26,AJ$4))</f>
        <v/>
      </c>
      <c r="AK26">
        <f>MAX(0,MIN($C26,AK$4+1)-MAX($B26,AK$4))</f>
        <v/>
      </c>
      <c r="AL26">
        <f>MAX(0,MIN($C26,AL$4+1)-MAX($B26,AL$4))</f>
        <v/>
      </c>
      <c r="AM26">
        <f>MAX(0,MIN($C26,AM$4+1)-MAX($B26,AM$4))</f>
        <v/>
      </c>
    </row>
    <row r="27">
      <c r="A27" t="inlineStr"/>
      <c r="B27" s="3" t="n">
        <v>0</v>
      </c>
      <c r="C27" s="3" t="n">
        <v>0</v>
      </c>
      <c r="D27" t="inlineStr"/>
      <c r="E27" t="n">
        <v>0</v>
      </c>
      <c r="F27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T27">
        <f>MAX(0,MIN($C27,T$4+1)-MAX($B27,T$4))</f>
        <v/>
      </c>
      <c r="U27">
        <f>MAX(0,MIN($C27,U$4+1)-MAX($B27,U$4))</f>
        <v/>
      </c>
      <c r="V27">
        <f>MAX(0,MIN($C27,V$4+1)-MAX($B27,V$4))</f>
        <v/>
      </c>
      <c r="W27">
        <f>MAX(0,MIN($C27,W$4+1)-MAX($B27,W$4))</f>
        <v/>
      </c>
      <c r="X27">
        <f>MAX(0,MIN($C27,X$4+1)-MAX($B27,X$4))</f>
        <v/>
      </c>
      <c r="Y27">
        <f>MAX(0,MIN($C27,Y$4+1)-MAX($B27,Y$4))</f>
        <v/>
      </c>
      <c r="Z27">
        <f>MAX(0,MIN($C27,Z$4+1)-MAX($B27,Z$4))</f>
        <v/>
      </c>
      <c r="AA27">
        <f>MAX(0,MIN($C27,AA$4+1)-MAX($B27,AA$4))</f>
        <v/>
      </c>
      <c r="AB27">
        <f>MAX(0,MIN($C27,AB$4+1)-MAX($B27,AB$4))</f>
        <v/>
      </c>
      <c r="AC27">
        <f>MAX(0,MIN($C27,AC$4+1)-MAX($B27,AC$4))</f>
        <v/>
      </c>
      <c r="AD27">
        <f>MAX(0,MIN($C27,AD$4+1)-MAX($B27,AD$4))</f>
        <v/>
      </c>
      <c r="AE27">
        <f>MAX(0,MIN($C27,AE$4+1)-MAX($B27,AE$4))</f>
        <v/>
      </c>
      <c r="AF27">
        <f>MAX(0,MIN($C27,AF$4+1)-MAX($B27,AF$4))</f>
        <v/>
      </c>
      <c r="AG27">
        <f>MAX(0,MIN($C27,AG$4+1)-MAX($B27,AG$4))</f>
        <v/>
      </c>
      <c r="AH27">
        <f>MAX(0,MIN($C27,AH$4+1)-MAX($B27,AH$4))</f>
        <v/>
      </c>
      <c r="AI27">
        <f>MAX(0,MIN($C27,AI$4+1)-MAX($B27,AI$4))</f>
        <v/>
      </c>
      <c r="AJ27">
        <f>MAX(0,MIN($C27,AJ$4+1)-MAX($B27,AJ$4))</f>
        <v/>
      </c>
      <c r="AK27">
        <f>MAX(0,MIN($C27,AK$4+1)-MAX($B27,AK$4))</f>
        <v/>
      </c>
      <c r="AL27">
        <f>MAX(0,MIN($C27,AL$4+1)-MAX($B27,AL$4))</f>
        <v/>
      </c>
      <c r="AM27">
        <f>MAX(0,MIN($C27,AM$4+1)-MAX($B27,AM$4))</f>
        <v/>
      </c>
    </row>
    <row r="28">
      <c r="A28" t="inlineStr"/>
      <c r="B28" s="3" t="n">
        <v>0</v>
      </c>
      <c r="C28" s="3" t="n">
        <v>0</v>
      </c>
      <c r="D28" t="inlineStr"/>
      <c r="E28" t="n">
        <v>0</v>
      </c>
      <c r="F28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T28">
        <f>MAX(0,MIN($C28,T$4+1)-MAX($B28,T$4))</f>
        <v/>
      </c>
      <c r="U28">
        <f>MAX(0,MIN($C28,U$4+1)-MAX($B28,U$4))</f>
        <v/>
      </c>
      <c r="V28">
        <f>MAX(0,MIN($C28,V$4+1)-MAX($B28,V$4))</f>
        <v/>
      </c>
      <c r="W28">
        <f>MAX(0,MIN($C28,W$4+1)-MAX($B28,W$4))</f>
        <v/>
      </c>
      <c r="X28">
        <f>MAX(0,MIN($C28,X$4+1)-MAX($B28,X$4))</f>
        <v/>
      </c>
      <c r="Y28">
        <f>MAX(0,MIN($C28,Y$4+1)-MAX($B28,Y$4))</f>
        <v/>
      </c>
      <c r="Z28">
        <f>MAX(0,MIN($C28,Z$4+1)-MAX($B28,Z$4))</f>
        <v/>
      </c>
      <c r="AA28">
        <f>MAX(0,MIN($C28,AA$4+1)-MAX($B28,AA$4))</f>
        <v/>
      </c>
      <c r="AB28">
        <f>MAX(0,MIN($C28,AB$4+1)-MAX($B28,AB$4))</f>
        <v/>
      </c>
      <c r="AC28">
        <f>MAX(0,MIN($C28,AC$4+1)-MAX($B28,AC$4))</f>
        <v/>
      </c>
      <c r="AD28">
        <f>MAX(0,MIN($C28,AD$4+1)-MAX($B28,AD$4))</f>
        <v/>
      </c>
      <c r="AE28">
        <f>MAX(0,MIN($C28,AE$4+1)-MAX($B28,AE$4))</f>
        <v/>
      </c>
      <c r="AF28">
        <f>MAX(0,MIN($C28,AF$4+1)-MAX($B28,AF$4))</f>
        <v/>
      </c>
      <c r="AG28">
        <f>MAX(0,MIN($C28,AG$4+1)-MAX($B28,AG$4))</f>
        <v/>
      </c>
      <c r="AH28">
        <f>MAX(0,MIN($C28,AH$4+1)-MAX($B28,AH$4))</f>
        <v/>
      </c>
      <c r="AI28">
        <f>MAX(0,MIN($C28,AI$4+1)-MAX($B28,AI$4))</f>
        <v/>
      </c>
      <c r="AJ28">
        <f>MAX(0,MIN($C28,AJ$4+1)-MAX($B28,AJ$4))</f>
        <v/>
      </c>
      <c r="AK28">
        <f>MAX(0,MIN($C28,AK$4+1)-MAX($B28,AK$4))</f>
        <v/>
      </c>
      <c r="AL28">
        <f>MAX(0,MIN($C28,AL$4+1)-MAX($B28,AL$4))</f>
        <v/>
      </c>
      <c r="AM28">
        <f>MAX(0,MIN($C28,AM$4+1)-MAX($B28,AM$4))</f>
        <v/>
      </c>
    </row>
    <row r="29">
      <c r="A29" t="inlineStr"/>
      <c r="B29" s="3" t="n">
        <v>0</v>
      </c>
      <c r="C29" s="3" t="n">
        <v>0</v>
      </c>
      <c r="D29" t="inlineStr"/>
      <c r="E29" t="n">
        <v>0</v>
      </c>
      <c r="F29" t="n">
        <v>0</v>
      </c>
      <c r="G29" s="3" t="n">
        <v>0</v>
      </c>
      <c r="H29" s="3" t="n">
        <v>0</v>
      </c>
      <c r="I29" s="3" t="n">
        <v>0</v>
      </c>
      <c r="J29" s="3" t="n">
        <v>0</v>
      </c>
      <c r="K29" s="3" t="n">
        <v>0</v>
      </c>
      <c r="L29" s="3" t="n">
        <v>0</v>
      </c>
      <c r="M29" s="3" t="n">
        <v>0</v>
      </c>
      <c r="N29" s="3" t="n">
        <v>0</v>
      </c>
      <c r="O29" s="3" t="n">
        <v>0</v>
      </c>
      <c r="P29" s="3" t="n">
        <v>0</v>
      </c>
      <c r="Q29" s="3" t="n">
        <v>0</v>
      </c>
      <c r="R29" s="3" t="n">
        <v>0</v>
      </c>
      <c r="T29">
        <f>MAX(0,MIN($C29,T$4+1)-MAX($B29,T$4))</f>
        <v/>
      </c>
      <c r="U29">
        <f>MAX(0,MIN($C29,U$4+1)-MAX($B29,U$4))</f>
        <v/>
      </c>
      <c r="V29">
        <f>MAX(0,MIN($C29,V$4+1)-MAX($B29,V$4))</f>
        <v/>
      </c>
      <c r="W29">
        <f>MAX(0,MIN($C29,W$4+1)-MAX($B29,W$4))</f>
        <v/>
      </c>
      <c r="X29">
        <f>MAX(0,MIN($C29,X$4+1)-MAX($B29,X$4))</f>
        <v/>
      </c>
      <c r="Y29">
        <f>MAX(0,MIN($C29,Y$4+1)-MAX($B29,Y$4))</f>
        <v/>
      </c>
      <c r="Z29">
        <f>MAX(0,MIN($C29,Z$4+1)-MAX($B29,Z$4))</f>
        <v/>
      </c>
      <c r="AA29">
        <f>MAX(0,MIN($C29,AA$4+1)-MAX($B29,AA$4))</f>
        <v/>
      </c>
      <c r="AB29">
        <f>MAX(0,MIN($C29,AB$4+1)-MAX($B29,AB$4))</f>
        <v/>
      </c>
      <c r="AC29">
        <f>MAX(0,MIN($C29,AC$4+1)-MAX($B29,AC$4))</f>
        <v/>
      </c>
      <c r="AD29">
        <f>MAX(0,MIN($C29,AD$4+1)-MAX($B29,AD$4))</f>
        <v/>
      </c>
      <c r="AE29">
        <f>MAX(0,MIN($C29,AE$4+1)-MAX($B29,AE$4))</f>
        <v/>
      </c>
      <c r="AF29">
        <f>MAX(0,MIN($C29,AF$4+1)-MAX($B29,AF$4))</f>
        <v/>
      </c>
      <c r="AG29">
        <f>MAX(0,MIN($C29,AG$4+1)-MAX($B29,AG$4))</f>
        <v/>
      </c>
      <c r="AH29">
        <f>MAX(0,MIN($C29,AH$4+1)-MAX($B29,AH$4))</f>
        <v/>
      </c>
      <c r="AI29">
        <f>MAX(0,MIN($C29,AI$4+1)-MAX($B29,AI$4))</f>
        <v/>
      </c>
      <c r="AJ29">
        <f>MAX(0,MIN($C29,AJ$4+1)-MAX($B29,AJ$4))</f>
        <v/>
      </c>
      <c r="AK29">
        <f>MAX(0,MIN($C29,AK$4+1)-MAX($B29,AK$4))</f>
        <v/>
      </c>
      <c r="AL29">
        <f>MAX(0,MIN($C29,AL$4+1)-MAX($B29,AL$4))</f>
        <v/>
      </c>
      <c r="AM29">
        <f>MAX(0,MIN($C29,AM$4+1)-MAX($B29,AM$4))</f>
        <v/>
      </c>
    </row>
    <row r="31">
      <c r="A31" s="1" t="inlineStr">
        <is>
          <t>Simulación anual (todas las celdas son fórmulas)</t>
        </is>
      </c>
    </row>
    <row r="32">
      <c r="A32" s="5" t="inlineStr">
        <is>
          <t>Año</t>
        </is>
      </c>
      <c r="B32" s="5" t="inlineStr">
        <is>
          <t>k</t>
        </is>
      </c>
      <c r="C32" s="5" t="inlineStr">
        <is>
          <t>Índice inflación</t>
        </is>
      </c>
      <c r="D32" s="5" t="inlineStr">
        <is>
          <t>Salarios W-2</t>
        </is>
      </c>
      <c r="E32" s="5" t="inlineStr">
        <is>
          <t>W-2 con match</t>
        </is>
      </c>
      <c r="F32" s="5" t="inlineStr">
        <is>
          <t>Stipends libres</t>
        </is>
      </c>
      <c r="G32" s="5" t="inlineStr">
        <is>
          <t>Ingreso S-corp</t>
        </is>
      </c>
      <c r="H32" s="5" t="inlineStr">
        <is>
          <t>Autoempleo (LLC/tutoría)</t>
        </is>
      </c>
      <c r="I32" s="5" t="inlineStr">
        <is>
          <t>Matrícula</t>
        </is>
      </c>
      <c r="J32" s="5" t="inlineStr">
        <is>
          <t>Fracción estudio</t>
        </is>
      </c>
      <c r="K32" s="5" t="inlineStr">
        <is>
          <t>Fracción PSLF</t>
        </is>
      </c>
      <c r="L32" s="5" t="inlineStr">
        <is>
          <t>Fracción travel</t>
        </is>
      </c>
      <c r="M32" s="5" t="inlineStr">
        <is>
          <t>Attending</t>
        </is>
      </c>
      <c r="N32" s="5" t="inlineStr">
        <is>
          <t>Hitos (costos)</t>
        </is>
      </c>
      <c r="O32" s="5" t="inlineStr">
        <is>
          <t>Aporte 403b</t>
        </is>
      </c>
      <c r="P32" s="5" t="inlineStr">
        <is>
          <t>Match empleador</t>
        </is>
      </c>
      <c r="Q32" s="5" t="inlineStr">
        <is>
          <t>S-corp neto</t>
        </is>
      </c>
      <c r="R32" s="5" t="inlineStr">
        <is>
          <t>Salario S-corp</t>
        </is>
      </c>
      <c r="S32" s="5" t="inlineStr">
        <is>
          <t>FICA patronal S-corp</t>
        </is>
      </c>
      <c r="T32" s="5" t="inlineStr">
        <is>
          <t>Distribución S-corp</t>
        </is>
      </c>
      <c r="U32" s="5" t="inlineStr">
        <is>
          <t>Salarios totales</t>
        </is>
      </c>
      <c r="V32" s="5" t="inlineStr">
        <is>
          <t>Base autoempleo</t>
        </is>
      </c>
      <c r="W32" s="5" t="inlineStr">
        <is>
          <t>Impuesto autoempleo</t>
        </is>
      </c>
      <c r="X32" s="5" t="inlineStr">
        <is>
          <t>FICA empleado</t>
        </is>
      </c>
      <c r="Y32" s="5" t="inlineStr">
        <is>
          <t>AGI</t>
        </is>
      </c>
      <c r="Z32" s="5" t="inlineStr">
        <is>
          <t>Ingreso gravable antes QBI</t>
        </is>
      </c>
      <c r="AA32" s="5" t="inlineStr">
        <is>
          <t>Deducción QBI</t>
        </is>
      </c>
      <c r="AB32" s="5" t="inlineStr">
        <is>
          <t>Ingreso gravable</t>
        </is>
      </c>
      <c r="AC32" s="5" t="inlineStr">
        <is>
          <t>Impuesto federal</t>
        </is>
      </c>
      <c r="AD32" s="5" t="inlineStr">
        <is>
          <t>Gravable NY</t>
        </is>
      </c>
      <c r="AE32" s="5" t="inlineStr">
        <is>
          <t>Impuesto estatal/local</t>
        </is>
      </c>
      <c r="AF32" s="5" t="inlineStr">
        <is>
          <t>Impuestos totales</t>
        </is>
      </c>
      <c r="AG32" s="5" t="inlineStr">
        <is>
          <t>Ingreso personal bruto en efectivo</t>
        </is>
      </c>
      <c r="AH32" s="5" t="inlineStr">
        <is>
          <t>Efectivo neto (tras impuestos y 403b)</t>
        </is>
      </c>
      <c r="AI32" s="5" t="inlineStr">
        <is>
          <t>Ingreso bruto</t>
        </is>
      </c>
      <c r="AJ32" s="5" t="inlineStr">
        <is>
          <t>Gastos de vida</t>
        </is>
      </c>
      <c r="AK32" s="5" t="inlineStr">
        <is>
          <t>Ahorro líquido inicio</t>
        </is>
      </c>
      <c r="AL32" s="5" t="inlineStr">
        <is>
          <t>Ya era dueño</t>
        </is>
      </c>
      <c r="AM32" s="5" t="inlineStr">
        <is>
          <t>Precio base 2026</t>
        </is>
      </c>
      <c r="AN32" s="5" t="inlineStr">
        <is>
          <t>Precio en el año</t>
        </is>
      </c>
      <c r="AO32" s="5" t="inlineStr">
        <is>
          <t>Physician loan</t>
        </is>
      </c>
      <c r="AP32" s="5" t="inlineStr">
        <is>
          <t>% enganche</t>
        </is>
      </c>
      <c r="AQ32" s="5" t="inlineStr">
        <is>
          <t>Préstamo</t>
        </is>
      </c>
      <c r="AR32" s="5" t="inlineStr">
        <is>
          <t>Cuota P&amp;I mensual</t>
        </is>
      </c>
      <c r="AS32" s="5" t="inlineStr">
        <is>
          <t>Unidades rentadas</t>
        </is>
      </c>
      <c r="AT32" s="5" t="inlineStr">
        <is>
          <t>Renta mensual (cotización)</t>
        </is>
      </c>
      <c r="AU32" s="5" t="inlineStr">
        <is>
          <t>PITI mensual</t>
        </is>
      </c>
      <c r="AV32" s="5" t="inlineStr">
        <is>
          <t>Efectivo requerido</t>
        </is>
      </c>
      <c r="AW32" s="5" t="inlineStr">
        <is>
          <t>Otras deudas mensuales</t>
        </is>
      </c>
      <c r="AX32" s="5" t="inlineStr">
        <is>
          <t>Crédito aporte familiar</t>
        </is>
      </c>
      <c r="AY32" s="5" t="inlineStr">
        <is>
          <t>Carga mensual para DTI</t>
        </is>
      </c>
      <c r="AZ32" s="5" t="inlineStr">
        <is>
          <t>Ingreso mensual para DTI</t>
        </is>
      </c>
      <c r="BA32" s="5" t="inlineStr">
        <is>
          <t>Compra este año</t>
        </is>
      </c>
      <c r="BB32" s="5" t="inlineStr">
        <is>
          <t>Dueño</t>
        </is>
      </c>
      <c r="BC32" s="5" t="inlineStr">
        <is>
          <t>Año de compra</t>
        </is>
      </c>
      <c r="BD32" s="5" t="inlineStr">
        <is>
          <t>Ahorro tras enganche</t>
        </is>
      </c>
      <c r="BE32" s="5" t="inlineStr">
        <is>
          <t>Precio de compra</t>
        </is>
      </c>
      <c r="BF32" s="5" t="inlineStr">
        <is>
          <t>Cuota hipoteca</t>
        </is>
      </c>
      <c r="BG32" s="5" t="inlineStr">
        <is>
          <t>PMI activo (antes)</t>
        </is>
      </c>
      <c r="BH32" s="5" t="inlineStr">
        <is>
          <t>Config. con ADU</t>
        </is>
      </c>
      <c r="BI32" s="5" t="inlineStr">
        <is>
          <t>Construye ADU</t>
        </is>
      </c>
      <c r="BJ32" s="5" t="inlineStr">
        <is>
          <t>ADU construido</t>
        </is>
      </c>
      <c r="BK32" s="5" t="inlineStr">
        <is>
          <t>Cuota ADU</t>
        </is>
      </c>
      <c r="BL32" s="5" t="inlineStr">
        <is>
          <t>Valor vivienda inicio</t>
        </is>
      </c>
      <c r="BM32" s="5" t="inlineStr">
        <is>
          <t>Hipoteca inicio</t>
        </is>
      </c>
      <c r="BN32" s="5" t="inlineStr">
        <is>
          <t>Hipoteca tras 12 pagos</t>
        </is>
      </c>
      <c r="BO32" s="5" t="inlineStr">
        <is>
          <t>Pagado hipoteca</t>
        </is>
      </c>
      <c r="BP32" s="5" t="inlineStr">
        <is>
          <t>Hipoteca tras pagos</t>
        </is>
      </c>
      <c r="BQ32" s="5" t="inlineStr">
        <is>
          <t>ADU inicio</t>
        </is>
      </c>
      <c r="BR32" s="5" t="inlineStr">
        <is>
          <t>ADU tras 12 pagos</t>
        </is>
      </c>
      <c r="BS32" s="5" t="inlineStr">
        <is>
          <t>Pagado ADU</t>
        </is>
      </c>
      <c r="BT32" s="5" t="inlineStr">
        <is>
          <t>ADU tras pagos</t>
        </is>
      </c>
      <c r="BU32" s="5" t="inlineStr">
        <is>
          <t>Seguro</t>
        </is>
      </c>
      <c r="BV32" s="5" t="inlineStr">
        <is>
          <t>Impuesto predial</t>
        </is>
      </c>
      <c r="BW32" s="5" t="inlineStr">
        <is>
          <t>Mantenimiento</t>
        </is>
      </c>
      <c r="BX32" s="5" t="inlineStr">
        <is>
          <t>PMI</t>
        </is>
      </c>
      <c r="BY32" s="5" t="inlineStr">
        <is>
          <t>PMI activo (después)</t>
        </is>
      </c>
      <c r="BZ32" s="5" t="inlineStr">
        <is>
          <t>Renta recibida</t>
        </is>
      </c>
      <c r="CA32" s="5" t="inlineStr">
        <is>
          <t>Costo de vivienda</t>
        </is>
      </c>
      <c r="CB32" s="5" t="inlineStr">
        <is>
          <t>Aporte familiar</t>
        </is>
      </c>
      <c r="CC32" s="5" t="inlineStr">
        <is>
          <t>IRS pagado</t>
        </is>
      </c>
      <c r="CD32" s="5" t="inlineStr">
        <is>
          <t>IRS saldo</t>
        </is>
      </c>
      <c r="CE32" s="5" t="inlineStr">
        <is>
          <t>Federal inicio</t>
        </is>
      </c>
      <c r="CF32" s="5" t="inlineStr">
        <is>
          <t>Tasa federal</t>
        </is>
      </c>
      <c r="CG32" s="5" t="inlineStr">
        <is>
          <t>Años repago fed.</t>
        </is>
      </c>
      <c r="CH32" s="5" t="inlineStr">
        <is>
          <t>En estudios (≥50%)</t>
        </is>
      </c>
      <c r="CI32" s="5" t="inlineStr">
        <is>
          <t>Usa RAP/PSLF</t>
        </is>
      </c>
      <c r="CJ32" s="5" t="inlineStr">
        <is>
          <t>Interés federal</t>
        </is>
      </c>
      <c r="CK32" s="5" t="inlineStr">
        <is>
          <t>Pago RAP</t>
        </is>
      </c>
      <c r="CL32" s="5" t="inlineStr">
        <is>
          <t>Pago federal</t>
        </is>
      </c>
      <c r="CM32" s="5" t="inlineStr">
        <is>
          <t>Federal tras pago</t>
        </is>
      </c>
      <c r="CN32" s="5" t="inlineStr">
        <is>
          <t>Meses PSLF</t>
        </is>
      </c>
      <c r="CO32" s="5" t="inlineStr">
        <is>
          <t>Condonado PSLF</t>
        </is>
      </c>
      <c r="CP32" s="5" t="inlineStr">
        <is>
          <t>Federal tras PSLF</t>
        </is>
      </c>
      <c r="CQ32" s="5" t="inlineStr">
        <is>
          <t>Años repago (tras pago)</t>
        </is>
      </c>
      <c r="CR32" s="5" t="inlineStr">
        <is>
          <t>Privado inicio</t>
        </is>
      </c>
      <c r="CS32" s="5" t="inlineStr">
        <is>
          <t>Tasa privada</t>
        </is>
      </c>
      <c r="CT32" s="5" t="inlineStr">
        <is>
          <t>Años repago priv.</t>
        </is>
      </c>
      <c r="CU32" s="5" t="inlineStr">
        <is>
          <t>Pago privado</t>
        </is>
      </c>
      <c r="CV32" s="5" t="inlineStr">
        <is>
          <t>Privado tras pago</t>
        </is>
      </c>
      <c r="CW32" s="5" t="inlineStr">
        <is>
          <t>Años repago priv. (tras)</t>
        </is>
      </c>
      <c r="CX32" s="5" t="inlineStr">
        <is>
          <t>Consumo tras interés</t>
        </is>
      </c>
      <c r="CY32" s="5" t="inlineStr">
        <is>
          <t>Gasto extra travel</t>
        </is>
      </c>
      <c r="CZ32" s="5" t="inlineStr">
        <is>
          <t>Salidas</t>
        </is>
      </c>
      <c r="DA32" s="5" t="inlineStr">
        <is>
          <t>Excedente (déficit)</t>
        </is>
      </c>
      <c r="DB32" s="5" t="inlineStr">
        <is>
          <t>Flujo acumulado</t>
        </is>
      </c>
      <c r="DC32" s="5" t="inlineStr">
        <is>
          <t>Meta enganche</t>
        </is>
      </c>
      <c r="DD32" s="5" t="inlineStr">
        <is>
          <t>Retorno del ahorro líquido</t>
        </is>
      </c>
      <c r="DE32" s="5" t="inlineStr">
        <is>
          <t>Pago deuda consumo</t>
        </is>
      </c>
      <c r="DF32" s="5" t="inlineStr">
        <is>
          <t>Gasto discrecional</t>
        </is>
      </c>
      <c r="DG32" s="5" t="inlineStr">
        <is>
          <t>Ahorro</t>
        </is>
      </c>
      <c r="DH32" s="5" t="inlineStr">
        <is>
          <t>Roth</t>
        </is>
      </c>
      <c r="DI32" s="5" t="inlineStr">
        <is>
          <t>Prepago</t>
        </is>
      </c>
      <c r="DJ32" s="5" t="inlineStr">
        <is>
          <t>Prepago a hipoteca</t>
        </is>
      </c>
      <c r="DK32" s="5" t="inlineStr">
        <is>
          <t>Retiro del ahorro</t>
        </is>
      </c>
      <c r="DL32" s="5" t="inlineStr">
        <is>
          <t>Déficit por financiar</t>
        </is>
      </c>
      <c r="DM32" s="5" t="inlineStr">
        <is>
          <t>Federal acumulado (antes)</t>
        </is>
      </c>
      <c r="DN32" s="5" t="inlineStr">
        <is>
          <t>Nuevo préstamo federal</t>
        </is>
      </c>
      <c r="DO32" s="5" t="inlineStr">
        <is>
          <t>Nuevo préstamo privado</t>
        </is>
      </c>
      <c r="DP32" s="5" t="inlineStr">
        <is>
          <t>Nueva deuda consumo</t>
        </is>
      </c>
      <c r="DQ32" s="5" t="inlineStr">
        <is>
          <t>Flujo al ahorro líquido</t>
        </is>
      </c>
      <c r="DR32" s="5" t="inlineStr">
        <is>
          <t>Ahorro líquido fin</t>
        </is>
      </c>
      <c r="DS32" s="5" t="inlineStr">
        <is>
          <t>Retiro fin</t>
        </is>
      </c>
      <c r="DT32" s="5" t="inlineStr">
        <is>
          <t>Valor vivienda fin</t>
        </is>
      </c>
      <c r="DU32" s="5" t="inlineStr">
        <is>
          <t>Hipoteca fin</t>
        </is>
      </c>
      <c r="DV32" s="5" t="inlineStr">
        <is>
          <t>ADU fin</t>
        </is>
      </c>
      <c r="DW32" s="5" t="inlineStr">
        <is>
          <t>Federal fin</t>
        </is>
      </c>
      <c r="DX32" s="5" t="inlineStr">
        <is>
          <t>Tasa federal fin</t>
        </is>
      </c>
      <c r="DY32" s="5" t="inlineStr">
        <is>
          <t>Años repago fed. fin</t>
        </is>
      </c>
      <c r="DZ32" s="5" t="inlineStr">
        <is>
          <t>Federal acumulado</t>
        </is>
      </c>
      <c r="EA32" s="5" t="inlineStr">
        <is>
          <t>Privado fin</t>
        </is>
      </c>
      <c r="EB32" s="5" t="inlineStr">
        <is>
          <t>Tasa privada fin</t>
        </is>
      </c>
      <c r="EC32" s="5" t="inlineStr">
        <is>
          <t>Años repago priv. fin</t>
        </is>
      </c>
      <c r="ED32" s="5" t="inlineStr">
        <is>
          <t>Deuda consumo fin</t>
        </is>
      </c>
      <c r="EE32" s="5" t="inlineStr">
        <is>
          <t>Año vivienda pagada</t>
        </is>
      </c>
      <c r="EF32" s="5" t="inlineStr">
        <is>
          <t>Deuda total</t>
        </is>
      </c>
      <c r="EG32" s="9" t="inlineStr">
        <is>
          <t>PATRIMONIO NETO</t>
        </is>
      </c>
      <c r="EH32" s="5" t="inlineStr">
        <is>
          <t>Patrimonio (dólares 2026)</t>
        </is>
      </c>
    </row>
    <row r="33">
      <c r="A33" t="n">
        <v>2027</v>
      </c>
      <c r="B33" t="n">
        <v>0</v>
      </c>
      <c r="C33" s="7">
        <f>(1+g_inf)^(A33-2026)</f>
        <v/>
      </c>
      <c r="D33" s="7">
        <f>SUMPRODUCT($T$5:$T$29,$E$5:$E$29*(1+$F$5:$F$29)^(A33-2026)*$G$5:$G$29*$H$5:$H$29*(1-$N$5:$N$29*$O$5:$O$29))*g_salMult+SUMPRODUCT(($B$5:$B$29&gt;=A33)*($B$5:$B$29&lt;A33+1)*$I$5:$I$29)*g_salMult</f>
        <v/>
      </c>
      <c r="E33" s="7">
        <f>SUMPRODUCT($T$5:$T$29,$E$5:$E$29*(1+$F$5:$F$29)^(A33-2026)*$G$5:$G$29*$H$5:$H$29*$M$5:$M$29)*g_salMult</f>
        <v/>
      </c>
      <c r="F33" s="7">
        <f>SUMPRODUCT($T$5:$T$29,$E$5:$E$29*(1+$F$5:$F$29)^(A33-2026)*$G$5:$G$29*$H$5:$H$29*$N$5:$N$29*$O$5:$O$29)*g_salMult</f>
        <v/>
      </c>
      <c r="G33" s="7">
        <f>SUMPRODUCT($T$5:$T$29,$P$5:$P$29*(1+$F$5:$F$29)^(A33-2026))</f>
        <v/>
      </c>
      <c r="H33" s="7">
        <f>SUMPRODUCT($T$5:$T$29,$Q$5:$Q$29*(1+$F$5:$F$29)^(A33-2026))+IF(personal_llcActivo=1,personal_llcNeto*(1+personal_llcCrecimiento)^0,0)</f>
        <v/>
      </c>
      <c r="I33" s="7">
        <f>SUMPRODUCT($T$5:$T$29,$J$5:$J$29/($C$5:$C$29-$B$5:$B$29+($C$5:$C$29=$B$5:$B$29)))*C33</f>
        <v/>
      </c>
      <c r="J33" s="7">
        <f>SUMPRODUCT($T$5:$T$29,$K$5:$K$29)</f>
        <v/>
      </c>
      <c r="K33" s="7">
        <f>SUMPRODUCT($T$5:$T$29,$L$5:$L$29)</f>
        <v/>
      </c>
      <c r="L33" s="7">
        <f>SUMPRODUCT($T$5:$T$29,$N$5:$N$29)</f>
        <v/>
      </c>
      <c r="M33" s="7">
        <f>IF(SUMPRODUCT($T$5:$T$29,$R$5:$R$29)&gt;0,1,0)</f>
        <v/>
      </c>
      <c r="N33" s="7">
        <f>SUMPRODUCT(($AO$5:$AO$24&gt;=A33)*($AO$5:$AO$24&lt;A33+1)*$AP$5:$AP$24)*C33+IF(0=0,IF(sel_loc&lt;&gt;"miami",personal_costoMudanzaInicial,0),0)</f>
        <v/>
      </c>
      <c r="O33" s="7">
        <f>MIN(personal_aporte403bPct*D33,retiro_limite403b*C33)</f>
        <v/>
      </c>
      <c r="P33" s="7">
        <f>MIN(personal_aporte403bPct,personal_match403bPct)*E33</f>
        <v/>
      </c>
      <c r="Q33" s="7">
        <f>IF(G33&gt;0,MAX(0,G33-impuestos_scorpCostoAnual*C33),0)</f>
        <v/>
      </c>
      <c r="R33" s="7">
        <f>Q33*impuestos_scorpSalarioPct/(1+impuestos_ssTasa+impuestos_medicareTasa)</f>
        <v/>
      </c>
      <c r="S33" s="7">
        <f>impuestos_ssTasa*MIN(R33,MAX(0,impuestos_ssTope*C33-D33))+impuestos_medicareTasa*R33</f>
        <v/>
      </c>
      <c r="T33" s="7">
        <f>Q33-R33-S33</f>
        <v/>
      </c>
      <c r="U33" s="7">
        <f>D33+R33</f>
        <v/>
      </c>
      <c r="V33" s="7">
        <f>H33*0.9235</f>
        <v/>
      </c>
      <c r="W33" s="7">
        <f>IF(H33&gt;0,2*impuestos_ssTasa*MIN(V33,MAX(0,impuestos_ssTope*C33-U33))+2*impuestos_medicareTasa*V33,0)</f>
        <v/>
      </c>
      <c r="X33" s="7">
        <f>impuestos_ssTasa*MIN(U33,impuestos_ssTope*C33)+impuestos_medicareTasa*U33+impuestos_medicareAdicional*MAX(0,U33+H33*0.9235-impuestos_medicareUmbral)</f>
        <v/>
      </c>
      <c r="Y33" s="7">
        <f>MAX(0,D33-O33+R33+T33+H33-W33/2)</f>
        <v/>
      </c>
      <c r="Z33" s="7">
        <f>MAX(0,Y33-impuestos_deduccionEstandar*C33)</f>
        <v/>
      </c>
      <c r="AA33" s="7">
        <f>MIN(0.2*MAX(0,T33+H33-W33/2)*MAX(0,MIN(1,1-(Z33-impuestos_qbiUmbral*C33)/(impuestos_qbiRango*C33))),0.2*Z33)</f>
        <v/>
      </c>
      <c r="AB33" s="7">
        <f>MAX(0,Z33-AA33)</f>
        <v/>
      </c>
      <c r="AC33" s="7">
        <f>SUMPRODUCT((AB33&gt;tb_federalBrackets_lo*C33)*(AB33-tb_federalBrackets_lo*C33)*tb_federalBrackets_dr)</f>
        <v/>
      </c>
      <c r="AD33" s="7">
        <f>MAX(0,Y33-impuestos_nyDeduccion*C33)</f>
        <v/>
      </c>
      <c r="AE33" s="7">
        <f>CHOOSE(loc_taxcode,0,impuestos_ohTasa*MAX(0,Y33-impuestos_ohExento*C33)+impuestos_ohMunicipal*U33,SUMPRODUCT((AD33&gt;tb_nyBrackets_lo*C33)*(AD33-tb_nyBrackets_lo*C33)*tb_nyBrackets_dr)+loc_nyc*SUMPRODUCT((AD33&gt;tb_nycBrackets_lo*C33)*(AD33-tb_nycBrackets_lo*C33)*tb_nycBrackets_dr))</f>
        <v/>
      </c>
      <c r="AF33" s="7">
        <f>AC33+AE33+X33+W33</f>
        <v/>
      </c>
      <c r="AG33" s="7">
        <f>D33+F33+R33+T33+H33</f>
        <v/>
      </c>
      <c r="AH33" s="7">
        <f>AG33-AF33-O33</f>
        <v/>
      </c>
      <c r="AI33" s="7">
        <f>D33+F33+G33+H33</f>
        <v/>
      </c>
      <c r="AJ33" s="7">
        <f>loc_gastosVida*C33*g_gastos</f>
        <v/>
      </c>
      <c r="AK33" s="7">
        <f>IF(0=0,personal_liquidoInicial,DR32)</f>
        <v/>
      </c>
      <c r="AL33" s="7">
        <f>IF(0=0,0,BB32)</f>
        <v/>
      </c>
      <c r="AM33" s="7">
        <f>CHOOSE(sel_cfgIdx,loc_precio_duplex,loc_precio_inlaw,loc_precio_dosCasas,loc_precio_casaAdu,loc_precio_multi)</f>
        <v/>
      </c>
      <c r="AN33" s="7">
        <f>AM33*(1+g_appr)^(A33-2026)</f>
        <v/>
      </c>
      <c r="AO33" s="7">
        <f>IF(AND(M33=1,vivienda_prestamoMedico=1),1,0)</f>
        <v/>
      </c>
      <c r="AP33" s="7">
        <f>IF(AO33=1,0.05,vivienda_enganchePct)</f>
        <v/>
      </c>
      <c r="AQ33" s="7">
        <f>AN33*(1-AP33)</f>
        <v/>
      </c>
      <c r="AR33" s="7">
        <f>PMT(g_mortRate/12,vivienda_plazoHipoteca*12,-AQ33)</f>
        <v/>
      </c>
      <c r="AS33" s="7">
        <f>INDEX(cfg_units,sel_cfgIdx)</f>
        <v/>
      </c>
      <c r="AT33" s="7">
        <f>AS33*loc_rentaUnidad*(1+g_inf)^(A33-2026)*(1-vivienda_vacancia)</f>
        <v/>
      </c>
      <c r="AU33" s="7">
        <f>AR33+AN33*loc_impuestoPropPct/12+AM33*loc_seguroPct*(1+vivienda_inflacionSeguro)^(A33-2026)/12+IF(AND(AO33=0,AP33&lt;0.2),AQ33*vivienda_pmiTasa/12,0)</f>
        <v/>
      </c>
      <c r="AV33" s="7">
        <f>AN33*AP33+AN33*vivienda_cierrePct+general_reservaMeses/12*AJ33</f>
        <v/>
      </c>
      <c r="AW33" s="7">
        <f>(IF(0=0,MIN(personal_irsSaldo,personal_irsPagoMensual*12),MIN(CD32,personal_irsPagoMensual*12))+IF(CE33&gt;0,PMT(CF33,MAX(1,prestamos_plazoAnios-CG33),-CE33),0)+IF(CR33&gt;0,PMT(CS33,MAX(1,prestamos_plazoAnios-CT33),-CR33),0))/12</f>
        <v/>
      </c>
      <c r="AX33" s="7">
        <f>IF(OR(sel_cfg="duplex",sel_cfg="multi",sel_cfg="dosCasas"),0.75*personal_aporteFamiliaMensual,0)</f>
        <v/>
      </c>
      <c r="AY33" s="7">
        <f>AU33-0.75*AT33-AX33+AW33</f>
        <v/>
      </c>
      <c r="AZ33" s="7">
        <f>(D33+G33+H33+0.5*F33)/12</f>
        <v/>
      </c>
      <c r="BA33" s="7">
        <f>IF(AND(AL33=0,A33&gt;=vivienda_anioMinCompra,J33&lt;0.5,AI33&gt;0,AK33&gt;=AV33,AY33&lt;=vivienda_dtiMax*AZ33),1,0)</f>
        <v/>
      </c>
      <c r="BB33" s="7">
        <f>MAX(AL33,BA33)</f>
        <v/>
      </c>
      <c r="BC33" s="7">
        <f>IF(BA33=1,A33,IF(0=0,"",BC32))</f>
        <v/>
      </c>
      <c r="BD33" s="7">
        <f>AK33-IF(BA33=1,AN33*AP33+AN33*vivienda_cierrePct,0)</f>
        <v/>
      </c>
      <c r="BE33" s="7">
        <f>IF(BA33=1,AN33,IF(0=0,0,BE32))</f>
        <v/>
      </c>
      <c r="BF33" s="7">
        <f>IF(BA33=1,AR33,IF(0=0,0,BF32))</f>
        <v/>
      </c>
      <c r="BG33" s="7">
        <f>IF(BA33=1,IF(AND(AO33=0,AP33&lt;0.2),1,0),IF(0=0,0,BY32))</f>
        <v/>
      </c>
      <c r="BH33" s="7">
        <f>IF(sel_cfg="casaAdu",1,0)</f>
        <v/>
      </c>
      <c r="BI33" s="7">
        <f>IF(AND(BB33=1,BH33=1,IF(0=0,0,BJ32)=0,A33&gt;=IF(BC33="",9999,BC33)+vivienda_aduRetrasoAnios),1,0)</f>
        <v/>
      </c>
      <c r="BJ33" s="7">
        <f>MAX(IF(0=0,0,BJ32),BI33)</f>
        <v/>
      </c>
      <c r="BK33" s="7">
        <f>IF(BI33=1,PMT((g_mortRate+0.005)/12,180,-loc_precio_aduCosto*C33),IF(0=0,0,BK32))</f>
        <v/>
      </c>
      <c r="BL33" s="7">
        <f>IF(BA33=1,AN33,IF(0=0,0,DT32))+IF(BI33=1,loc_precio_aduCosto*C33,0)</f>
        <v/>
      </c>
      <c r="BM33" s="7">
        <f>IF(BA33=1,AQ33,IF(0=0,0,DU32))</f>
        <v/>
      </c>
      <c r="BN33" s="7">
        <f>IF(BM33&lt;=0,0,FV(g_mortRate/12,12,BF33,-BM33))</f>
        <v/>
      </c>
      <c r="BO33" s="7">
        <f>IF(BM33&lt;=0,0,12*BF33+MIN(0,BN33))</f>
        <v/>
      </c>
      <c r="BP33" s="7">
        <f>MAX(0,BN33)</f>
        <v/>
      </c>
      <c r="BQ33" s="7">
        <f>IF(BI33=1,loc_precio_aduCosto*C33,IF(0=0,0,DV32))</f>
        <v/>
      </c>
      <c r="BR33" s="7">
        <f>IF(BQ33&lt;=0,0,FV((g_mortRate+0.005)/12,12,BK33,-BQ33))</f>
        <v/>
      </c>
      <c r="BS33" s="7">
        <f>IF(BQ33&lt;=0,0,12*BK33+MIN(0,BR33))</f>
        <v/>
      </c>
      <c r="BT33" s="7">
        <f>MAX(0,BR33)</f>
        <v/>
      </c>
      <c r="BU33" s="7">
        <f>IF(BB33=1,AM33*loc_seguroPct*(1+vivienda_inflacionSeguro)^(A33-2026)*IF(BJ33=1,1+loc_precio_aduCosto/AM33,1),0)</f>
        <v/>
      </c>
      <c r="BV33" s="7">
        <f>BL33*loc_impuestoPropPct</f>
        <v/>
      </c>
      <c r="BW33" s="7">
        <f>BL33*vivienda_mantenimientoPct</f>
        <v/>
      </c>
      <c r="BX33" s="7">
        <f>IF(AND(BG33=1,BP33&gt;0.8*BE33),BE33*(1-vivienda_enganchePct)*vivienda_pmiTasa,0)</f>
        <v/>
      </c>
      <c r="BY33" s="7">
        <f>IF(AND(BG33=1,BP33&gt;0.8*BE33),1,0)</f>
        <v/>
      </c>
      <c r="BZ33" s="7">
        <f>IF(BB33=1,AS33*loc_rentaUnidad*12*C33*(1-vivienda_vacancia)*(1-vivienda_gestionPct),0)</f>
        <v/>
      </c>
      <c r="CA33" s="7">
        <f>IF(BB33=1,BO33+BS33+BU33+BV33+BW33+BX33,loc_rentaMensual*12*C33)</f>
        <v/>
      </c>
      <c r="CB33" s="7">
        <f>IF(BB33=1,personal_aporteFamiliaMensual*12,0)</f>
        <v/>
      </c>
      <c r="CC33" s="7">
        <f>MIN(IF(0=0,personal_irsSaldo,CD32),personal_irsPagoMensual*12)</f>
        <v/>
      </c>
      <c r="CD33" s="7">
        <f>IF(0=0,personal_irsSaldo,CD32)-CC33</f>
        <v/>
      </c>
      <c r="CE33" s="7">
        <f>IF(0=0,IF(personal_deudaEsFederal=1,personal_deudaEstudiantil,0),DW32)</f>
        <v/>
      </c>
      <c r="CF33" s="7">
        <f>IF(0=0,personal_tasaDeudaEstudiantil,DX32)</f>
        <v/>
      </c>
      <c r="CG33" s="7">
        <f>IF(0=0,0,DY32)</f>
        <v/>
      </c>
      <c r="CH33" s="7">
        <f>IF(J33&gt;=0.5,1,0)</f>
        <v/>
      </c>
      <c r="CI33" s="7">
        <f>IF(AND(CH33=0,prestamos_pslfActivo=1,K33&gt;=0.5,CE33&gt;0),1,0)</f>
        <v/>
      </c>
      <c r="CJ33" s="7">
        <f>CE33*CF33</f>
        <v/>
      </c>
      <c r="CK33" s="7">
        <f>MAX(prestamos_rapPagoMinimoAnual,IF(Y33&lt;10000,0,MIN(0.1,INT(Y33/10000)/100))*Y33)</f>
        <v/>
      </c>
      <c r="CL33" s="7">
        <f>IF(CE33&lt;=0,0,IF(CH33=1,0,IF(CI33=1,MIN(CE33+CJ33,CK33),PMT(CF33,MAX(1,prestamos_plazoAnios-CG33),-CE33))))</f>
        <v/>
      </c>
      <c r="CM33" s="7">
        <f>IF(CE33&lt;=0,0,IF(CH33=1,CE33+CJ33,IF(CI33=1,MAX(0,CE33-MAX(CL33-CJ33,MIN(600,CL33))),MAX(0,CE33*(1+CF33)-CL33))))</f>
        <v/>
      </c>
      <c r="CN33" s="7">
        <f>IF(0=0,0,CN32)+IF(CI33=1,12*MIN(1,K33),0)</f>
        <v/>
      </c>
      <c r="CO33" s="7">
        <f>IF(AND(CI33=1,CN33&gt;=prestamos_pslfPagos,CM33&gt;0),CM33,0)</f>
        <v/>
      </c>
      <c r="CP33" s="7">
        <f>CM33-CO33</f>
        <v/>
      </c>
      <c r="CQ33" s="7">
        <f>IF(AND(CE33&gt;0,CH33=0,CI33=0),CG33+1,CG33)</f>
        <v/>
      </c>
      <c r="CR33" s="7">
        <f>IF(0=0,IF(personal_deudaEsFederal=1,0,personal_deudaEstudiantil),EA32)</f>
        <v/>
      </c>
      <c r="CS33" s="7">
        <f>IF(0=0,IF(personal_deudaEsFederal=1,prestamos_tasaPrivada,personal_tasaDeudaEstudiantil),EB32)</f>
        <v/>
      </c>
      <c r="CT33" s="7">
        <f>IF(0=0,0,EC32)</f>
        <v/>
      </c>
      <c r="CU33" s="7">
        <f>IF(OR(CR33&lt;=0,CH33=1),0,PMT(CS33,MAX(1,prestamos_plazoAnios-CT33),-CR33))</f>
        <v/>
      </c>
      <c r="CV33" s="7">
        <f>IF(CR33&lt;=0,0,IF(CH33=1,CR33*(1+CS33),MAX(0,CR33*(1+CS33)-CU33)))</f>
        <v/>
      </c>
      <c r="CW33" s="7">
        <f>IF(AND(CR33&gt;0,CH33=0),CT33+1,CT33)</f>
        <v/>
      </c>
      <c r="CX33" s="7">
        <f>IF(0=0,0,ED32)*(1+general_tasaDeudaConsumo)</f>
        <v/>
      </c>
      <c r="CY33" s="7">
        <f>L33*12*tiempos_travelGastoExtraMes*C33</f>
        <v/>
      </c>
      <c r="CZ33" s="7">
        <f>AJ33+CY33+CA33+CC33+CL33+CU33+I33+N33-BZ33-CB33</f>
        <v/>
      </c>
      <c r="DA33" s="7">
        <f>AH33-CZ33</f>
        <v/>
      </c>
      <c r="DB33" s="7">
        <f>IF(0=0,0,DB32)+DA33</f>
        <v/>
      </c>
      <c r="DC33" s="7">
        <f>AN33*vivienda_enganchePct+AN33*vivienda_cierrePct+general_reservaMeses/12*AJ33</f>
        <v/>
      </c>
      <c r="DD33" s="7">
        <f>IF(BB33=1,g_ret,IF(BD33&gt;0,MIN(1,DC33/BD33),1)*g_cash+(1-IF(BD33&gt;0,MIN(1,DC33/BD33),1))*g_ret)</f>
        <v/>
      </c>
      <c r="DE33" s="7">
        <f>IF(DA33&gt;=0,MIN(CX33,DA33),0)</f>
        <v/>
      </c>
      <c r="DF33" s="7">
        <f>IF(DA33&gt;=0,(1-general_tasaAhorro)*(DA33-DE33),0)</f>
        <v/>
      </c>
      <c r="DG33" s="7">
        <f>IF(DA33&gt;=0,DA33-DE33-DF33,0)</f>
        <v/>
      </c>
      <c r="DH33" s="7">
        <f>MIN(personal_rothAnual,DG33)</f>
        <v/>
      </c>
      <c r="DI33" s="7">
        <f>IF(AND(DA33&gt;=0,BB33=1,BP33+BT33&gt;0),MIN(vivienda_prepagoPct*(DG33-DH33),BP33+BT33),0)</f>
        <v/>
      </c>
      <c r="DJ33" s="7">
        <f>MIN(DI33,BP33)</f>
        <v/>
      </c>
      <c r="DK33" s="7">
        <f>IF(DA33&lt;0,MIN(MAX(0,BD33),-DA33),0)</f>
        <v/>
      </c>
      <c r="DL33" s="7">
        <f>IF(DA33&lt;0,-DA33-DK33,0)</f>
        <v/>
      </c>
      <c r="DM33" s="7">
        <f>IF(0=0,0,DZ32)</f>
        <v/>
      </c>
      <c r="DN33" s="7">
        <f>IF(AND(DL33&gt;0,J33&gt;0),MIN(DL33,MIN(prestamos_topeAnualPosgrado*MIN(1,J33),MAX(0,prestamos_topeTotalPosgrado-DM33))),0)</f>
        <v/>
      </c>
      <c r="DO33" s="7">
        <f>IF(AND(DL33&gt;0,J33&gt;0),DL33-DN33,0)</f>
        <v/>
      </c>
      <c r="DP33" s="7">
        <f>IF(AND(DL33&gt;0,J33&lt;=0),DL33,0)</f>
        <v/>
      </c>
      <c r="DQ33" s="7">
        <f>IF(DA33&gt;=0,DG33-DH33-DI33,-DK33)</f>
        <v/>
      </c>
      <c r="DR33" s="7">
        <f>BD33*(1+DD33)+DQ33*(1+DD33/2)</f>
        <v/>
      </c>
      <c r="DS33" s="7">
        <f>IF(0=0,personal_retiroInicial,DS32)*(1+g_ret)+(O33+P33+DH33)*(1+g_ret/2)</f>
        <v/>
      </c>
      <c r="DT33" s="7">
        <f>IF(BB33=1,BL33*(1+g_appr),0)</f>
        <v/>
      </c>
      <c r="DU33" s="7">
        <f>BP33-DJ33</f>
        <v/>
      </c>
      <c r="DV33" s="7">
        <f>BT33-(DI33-DJ33)</f>
        <v/>
      </c>
      <c r="DW33" s="7">
        <f>CP33+DN33</f>
        <v/>
      </c>
      <c r="DX33" s="7">
        <f>IF(DN33&gt;0,(CP33*CF33+DN33*prestamos_tasaFederalPosgrado)/(CP33+DN33),CF33)</f>
        <v/>
      </c>
      <c r="DY33" s="7">
        <f>IF(DN33&gt;0,0,CQ33)</f>
        <v/>
      </c>
      <c r="DZ33" s="7">
        <f>DM33+DN33</f>
        <v/>
      </c>
      <c r="EA33" s="7">
        <f>CV33+DO33</f>
        <v/>
      </c>
      <c r="EB33" s="7">
        <f>IF(DO33&gt;0,(CV33*CS33+DO33*prestamos_tasaPrivada)/(CV33+DO33),CS33)</f>
        <v/>
      </c>
      <c r="EC33" s="7">
        <f>IF(DO33&gt;0,0,CW33)</f>
        <v/>
      </c>
      <c r="ED33" s="7">
        <f>CX33-DE33+DP33</f>
        <v/>
      </c>
      <c r="EE33" s="7">
        <f>IF(IF(0=0,"",EE32)&lt;&gt;"",EE32,IF(AND(BB33=1,DU33&lt;=0.5,DV33&lt;=0.5,OR(BH33=0,BJ33=1)),A33,""))</f>
        <v/>
      </c>
      <c r="EF33" s="7">
        <f>DU33+DV33+DW33+EA33+ED33+CD33</f>
        <v/>
      </c>
      <c r="EG33" s="7">
        <f>DR33+DS33+DT33-EF33</f>
        <v/>
      </c>
      <c r="EH33" s="7">
        <f>EG33/(1+g_inf)^(A33+1-2026)</f>
        <v/>
      </c>
    </row>
    <row r="34">
      <c r="A34" t="n">
        <v>2028</v>
      </c>
      <c r="B34" t="n">
        <v>1</v>
      </c>
      <c r="C34" s="7">
        <f>(1+g_inf)^(A34-2026)</f>
        <v/>
      </c>
      <c r="D34" s="7">
        <f>SUMPRODUCT($U$5:$U$29,$E$5:$E$29*(1+$F$5:$F$29)^(A34-2026)*$G$5:$G$29*$H$5:$H$29*(1-$N$5:$N$29*$O$5:$O$29))*g_salMult+SUMPRODUCT(($B$5:$B$29&gt;=A34)*($B$5:$B$29&lt;A34+1)*$I$5:$I$29)*g_salMult</f>
        <v/>
      </c>
      <c r="E34" s="7">
        <f>SUMPRODUCT($U$5:$U$29,$E$5:$E$29*(1+$F$5:$F$29)^(A34-2026)*$G$5:$G$29*$H$5:$H$29*$M$5:$M$29)*g_salMult</f>
        <v/>
      </c>
      <c r="F34" s="7">
        <f>SUMPRODUCT($U$5:$U$29,$E$5:$E$29*(1+$F$5:$F$29)^(A34-2026)*$G$5:$G$29*$H$5:$H$29*$N$5:$N$29*$O$5:$O$29)*g_salMult</f>
        <v/>
      </c>
      <c r="G34" s="7">
        <f>SUMPRODUCT($U$5:$U$29,$P$5:$P$29*(1+$F$5:$F$29)^(A34-2026))</f>
        <v/>
      </c>
      <c r="H34" s="7">
        <f>SUMPRODUCT($U$5:$U$29,$Q$5:$Q$29*(1+$F$5:$F$29)^(A34-2026))+IF(personal_llcActivo=1,personal_llcNeto*(1+personal_llcCrecimiento)^1,0)</f>
        <v/>
      </c>
      <c r="I34" s="7">
        <f>SUMPRODUCT($U$5:$U$29,$J$5:$J$29/($C$5:$C$29-$B$5:$B$29+($C$5:$C$29=$B$5:$B$29)))*C34</f>
        <v/>
      </c>
      <c r="J34" s="7">
        <f>SUMPRODUCT($U$5:$U$29,$K$5:$K$29)</f>
        <v/>
      </c>
      <c r="K34" s="7">
        <f>SUMPRODUCT($U$5:$U$29,$L$5:$L$29)</f>
        <v/>
      </c>
      <c r="L34" s="7">
        <f>SUMPRODUCT($U$5:$U$29,$N$5:$N$29)</f>
        <v/>
      </c>
      <c r="M34" s="7">
        <f>IF(SUMPRODUCT($U$5:$U$29,$R$5:$R$29)&gt;0,1,0)</f>
        <v/>
      </c>
      <c r="N34" s="7">
        <f>SUMPRODUCT(($AO$5:$AO$24&gt;=A34)*($AO$5:$AO$24&lt;A34+1)*$AP$5:$AP$24)*C34+IF(1=0,IF(sel_loc&lt;&gt;"miami",personal_costoMudanzaInicial,0),0)</f>
        <v/>
      </c>
      <c r="O34" s="7">
        <f>MIN(personal_aporte403bPct*D34,retiro_limite403b*C34)</f>
        <v/>
      </c>
      <c r="P34" s="7">
        <f>MIN(personal_aporte403bPct,personal_match403bPct)*E34</f>
        <v/>
      </c>
      <c r="Q34" s="7">
        <f>IF(G34&gt;0,MAX(0,G34-impuestos_scorpCostoAnual*C34),0)</f>
        <v/>
      </c>
      <c r="R34" s="7">
        <f>Q34*impuestos_scorpSalarioPct/(1+impuestos_ssTasa+impuestos_medicareTasa)</f>
        <v/>
      </c>
      <c r="S34" s="7">
        <f>impuestos_ssTasa*MIN(R34,MAX(0,impuestos_ssTope*C34-D34))+impuestos_medicareTasa*R34</f>
        <v/>
      </c>
      <c r="T34" s="7">
        <f>Q34-R34-S34</f>
        <v/>
      </c>
      <c r="U34" s="7">
        <f>D34+R34</f>
        <v/>
      </c>
      <c r="V34" s="7">
        <f>H34*0.9235</f>
        <v/>
      </c>
      <c r="W34" s="7">
        <f>IF(H34&gt;0,2*impuestos_ssTasa*MIN(V34,MAX(0,impuestos_ssTope*C34-U34))+2*impuestos_medicareTasa*V34,0)</f>
        <v/>
      </c>
      <c r="X34" s="7">
        <f>impuestos_ssTasa*MIN(U34,impuestos_ssTope*C34)+impuestos_medicareTasa*U34+impuestos_medicareAdicional*MAX(0,U34+H34*0.9235-impuestos_medicareUmbral)</f>
        <v/>
      </c>
      <c r="Y34" s="7">
        <f>MAX(0,D34-O34+R34+T34+H34-W34/2)</f>
        <v/>
      </c>
      <c r="Z34" s="7">
        <f>MAX(0,Y34-impuestos_deduccionEstandar*C34)</f>
        <v/>
      </c>
      <c r="AA34" s="7">
        <f>MIN(0.2*MAX(0,T34+H34-W34/2)*MAX(0,MIN(1,1-(Z34-impuestos_qbiUmbral*C34)/(impuestos_qbiRango*C34))),0.2*Z34)</f>
        <v/>
      </c>
      <c r="AB34" s="7">
        <f>MAX(0,Z34-AA34)</f>
        <v/>
      </c>
      <c r="AC34" s="7">
        <f>SUMPRODUCT((AB34&gt;tb_federalBrackets_lo*C34)*(AB34-tb_federalBrackets_lo*C34)*tb_federalBrackets_dr)</f>
        <v/>
      </c>
      <c r="AD34" s="7">
        <f>MAX(0,Y34-impuestos_nyDeduccion*C34)</f>
        <v/>
      </c>
      <c r="AE34" s="7">
        <f>CHOOSE(loc_taxcode,0,impuestos_ohTasa*MAX(0,Y34-impuestos_ohExento*C34)+impuestos_ohMunicipal*U34,SUMPRODUCT((AD34&gt;tb_nyBrackets_lo*C34)*(AD34-tb_nyBrackets_lo*C34)*tb_nyBrackets_dr)+loc_nyc*SUMPRODUCT((AD34&gt;tb_nycBrackets_lo*C34)*(AD34-tb_nycBrackets_lo*C34)*tb_nycBrackets_dr))</f>
        <v/>
      </c>
      <c r="AF34" s="7">
        <f>AC34+AE34+X34+W34</f>
        <v/>
      </c>
      <c r="AG34" s="7">
        <f>D34+F34+R34+T34+H34</f>
        <v/>
      </c>
      <c r="AH34" s="7">
        <f>AG34-AF34-O34</f>
        <v/>
      </c>
      <c r="AI34" s="7">
        <f>D34+F34+G34+H34</f>
        <v/>
      </c>
      <c r="AJ34" s="7">
        <f>loc_gastosVida*C34*g_gastos</f>
        <v/>
      </c>
      <c r="AK34" s="7">
        <f>IF(1=0,personal_liquidoInicial,DR33)</f>
        <v/>
      </c>
      <c r="AL34" s="7">
        <f>IF(1=0,0,BB33)</f>
        <v/>
      </c>
      <c r="AM34" s="7">
        <f>CHOOSE(sel_cfgIdx,loc_precio_duplex,loc_precio_inlaw,loc_precio_dosCasas,loc_precio_casaAdu,loc_precio_multi)</f>
        <v/>
      </c>
      <c r="AN34" s="7">
        <f>AM34*(1+g_appr)^(A34-2026)</f>
        <v/>
      </c>
      <c r="AO34" s="7">
        <f>IF(AND(M34=1,vivienda_prestamoMedico=1),1,0)</f>
        <v/>
      </c>
      <c r="AP34" s="7">
        <f>IF(AO34=1,0.05,vivienda_enganchePct)</f>
        <v/>
      </c>
      <c r="AQ34" s="7">
        <f>AN34*(1-AP34)</f>
        <v/>
      </c>
      <c r="AR34" s="7">
        <f>PMT(g_mortRate/12,vivienda_plazoHipoteca*12,-AQ34)</f>
        <v/>
      </c>
      <c r="AS34" s="7">
        <f>INDEX(cfg_units,sel_cfgIdx)</f>
        <v/>
      </c>
      <c r="AT34" s="7">
        <f>AS34*loc_rentaUnidad*(1+g_inf)^(A34-2026)*(1-vivienda_vacancia)</f>
        <v/>
      </c>
      <c r="AU34" s="7">
        <f>AR34+AN34*loc_impuestoPropPct/12+AM34*loc_seguroPct*(1+vivienda_inflacionSeguro)^(A34-2026)/12+IF(AND(AO34=0,AP34&lt;0.2),AQ34*vivienda_pmiTasa/12,0)</f>
        <v/>
      </c>
      <c r="AV34" s="7">
        <f>AN34*AP34+AN34*vivienda_cierrePct+general_reservaMeses/12*AJ34</f>
        <v/>
      </c>
      <c r="AW34" s="7">
        <f>(IF(1=0,MIN(personal_irsSaldo,personal_irsPagoMensual*12),MIN(CD33,personal_irsPagoMensual*12))+IF(CE34&gt;0,PMT(CF34,MAX(1,prestamos_plazoAnios-CG34),-CE34),0)+IF(CR34&gt;0,PMT(CS34,MAX(1,prestamos_plazoAnios-CT34),-CR34),0))/12</f>
        <v/>
      </c>
      <c r="AX34" s="7">
        <f>IF(OR(sel_cfg="duplex",sel_cfg="multi",sel_cfg="dosCasas"),0.75*personal_aporteFamiliaMensual,0)</f>
        <v/>
      </c>
      <c r="AY34" s="7">
        <f>AU34-0.75*AT34-AX34+AW34</f>
        <v/>
      </c>
      <c r="AZ34" s="7">
        <f>(D34+G34+H34+0.5*F34)/12</f>
        <v/>
      </c>
      <c r="BA34" s="7">
        <f>IF(AND(AL34=0,A34&gt;=vivienda_anioMinCompra,J34&lt;0.5,AI34&gt;0,AK34&gt;=AV34,AY34&lt;=vivienda_dtiMax*AZ34),1,0)</f>
        <v/>
      </c>
      <c r="BB34" s="7">
        <f>MAX(AL34,BA34)</f>
        <v/>
      </c>
      <c r="BC34" s="7">
        <f>IF(BA34=1,A34,IF(1=0,"",BC33))</f>
        <v/>
      </c>
      <c r="BD34" s="7">
        <f>AK34-IF(BA34=1,AN34*AP34+AN34*vivienda_cierrePct,0)</f>
        <v/>
      </c>
      <c r="BE34" s="7">
        <f>IF(BA34=1,AN34,IF(1=0,0,BE33))</f>
        <v/>
      </c>
      <c r="BF34" s="7">
        <f>IF(BA34=1,AR34,IF(1=0,0,BF33))</f>
        <v/>
      </c>
      <c r="BG34" s="7">
        <f>IF(BA34=1,IF(AND(AO34=0,AP34&lt;0.2),1,0),IF(1=0,0,BY33))</f>
        <v/>
      </c>
      <c r="BH34" s="7">
        <f>IF(sel_cfg="casaAdu",1,0)</f>
        <v/>
      </c>
      <c r="BI34" s="7">
        <f>IF(AND(BB34=1,BH34=1,IF(1=0,0,BJ33)=0,A34&gt;=IF(BC34="",9999,BC34)+vivienda_aduRetrasoAnios),1,0)</f>
        <v/>
      </c>
      <c r="BJ34" s="7">
        <f>MAX(IF(1=0,0,BJ33),BI34)</f>
        <v/>
      </c>
      <c r="BK34" s="7">
        <f>IF(BI34=1,PMT((g_mortRate+0.005)/12,180,-loc_precio_aduCosto*C34),IF(1=0,0,BK33))</f>
        <v/>
      </c>
      <c r="BL34" s="7">
        <f>IF(BA34=1,AN34,IF(1=0,0,DT33))+IF(BI34=1,loc_precio_aduCosto*C34,0)</f>
        <v/>
      </c>
      <c r="BM34" s="7">
        <f>IF(BA34=1,AQ34,IF(1=0,0,DU33))</f>
        <v/>
      </c>
      <c r="BN34" s="7">
        <f>IF(BM34&lt;=0,0,FV(g_mortRate/12,12,BF34,-BM34))</f>
        <v/>
      </c>
      <c r="BO34" s="7">
        <f>IF(BM34&lt;=0,0,12*BF34+MIN(0,BN34))</f>
        <v/>
      </c>
      <c r="BP34" s="7">
        <f>MAX(0,BN34)</f>
        <v/>
      </c>
      <c r="BQ34" s="7">
        <f>IF(BI34=1,loc_precio_aduCosto*C34,IF(1=0,0,DV33))</f>
        <v/>
      </c>
      <c r="BR34" s="7">
        <f>IF(BQ34&lt;=0,0,FV((g_mortRate+0.005)/12,12,BK34,-BQ34))</f>
        <v/>
      </c>
      <c r="BS34" s="7">
        <f>IF(BQ34&lt;=0,0,12*BK34+MIN(0,BR34))</f>
        <v/>
      </c>
      <c r="BT34" s="7">
        <f>MAX(0,BR34)</f>
        <v/>
      </c>
      <c r="BU34" s="7">
        <f>IF(BB34=1,AM34*loc_seguroPct*(1+vivienda_inflacionSeguro)^(A34-2026)*IF(BJ34=1,1+loc_precio_aduCosto/AM34,1),0)</f>
        <v/>
      </c>
      <c r="BV34" s="7">
        <f>BL34*loc_impuestoPropPct</f>
        <v/>
      </c>
      <c r="BW34" s="7">
        <f>BL34*vivienda_mantenimientoPct</f>
        <v/>
      </c>
      <c r="BX34" s="7">
        <f>IF(AND(BG34=1,BP34&gt;0.8*BE34),BE34*(1-vivienda_enganchePct)*vivienda_pmiTasa,0)</f>
        <v/>
      </c>
      <c r="BY34" s="7">
        <f>IF(AND(BG34=1,BP34&gt;0.8*BE34),1,0)</f>
        <v/>
      </c>
      <c r="BZ34" s="7">
        <f>IF(BB34=1,AS34*loc_rentaUnidad*12*C34*(1-vivienda_vacancia)*(1-vivienda_gestionPct),0)</f>
        <v/>
      </c>
      <c r="CA34" s="7">
        <f>IF(BB34=1,BO34+BS34+BU34+BV34+BW34+BX34,loc_rentaMensual*12*C34)</f>
        <v/>
      </c>
      <c r="CB34" s="7">
        <f>IF(BB34=1,personal_aporteFamiliaMensual*12,0)</f>
        <v/>
      </c>
      <c r="CC34" s="7">
        <f>MIN(IF(1=0,personal_irsSaldo,CD33),personal_irsPagoMensual*12)</f>
        <v/>
      </c>
      <c r="CD34" s="7">
        <f>IF(1=0,personal_irsSaldo,CD33)-CC34</f>
        <v/>
      </c>
      <c r="CE34" s="7">
        <f>IF(1=0,IF(personal_deudaEsFederal=1,personal_deudaEstudiantil,0),DW33)</f>
        <v/>
      </c>
      <c r="CF34" s="7">
        <f>IF(1=0,personal_tasaDeudaEstudiantil,DX33)</f>
        <v/>
      </c>
      <c r="CG34" s="7">
        <f>IF(1=0,0,DY33)</f>
        <v/>
      </c>
      <c r="CH34" s="7">
        <f>IF(J34&gt;=0.5,1,0)</f>
        <v/>
      </c>
      <c r="CI34" s="7">
        <f>IF(AND(CH34=0,prestamos_pslfActivo=1,K34&gt;=0.5,CE34&gt;0),1,0)</f>
        <v/>
      </c>
      <c r="CJ34" s="7">
        <f>CE34*CF34</f>
        <v/>
      </c>
      <c r="CK34" s="7">
        <f>MAX(prestamos_rapPagoMinimoAnual,IF(Y34&lt;10000,0,MIN(0.1,INT(Y34/10000)/100))*Y34)</f>
        <v/>
      </c>
      <c r="CL34" s="7">
        <f>IF(CE34&lt;=0,0,IF(CH34=1,0,IF(CI34=1,MIN(CE34+CJ34,CK34),PMT(CF34,MAX(1,prestamos_plazoAnios-CG34),-CE34))))</f>
        <v/>
      </c>
      <c r="CM34" s="7">
        <f>IF(CE34&lt;=0,0,IF(CH34=1,CE34+CJ34,IF(CI34=1,MAX(0,CE34-MAX(CL34-CJ34,MIN(600,CL34))),MAX(0,CE34*(1+CF34)-CL34))))</f>
        <v/>
      </c>
      <c r="CN34" s="7">
        <f>IF(1=0,0,CN33)+IF(CI34=1,12*MIN(1,K34),0)</f>
        <v/>
      </c>
      <c r="CO34" s="7">
        <f>IF(AND(CI34=1,CN34&gt;=prestamos_pslfPagos,CM34&gt;0),CM34,0)</f>
        <v/>
      </c>
      <c r="CP34" s="7">
        <f>CM34-CO34</f>
        <v/>
      </c>
      <c r="CQ34" s="7">
        <f>IF(AND(CE34&gt;0,CH34=0,CI34=0),CG34+1,CG34)</f>
        <v/>
      </c>
      <c r="CR34" s="7">
        <f>IF(1=0,IF(personal_deudaEsFederal=1,0,personal_deudaEstudiantil),EA33)</f>
        <v/>
      </c>
      <c r="CS34" s="7">
        <f>IF(1=0,IF(personal_deudaEsFederal=1,prestamos_tasaPrivada,personal_tasaDeudaEstudiantil),EB33)</f>
        <v/>
      </c>
      <c r="CT34" s="7">
        <f>IF(1=0,0,EC33)</f>
        <v/>
      </c>
      <c r="CU34" s="7">
        <f>IF(OR(CR34&lt;=0,CH34=1),0,PMT(CS34,MAX(1,prestamos_plazoAnios-CT34),-CR34))</f>
        <v/>
      </c>
      <c r="CV34" s="7">
        <f>IF(CR34&lt;=0,0,IF(CH34=1,CR34*(1+CS34),MAX(0,CR34*(1+CS34)-CU34)))</f>
        <v/>
      </c>
      <c r="CW34" s="7">
        <f>IF(AND(CR34&gt;0,CH34=0),CT34+1,CT34)</f>
        <v/>
      </c>
      <c r="CX34" s="7">
        <f>IF(1=0,0,ED33)*(1+general_tasaDeudaConsumo)</f>
        <v/>
      </c>
      <c r="CY34" s="7">
        <f>L34*12*tiempos_travelGastoExtraMes*C34</f>
        <v/>
      </c>
      <c r="CZ34" s="7">
        <f>AJ34+CY34+CA34+CC34+CL34+CU34+I34+N34-BZ34-CB34</f>
        <v/>
      </c>
      <c r="DA34" s="7">
        <f>AH34-CZ34</f>
        <v/>
      </c>
      <c r="DB34" s="7">
        <f>IF(1=0,0,DB33)+DA34</f>
        <v/>
      </c>
      <c r="DC34" s="7">
        <f>AN34*vivienda_enganchePct+AN34*vivienda_cierrePct+general_reservaMeses/12*AJ34</f>
        <v/>
      </c>
      <c r="DD34" s="7">
        <f>IF(BB34=1,g_ret,IF(BD34&gt;0,MIN(1,DC34/BD34),1)*g_cash+(1-IF(BD34&gt;0,MIN(1,DC34/BD34),1))*g_ret)</f>
        <v/>
      </c>
      <c r="DE34" s="7">
        <f>IF(DA34&gt;=0,MIN(CX34,DA34),0)</f>
        <v/>
      </c>
      <c r="DF34" s="7">
        <f>IF(DA34&gt;=0,(1-general_tasaAhorro)*(DA34-DE34),0)</f>
        <v/>
      </c>
      <c r="DG34" s="7">
        <f>IF(DA34&gt;=0,DA34-DE34-DF34,0)</f>
        <v/>
      </c>
      <c r="DH34" s="7">
        <f>MIN(personal_rothAnual,DG34)</f>
        <v/>
      </c>
      <c r="DI34" s="7">
        <f>IF(AND(DA34&gt;=0,BB34=1,BP34+BT34&gt;0),MIN(vivienda_prepagoPct*(DG34-DH34),BP34+BT34),0)</f>
        <v/>
      </c>
      <c r="DJ34" s="7">
        <f>MIN(DI34,BP34)</f>
        <v/>
      </c>
      <c r="DK34" s="7">
        <f>IF(DA34&lt;0,MIN(MAX(0,BD34),-DA34),0)</f>
        <v/>
      </c>
      <c r="DL34" s="7">
        <f>IF(DA34&lt;0,-DA34-DK34,0)</f>
        <v/>
      </c>
      <c r="DM34" s="7">
        <f>IF(1=0,0,DZ33)</f>
        <v/>
      </c>
      <c r="DN34" s="7">
        <f>IF(AND(DL34&gt;0,J34&gt;0),MIN(DL34,MIN(prestamos_topeAnualPosgrado*MIN(1,J34),MAX(0,prestamos_topeTotalPosgrado-DM34))),0)</f>
        <v/>
      </c>
      <c r="DO34" s="7">
        <f>IF(AND(DL34&gt;0,J34&gt;0),DL34-DN34,0)</f>
        <v/>
      </c>
      <c r="DP34" s="7">
        <f>IF(AND(DL34&gt;0,J34&lt;=0),DL34,0)</f>
        <v/>
      </c>
      <c r="DQ34" s="7">
        <f>IF(DA34&gt;=0,DG34-DH34-DI34,-DK34)</f>
        <v/>
      </c>
      <c r="DR34" s="7">
        <f>BD34*(1+DD34)+DQ34*(1+DD34/2)</f>
        <v/>
      </c>
      <c r="DS34" s="7">
        <f>IF(1=0,personal_retiroInicial,DS33)*(1+g_ret)+(O34+P34+DH34)*(1+g_ret/2)</f>
        <v/>
      </c>
      <c r="DT34" s="7">
        <f>IF(BB34=1,BL34*(1+g_appr),0)</f>
        <v/>
      </c>
      <c r="DU34" s="7">
        <f>BP34-DJ34</f>
        <v/>
      </c>
      <c r="DV34" s="7">
        <f>BT34-(DI34-DJ34)</f>
        <v/>
      </c>
      <c r="DW34" s="7">
        <f>CP34+DN34</f>
        <v/>
      </c>
      <c r="DX34" s="7">
        <f>IF(DN34&gt;0,(CP34*CF34+DN34*prestamos_tasaFederalPosgrado)/(CP34+DN34),CF34)</f>
        <v/>
      </c>
      <c r="DY34" s="7">
        <f>IF(DN34&gt;0,0,CQ34)</f>
        <v/>
      </c>
      <c r="DZ34" s="7">
        <f>DM34+DN34</f>
        <v/>
      </c>
      <c r="EA34" s="7">
        <f>CV34+DO34</f>
        <v/>
      </c>
      <c r="EB34" s="7">
        <f>IF(DO34&gt;0,(CV34*CS34+DO34*prestamos_tasaPrivada)/(CV34+DO34),CS34)</f>
        <v/>
      </c>
      <c r="EC34" s="7">
        <f>IF(DO34&gt;0,0,CW34)</f>
        <v/>
      </c>
      <c r="ED34" s="7">
        <f>CX34-DE34+DP34</f>
        <v/>
      </c>
      <c r="EE34" s="7">
        <f>IF(IF(1=0,"",EE33)&lt;&gt;"",EE33,IF(AND(BB34=1,DU34&lt;=0.5,DV34&lt;=0.5,OR(BH34=0,BJ34=1)),A34,""))</f>
        <v/>
      </c>
      <c r="EF34" s="7">
        <f>DU34+DV34+DW34+EA34+ED34+CD34</f>
        <v/>
      </c>
      <c r="EG34" s="7">
        <f>DR34+DS34+DT34-EF34</f>
        <v/>
      </c>
      <c r="EH34" s="7">
        <f>EG34/(1+g_inf)^(A34+1-2026)</f>
        <v/>
      </c>
    </row>
    <row r="35">
      <c r="A35" t="n">
        <v>2029</v>
      </c>
      <c r="B35" t="n">
        <v>2</v>
      </c>
      <c r="C35" s="7">
        <f>(1+g_inf)^(A35-2026)</f>
        <v/>
      </c>
      <c r="D35" s="7">
        <f>SUMPRODUCT($V$5:$V$29,$E$5:$E$29*(1+$F$5:$F$29)^(A35-2026)*$G$5:$G$29*$H$5:$H$29*(1-$N$5:$N$29*$O$5:$O$29))*g_salMult+SUMPRODUCT(($B$5:$B$29&gt;=A35)*($B$5:$B$29&lt;A35+1)*$I$5:$I$29)*g_salMult</f>
        <v/>
      </c>
      <c r="E35" s="7">
        <f>SUMPRODUCT($V$5:$V$29,$E$5:$E$29*(1+$F$5:$F$29)^(A35-2026)*$G$5:$G$29*$H$5:$H$29*$M$5:$M$29)*g_salMult</f>
        <v/>
      </c>
      <c r="F35" s="7">
        <f>SUMPRODUCT($V$5:$V$29,$E$5:$E$29*(1+$F$5:$F$29)^(A35-2026)*$G$5:$G$29*$H$5:$H$29*$N$5:$N$29*$O$5:$O$29)*g_salMult</f>
        <v/>
      </c>
      <c r="G35" s="7">
        <f>SUMPRODUCT($V$5:$V$29,$P$5:$P$29*(1+$F$5:$F$29)^(A35-2026))</f>
        <v/>
      </c>
      <c r="H35" s="7">
        <f>SUMPRODUCT($V$5:$V$29,$Q$5:$Q$29*(1+$F$5:$F$29)^(A35-2026))+IF(personal_llcActivo=1,personal_llcNeto*(1+personal_llcCrecimiento)^2,0)</f>
        <v/>
      </c>
      <c r="I35" s="7">
        <f>SUMPRODUCT($V$5:$V$29,$J$5:$J$29/($C$5:$C$29-$B$5:$B$29+($C$5:$C$29=$B$5:$B$29)))*C35</f>
        <v/>
      </c>
      <c r="J35" s="7">
        <f>SUMPRODUCT($V$5:$V$29,$K$5:$K$29)</f>
        <v/>
      </c>
      <c r="K35" s="7">
        <f>SUMPRODUCT($V$5:$V$29,$L$5:$L$29)</f>
        <v/>
      </c>
      <c r="L35" s="7">
        <f>SUMPRODUCT($V$5:$V$29,$N$5:$N$29)</f>
        <v/>
      </c>
      <c r="M35" s="7">
        <f>IF(SUMPRODUCT($V$5:$V$29,$R$5:$R$29)&gt;0,1,0)</f>
        <v/>
      </c>
      <c r="N35" s="7">
        <f>SUMPRODUCT(($AO$5:$AO$24&gt;=A35)*($AO$5:$AO$24&lt;A35+1)*$AP$5:$AP$24)*C35+IF(2=0,IF(sel_loc&lt;&gt;"miami",personal_costoMudanzaInicial,0),0)</f>
        <v/>
      </c>
      <c r="O35" s="7">
        <f>MIN(personal_aporte403bPct*D35,retiro_limite403b*C35)</f>
        <v/>
      </c>
      <c r="P35" s="7">
        <f>MIN(personal_aporte403bPct,personal_match403bPct)*E35</f>
        <v/>
      </c>
      <c r="Q35" s="7">
        <f>IF(G35&gt;0,MAX(0,G35-impuestos_scorpCostoAnual*C35),0)</f>
        <v/>
      </c>
      <c r="R35" s="7">
        <f>Q35*impuestos_scorpSalarioPct/(1+impuestos_ssTasa+impuestos_medicareTasa)</f>
        <v/>
      </c>
      <c r="S35" s="7">
        <f>impuestos_ssTasa*MIN(R35,MAX(0,impuestos_ssTope*C35-D35))+impuestos_medicareTasa*R35</f>
        <v/>
      </c>
      <c r="T35" s="7">
        <f>Q35-R35-S35</f>
        <v/>
      </c>
      <c r="U35" s="7">
        <f>D35+R35</f>
        <v/>
      </c>
      <c r="V35" s="7">
        <f>H35*0.9235</f>
        <v/>
      </c>
      <c r="W35" s="7">
        <f>IF(H35&gt;0,2*impuestos_ssTasa*MIN(V35,MAX(0,impuestos_ssTope*C35-U35))+2*impuestos_medicareTasa*V35,0)</f>
        <v/>
      </c>
      <c r="X35" s="7">
        <f>impuestos_ssTasa*MIN(U35,impuestos_ssTope*C35)+impuestos_medicareTasa*U35+impuestos_medicareAdicional*MAX(0,U35+H35*0.9235-impuestos_medicareUmbral)</f>
        <v/>
      </c>
      <c r="Y35" s="7">
        <f>MAX(0,D35-O35+R35+T35+H35-W35/2)</f>
        <v/>
      </c>
      <c r="Z35" s="7">
        <f>MAX(0,Y35-impuestos_deduccionEstandar*C35)</f>
        <v/>
      </c>
      <c r="AA35" s="7">
        <f>MIN(0.2*MAX(0,T35+H35-W35/2)*MAX(0,MIN(1,1-(Z35-impuestos_qbiUmbral*C35)/(impuestos_qbiRango*C35))),0.2*Z35)</f>
        <v/>
      </c>
      <c r="AB35" s="7">
        <f>MAX(0,Z35-AA35)</f>
        <v/>
      </c>
      <c r="AC35" s="7">
        <f>SUMPRODUCT((AB35&gt;tb_federalBrackets_lo*C35)*(AB35-tb_federalBrackets_lo*C35)*tb_federalBrackets_dr)</f>
        <v/>
      </c>
      <c r="AD35" s="7">
        <f>MAX(0,Y35-impuestos_nyDeduccion*C35)</f>
        <v/>
      </c>
      <c r="AE35" s="7">
        <f>CHOOSE(loc_taxcode,0,impuestos_ohTasa*MAX(0,Y35-impuestos_ohExento*C35)+impuestos_ohMunicipal*U35,SUMPRODUCT((AD35&gt;tb_nyBrackets_lo*C35)*(AD35-tb_nyBrackets_lo*C35)*tb_nyBrackets_dr)+loc_nyc*SUMPRODUCT((AD35&gt;tb_nycBrackets_lo*C35)*(AD35-tb_nycBrackets_lo*C35)*tb_nycBrackets_dr))</f>
        <v/>
      </c>
      <c r="AF35" s="7">
        <f>AC35+AE35+X35+W35</f>
        <v/>
      </c>
      <c r="AG35" s="7">
        <f>D35+F35+R35+T35+H35</f>
        <v/>
      </c>
      <c r="AH35" s="7">
        <f>AG35-AF35-O35</f>
        <v/>
      </c>
      <c r="AI35" s="7">
        <f>D35+F35+G35+H35</f>
        <v/>
      </c>
      <c r="AJ35" s="7">
        <f>loc_gastosVida*C35*g_gastos</f>
        <v/>
      </c>
      <c r="AK35" s="7">
        <f>IF(2=0,personal_liquidoInicial,DR34)</f>
        <v/>
      </c>
      <c r="AL35" s="7">
        <f>IF(2=0,0,BB34)</f>
        <v/>
      </c>
      <c r="AM35" s="7">
        <f>CHOOSE(sel_cfgIdx,loc_precio_duplex,loc_precio_inlaw,loc_precio_dosCasas,loc_precio_casaAdu,loc_precio_multi)</f>
        <v/>
      </c>
      <c r="AN35" s="7">
        <f>AM35*(1+g_appr)^(A35-2026)</f>
        <v/>
      </c>
      <c r="AO35" s="7">
        <f>IF(AND(M35=1,vivienda_prestamoMedico=1),1,0)</f>
        <v/>
      </c>
      <c r="AP35" s="7">
        <f>IF(AO35=1,0.05,vivienda_enganchePct)</f>
        <v/>
      </c>
      <c r="AQ35" s="7">
        <f>AN35*(1-AP35)</f>
        <v/>
      </c>
      <c r="AR35" s="7">
        <f>PMT(g_mortRate/12,vivienda_plazoHipoteca*12,-AQ35)</f>
        <v/>
      </c>
      <c r="AS35" s="7">
        <f>INDEX(cfg_units,sel_cfgIdx)</f>
        <v/>
      </c>
      <c r="AT35" s="7">
        <f>AS35*loc_rentaUnidad*(1+g_inf)^(A35-2026)*(1-vivienda_vacancia)</f>
        <v/>
      </c>
      <c r="AU35" s="7">
        <f>AR35+AN35*loc_impuestoPropPct/12+AM35*loc_seguroPct*(1+vivienda_inflacionSeguro)^(A35-2026)/12+IF(AND(AO35=0,AP35&lt;0.2),AQ35*vivienda_pmiTasa/12,0)</f>
        <v/>
      </c>
      <c r="AV35" s="7">
        <f>AN35*AP35+AN35*vivienda_cierrePct+general_reservaMeses/12*AJ35</f>
        <v/>
      </c>
      <c r="AW35" s="7">
        <f>(IF(2=0,MIN(personal_irsSaldo,personal_irsPagoMensual*12),MIN(CD34,personal_irsPagoMensual*12))+IF(CE35&gt;0,PMT(CF35,MAX(1,prestamos_plazoAnios-CG35),-CE35),0)+IF(CR35&gt;0,PMT(CS35,MAX(1,prestamos_plazoAnios-CT35),-CR35),0))/12</f>
        <v/>
      </c>
      <c r="AX35" s="7">
        <f>IF(OR(sel_cfg="duplex",sel_cfg="multi",sel_cfg="dosCasas"),0.75*personal_aporteFamiliaMensual,0)</f>
        <v/>
      </c>
      <c r="AY35" s="7">
        <f>AU35-0.75*AT35-AX35+AW35</f>
        <v/>
      </c>
      <c r="AZ35" s="7">
        <f>(D35+G35+H35+0.5*F35)/12</f>
        <v/>
      </c>
      <c r="BA35" s="7">
        <f>IF(AND(AL35=0,A35&gt;=vivienda_anioMinCompra,J35&lt;0.5,AI35&gt;0,AK35&gt;=AV35,AY35&lt;=vivienda_dtiMax*AZ35),1,0)</f>
        <v/>
      </c>
      <c r="BB35" s="7">
        <f>MAX(AL35,BA35)</f>
        <v/>
      </c>
      <c r="BC35" s="7">
        <f>IF(BA35=1,A35,IF(2=0,"",BC34))</f>
        <v/>
      </c>
      <c r="BD35" s="7">
        <f>AK35-IF(BA35=1,AN35*AP35+AN35*vivienda_cierrePct,0)</f>
        <v/>
      </c>
      <c r="BE35" s="7">
        <f>IF(BA35=1,AN35,IF(2=0,0,BE34))</f>
        <v/>
      </c>
      <c r="BF35" s="7">
        <f>IF(BA35=1,AR35,IF(2=0,0,BF34))</f>
        <v/>
      </c>
      <c r="BG35" s="7">
        <f>IF(BA35=1,IF(AND(AO35=0,AP35&lt;0.2),1,0),IF(2=0,0,BY34))</f>
        <v/>
      </c>
      <c r="BH35" s="7">
        <f>IF(sel_cfg="casaAdu",1,0)</f>
        <v/>
      </c>
      <c r="BI35" s="7">
        <f>IF(AND(BB35=1,BH35=1,IF(2=0,0,BJ34)=0,A35&gt;=IF(BC35="",9999,BC35)+vivienda_aduRetrasoAnios),1,0)</f>
        <v/>
      </c>
      <c r="BJ35" s="7">
        <f>MAX(IF(2=0,0,BJ34),BI35)</f>
        <v/>
      </c>
      <c r="BK35" s="7">
        <f>IF(BI35=1,PMT((g_mortRate+0.005)/12,180,-loc_precio_aduCosto*C35),IF(2=0,0,BK34))</f>
        <v/>
      </c>
      <c r="BL35" s="7">
        <f>IF(BA35=1,AN35,IF(2=0,0,DT34))+IF(BI35=1,loc_precio_aduCosto*C35,0)</f>
        <v/>
      </c>
      <c r="BM35" s="7">
        <f>IF(BA35=1,AQ35,IF(2=0,0,DU34))</f>
        <v/>
      </c>
      <c r="BN35" s="7">
        <f>IF(BM35&lt;=0,0,FV(g_mortRate/12,12,BF35,-BM35))</f>
        <v/>
      </c>
      <c r="BO35" s="7">
        <f>IF(BM35&lt;=0,0,12*BF35+MIN(0,BN35))</f>
        <v/>
      </c>
      <c r="BP35" s="7">
        <f>MAX(0,BN35)</f>
        <v/>
      </c>
      <c r="BQ35" s="7">
        <f>IF(BI35=1,loc_precio_aduCosto*C35,IF(2=0,0,DV34))</f>
        <v/>
      </c>
      <c r="BR35" s="7">
        <f>IF(BQ35&lt;=0,0,FV((g_mortRate+0.005)/12,12,BK35,-BQ35))</f>
        <v/>
      </c>
      <c r="BS35" s="7">
        <f>IF(BQ35&lt;=0,0,12*BK35+MIN(0,BR35))</f>
        <v/>
      </c>
      <c r="BT35" s="7">
        <f>MAX(0,BR35)</f>
        <v/>
      </c>
      <c r="BU35" s="7">
        <f>IF(BB35=1,AM35*loc_seguroPct*(1+vivienda_inflacionSeguro)^(A35-2026)*IF(BJ35=1,1+loc_precio_aduCosto/AM35,1),0)</f>
        <v/>
      </c>
      <c r="BV35" s="7">
        <f>BL35*loc_impuestoPropPct</f>
        <v/>
      </c>
      <c r="BW35" s="7">
        <f>BL35*vivienda_mantenimientoPct</f>
        <v/>
      </c>
      <c r="BX35" s="7">
        <f>IF(AND(BG35=1,BP35&gt;0.8*BE35),BE35*(1-vivienda_enganchePct)*vivienda_pmiTasa,0)</f>
        <v/>
      </c>
      <c r="BY35" s="7">
        <f>IF(AND(BG35=1,BP35&gt;0.8*BE35),1,0)</f>
        <v/>
      </c>
      <c r="BZ35" s="7">
        <f>IF(BB35=1,AS35*loc_rentaUnidad*12*C35*(1-vivienda_vacancia)*(1-vivienda_gestionPct),0)</f>
        <v/>
      </c>
      <c r="CA35" s="7">
        <f>IF(BB35=1,BO35+BS35+BU35+BV35+BW35+BX35,loc_rentaMensual*12*C35)</f>
        <v/>
      </c>
      <c r="CB35" s="7">
        <f>IF(BB35=1,personal_aporteFamiliaMensual*12,0)</f>
        <v/>
      </c>
      <c r="CC35" s="7">
        <f>MIN(IF(2=0,personal_irsSaldo,CD34),personal_irsPagoMensual*12)</f>
        <v/>
      </c>
      <c r="CD35" s="7">
        <f>IF(2=0,personal_irsSaldo,CD34)-CC35</f>
        <v/>
      </c>
      <c r="CE35" s="7">
        <f>IF(2=0,IF(personal_deudaEsFederal=1,personal_deudaEstudiantil,0),DW34)</f>
        <v/>
      </c>
      <c r="CF35" s="7">
        <f>IF(2=0,personal_tasaDeudaEstudiantil,DX34)</f>
        <v/>
      </c>
      <c r="CG35" s="7">
        <f>IF(2=0,0,DY34)</f>
        <v/>
      </c>
      <c r="CH35" s="7">
        <f>IF(J35&gt;=0.5,1,0)</f>
        <v/>
      </c>
      <c r="CI35" s="7">
        <f>IF(AND(CH35=0,prestamos_pslfActivo=1,K35&gt;=0.5,CE35&gt;0),1,0)</f>
        <v/>
      </c>
      <c r="CJ35" s="7">
        <f>CE35*CF35</f>
        <v/>
      </c>
      <c r="CK35" s="7">
        <f>MAX(prestamos_rapPagoMinimoAnual,IF(Y35&lt;10000,0,MIN(0.1,INT(Y35/10000)/100))*Y35)</f>
        <v/>
      </c>
      <c r="CL35" s="7">
        <f>IF(CE35&lt;=0,0,IF(CH35=1,0,IF(CI35=1,MIN(CE35+CJ35,CK35),PMT(CF35,MAX(1,prestamos_plazoAnios-CG35),-CE35))))</f>
        <v/>
      </c>
      <c r="CM35" s="7">
        <f>IF(CE35&lt;=0,0,IF(CH35=1,CE35+CJ35,IF(CI35=1,MAX(0,CE35-MAX(CL35-CJ35,MIN(600,CL35))),MAX(0,CE35*(1+CF35)-CL35))))</f>
        <v/>
      </c>
      <c r="CN35" s="7">
        <f>IF(2=0,0,CN34)+IF(CI35=1,12*MIN(1,K35),0)</f>
        <v/>
      </c>
      <c r="CO35" s="7">
        <f>IF(AND(CI35=1,CN35&gt;=prestamos_pslfPagos,CM35&gt;0),CM35,0)</f>
        <v/>
      </c>
      <c r="CP35" s="7">
        <f>CM35-CO35</f>
        <v/>
      </c>
      <c r="CQ35" s="7">
        <f>IF(AND(CE35&gt;0,CH35=0,CI35=0),CG35+1,CG35)</f>
        <v/>
      </c>
      <c r="CR35" s="7">
        <f>IF(2=0,IF(personal_deudaEsFederal=1,0,personal_deudaEstudiantil),EA34)</f>
        <v/>
      </c>
      <c r="CS35" s="7">
        <f>IF(2=0,IF(personal_deudaEsFederal=1,prestamos_tasaPrivada,personal_tasaDeudaEstudiantil),EB34)</f>
        <v/>
      </c>
      <c r="CT35" s="7">
        <f>IF(2=0,0,EC34)</f>
        <v/>
      </c>
      <c r="CU35" s="7">
        <f>IF(OR(CR35&lt;=0,CH35=1),0,PMT(CS35,MAX(1,prestamos_plazoAnios-CT35),-CR35))</f>
        <v/>
      </c>
      <c r="CV35" s="7">
        <f>IF(CR35&lt;=0,0,IF(CH35=1,CR35*(1+CS35),MAX(0,CR35*(1+CS35)-CU35)))</f>
        <v/>
      </c>
      <c r="CW35" s="7">
        <f>IF(AND(CR35&gt;0,CH35=0),CT35+1,CT35)</f>
        <v/>
      </c>
      <c r="CX35" s="7">
        <f>IF(2=0,0,ED34)*(1+general_tasaDeudaConsumo)</f>
        <v/>
      </c>
      <c r="CY35" s="7">
        <f>L35*12*tiempos_travelGastoExtraMes*C35</f>
        <v/>
      </c>
      <c r="CZ35" s="7">
        <f>AJ35+CY35+CA35+CC35+CL35+CU35+I35+N35-BZ35-CB35</f>
        <v/>
      </c>
      <c r="DA35" s="7">
        <f>AH35-CZ35</f>
        <v/>
      </c>
      <c r="DB35" s="7">
        <f>IF(2=0,0,DB34)+DA35</f>
        <v/>
      </c>
      <c r="DC35" s="7">
        <f>AN35*vivienda_enganchePct+AN35*vivienda_cierrePct+general_reservaMeses/12*AJ35</f>
        <v/>
      </c>
      <c r="DD35" s="7">
        <f>IF(BB35=1,g_ret,IF(BD35&gt;0,MIN(1,DC35/BD35),1)*g_cash+(1-IF(BD35&gt;0,MIN(1,DC35/BD35),1))*g_ret)</f>
        <v/>
      </c>
      <c r="DE35" s="7">
        <f>IF(DA35&gt;=0,MIN(CX35,DA35),0)</f>
        <v/>
      </c>
      <c r="DF35" s="7">
        <f>IF(DA35&gt;=0,(1-general_tasaAhorro)*(DA35-DE35),0)</f>
        <v/>
      </c>
      <c r="DG35" s="7">
        <f>IF(DA35&gt;=0,DA35-DE35-DF35,0)</f>
        <v/>
      </c>
      <c r="DH35" s="7">
        <f>MIN(personal_rothAnual,DG35)</f>
        <v/>
      </c>
      <c r="DI35" s="7">
        <f>IF(AND(DA35&gt;=0,BB35=1,BP35+BT35&gt;0),MIN(vivienda_prepagoPct*(DG35-DH35),BP35+BT35),0)</f>
        <v/>
      </c>
      <c r="DJ35" s="7">
        <f>MIN(DI35,BP35)</f>
        <v/>
      </c>
      <c r="DK35" s="7">
        <f>IF(DA35&lt;0,MIN(MAX(0,BD35),-DA35),0)</f>
        <v/>
      </c>
      <c r="DL35" s="7">
        <f>IF(DA35&lt;0,-DA35-DK35,0)</f>
        <v/>
      </c>
      <c r="DM35" s="7">
        <f>IF(2=0,0,DZ34)</f>
        <v/>
      </c>
      <c r="DN35" s="7">
        <f>IF(AND(DL35&gt;0,J35&gt;0),MIN(DL35,MIN(prestamos_topeAnualPosgrado*MIN(1,J35),MAX(0,prestamos_topeTotalPosgrado-DM35))),0)</f>
        <v/>
      </c>
      <c r="DO35" s="7">
        <f>IF(AND(DL35&gt;0,J35&gt;0),DL35-DN35,0)</f>
        <v/>
      </c>
      <c r="DP35" s="7">
        <f>IF(AND(DL35&gt;0,J35&lt;=0),DL35,0)</f>
        <v/>
      </c>
      <c r="DQ35" s="7">
        <f>IF(DA35&gt;=0,DG35-DH35-DI35,-DK35)</f>
        <v/>
      </c>
      <c r="DR35" s="7">
        <f>BD35*(1+DD35)+DQ35*(1+DD35/2)</f>
        <v/>
      </c>
      <c r="DS35" s="7">
        <f>IF(2=0,personal_retiroInicial,DS34)*(1+g_ret)+(O35+P35+DH35)*(1+g_ret/2)</f>
        <v/>
      </c>
      <c r="DT35" s="7">
        <f>IF(BB35=1,BL35*(1+g_appr),0)</f>
        <v/>
      </c>
      <c r="DU35" s="7">
        <f>BP35-DJ35</f>
        <v/>
      </c>
      <c r="DV35" s="7">
        <f>BT35-(DI35-DJ35)</f>
        <v/>
      </c>
      <c r="DW35" s="7">
        <f>CP35+DN35</f>
        <v/>
      </c>
      <c r="DX35" s="7">
        <f>IF(DN35&gt;0,(CP35*CF35+DN35*prestamos_tasaFederalPosgrado)/(CP35+DN35),CF35)</f>
        <v/>
      </c>
      <c r="DY35" s="7">
        <f>IF(DN35&gt;0,0,CQ35)</f>
        <v/>
      </c>
      <c r="DZ35" s="7">
        <f>DM35+DN35</f>
        <v/>
      </c>
      <c r="EA35" s="7">
        <f>CV35+DO35</f>
        <v/>
      </c>
      <c r="EB35" s="7">
        <f>IF(DO35&gt;0,(CV35*CS35+DO35*prestamos_tasaPrivada)/(CV35+DO35),CS35)</f>
        <v/>
      </c>
      <c r="EC35" s="7">
        <f>IF(DO35&gt;0,0,CW35)</f>
        <v/>
      </c>
      <c r="ED35" s="7">
        <f>CX35-DE35+DP35</f>
        <v/>
      </c>
      <c r="EE35" s="7">
        <f>IF(IF(2=0,"",EE34)&lt;&gt;"",EE34,IF(AND(BB35=1,DU35&lt;=0.5,DV35&lt;=0.5,OR(BH35=0,BJ35=1)),A35,""))</f>
        <v/>
      </c>
      <c r="EF35" s="7">
        <f>DU35+DV35+DW35+EA35+ED35+CD35</f>
        <v/>
      </c>
      <c r="EG35" s="7">
        <f>DR35+DS35+DT35-EF35</f>
        <v/>
      </c>
      <c r="EH35" s="7">
        <f>EG35/(1+g_inf)^(A35+1-2026)</f>
        <v/>
      </c>
    </row>
    <row r="36">
      <c r="A36" t="n">
        <v>2030</v>
      </c>
      <c r="B36" t="n">
        <v>3</v>
      </c>
      <c r="C36" s="7">
        <f>(1+g_inf)^(A36-2026)</f>
        <v/>
      </c>
      <c r="D36" s="7">
        <f>SUMPRODUCT($W$5:$W$29,$E$5:$E$29*(1+$F$5:$F$29)^(A36-2026)*$G$5:$G$29*$H$5:$H$29*(1-$N$5:$N$29*$O$5:$O$29))*g_salMult+SUMPRODUCT(($B$5:$B$29&gt;=A36)*($B$5:$B$29&lt;A36+1)*$I$5:$I$29)*g_salMult</f>
        <v/>
      </c>
      <c r="E36" s="7">
        <f>SUMPRODUCT($W$5:$W$29,$E$5:$E$29*(1+$F$5:$F$29)^(A36-2026)*$G$5:$G$29*$H$5:$H$29*$M$5:$M$29)*g_salMult</f>
        <v/>
      </c>
      <c r="F36" s="7">
        <f>SUMPRODUCT($W$5:$W$29,$E$5:$E$29*(1+$F$5:$F$29)^(A36-2026)*$G$5:$G$29*$H$5:$H$29*$N$5:$N$29*$O$5:$O$29)*g_salMult</f>
        <v/>
      </c>
      <c r="G36" s="7">
        <f>SUMPRODUCT($W$5:$W$29,$P$5:$P$29*(1+$F$5:$F$29)^(A36-2026))</f>
        <v/>
      </c>
      <c r="H36" s="7">
        <f>SUMPRODUCT($W$5:$W$29,$Q$5:$Q$29*(1+$F$5:$F$29)^(A36-2026))+IF(personal_llcActivo=1,personal_llcNeto*(1+personal_llcCrecimiento)^3,0)</f>
        <v/>
      </c>
      <c r="I36" s="7">
        <f>SUMPRODUCT($W$5:$W$29,$J$5:$J$29/($C$5:$C$29-$B$5:$B$29+($C$5:$C$29=$B$5:$B$29)))*C36</f>
        <v/>
      </c>
      <c r="J36" s="7">
        <f>SUMPRODUCT($W$5:$W$29,$K$5:$K$29)</f>
        <v/>
      </c>
      <c r="K36" s="7">
        <f>SUMPRODUCT($W$5:$W$29,$L$5:$L$29)</f>
        <v/>
      </c>
      <c r="L36" s="7">
        <f>SUMPRODUCT($W$5:$W$29,$N$5:$N$29)</f>
        <v/>
      </c>
      <c r="M36" s="7">
        <f>IF(SUMPRODUCT($W$5:$W$29,$R$5:$R$29)&gt;0,1,0)</f>
        <v/>
      </c>
      <c r="N36" s="7">
        <f>SUMPRODUCT(($AO$5:$AO$24&gt;=A36)*($AO$5:$AO$24&lt;A36+1)*$AP$5:$AP$24)*C36+IF(3=0,IF(sel_loc&lt;&gt;"miami",personal_costoMudanzaInicial,0),0)</f>
        <v/>
      </c>
      <c r="O36" s="7">
        <f>MIN(personal_aporte403bPct*D36,retiro_limite403b*C36)</f>
        <v/>
      </c>
      <c r="P36" s="7">
        <f>MIN(personal_aporte403bPct,personal_match403bPct)*E36</f>
        <v/>
      </c>
      <c r="Q36" s="7">
        <f>IF(G36&gt;0,MAX(0,G36-impuestos_scorpCostoAnual*C36),0)</f>
        <v/>
      </c>
      <c r="R36" s="7">
        <f>Q36*impuestos_scorpSalarioPct/(1+impuestos_ssTasa+impuestos_medicareTasa)</f>
        <v/>
      </c>
      <c r="S36" s="7">
        <f>impuestos_ssTasa*MIN(R36,MAX(0,impuestos_ssTope*C36-D36))+impuestos_medicareTasa*R36</f>
        <v/>
      </c>
      <c r="T36" s="7">
        <f>Q36-R36-S36</f>
        <v/>
      </c>
      <c r="U36" s="7">
        <f>D36+R36</f>
        <v/>
      </c>
      <c r="V36" s="7">
        <f>H36*0.9235</f>
        <v/>
      </c>
      <c r="W36" s="7">
        <f>IF(H36&gt;0,2*impuestos_ssTasa*MIN(V36,MAX(0,impuestos_ssTope*C36-U36))+2*impuestos_medicareTasa*V36,0)</f>
        <v/>
      </c>
      <c r="X36" s="7">
        <f>impuestos_ssTasa*MIN(U36,impuestos_ssTope*C36)+impuestos_medicareTasa*U36+impuestos_medicareAdicional*MAX(0,U36+H36*0.9235-impuestos_medicareUmbral)</f>
        <v/>
      </c>
      <c r="Y36" s="7">
        <f>MAX(0,D36-O36+R36+T36+H36-W36/2)</f>
        <v/>
      </c>
      <c r="Z36" s="7">
        <f>MAX(0,Y36-impuestos_deduccionEstandar*C36)</f>
        <v/>
      </c>
      <c r="AA36" s="7">
        <f>MIN(0.2*MAX(0,T36+H36-W36/2)*MAX(0,MIN(1,1-(Z36-impuestos_qbiUmbral*C36)/(impuestos_qbiRango*C36))),0.2*Z36)</f>
        <v/>
      </c>
      <c r="AB36" s="7">
        <f>MAX(0,Z36-AA36)</f>
        <v/>
      </c>
      <c r="AC36" s="7">
        <f>SUMPRODUCT((AB36&gt;tb_federalBrackets_lo*C36)*(AB36-tb_federalBrackets_lo*C36)*tb_federalBrackets_dr)</f>
        <v/>
      </c>
      <c r="AD36" s="7">
        <f>MAX(0,Y36-impuestos_nyDeduccion*C36)</f>
        <v/>
      </c>
      <c r="AE36" s="7">
        <f>CHOOSE(loc_taxcode,0,impuestos_ohTasa*MAX(0,Y36-impuestos_ohExento*C36)+impuestos_ohMunicipal*U36,SUMPRODUCT((AD36&gt;tb_nyBrackets_lo*C36)*(AD36-tb_nyBrackets_lo*C36)*tb_nyBrackets_dr)+loc_nyc*SUMPRODUCT((AD36&gt;tb_nycBrackets_lo*C36)*(AD36-tb_nycBrackets_lo*C36)*tb_nycBrackets_dr))</f>
        <v/>
      </c>
      <c r="AF36" s="7">
        <f>AC36+AE36+X36+W36</f>
        <v/>
      </c>
      <c r="AG36" s="7">
        <f>D36+F36+R36+T36+H36</f>
        <v/>
      </c>
      <c r="AH36" s="7">
        <f>AG36-AF36-O36</f>
        <v/>
      </c>
      <c r="AI36" s="7">
        <f>D36+F36+G36+H36</f>
        <v/>
      </c>
      <c r="AJ36" s="7">
        <f>loc_gastosVida*C36*g_gastos</f>
        <v/>
      </c>
      <c r="AK36" s="7">
        <f>IF(3=0,personal_liquidoInicial,DR35)</f>
        <v/>
      </c>
      <c r="AL36" s="7">
        <f>IF(3=0,0,BB35)</f>
        <v/>
      </c>
      <c r="AM36" s="7">
        <f>CHOOSE(sel_cfgIdx,loc_precio_duplex,loc_precio_inlaw,loc_precio_dosCasas,loc_precio_casaAdu,loc_precio_multi)</f>
        <v/>
      </c>
      <c r="AN36" s="7">
        <f>AM36*(1+g_appr)^(A36-2026)</f>
        <v/>
      </c>
      <c r="AO36" s="7">
        <f>IF(AND(M36=1,vivienda_prestamoMedico=1),1,0)</f>
        <v/>
      </c>
      <c r="AP36" s="7">
        <f>IF(AO36=1,0.05,vivienda_enganchePct)</f>
        <v/>
      </c>
      <c r="AQ36" s="7">
        <f>AN36*(1-AP36)</f>
        <v/>
      </c>
      <c r="AR36" s="7">
        <f>PMT(g_mortRate/12,vivienda_plazoHipoteca*12,-AQ36)</f>
        <v/>
      </c>
      <c r="AS36" s="7">
        <f>INDEX(cfg_units,sel_cfgIdx)</f>
        <v/>
      </c>
      <c r="AT36" s="7">
        <f>AS36*loc_rentaUnidad*(1+g_inf)^(A36-2026)*(1-vivienda_vacancia)</f>
        <v/>
      </c>
      <c r="AU36" s="7">
        <f>AR36+AN36*loc_impuestoPropPct/12+AM36*loc_seguroPct*(1+vivienda_inflacionSeguro)^(A36-2026)/12+IF(AND(AO36=0,AP36&lt;0.2),AQ36*vivienda_pmiTasa/12,0)</f>
        <v/>
      </c>
      <c r="AV36" s="7">
        <f>AN36*AP36+AN36*vivienda_cierrePct+general_reservaMeses/12*AJ36</f>
        <v/>
      </c>
      <c r="AW36" s="7">
        <f>(IF(3=0,MIN(personal_irsSaldo,personal_irsPagoMensual*12),MIN(CD35,personal_irsPagoMensual*12))+IF(CE36&gt;0,PMT(CF36,MAX(1,prestamos_plazoAnios-CG36),-CE36),0)+IF(CR36&gt;0,PMT(CS36,MAX(1,prestamos_plazoAnios-CT36),-CR36),0))/12</f>
        <v/>
      </c>
      <c r="AX36" s="7">
        <f>IF(OR(sel_cfg="duplex",sel_cfg="multi",sel_cfg="dosCasas"),0.75*personal_aporteFamiliaMensual,0)</f>
        <v/>
      </c>
      <c r="AY36" s="7">
        <f>AU36-0.75*AT36-AX36+AW36</f>
        <v/>
      </c>
      <c r="AZ36" s="7">
        <f>(D36+G36+H36+0.5*F36)/12</f>
        <v/>
      </c>
      <c r="BA36" s="7">
        <f>IF(AND(AL36=0,A36&gt;=vivienda_anioMinCompra,J36&lt;0.5,AI36&gt;0,AK36&gt;=AV36,AY36&lt;=vivienda_dtiMax*AZ36),1,0)</f>
        <v/>
      </c>
      <c r="BB36" s="7">
        <f>MAX(AL36,BA36)</f>
        <v/>
      </c>
      <c r="BC36" s="7">
        <f>IF(BA36=1,A36,IF(3=0,"",BC35))</f>
        <v/>
      </c>
      <c r="BD36" s="7">
        <f>AK36-IF(BA36=1,AN36*AP36+AN36*vivienda_cierrePct,0)</f>
        <v/>
      </c>
      <c r="BE36" s="7">
        <f>IF(BA36=1,AN36,IF(3=0,0,BE35))</f>
        <v/>
      </c>
      <c r="BF36" s="7">
        <f>IF(BA36=1,AR36,IF(3=0,0,BF35))</f>
        <v/>
      </c>
      <c r="BG36" s="7">
        <f>IF(BA36=1,IF(AND(AO36=0,AP36&lt;0.2),1,0),IF(3=0,0,BY35))</f>
        <v/>
      </c>
      <c r="BH36" s="7">
        <f>IF(sel_cfg="casaAdu",1,0)</f>
        <v/>
      </c>
      <c r="BI36" s="7">
        <f>IF(AND(BB36=1,BH36=1,IF(3=0,0,BJ35)=0,A36&gt;=IF(BC36="",9999,BC36)+vivienda_aduRetrasoAnios),1,0)</f>
        <v/>
      </c>
      <c r="BJ36" s="7">
        <f>MAX(IF(3=0,0,BJ35),BI36)</f>
        <v/>
      </c>
      <c r="BK36" s="7">
        <f>IF(BI36=1,PMT((g_mortRate+0.005)/12,180,-loc_precio_aduCosto*C36),IF(3=0,0,BK35))</f>
        <v/>
      </c>
      <c r="BL36" s="7">
        <f>IF(BA36=1,AN36,IF(3=0,0,DT35))+IF(BI36=1,loc_precio_aduCosto*C36,0)</f>
        <v/>
      </c>
      <c r="BM36" s="7">
        <f>IF(BA36=1,AQ36,IF(3=0,0,DU35))</f>
        <v/>
      </c>
      <c r="BN36" s="7">
        <f>IF(BM36&lt;=0,0,FV(g_mortRate/12,12,BF36,-BM36))</f>
        <v/>
      </c>
      <c r="BO36" s="7">
        <f>IF(BM36&lt;=0,0,12*BF36+MIN(0,BN36))</f>
        <v/>
      </c>
      <c r="BP36" s="7">
        <f>MAX(0,BN36)</f>
        <v/>
      </c>
      <c r="BQ36" s="7">
        <f>IF(BI36=1,loc_precio_aduCosto*C36,IF(3=0,0,DV35))</f>
        <v/>
      </c>
      <c r="BR36" s="7">
        <f>IF(BQ36&lt;=0,0,FV((g_mortRate+0.005)/12,12,BK36,-BQ36))</f>
        <v/>
      </c>
      <c r="BS36" s="7">
        <f>IF(BQ36&lt;=0,0,12*BK36+MIN(0,BR36))</f>
        <v/>
      </c>
      <c r="BT36" s="7">
        <f>MAX(0,BR36)</f>
        <v/>
      </c>
      <c r="BU36" s="7">
        <f>IF(BB36=1,AM36*loc_seguroPct*(1+vivienda_inflacionSeguro)^(A36-2026)*IF(BJ36=1,1+loc_precio_aduCosto/AM36,1),0)</f>
        <v/>
      </c>
      <c r="BV36" s="7">
        <f>BL36*loc_impuestoPropPct</f>
        <v/>
      </c>
      <c r="BW36" s="7">
        <f>BL36*vivienda_mantenimientoPct</f>
        <v/>
      </c>
      <c r="BX36" s="7">
        <f>IF(AND(BG36=1,BP36&gt;0.8*BE36),BE36*(1-vivienda_enganchePct)*vivienda_pmiTasa,0)</f>
        <v/>
      </c>
      <c r="BY36" s="7">
        <f>IF(AND(BG36=1,BP36&gt;0.8*BE36),1,0)</f>
        <v/>
      </c>
      <c r="BZ36" s="7">
        <f>IF(BB36=1,AS36*loc_rentaUnidad*12*C36*(1-vivienda_vacancia)*(1-vivienda_gestionPct),0)</f>
        <v/>
      </c>
      <c r="CA36" s="7">
        <f>IF(BB36=1,BO36+BS36+BU36+BV36+BW36+BX36,loc_rentaMensual*12*C36)</f>
        <v/>
      </c>
      <c r="CB36" s="7">
        <f>IF(BB36=1,personal_aporteFamiliaMensual*12,0)</f>
        <v/>
      </c>
      <c r="CC36" s="7">
        <f>MIN(IF(3=0,personal_irsSaldo,CD35),personal_irsPagoMensual*12)</f>
        <v/>
      </c>
      <c r="CD36" s="7">
        <f>IF(3=0,personal_irsSaldo,CD35)-CC36</f>
        <v/>
      </c>
      <c r="CE36" s="7">
        <f>IF(3=0,IF(personal_deudaEsFederal=1,personal_deudaEstudiantil,0),DW35)</f>
        <v/>
      </c>
      <c r="CF36" s="7">
        <f>IF(3=0,personal_tasaDeudaEstudiantil,DX35)</f>
        <v/>
      </c>
      <c r="CG36" s="7">
        <f>IF(3=0,0,DY35)</f>
        <v/>
      </c>
      <c r="CH36" s="7">
        <f>IF(J36&gt;=0.5,1,0)</f>
        <v/>
      </c>
      <c r="CI36" s="7">
        <f>IF(AND(CH36=0,prestamos_pslfActivo=1,K36&gt;=0.5,CE36&gt;0),1,0)</f>
        <v/>
      </c>
      <c r="CJ36" s="7">
        <f>CE36*CF36</f>
        <v/>
      </c>
      <c r="CK36" s="7">
        <f>MAX(prestamos_rapPagoMinimoAnual,IF(Y36&lt;10000,0,MIN(0.1,INT(Y36/10000)/100))*Y36)</f>
        <v/>
      </c>
      <c r="CL36" s="7">
        <f>IF(CE36&lt;=0,0,IF(CH36=1,0,IF(CI36=1,MIN(CE36+CJ36,CK36),PMT(CF36,MAX(1,prestamos_plazoAnios-CG36),-CE36))))</f>
        <v/>
      </c>
      <c r="CM36" s="7">
        <f>IF(CE36&lt;=0,0,IF(CH36=1,CE36+CJ36,IF(CI36=1,MAX(0,CE36-MAX(CL36-CJ36,MIN(600,CL36))),MAX(0,CE36*(1+CF36)-CL36))))</f>
        <v/>
      </c>
      <c r="CN36" s="7">
        <f>IF(3=0,0,CN35)+IF(CI36=1,12*MIN(1,K36),0)</f>
        <v/>
      </c>
      <c r="CO36" s="7">
        <f>IF(AND(CI36=1,CN36&gt;=prestamos_pslfPagos,CM36&gt;0),CM36,0)</f>
        <v/>
      </c>
      <c r="CP36" s="7">
        <f>CM36-CO36</f>
        <v/>
      </c>
      <c r="CQ36" s="7">
        <f>IF(AND(CE36&gt;0,CH36=0,CI36=0),CG36+1,CG36)</f>
        <v/>
      </c>
      <c r="CR36" s="7">
        <f>IF(3=0,IF(personal_deudaEsFederal=1,0,personal_deudaEstudiantil),EA35)</f>
        <v/>
      </c>
      <c r="CS36" s="7">
        <f>IF(3=0,IF(personal_deudaEsFederal=1,prestamos_tasaPrivada,personal_tasaDeudaEstudiantil),EB35)</f>
        <v/>
      </c>
      <c r="CT36" s="7">
        <f>IF(3=0,0,EC35)</f>
        <v/>
      </c>
      <c r="CU36" s="7">
        <f>IF(OR(CR36&lt;=0,CH36=1),0,PMT(CS36,MAX(1,prestamos_plazoAnios-CT36),-CR36))</f>
        <v/>
      </c>
      <c r="CV36" s="7">
        <f>IF(CR36&lt;=0,0,IF(CH36=1,CR36*(1+CS36),MAX(0,CR36*(1+CS36)-CU36)))</f>
        <v/>
      </c>
      <c r="CW36" s="7">
        <f>IF(AND(CR36&gt;0,CH36=0),CT36+1,CT36)</f>
        <v/>
      </c>
      <c r="CX36" s="7">
        <f>IF(3=0,0,ED35)*(1+general_tasaDeudaConsumo)</f>
        <v/>
      </c>
      <c r="CY36" s="7">
        <f>L36*12*tiempos_travelGastoExtraMes*C36</f>
        <v/>
      </c>
      <c r="CZ36" s="7">
        <f>AJ36+CY36+CA36+CC36+CL36+CU36+I36+N36-BZ36-CB36</f>
        <v/>
      </c>
      <c r="DA36" s="7">
        <f>AH36-CZ36</f>
        <v/>
      </c>
      <c r="DB36" s="7">
        <f>IF(3=0,0,DB35)+DA36</f>
        <v/>
      </c>
      <c r="DC36" s="7">
        <f>AN36*vivienda_enganchePct+AN36*vivienda_cierrePct+general_reservaMeses/12*AJ36</f>
        <v/>
      </c>
      <c r="DD36" s="7">
        <f>IF(BB36=1,g_ret,IF(BD36&gt;0,MIN(1,DC36/BD36),1)*g_cash+(1-IF(BD36&gt;0,MIN(1,DC36/BD36),1))*g_ret)</f>
        <v/>
      </c>
      <c r="DE36" s="7">
        <f>IF(DA36&gt;=0,MIN(CX36,DA36),0)</f>
        <v/>
      </c>
      <c r="DF36" s="7">
        <f>IF(DA36&gt;=0,(1-general_tasaAhorro)*(DA36-DE36),0)</f>
        <v/>
      </c>
      <c r="DG36" s="7">
        <f>IF(DA36&gt;=0,DA36-DE36-DF36,0)</f>
        <v/>
      </c>
      <c r="DH36" s="7">
        <f>MIN(personal_rothAnual,DG36)</f>
        <v/>
      </c>
      <c r="DI36" s="7">
        <f>IF(AND(DA36&gt;=0,BB36=1,BP36+BT36&gt;0),MIN(vivienda_prepagoPct*(DG36-DH36),BP36+BT36),0)</f>
        <v/>
      </c>
      <c r="DJ36" s="7">
        <f>MIN(DI36,BP36)</f>
        <v/>
      </c>
      <c r="DK36" s="7">
        <f>IF(DA36&lt;0,MIN(MAX(0,BD36),-DA36),0)</f>
        <v/>
      </c>
      <c r="DL36" s="7">
        <f>IF(DA36&lt;0,-DA36-DK36,0)</f>
        <v/>
      </c>
      <c r="DM36" s="7">
        <f>IF(3=0,0,DZ35)</f>
        <v/>
      </c>
      <c r="DN36" s="7">
        <f>IF(AND(DL36&gt;0,J36&gt;0),MIN(DL36,MIN(prestamos_topeAnualPosgrado*MIN(1,J36),MAX(0,prestamos_topeTotalPosgrado-DM36))),0)</f>
        <v/>
      </c>
      <c r="DO36" s="7">
        <f>IF(AND(DL36&gt;0,J36&gt;0),DL36-DN36,0)</f>
        <v/>
      </c>
      <c r="DP36" s="7">
        <f>IF(AND(DL36&gt;0,J36&lt;=0),DL36,0)</f>
        <v/>
      </c>
      <c r="DQ36" s="7">
        <f>IF(DA36&gt;=0,DG36-DH36-DI36,-DK36)</f>
        <v/>
      </c>
      <c r="DR36" s="7">
        <f>BD36*(1+DD36)+DQ36*(1+DD36/2)</f>
        <v/>
      </c>
      <c r="DS36" s="7">
        <f>IF(3=0,personal_retiroInicial,DS35)*(1+g_ret)+(O36+P36+DH36)*(1+g_ret/2)</f>
        <v/>
      </c>
      <c r="DT36" s="7">
        <f>IF(BB36=1,BL36*(1+g_appr),0)</f>
        <v/>
      </c>
      <c r="DU36" s="7">
        <f>BP36-DJ36</f>
        <v/>
      </c>
      <c r="DV36" s="7">
        <f>BT36-(DI36-DJ36)</f>
        <v/>
      </c>
      <c r="DW36" s="7">
        <f>CP36+DN36</f>
        <v/>
      </c>
      <c r="DX36" s="7">
        <f>IF(DN36&gt;0,(CP36*CF36+DN36*prestamos_tasaFederalPosgrado)/(CP36+DN36),CF36)</f>
        <v/>
      </c>
      <c r="DY36" s="7">
        <f>IF(DN36&gt;0,0,CQ36)</f>
        <v/>
      </c>
      <c r="DZ36" s="7">
        <f>DM36+DN36</f>
        <v/>
      </c>
      <c r="EA36" s="7">
        <f>CV36+DO36</f>
        <v/>
      </c>
      <c r="EB36" s="7">
        <f>IF(DO36&gt;0,(CV36*CS36+DO36*prestamos_tasaPrivada)/(CV36+DO36),CS36)</f>
        <v/>
      </c>
      <c r="EC36" s="7">
        <f>IF(DO36&gt;0,0,CW36)</f>
        <v/>
      </c>
      <c r="ED36" s="7">
        <f>CX36-DE36+DP36</f>
        <v/>
      </c>
      <c r="EE36" s="7">
        <f>IF(IF(3=0,"",EE35)&lt;&gt;"",EE35,IF(AND(BB36=1,DU36&lt;=0.5,DV36&lt;=0.5,OR(BH36=0,BJ36=1)),A36,""))</f>
        <v/>
      </c>
      <c r="EF36" s="7">
        <f>DU36+DV36+DW36+EA36+ED36+CD36</f>
        <v/>
      </c>
      <c r="EG36" s="7">
        <f>DR36+DS36+DT36-EF36</f>
        <v/>
      </c>
      <c r="EH36" s="7">
        <f>EG36/(1+g_inf)^(A36+1-2026)</f>
        <v/>
      </c>
    </row>
    <row r="37">
      <c r="A37" t="n">
        <v>2031</v>
      </c>
      <c r="B37" t="n">
        <v>4</v>
      </c>
      <c r="C37" s="7">
        <f>(1+g_inf)^(A37-2026)</f>
        <v/>
      </c>
      <c r="D37" s="7">
        <f>SUMPRODUCT($X$5:$X$29,$E$5:$E$29*(1+$F$5:$F$29)^(A37-2026)*$G$5:$G$29*$H$5:$H$29*(1-$N$5:$N$29*$O$5:$O$29))*g_salMult+SUMPRODUCT(($B$5:$B$29&gt;=A37)*($B$5:$B$29&lt;A37+1)*$I$5:$I$29)*g_salMult</f>
        <v/>
      </c>
      <c r="E37" s="7">
        <f>SUMPRODUCT($X$5:$X$29,$E$5:$E$29*(1+$F$5:$F$29)^(A37-2026)*$G$5:$G$29*$H$5:$H$29*$M$5:$M$29)*g_salMult</f>
        <v/>
      </c>
      <c r="F37" s="7">
        <f>SUMPRODUCT($X$5:$X$29,$E$5:$E$29*(1+$F$5:$F$29)^(A37-2026)*$G$5:$G$29*$H$5:$H$29*$N$5:$N$29*$O$5:$O$29)*g_salMult</f>
        <v/>
      </c>
      <c r="G37" s="7">
        <f>SUMPRODUCT($X$5:$X$29,$P$5:$P$29*(1+$F$5:$F$29)^(A37-2026))</f>
        <v/>
      </c>
      <c r="H37" s="7">
        <f>SUMPRODUCT($X$5:$X$29,$Q$5:$Q$29*(1+$F$5:$F$29)^(A37-2026))+IF(personal_llcActivo=1,personal_llcNeto*(1+personal_llcCrecimiento)^4,0)</f>
        <v/>
      </c>
      <c r="I37" s="7">
        <f>SUMPRODUCT($X$5:$X$29,$J$5:$J$29/($C$5:$C$29-$B$5:$B$29+($C$5:$C$29=$B$5:$B$29)))*C37</f>
        <v/>
      </c>
      <c r="J37" s="7">
        <f>SUMPRODUCT($X$5:$X$29,$K$5:$K$29)</f>
        <v/>
      </c>
      <c r="K37" s="7">
        <f>SUMPRODUCT($X$5:$X$29,$L$5:$L$29)</f>
        <v/>
      </c>
      <c r="L37" s="7">
        <f>SUMPRODUCT($X$5:$X$29,$N$5:$N$29)</f>
        <v/>
      </c>
      <c r="M37" s="7">
        <f>IF(SUMPRODUCT($X$5:$X$29,$R$5:$R$29)&gt;0,1,0)</f>
        <v/>
      </c>
      <c r="N37" s="7">
        <f>SUMPRODUCT(($AO$5:$AO$24&gt;=A37)*($AO$5:$AO$24&lt;A37+1)*$AP$5:$AP$24)*C37+IF(4=0,IF(sel_loc&lt;&gt;"miami",personal_costoMudanzaInicial,0),0)</f>
        <v/>
      </c>
      <c r="O37" s="7">
        <f>MIN(personal_aporte403bPct*D37,retiro_limite403b*C37)</f>
        <v/>
      </c>
      <c r="P37" s="7">
        <f>MIN(personal_aporte403bPct,personal_match403bPct)*E37</f>
        <v/>
      </c>
      <c r="Q37" s="7">
        <f>IF(G37&gt;0,MAX(0,G37-impuestos_scorpCostoAnual*C37),0)</f>
        <v/>
      </c>
      <c r="R37" s="7">
        <f>Q37*impuestos_scorpSalarioPct/(1+impuestos_ssTasa+impuestos_medicareTasa)</f>
        <v/>
      </c>
      <c r="S37" s="7">
        <f>impuestos_ssTasa*MIN(R37,MAX(0,impuestos_ssTope*C37-D37))+impuestos_medicareTasa*R37</f>
        <v/>
      </c>
      <c r="T37" s="7">
        <f>Q37-R37-S37</f>
        <v/>
      </c>
      <c r="U37" s="7">
        <f>D37+R37</f>
        <v/>
      </c>
      <c r="V37" s="7">
        <f>H37*0.9235</f>
        <v/>
      </c>
      <c r="W37" s="7">
        <f>IF(H37&gt;0,2*impuestos_ssTasa*MIN(V37,MAX(0,impuestos_ssTope*C37-U37))+2*impuestos_medicareTasa*V37,0)</f>
        <v/>
      </c>
      <c r="X37" s="7">
        <f>impuestos_ssTasa*MIN(U37,impuestos_ssTope*C37)+impuestos_medicareTasa*U37+impuestos_medicareAdicional*MAX(0,U37+H37*0.9235-impuestos_medicareUmbral)</f>
        <v/>
      </c>
      <c r="Y37" s="7">
        <f>MAX(0,D37-O37+R37+T37+H37-W37/2)</f>
        <v/>
      </c>
      <c r="Z37" s="7">
        <f>MAX(0,Y37-impuestos_deduccionEstandar*C37)</f>
        <v/>
      </c>
      <c r="AA37" s="7">
        <f>MIN(0.2*MAX(0,T37+H37-W37/2)*MAX(0,MIN(1,1-(Z37-impuestos_qbiUmbral*C37)/(impuestos_qbiRango*C37))),0.2*Z37)</f>
        <v/>
      </c>
      <c r="AB37" s="7">
        <f>MAX(0,Z37-AA37)</f>
        <v/>
      </c>
      <c r="AC37" s="7">
        <f>SUMPRODUCT((AB37&gt;tb_federalBrackets_lo*C37)*(AB37-tb_federalBrackets_lo*C37)*tb_federalBrackets_dr)</f>
        <v/>
      </c>
      <c r="AD37" s="7">
        <f>MAX(0,Y37-impuestos_nyDeduccion*C37)</f>
        <v/>
      </c>
      <c r="AE37" s="7">
        <f>CHOOSE(loc_taxcode,0,impuestos_ohTasa*MAX(0,Y37-impuestos_ohExento*C37)+impuestos_ohMunicipal*U37,SUMPRODUCT((AD37&gt;tb_nyBrackets_lo*C37)*(AD37-tb_nyBrackets_lo*C37)*tb_nyBrackets_dr)+loc_nyc*SUMPRODUCT((AD37&gt;tb_nycBrackets_lo*C37)*(AD37-tb_nycBrackets_lo*C37)*tb_nycBrackets_dr))</f>
        <v/>
      </c>
      <c r="AF37" s="7">
        <f>AC37+AE37+X37+W37</f>
        <v/>
      </c>
      <c r="AG37" s="7">
        <f>D37+F37+R37+T37+H37</f>
        <v/>
      </c>
      <c r="AH37" s="7">
        <f>AG37-AF37-O37</f>
        <v/>
      </c>
      <c r="AI37" s="7">
        <f>D37+F37+G37+H37</f>
        <v/>
      </c>
      <c r="AJ37" s="7">
        <f>loc_gastosVida*C37*g_gastos</f>
        <v/>
      </c>
      <c r="AK37" s="7">
        <f>IF(4=0,personal_liquidoInicial,DR36)</f>
        <v/>
      </c>
      <c r="AL37" s="7">
        <f>IF(4=0,0,BB36)</f>
        <v/>
      </c>
      <c r="AM37" s="7">
        <f>CHOOSE(sel_cfgIdx,loc_precio_duplex,loc_precio_inlaw,loc_precio_dosCasas,loc_precio_casaAdu,loc_precio_multi)</f>
        <v/>
      </c>
      <c r="AN37" s="7">
        <f>AM37*(1+g_appr)^(A37-2026)</f>
        <v/>
      </c>
      <c r="AO37" s="7">
        <f>IF(AND(M37=1,vivienda_prestamoMedico=1),1,0)</f>
        <v/>
      </c>
      <c r="AP37" s="7">
        <f>IF(AO37=1,0.05,vivienda_enganchePct)</f>
        <v/>
      </c>
      <c r="AQ37" s="7">
        <f>AN37*(1-AP37)</f>
        <v/>
      </c>
      <c r="AR37" s="7">
        <f>PMT(g_mortRate/12,vivienda_plazoHipoteca*12,-AQ37)</f>
        <v/>
      </c>
      <c r="AS37" s="7">
        <f>INDEX(cfg_units,sel_cfgIdx)</f>
        <v/>
      </c>
      <c r="AT37" s="7">
        <f>AS37*loc_rentaUnidad*(1+g_inf)^(A37-2026)*(1-vivienda_vacancia)</f>
        <v/>
      </c>
      <c r="AU37" s="7">
        <f>AR37+AN37*loc_impuestoPropPct/12+AM37*loc_seguroPct*(1+vivienda_inflacionSeguro)^(A37-2026)/12+IF(AND(AO37=0,AP37&lt;0.2),AQ37*vivienda_pmiTasa/12,0)</f>
        <v/>
      </c>
      <c r="AV37" s="7">
        <f>AN37*AP37+AN37*vivienda_cierrePct+general_reservaMeses/12*AJ37</f>
        <v/>
      </c>
      <c r="AW37" s="7">
        <f>(IF(4=0,MIN(personal_irsSaldo,personal_irsPagoMensual*12),MIN(CD36,personal_irsPagoMensual*12))+IF(CE37&gt;0,PMT(CF37,MAX(1,prestamos_plazoAnios-CG37),-CE37),0)+IF(CR37&gt;0,PMT(CS37,MAX(1,prestamos_plazoAnios-CT37),-CR37),0))/12</f>
        <v/>
      </c>
      <c r="AX37" s="7">
        <f>IF(OR(sel_cfg="duplex",sel_cfg="multi",sel_cfg="dosCasas"),0.75*personal_aporteFamiliaMensual,0)</f>
        <v/>
      </c>
      <c r="AY37" s="7">
        <f>AU37-0.75*AT37-AX37+AW37</f>
        <v/>
      </c>
      <c r="AZ37" s="7">
        <f>(D37+G37+H37+0.5*F37)/12</f>
        <v/>
      </c>
      <c r="BA37" s="7">
        <f>IF(AND(AL37=0,A37&gt;=vivienda_anioMinCompra,J37&lt;0.5,AI37&gt;0,AK37&gt;=AV37,AY37&lt;=vivienda_dtiMax*AZ37),1,0)</f>
        <v/>
      </c>
      <c r="BB37" s="7">
        <f>MAX(AL37,BA37)</f>
        <v/>
      </c>
      <c r="BC37" s="7">
        <f>IF(BA37=1,A37,IF(4=0,"",BC36))</f>
        <v/>
      </c>
      <c r="BD37" s="7">
        <f>AK37-IF(BA37=1,AN37*AP37+AN37*vivienda_cierrePct,0)</f>
        <v/>
      </c>
      <c r="BE37" s="7">
        <f>IF(BA37=1,AN37,IF(4=0,0,BE36))</f>
        <v/>
      </c>
      <c r="BF37" s="7">
        <f>IF(BA37=1,AR37,IF(4=0,0,BF36))</f>
        <v/>
      </c>
      <c r="BG37" s="7">
        <f>IF(BA37=1,IF(AND(AO37=0,AP37&lt;0.2),1,0),IF(4=0,0,BY36))</f>
        <v/>
      </c>
      <c r="BH37" s="7">
        <f>IF(sel_cfg="casaAdu",1,0)</f>
        <v/>
      </c>
      <c r="BI37" s="7">
        <f>IF(AND(BB37=1,BH37=1,IF(4=0,0,BJ36)=0,A37&gt;=IF(BC37="",9999,BC37)+vivienda_aduRetrasoAnios),1,0)</f>
        <v/>
      </c>
      <c r="BJ37" s="7">
        <f>MAX(IF(4=0,0,BJ36),BI37)</f>
        <v/>
      </c>
      <c r="BK37" s="7">
        <f>IF(BI37=1,PMT((g_mortRate+0.005)/12,180,-loc_precio_aduCosto*C37),IF(4=0,0,BK36))</f>
        <v/>
      </c>
      <c r="BL37" s="7">
        <f>IF(BA37=1,AN37,IF(4=0,0,DT36))+IF(BI37=1,loc_precio_aduCosto*C37,0)</f>
        <v/>
      </c>
      <c r="BM37" s="7">
        <f>IF(BA37=1,AQ37,IF(4=0,0,DU36))</f>
        <v/>
      </c>
      <c r="BN37" s="7">
        <f>IF(BM37&lt;=0,0,FV(g_mortRate/12,12,BF37,-BM37))</f>
        <v/>
      </c>
      <c r="BO37" s="7">
        <f>IF(BM37&lt;=0,0,12*BF37+MIN(0,BN37))</f>
        <v/>
      </c>
      <c r="BP37" s="7">
        <f>MAX(0,BN37)</f>
        <v/>
      </c>
      <c r="BQ37" s="7">
        <f>IF(BI37=1,loc_precio_aduCosto*C37,IF(4=0,0,DV36))</f>
        <v/>
      </c>
      <c r="BR37" s="7">
        <f>IF(BQ37&lt;=0,0,FV((g_mortRate+0.005)/12,12,BK37,-BQ37))</f>
        <v/>
      </c>
      <c r="BS37" s="7">
        <f>IF(BQ37&lt;=0,0,12*BK37+MIN(0,BR37))</f>
        <v/>
      </c>
      <c r="BT37" s="7">
        <f>MAX(0,BR37)</f>
        <v/>
      </c>
      <c r="BU37" s="7">
        <f>IF(BB37=1,AM37*loc_seguroPct*(1+vivienda_inflacionSeguro)^(A37-2026)*IF(BJ37=1,1+loc_precio_aduCosto/AM37,1),0)</f>
        <v/>
      </c>
      <c r="BV37" s="7">
        <f>BL37*loc_impuestoPropPct</f>
        <v/>
      </c>
      <c r="BW37" s="7">
        <f>BL37*vivienda_mantenimientoPct</f>
        <v/>
      </c>
      <c r="BX37" s="7">
        <f>IF(AND(BG37=1,BP37&gt;0.8*BE37),BE37*(1-vivienda_enganchePct)*vivienda_pmiTasa,0)</f>
        <v/>
      </c>
      <c r="BY37" s="7">
        <f>IF(AND(BG37=1,BP37&gt;0.8*BE37),1,0)</f>
        <v/>
      </c>
      <c r="BZ37" s="7">
        <f>IF(BB37=1,AS37*loc_rentaUnidad*12*C37*(1-vivienda_vacancia)*(1-vivienda_gestionPct),0)</f>
        <v/>
      </c>
      <c r="CA37" s="7">
        <f>IF(BB37=1,BO37+BS37+BU37+BV37+BW37+BX37,loc_rentaMensual*12*C37)</f>
        <v/>
      </c>
      <c r="CB37" s="7">
        <f>IF(BB37=1,personal_aporteFamiliaMensual*12,0)</f>
        <v/>
      </c>
      <c r="CC37" s="7">
        <f>MIN(IF(4=0,personal_irsSaldo,CD36),personal_irsPagoMensual*12)</f>
        <v/>
      </c>
      <c r="CD37" s="7">
        <f>IF(4=0,personal_irsSaldo,CD36)-CC37</f>
        <v/>
      </c>
      <c r="CE37" s="7">
        <f>IF(4=0,IF(personal_deudaEsFederal=1,personal_deudaEstudiantil,0),DW36)</f>
        <v/>
      </c>
      <c r="CF37" s="7">
        <f>IF(4=0,personal_tasaDeudaEstudiantil,DX36)</f>
        <v/>
      </c>
      <c r="CG37" s="7">
        <f>IF(4=0,0,DY36)</f>
        <v/>
      </c>
      <c r="CH37" s="7">
        <f>IF(J37&gt;=0.5,1,0)</f>
        <v/>
      </c>
      <c r="CI37" s="7">
        <f>IF(AND(CH37=0,prestamos_pslfActivo=1,K37&gt;=0.5,CE37&gt;0),1,0)</f>
        <v/>
      </c>
      <c r="CJ37" s="7">
        <f>CE37*CF37</f>
        <v/>
      </c>
      <c r="CK37" s="7">
        <f>MAX(prestamos_rapPagoMinimoAnual,IF(Y37&lt;10000,0,MIN(0.1,INT(Y37/10000)/100))*Y37)</f>
        <v/>
      </c>
      <c r="CL37" s="7">
        <f>IF(CE37&lt;=0,0,IF(CH37=1,0,IF(CI37=1,MIN(CE37+CJ37,CK37),PMT(CF37,MAX(1,prestamos_plazoAnios-CG37),-CE37))))</f>
        <v/>
      </c>
      <c r="CM37" s="7">
        <f>IF(CE37&lt;=0,0,IF(CH37=1,CE37+CJ37,IF(CI37=1,MAX(0,CE37-MAX(CL37-CJ37,MIN(600,CL37))),MAX(0,CE37*(1+CF37)-CL37))))</f>
        <v/>
      </c>
      <c r="CN37" s="7">
        <f>IF(4=0,0,CN36)+IF(CI37=1,12*MIN(1,K37),0)</f>
        <v/>
      </c>
      <c r="CO37" s="7">
        <f>IF(AND(CI37=1,CN37&gt;=prestamos_pslfPagos,CM37&gt;0),CM37,0)</f>
        <v/>
      </c>
      <c r="CP37" s="7">
        <f>CM37-CO37</f>
        <v/>
      </c>
      <c r="CQ37" s="7">
        <f>IF(AND(CE37&gt;0,CH37=0,CI37=0),CG37+1,CG37)</f>
        <v/>
      </c>
      <c r="CR37" s="7">
        <f>IF(4=0,IF(personal_deudaEsFederal=1,0,personal_deudaEstudiantil),EA36)</f>
        <v/>
      </c>
      <c r="CS37" s="7">
        <f>IF(4=0,IF(personal_deudaEsFederal=1,prestamos_tasaPrivada,personal_tasaDeudaEstudiantil),EB36)</f>
        <v/>
      </c>
      <c r="CT37" s="7">
        <f>IF(4=0,0,EC36)</f>
        <v/>
      </c>
      <c r="CU37" s="7">
        <f>IF(OR(CR37&lt;=0,CH37=1),0,PMT(CS37,MAX(1,prestamos_plazoAnios-CT37),-CR37))</f>
        <v/>
      </c>
      <c r="CV37" s="7">
        <f>IF(CR37&lt;=0,0,IF(CH37=1,CR37*(1+CS37),MAX(0,CR37*(1+CS37)-CU37)))</f>
        <v/>
      </c>
      <c r="CW37" s="7">
        <f>IF(AND(CR37&gt;0,CH37=0),CT37+1,CT37)</f>
        <v/>
      </c>
      <c r="CX37" s="7">
        <f>IF(4=0,0,ED36)*(1+general_tasaDeudaConsumo)</f>
        <v/>
      </c>
      <c r="CY37" s="7">
        <f>L37*12*tiempos_travelGastoExtraMes*C37</f>
        <v/>
      </c>
      <c r="CZ37" s="7">
        <f>AJ37+CY37+CA37+CC37+CL37+CU37+I37+N37-BZ37-CB37</f>
        <v/>
      </c>
      <c r="DA37" s="7">
        <f>AH37-CZ37</f>
        <v/>
      </c>
      <c r="DB37" s="7">
        <f>IF(4=0,0,DB36)+DA37</f>
        <v/>
      </c>
      <c r="DC37" s="7">
        <f>AN37*vivienda_enganchePct+AN37*vivienda_cierrePct+general_reservaMeses/12*AJ37</f>
        <v/>
      </c>
      <c r="DD37" s="7">
        <f>IF(BB37=1,g_ret,IF(BD37&gt;0,MIN(1,DC37/BD37),1)*g_cash+(1-IF(BD37&gt;0,MIN(1,DC37/BD37),1))*g_ret)</f>
        <v/>
      </c>
      <c r="DE37" s="7">
        <f>IF(DA37&gt;=0,MIN(CX37,DA37),0)</f>
        <v/>
      </c>
      <c r="DF37" s="7">
        <f>IF(DA37&gt;=0,(1-general_tasaAhorro)*(DA37-DE37),0)</f>
        <v/>
      </c>
      <c r="DG37" s="7">
        <f>IF(DA37&gt;=0,DA37-DE37-DF37,0)</f>
        <v/>
      </c>
      <c r="DH37" s="7">
        <f>MIN(personal_rothAnual,DG37)</f>
        <v/>
      </c>
      <c r="DI37" s="7">
        <f>IF(AND(DA37&gt;=0,BB37=1,BP37+BT37&gt;0),MIN(vivienda_prepagoPct*(DG37-DH37),BP37+BT37),0)</f>
        <v/>
      </c>
      <c r="DJ37" s="7">
        <f>MIN(DI37,BP37)</f>
        <v/>
      </c>
      <c r="DK37" s="7">
        <f>IF(DA37&lt;0,MIN(MAX(0,BD37),-DA37),0)</f>
        <v/>
      </c>
      <c r="DL37" s="7">
        <f>IF(DA37&lt;0,-DA37-DK37,0)</f>
        <v/>
      </c>
      <c r="DM37" s="7">
        <f>IF(4=0,0,DZ36)</f>
        <v/>
      </c>
      <c r="DN37" s="7">
        <f>IF(AND(DL37&gt;0,J37&gt;0),MIN(DL37,MIN(prestamos_topeAnualPosgrado*MIN(1,J37),MAX(0,prestamos_topeTotalPosgrado-DM37))),0)</f>
        <v/>
      </c>
      <c r="DO37" s="7">
        <f>IF(AND(DL37&gt;0,J37&gt;0),DL37-DN37,0)</f>
        <v/>
      </c>
      <c r="DP37" s="7">
        <f>IF(AND(DL37&gt;0,J37&lt;=0),DL37,0)</f>
        <v/>
      </c>
      <c r="DQ37" s="7">
        <f>IF(DA37&gt;=0,DG37-DH37-DI37,-DK37)</f>
        <v/>
      </c>
      <c r="DR37" s="7">
        <f>BD37*(1+DD37)+DQ37*(1+DD37/2)</f>
        <v/>
      </c>
      <c r="DS37" s="7">
        <f>IF(4=0,personal_retiroInicial,DS36)*(1+g_ret)+(O37+P37+DH37)*(1+g_ret/2)</f>
        <v/>
      </c>
      <c r="DT37" s="7">
        <f>IF(BB37=1,BL37*(1+g_appr),0)</f>
        <v/>
      </c>
      <c r="DU37" s="7">
        <f>BP37-DJ37</f>
        <v/>
      </c>
      <c r="DV37" s="7">
        <f>BT37-(DI37-DJ37)</f>
        <v/>
      </c>
      <c r="DW37" s="7">
        <f>CP37+DN37</f>
        <v/>
      </c>
      <c r="DX37" s="7">
        <f>IF(DN37&gt;0,(CP37*CF37+DN37*prestamos_tasaFederalPosgrado)/(CP37+DN37),CF37)</f>
        <v/>
      </c>
      <c r="DY37" s="7">
        <f>IF(DN37&gt;0,0,CQ37)</f>
        <v/>
      </c>
      <c r="DZ37" s="7">
        <f>DM37+DN37</f>
        <v/>
      </c>
      <c r="EA37" s="7">
        <f>CV37+DO37</f>
        <v/>
      </c>
      <c r="EB37" s="7">
        <f>IF(DO37&gt;0,(CV37*CS37+DO37*prestamos_tasaPrivada)/(CV37+DO37),CS37)</f>
        <v/>
      </c>
      <c r="EC37" s="7">
        <f>IF(DO37&gt;0,0,CW37)</f>
        <v/>
      </c>
      <c r="ED37" s="7">
        <f>CX37-DE37+DP37</f>
        <v/>
      </c>
      <c r="EE37" s="7">
        <f>IF(IF(4=0,"",EE36)&lt;&gt;"",EE36,IF(AND(BB37=1,DU37&lt;=0.5,DV37&lt;=0.5,OR(BH37=0,BJ37=1)),A37,""))</f>
        <v/>
      </c>
      <c r="EF37" s="7">
        <f>DU37+DV37+DW37+EA37+ED37+CD37</f>
        <v/>
      </c>
      <c r="EG37" s="7">
        <f>DR37+DS37+DT37-EF37</f>
        <v/>
      </c>
      <c r="EH37" s="7">
        <f>EG37/(1+g_inf)^(A37+1-2026)</f>
        <v/>
      </c>
    </row>
    <row r="38">
      <c r="A38" t="n">
        <v>2032</v>
      </c>
      <c r="B38" t="n">
        <v>5</v>
      </c>
      <c r="C38" s="7">
        <f>(1+g_inf)^(A38-2026)</f>
        <v/>
      </c>
      <c r="D38" s="7">
        <f>SUMPRODUCT($Y$5:$Y$29,$E$5:$E$29*(1+$F$5:$F$29)^(A38-2026)*$G$5:$G$29*$H$5:$H$29*(1-$N$5:$N$29*$O$5:$O$29))*g_salMult+SUMPRODUCT(($B$5:$B$29&gt;=A38)*($B$5:$B$29&lt;A38+1)*$I$5:$I$29)*g_salMult</f>
        <v/>
      </c>
      <c r="E38" s="7">
        <f>SUMPRODUCT($Y$5:$Y$29,$E$5:$E$29*(1+$F$5:$F$29)^(A38-2026)*$G$5:$G$29*$H$5:$H$29*$M$5:$M$29)*g_salMult</f>
        <v/>
      </c>
      <c r="F38" s="7">
        <f>SUMPRODUCT($Y$5:$Y$29,$E$5:$E$29*(1+$F$5:$F$29)^(A38-2026)*$G$5:$G$29*$H$5:$H$29*$N$5:$N$29*$O$5:$O$29)*g_salMult</f>
        <v/>
      </c>
      <c r="G38" s="7">
        <f>SUMPRODUCT($Y$5:$Y$29,$P$5:$P$29*(1+$F$5:$F$29)^(A38-2026))</f>
        <v/>
      </c>
      <c r="H38" s="7">
        <f>SUMPRODUCT($Y$5:$Y$29,$Q$5:$Q$29*(1+$F$5:$F$29)^(A38-2026))+IF(personal_llcActivo=1,personal_llcNeto*(1+personal_llcCrecimiento)^5,0)</f>
        <v/>
      </c>
      <c r="I38" s="7">
        <f>SUMPRODUCT($Y$5:$Y$29,$J$5:$J$29/($C$5:$C$29-$B$5:$B$29+($C$5:$C$29=$B$5:$B$29)))*C38</f>
        <v/>
      </c>
      <c r="J38" s="7">
        <f>SUMPRODUCT($Y$5:$Y$29,$K$5:$K$29)</f>
        <v/>
      </c>
      <c r="K38" s="7">
        <f>SUMPRODUCT($Y$5:$Y$29,$L$5:$L$29)</f>
        <v/>
      </c>
      <c r="L38" s="7">
        <f>SUMPRODUCT($Y$5:$Y$29,$N$5:$N$29)</f>
        <v/>
      </c>
      <c r="M38" s="7">
        <f>IF(SUMPRODUCT($Y$5:$Y$29,$R$5:$R$29)&gt;0,1,0)</f>
        <v/>
      </c>
      <c r="N38" s="7">
        <f>SUMPRODUCT(($AO$5:$AO$24&gt;=A38)*($AO$5:$AO$24&lt;A38+1)*$AP$5:$AP$24)*C38+IF(5=0,IF(sel_loc&lt;&gt;"miami",personal_costoMudanzaInicial,0),0)</f>
        <v/>
      </c>
      <c r="O38" s="7">
        <f>MIN(personal_aporte403bPct*D38,retiro_limite403b*C38)</f>
        <v/>
      </c>
      <c r="P38" s="7">
        <f>MIN(personal_aporte403bPct,personal_match403bPct)*E38</f>
        <v/>
      </c>
      <c r="Q38" s="7">
        <f>IF(G38&gt;0,MAX(0,G38-impuestos_scorpCostoAnual*C38),0)</f>
        <v/>
      </c>
      <c r="R38" s="7">
        <f>Q38*impuestos_scorpSalarioPct/(1+impuestos_ssTasa+impuestos_medicareTasa)</f>
        <v/>
      </c>
      <c r="S38" s="7">
        <f>impuestos_ssTasa*MIN(R38,MAX(0,impuestos_ssTope*C38-D38))+impuestos_medicareTasa*R38</f>
        <v/>
      </c>
      <c r="T38" s="7">
        <f>Q38-R38-S38</f>
        <v/>
      </c>
      <c r="U38" s="7">
        <f>D38+R38</f>
        <v/>
      </c>
      <c r="V38" s="7">
        <f>H38*0.9235</f>
        <v/>
      </c>
      <c r="W38" s="7">
        <f>IF(H38&gt;0,2*impuestos_ssTasa*MIN(V38,MAX(0,impuestos_ssTope*C38-U38))+2*impuestos_medicareTasa*V38,0)</f>
        <v/>
      </c>
      <c r="X38" s="7">
        <f>impuestos_ssTasa*MIN(U38,impuestos_ssTope*C38)+impuestos_medicareTasa*U38+impuestos_medicareAdicional*MAX(0,U38+H38*0.9235-impuestos_medicareUmbral)</f>
        <v/>
      </c>
      <c r="Y38" s="7">
        <f>MAX(0,D38-O38+R38+T38+H38-W38/2)</f>
        <v/>
      </c>
      <c r="Z38" s="7">
        <f>MAX(0,Y38-impuestos_deduccionEstandar*C38)</f>
        <v/>
      </c>
      <c r="AA38" s="7">
        <f>MIN(0.2*MAX(0,T38+H38-W38/2)*MAX(0,MIN(1,1-(Z38-impuestos_qbiUmbral*C38)/(impuestos_qbiRango*C38))),0.2*Z38)</f>
        <v/>
      </c>
      <c r="AB38" s="7">
        <f>MAX(0,Z38-AA38)</f>
        <v/>
      </c>
      <c r="AC38" s="7">
        <f>SUMPRODUCT((AB38&gt;tb_federalBrackets_lo*C38)*(AB38-tb_federalBrackets_lo*C38)*tb_federalBrackets_dr)</f>
        <v/>
      </c>
      <c r="AD38" s="7">
        <f>MAX(0,Y38-impuestos_nyDeduccion*C38)</f>
        <v/>
      </c>
      <c r="AE38" s="7">
        <f>CHOOSE(loc_taxcode,0,impuestos_ohTasa*MAX(0,Y38-impuestos_ohExento*C38)+impuestos_ohMunicipal*U38,SUMPRODUCT((AD38&gt;tb_nyBrackets_lo*C38)*(AD38-tb_nyBrackets_lo*C38)*tb_nyBrackets_dr)+loc_nyc*SUMPRODUCT((AD38&gt;tb_nycBrackets_lo*C38)*(AD38-tb_nycBrackets_lo*C38)*tb_nycBrackets_dr))</f>
        <v/>
      </c>
      <c r="AF38" s="7">
        <f>AC38+AE38+X38+W38</f>
        <v/>
      </c>
      <c r="AG38" s="7">
        <f>D38+F38+R38+T38+H38</f>
        <v/>
      </c>
      <c r="AH38" s="7">
        <f>AG38-AF38-O38</f>
        <v/>
      </c>
      <c r="AI38" s="7">
        <f>D38+F38+G38+H38</f>
        <v/>
      </c>
      <c r="AJ38" s="7">
        <f>loc_gastosVida*C38*g_gastos</f>
        <v/>
      </c>
      <c r="AK38" s="7">
        <f>IF(5=0,personal_liquidoInicial,DR37)</f>
        <v/>
      </c>
      <c r="AL38" s="7">
        <f>IF(5=0,0,BB37)</f>
        <v/>
      </c>
      <c r="AM38" s="7">
        <f>CHOOSE(sel_cfgIdx,loc_precio_duplex,loc_precio_inlaw,loc_precio_dosCasas,loc_precio_casaAdu,loc_precio_multi)</f>
        <v/>
      </c>
      <c r="AN38" s="7">
        <f>AM38*(1+g_appr)^(A38-2026)</f>
        <v/>
      </c>
      <c r="AO38" s="7">
        <f>IF(AND(M38=1,vivienda_prestamoMedico=1),1,0)</f>
        <v/>
      </c>
      <c r="AP38" s="7">
        <f>IF(AO38=1,0.05,vivienda_enganchePct)</f>
        <v/>
      </c>
      <c r="AQ38" s="7">
        <f>AN38*(1-AP38)</f>
        <v/>
      </c>
      <c r="AR38" s="7">
        <f>PMT(g_mortRate/12,vivienda_plazoHipoteca*12,-AQ38)</f>
        <v/>
      </c>
      <c r="AS38" s="7">
        <f>INDEX(cfg_units,sel_cfgIdx)</f>
        <v/>
      </c>
      <c r="AT38" s="7">
        <f>AS38*loc_rentaUnidad*(1+g_inf)^(A38-2026)*(1-vivienda_vacancia)</f>
        <v/>
      </c>
      <c r="AU38" s="7">
        <f>AR38+AN38*loc_impuestoPropPct/12+AM38*loc_seguroPct*(1+vivienda_inflacionSeguro)^(A38-2026)/12+IF(AND(AO38=0,AP38&lt;0.2),AQ38*vivienda_pmiTasa/12,0)</f>
        <v/>
      </c>
      <c r="AV38" s="7">
        <f>AN38*AP38+AN38*vivienda_cierrePct+general_reservaMeses/12*AJ38</f>
        <v/>
      </c>
      <c r="AW38" s="7">
        <f>(IF(5=0,MIN(personal_irsSaldo,personal_irsPagoMensual*12),MIN(CD37,personal_irsPagoMensual*12))+IF(CE38&gt;0,PMT(CF38,MAX(1,prestamos_plazoAnios-CG38),-CE38),0)+IF(CR38&gt;0,PMT(CS38,MAX(1,prestamos_plazoAnios-CT38),-CR38),0))/12</f>
        <v/>
      </c>
      <c r="AX38" s="7">
        <f>IF(OR(sel_cfg="duplex",sel_cfg="multi",sel_cfg="dosCasas"),0.75*personal_aporteFamiliaMensual,0)</f>
        <v/>
      </c>
      <c r="AY38" s="7">
        <f>AU38-0.75*AT38-AX38+AW38</f>
        <v/>
      </c>
      <c r="AZ38" s="7">
        <f>(D38+G38+H38+0.5*F38)/12</f>
        <v/>
      </c>
      <c r="BA38" s="7">
        <f>IF(AND(AL38=0,A38&gt;=vivienda_anioMinCompra,J38&lt;0.5,AI38&gt;0,AK38&gt;=AV38,AY38&lt;=vivienda_dtiMax*AZ38),1,0)</f>
        <v/>
      </c>
      <c r="BB38" s="7">
        <f>MAX(AL38,BA38)</f>
        <v/>
      </c>
      <c r="BC38" s="7">
        <f>IF(BA38=1,A38,IF(5=0,"",BC37))</f>
        <v/>
      </c>
      <c r="BD38" s="7">
        <f>AK38-IF(BA38=1,AN38*AP38+AN38*vivienda_cierrePct,0)</f>
        <v/>
      </c>
      <c r="BE38" s="7">
        <f>IF(BA38=1,AN38,IF(5=0,0,BE37))</f>
        <v/>
      </c>
      <c r="BF38" s="7">
        <f>IF(BA38=1,AR38,IF(5=0,0,BF37))</f>
        <v/>
      </c>
      <c r="BG38" s="7">
        <f>IF(BA38=1,IF(AND(AO38=0,AP38&lt;0.2),1,0),IF(5=0,0,BY37))</f>
        <v/>
      </c>
      <c r="BH38" s="7">
        <f>IF(sel_cfg="casaAdu",1,0)</f>
        <v/>
      </c>
      <c r="BI38" s="7">
        <f>IF(AND(BB38=1,BH38=1,IF(5=0,0,BJ37)=0,A38&gt;=IF(BC38="",9999,BC38)+vivienda_aduRetrasoAnios),1,0)</f>
        <v/>
      </c>
      <c r="BJ38" s="7">
        <f>MAX(IF(5=0,0,BJ37),BI38)</f>
        <v/>
      </c>
      <c r="BK38" s="7">
        <f>IF(BI38=1,PMT((g_mortRate+0.005)/12,180,-loc_precio_aduCosto*C38),IF(5=0,0,BK37))</f>
        <v/>
      </c>
      <c r="BL38" s="7">
        <f>IF(BA38=1,AN38,IF(5=0,0,DT37))+IF(BI38=1,loc_precio_aduCosto*C38,0)</f>
        <v/>
      </c>
      <c r="BM38" s="7">
        <f>IF(BA38=1,AQ38,IF(5=0,0,DU37))</f>
        <v/>
      </c>
      <c r="BN38" s="7">
        <f>IF(BM38&lt;=0,0,FV(g_mortRate/12,12,BF38,-BM38))</f>
        <v/>
      </c>
      <c r="BO38" s="7">
        <f>IF(BM38&lt;=0,0,12*BF38+MIN(0,BN38))</f>
        <v/>
      </c>
      <c r="BP38" s="7">
        <f>MAX(0,BN38)</f>
        <v/>
      </c>
      <c r="BQ38" s="7">
        <f>IF(BI38=1,loc_precio_aduCosto*C38,IF(5=0,0,DV37))</f>
        <v/>
      </c>
      <c r="BR38" s="7">
        <f>IF(BQ38&lt;=0,0,FV((g_mortRate+0.005)/12,12,BK38,-BQ38))</f>
        <v/>
      </c>
      <c r="BS38" s="7">
        <f>IF(BQ38&lt;=0,0,12*BK38+MIN(0,BR38))</f>
        <v/>
      </c>
      <c r="BT38" s="7">
        <f>MAX(0,BR38)</f>
        <v/>
      </c>
      <c r="BU38" s="7">
        <f>IF(BB38=1,AM38*loc_seguroPct*(1+vivienda_inflacionSeguro)^(A38-2026)*IF(BJ38=1,1+loc_precio_aduCosto/AM38,1),0)</f>
        <v/>
      </c>
      <c r="BV38" s="7">
        <f>BL38*loc_impuestoPropPct</f>
        <v/>
      </c>
      <c r="BW38" s="7">
        <f>BL38*vivienda_mantenimientoPct</f>
        <v/>
      </c>
      <c r="BX38" s="7">
        <f>IF(AND(BG38=1,BP38&gt;0.8*BE38),BE38*(1-vivienda_enganchePct)*vivienda_pmiTasa,0)</f>
        <v/>
      </c>
      <c r="BY38" s="7">
        <f>IF(AND(BG38=1,BP38&gt;0.8*BE38),1,0)</f>
        <v/>
      </c>
      <c r="BZ38" s="7">
        <f>IF(BB38=1,AS38*loc_rentaUnidad*12*C38*(1-vivienda_vacancia)*(1-vivienda_gestionPct),0)</f>
        <v/>
      </c>
      <c r="CA38" s="7">
        <f>IF(BB38=1,BO38+BS38+BU38+BV38+BW38+BX38,loc_rentaMensual*12*C38)</f>
        <v/>
      </c>
      <c r="CB38" s="7">
        <f>IF(BB38=1,personal_aporteFamiliaMensual*12,0)</f>
        <v/>
      </c>
      <c r="CC38" s="7">
        <f>MIN(IF(5=0,personal_irsSaldo,CD37),personal_irsPagoMensual*12)</f>
        <v/>
      </c>
      <c r="CD38" s="7">
        <f>IF(5=0,personal_irsSaldo,CD37)-CC38</f>
        <v/>
      </c>
      <c r="CE38" s="7">
        <f>IF(5=0,IF(personal_deudaEsFederal=1,personal_deudaEstudiantil,0),DW37)</f>
        <v/>
      </c>
      <c r="CF38" s="7">
        <f>IF(5=0,personal_tasaDeudaEstudiantil,DX37)</f>
        <v/>
      </c>
      <c r="CG38" s="7">
        <f>IF(5=0,0,DY37)</f>
        <v/>
      </c>
      <c r="CH38" s="7">
        <f>IF(J38&gt;=0.5,1,0)</f>
        <v/>
      </c>
      <c r="CI38" s="7">
        <f>IF(AND(CH38=0,prestamos_pslfActivo=1,K38&gt;=0.5,CE38&gt;0),1,0)</f>
        <v/>
      </c>
      <c r="CJ38" s="7">
        <f>CE38*CF38</f>
        <v/>
      </c>
      <c r="CK38" s="7">
        <f>MAX(prestamos_rapPagoMinimoAnual,IF(Y38&lt;10000,0,MIN(0.1,INT(Y38/10000)/100))*Y38)</f>
        <v/>
      </c>
      <c r="CL38" s="7">
        <f>IF(CE38&lt;=0,0,IF(CH38=1,0,IF(CI38=1,MIN(CE38+CJ38,CK38),PMT(CF38,MAX(1,prestamos_plazoAnios-CG38),-CE38))))</f>
        <v/>
      </c>
      <c r="CM38" s="7">
        <f>IF(CE38&lt;=0,0,IF(CH38=1,CE38+CJ38,IF(CI38=1,MAX(0,CE38-MAX(CL38-CJ38,MIN(600,CL38))),MAX(0,CE38*(1+CF38)-CL38))))</f>
        <v/>
      </c>
      <c r="CN38" s="7">
        <f>IF(5=0,0,CN37)+IF(CI38=1,12*MIN(1,K38),0)</f>
        <v/>
      </c>
      <c r="CO38" s="7">
        <f>IF(AND(CI38=1,CN38&gt;=prestamos_pslfPagos,CM38&gt;0),CM38,0)</f>
        <v/>
      </c>
      <c r="CP38" s="7">
        <f>CM38-CO38</f>
        <v/>
      </c>
      <c r="CQ38" s="7">
        <f>IF(AND(CE38&gt;0,CH38=0,CI38=0),CG38+1,CG38)</f>
        <v/>
      </c>
      <c r="CR38" s="7">
        <f>IF(5=0,IF(personal_deudaEsFederal=1,0,personal_deudaEstudiantil),EA37)</f>
        <v/>
      </c>
      <c r="CS38" s="7">
        <f>IF(5=0,IF(personal_deudaEsFederal=1,prestamos_tasaPrivada,personal_tasaDeudaEstudiantil),EB37)</f>
        <v/>
      </c>
      <c r="CT38" s="7">
        <f>IF(5=0,0,EC37)</f>
        <v/>
      </c>
      <c r="CU38" s="7">
        <f>IF(OR(CR38&lt;=0,CH38=1),0,PMT(CS38,MAX(1,prestamos_plazoAnios-CT38),-CR38))</f>
        <v/>
      </c>
      <c r="CV38" s="7">
        <f>IF(CR38&lt;=0,0,IF(CH38=1,CR38*(1+CS38),MAX(0,CR38*(1+CS38)-CU38)))</f>
        <v/>
      </c>
      <c r="CW38" s="7">
        <f>IF(AND(CR38&gt;0,CH38=0),CT38+1,CT38)</f>
        <v/>
      </c>
      <c r="CX38" s="7">
        <f>IF(5=0,0,ED37)*(1+general_tasaDeudaConsumo)</f>
        <v/>
      </c>
      <c r="CY38" s="7">
        <f>L38*12*tiempos_travelGastoExtraMes*C38</f>
        <v/>
      </c>
      <c r="CZ38" s="7">
        <f>AJ38+CY38+CA38+CC38+CL38+CU38+I38+N38-BZ38-CB38</f>
        <v/>
      </c>
      <c r="DA38" s="7">
        <f>AH38-CZ38</f>
        <v/>
      </c>
      <c r="DB38" s="7">
        <f>IF(5=0,0,DB37)+DA38</f>
        <v/>
      </c>
      <c r="DC38" s="7">
        <f>AN38*vivienda_enganchePct+AN38*vivienda_cierrePct+general_reservaMeses/12*AJ38</f>
        <v/>
      </c>
      <c r="DD38" s="7">
        <f>IF(BB38=1,g_ret,IF(BD38&gt;0,MIN(1,DC38/BD38),1)*g_cash+(1-IF(BD38&gt;0,MIN(1,DC38/BD38),1))*g_ret)</f>
        <v/>
      </c>
      <c r="DE38" s="7">
        <f>IF(DA38&gt;=0,MIN(CX38,DA38),0)</f>
        <v/>
      </c>
      <c r="DF38" s="7">
        <f>IF(DA38&gt;=0,(1-general_tasaAhorro)*(DA38-DE38),0)</f>
        <v/>
      </c>
      <c r="DG38" s="7">
        <f>IF(DA38&gt;=0,DA38-DE38-DF38,0)</f>
        <v/>
      </c>
      <c r="DH38" s="7">
        <f>MIN(personal_rothAnual,DG38)</f>
        <v/>
      </c>
      <c r="DI38" s="7">
        <f>IF(AND(DA38&gt;=0,BB38=1,BP38+BT38&gt;0),MIN(vivienda_prepagoPct*(DG38-DH38),BP38+BT38),0)</f>
        <v/>
      </c>
      <c r="DJ38" s="7">
        <f>MIN(DI38,BP38)</f>
        <v/>
      </c>
      <c r="DK38" s="7">
        <f>IF(DA38&lt;0,MIN(MAX(0,BD38),-DA38),0)</f>
        <v/>
      </c>
      <c r="DL38" s="7">
        <f>IF(DA38&lt;0,-DA38-DK38,0)</f>
        <v/>
      </c>
      <c r="DM38" s="7">
        <f>IF(5=0,0,DZ37)</f>
        <v/>
      </c>
      <c r="DN38" s="7">
        <f>IF(AND(DL38&gt;0,J38&gt;0),MIN(DL38,MIN(prestamos_topeAnualPosgrado*MIN(1,J38),MAX(0,prestamos_topeTotalPosgrado-DM38))),0)</f>
        <v/>
      </c>
      <c r="DO38" s="7">
        <f>IF(AND(DL38&gt;0,J38&gt;0),DL38-DN38,0)</f>
        <v/>
      </c>
      <c r="DP38" s="7">
        <f>IF(AND(DL38&gt;0,J38&lt;=0),DL38,0)</f>
        <v/>
      </c>
      <c r="DQ38" s="7">
        <f>IF(DA38&gt;=0,DG38-DH38-DI38,-DK38)</f>
        <v/>
      </c>
      <c r="DR38" s="7">
        <f>BD38*(1+DD38)+DQ38*(1+DD38/2)</f>
        <v/>
      </c>
      <c r="DS38" s="7">
        <f>IF(5=0,personal_retiroInicial,DS37)*(1+g_ret)+(O38+P38+DH38)*(1+g_ret/2)</f>
        <v/>
      </c>
      <c r="DT38" s="7">
        <f>IF(BB38=1,BL38*(1+g_appr),0)</f>
        <v/>
      </c>
      <c r="DU38" s="7">
        <f>BP38-DJ38</f>
        <v/>
      </c>
      <c r="DV38" s="7">
        <f>BT38-(DI38-DJ38)</f>
        <v/>
      </c>
      <c r="DW38" s="7">
        <f>CP38+DN38</f>
        <v/>
      </c>
      <c r="DX38" s="7">
        <f>IF(DN38&gt;0,(CP38*CF38+DN38*prestamos_tasaFederalPosgrado)/(CP38+DN38),CF38)</f>
        <v/>
      </c>
      <c r="DY38" s="7">
        <f>IF(DN38&gt;0,0,CQ38)</f>
        <v/>
      </c>
      <c r="DZ38" s="7">
        <f>DM38+DN38</f>
        <v/>
      </c>
      <c r="EA38" s="7">
        <f>CV38+DO38</f>
        <v/>
      </c>
      <c r="EB38" s="7">
        <f>IF(DO38&gt;0,(CV38*CS38+DO38*prestamos_tasaPrivada)/(CV38+DO38),CS38)</f>
        <v/>
      </c>
      <c r="EC38" s="7">
        <f>IF(DO38&gt;0,0,CW38)</f>
        <v/>
      </c>
      <c r="ED38" s="7">
        <f>CX38-DE38+DP38</f>
        <v/>
      </c>
      <c r="EE38" s="7">
        <f>IF(IF(5=0,"",EE37)&lt;&gt;"",EE37,IF(AND(BB38=1,DU38&lt;=0.5,DV38&lt;=0.5,OR(BH38=0,BJ38=1)),A38,""))</f>
        <v/>
      </c>
      <c r="EF38" s="7">
        <f>DU38+DV38+DW38+EA38+ED38+CD38</f>
        <v/>
      </c>
      <c r="EG38" s="7">
        <f>DR38+DS38+DT38-EF38</f>
        <v/>
      </c>
      <c r="EH38" s="7">
        <f>EG38/(1+g_inf)^(A38+1-2026)</f>
        <v/>
      </c>
    </row>
    <row r="39">
      <c r="A39" t="n">
        <v>2033</v>
      </c>
      <c r="B39" t="n">
        <v>6</v>
      </c>
      <c r="C39" s="7">
        <f>(1+g_inf)^(A39-2026)</f>
        <v/>
      </c>
      <c r="D39" s="7">
        <f>SUMPRODUCT($Z$5:$Z$29,$E$5:$E$29*(1+$F$5:$F$29)^(A39-2026)*$G$5:$G$29*$H$5:$H$29*(1-$N$5:$N$29*$O$5:$O$29))*g_salMult+SUMPRODUCT(($B$5:$B$29&gt;=A39)*($B$5:$B$29&lt;A39+1)*$I$5:$I$29)*g_salMult</f>
        <v/>
      </c>
      <c r="E39" s="7">
        <f>SUMPRODUCT($Z$5:$Z$29,$E$5:$E$29*(1+$F$5:$F$29)^(A39-2026)*$G$5:$G$29*$H$5:$H$29*$M$5:$M$29)*g_salMult</f>
        <v/>
      </c>
      <c r="F39" s="7">
        <f>SUMPRODUCT($Z$5:$Z$29,$E$5:$E$29*(1+$F$5:$F$29)^(A39-2026)*$G$5:$G$29*$H$5:$H$29*$N$5:$N$29*$O$5:$O$29)*g_salMult</f>
        <v/>
      </c>
      <c r="G39" s="7">
        <f>SUMPRODUCT($Z$5:$Z$29,$P$5:$P$29*(1+$F$5:$F$29)^(A39-2026))</f>
        <v/>
      </c>
      <c r="H39" s="7">
        <f>SUMPRODUCT($Z$5:$Z$29,$Q$5:$Q$29*(1+$F$5:$F$29)^(A39-2026))+IF(personal_llcActivo=1,personal_llcNeto*(1+personal_llcCrecimiento)^6,0)</f>
        <v/>
      </c>
      <c r="I39" s="7">
        <f>SUMPRODUCT($Z$5:$Z$29,$J$5:$J$29/($C$5:$C$29-$B$5:$B$29+($C$5:$C$29=$B$5:$B$29)))*C39</f>
        <v/>
      </c>
      <c r="J39" s="7">
        <f>SUMPRODUCT($Z$5:$Z$29,$K$5:$K$29)</f>
        <v/>
      </c>
      <c r="K39" s="7">
        <f>SUMPRODUCT($Z$5:$Z$29,$L$5:$L$29)</f>
        <v/>
      </c>
      <c r="L39" s="7">
        <f>SUMPRODUCT($Z$5:$Z$29,$N$5:$N$29)</f>
        <v/>
      </c>
      <c r="M39" s="7">
        <f>IF(SUMPRODUCT($Z$5:$Z$29,$R$5:$R$29)&gt;0,1,0)</f>
        <v/>
      </c>
      <c r="N39" s="7">
        <f>SUMPRODUCT(($AO$5:$AO$24&gt;=A39)*($AO$5:$AO$24&lt;A39+1)*$AP$5:$AP$24)*C39+IF(6=0,IF(sel_loc&lt;&gt;"miami",personal_costoMudanzaInicial,0),0)</f>
        <v/>
      </c>
      <c r="O39" s="7">
        <f>MIN(personal_aporte403bPct*D39,retiro_limite403b*C39)</f>
        <v/>
      </c>
      <c r="P39" s="7">
        <f>MIN(personal_aporte403bPct,personal_match403bPct)*E39</f>
        <v/>
      </c>
      <c r="Q39" s="7">
        <f>IF(G39&gt;0,MAX(0,G39-impuestos_scorpCostoAnual*C39),0)</f>
        <v/>
      </c>
      <c r="R39" s="7">
        <f>Q39*impuestos_scorpSalarioPct/(1+impuestos_ssTasa+impuestos_medicareTasa)</f>
        <v/>
      </c>
      <c r="S39" s="7">
        <f>impuestos_ssTasa*MIN(R39,MAX(0,impuestos_ssTope*C39-D39))+impuestos_medicareTasa*R39</f>
        <v/>
      </c>
      <c r="T39" s="7">
        <f>Q39-R39-S39</f>
        <v/>
      </c>
      <c r="U39" s="7">
        <f>D39+R39</f>
        <v/>
      </c>
      <c r="V39" s="7">
        <f>H39*0.9235</f>
        <v/>
      </c>
      <c r="W39" s="7">
        <f>IF(H39&gt;0,2*impuestos_ssTasa*MIN(V39,MAX(0,impuestos_ssTope*C39-U39))+2*impuestos_medicareTasa*V39,0)</f>
        <v/>
      </c>
      <c r="X39" s="7">
        <f>impuestos_ssTasa*MIN(U39,impuestos_ssTope*C39)+impuestos_medicareTasa*U39+impuestos_medicareAdicional*MAX(0,U39+H39*0.9235-impuestos_medicareUmbral)</f>
        <v/>
      </c>
      <c r="Y39" s="7">
        <f>MAX(0,D39-O39+R39+T39+H39-W39/2)</f>
        <v/>
      </c>
      <c r="Z39" s="7">
        <f>MAX(0,Y39-impuestos_deduccionEstandar*C39)</f>
        <v/>
      </c>
      <c r="AA39" s="7">
        <f>MIN(0.2*MAX(0,T39+H39-W39/2)*MAX(0,MIN(1,1-(Z39-impuestos_qbiUmbral*C39)/(impuestos_qbiRango*C39))),0.2*Z39)</f>
        <v/>
      </c>
      <c r="AB39" s="7">
        <f>MAX(0,Z39-AA39)</f>
        <v/>
      </c>
      <c r="AC39" s="7">
        <f>SUMPRODUCT((AB39&gt;tb_federalBrackets_lo*C39)*(AB39-tb_federalBrackets_lo*C39)*tb_federalBrackets_dr)</f>
        <v/>
      </c>
      <c r="AD39" s="7">
        <f>MAX(0,Y39-impuestos_nyDeduccion*C39)</f>
        <v/>
      </c>
      <c r="AE39" s="7">
        <f>CHOOSE(loc_taxcode,0,impuestos_ohTasa*MAX(0,Y39-impuestos_ohExento*C39)+impuestos_ohMunicipal*U39,SUMPRODUCT((AD39&gt;tb_nyBrackets_lo*C39)*(AD39-tb_nyBrackets_lo*C39)*tb_nyBrackets_dr)+loc_nyc*SUMPRODUCT((AD39&gt;tb_nycBrackets_lo*C39)*(AD39-tb_nycBrackets_lo*C39)*tb_nycBrackets_dr))</f>
        <v/>
      </c>
      <c r="AF39" s="7">
        <f>AC39+AE39+X39+W39</f>
        <v/>
      </c>
      <c r="AG39" s="7">
        <f>D39+F39+R39+T39+H39</f>
        <v/>
      </c>
      <c r="AH39" s="7">
        <f>AG39-AF39-O39</f>
        <v/>
      </c>
      <c r="AI39" s="7">
        <f>D39+F39+G39+H39</f>
        <v/>
      </c>
      <c r="AJ39" s="7">
        <f>loc_gastosVida*C39*g_gastos</f>
        <v/>
      </c>
      <c r="AK39" s="7">
        <f>IF(6=0,personal_liquidoInicial,DR38)</f>
        <v/>
      </c>
      <c r="AL39" s="7">
        <f>IF(6=0,0,BB38)</f>
        <v/>
      </c>
      <c r="AM39" s="7">
        <f>CHOOSE(sel_cfgIdx,loc_precio_duplex,loc_precio_inlaw,loc_precio_dosCasas,loc_precio_casaAdu,loc_precio_multi)</f>
        <v/>
      </c>
      <c r="AN39" s="7">
        <f>AM39*(1+g_appr)^(A39-2026)</f>
        <v/>
      </c>
      <c r="AO39" s="7">
        <f>IF(AND(M39=1,vivienda_prestamoMedico=1),1,0)</f>
        <v/>
      </c>
      <c r="AP39" s="7">
        <f>IF(AO39=1,0.05,vivienda_enganchePct)</f>
        <v/>
      </c>
      <c r="AQ39" s="7">
        <f>AN39*(1-AP39)</f>
        <v/>
      </c>
      <c r="AR39" s="7">
        <f>PMT(g_mortRate/12,vivienda_plazoHipoteca*12,-AQ39)</f>
        <v/>
      </c>
      <c r="AS39" s="7">
        <f>INDEX(cfg_units,sel_cfgIdx)</f>
        <v/>
      </c>
      <c r="AT39" s="7">
        <f>AS39*loc_rentaUnidad*(1+g_inf)^(A39-2026)*(1-vivienda_vacancia)</f>
        <v/>
      </c>
      <c r="AU39" s="7">
        <f>AR39+AN39*loc_impuestoPropPct/12+AM39*loc_seguroPct*(1+vivienda_inflacionSeguro)^(A39-2026)/12+IF(AND(AO39=0,AP39&lt;0.2),AQ39*vivienda_pmiTasa/12,0)</f>
        <v/>
      </c>
      <c r="AV39" s="7">
        <f>AN39*AP39+AN39*vivienda_cierrePct+general_reservaMeses/12*AJ39</f>
        <v/>
      </c>
      <c r="AW39" s="7">
        <f>(IF(6=0,MIN(personal_irsSaldo,personal_irsPagoMensual*12),MIN(CD38,personal_irsPagoMensual*12))+IF(CE39&gt;0,PMT(CF39,MAX(1,prestamos_plazoAnios-CG39),-CE39),0)+IF(CR39&gt;0,PMT(CS39,MAX(1,prestamos_plazoAnios-CT39),-CR39),0))/12</f>
        <v/>
      </c>
      <c r="AX39" s="7">
        <f>IF(OR(sel_cfg="duplex",sel_cfg="multi",sel_cfg="dosCasas"),0.75*personal_aporteFamiliaMensual,0)</f>
        <v/>
      </c>
      <c r="AY39" s="7">
        <f>AU39-0.75*AT39-AX39+AW39</f>
        <v/>
      </c>
      <c r="AZ39" s="7">
        <f>(D39+G39+H39+0.5*F39)/12</f>
        <v/>
      </c>
      <c r="BA39" s="7">
        <f>IF(AND(AL39=0,A39&gt;=vivienda_anioMinCompra,J39&lt;0.5,AI39&gt;0,AK39&gt;=AV39,AY39&lt;=vivienda_dtiMax*AZ39),1,0)</f>
        <v/>
      </c>
      <c r="BB39" s="7">
        <f>MAX(AL39,BA39)</f>
        <v/>
      </c>
      <c r="BC39" s="7">
        <f>IF(BA39=1,A39,IF(6=0,"",BC38))</f>
        <v/>
      </c>
      <c r="BD39" s="7">
        <f>AK39-IF(BA39=1,AN39*AP39+AN39*vivienda_cierrePct,0)</f>
        <v/>
      </c>
      <c r="BE39" s="7">
        <f>IF(BA39=1,AN39,IF(6=0,0,BE38))</f>
        <v/>
      </c>
      <c r="BF39" s="7">
        <f>IF(BA39=1,AR39,IF(6=0,0,BF38))</f>
        <v/>
      </c>
      <c r="BG39" s="7">
        <f>IF(BA39=1,IF(AND(AO39=0,AP39&lt;0.2),1,0),IF(6=0,0,BY38))</f>
        <v/>
      </c>
      <c r="BH39" s="7">
        <f>IF(sel_cfg="casaAdu",1,0)</f>
        <v/>
      </c>
      <c r="BI39" s="7">
        <f>IF(AND(BB39=1,BH39=1,IF(6=0,0,BJ38)=0,A39&gt;=IF(BC39="",9999,BC39)+vivienda_aduRetrasoAnios),1,0)</f>
        <v/>
      </c>
      <c r="BJ39" s="7">
        <f>MAX(IF(6=0,0,BJ38),BI39)</f>
        <v/>
      </c>
      <c r="BK39" s="7">
        <f>IF(BI39=1,PMT((g_mortRate+0.005)/12,180,-loc_precio_aduCosto*C39),IF(6=0,0,BK38))</f>
        <v/>
      </c>
      <c r="BL39" s="7">
        <f>IF(BA39=1,AN39,IF(6=0,0,DT38))+IF(BI39=1,loc_precio_aduCosto*C39,0)</f>
        <v/>
      </c>
      <c r="BM39" s="7">
        <f>IF(BA39=1,AQ39,IF(6=0,0,DU38))</f>
        <v/>
      </c>
      <c r="BN39" s="7">
        <f>IF(BM39&lt;=0,0,FV(g_mortRate/12,12,BF39,-BM39))</f>
        <v/>
      </c>
      <c r="BO39" s="7">
        <f>IF(BM39&lt;=0,0,12*BF39+MIN(0,BN39))</f>
        <v/>
      </c>
      <c r="BP39" s="7">
        <f>MAX(0,BN39)</f>
        <v/>
      </c>
      <c r="BQ39" s="7">
        <f>IF(BI39=1,loc_precio_aduCosto*C39,IF(6=0,0,DV38))</f>
        <v/>
      </c>
      <c r="BR39" s="7">
        <f>IF(BQ39&lt;=0,0,FV((g_mortRate+0.005)/12,12,BK39,-BQ39))</f>
        <v/>
      </c>
      <c r="BS39" s="7">
        <f>IF(BQ39&lt;=0,0,12*BK39+MIN(0,BR39))</f>
        <v/>
      </c>
      <c r="BT39" s="7">
        <f>MAX(0,BR39)</f>
        <v/>
      </c>
      <c r="BU39" s="7">
        <f>IF(BB39=1,AM39*loc_seguroPct*(1+vivienda_inflacionSeguro)^(A39-2026)*IF(BJ39=1,1+loc_precio_aduCosto/AM39,1),0)</f>
        <v/>
      </c>
      <c r="BV39" s="7">
        <f>BL39*loc_impuestoPropPct</f>
        <v/>
      </c>
      <c r="BW39" s="7">
        <f>BL39*vivienda_mantenimientoPct</f>
        <v/>
      </c>
      <c r="BX39" s="7">
        <f>IF(AND(BG39=1,BP39&gt;0.8*BE39),BE39*(1-vivienda_enganchePct)*vivienda_pmiTasa,0)</f>
        <v/>
      </c>
      <c r="BY39" s="7">
        <f>IF(AND(BG39=1,BP39&gt;0.8*BE39),1,0)</f>
        <v/>
      </c>
      <c r="BZ39" s="7">
        <f>IF(BB39=1,AS39*loc_rentaUnidad*12*C39*(1-vivienda_vacancia)*(1-vivienda_gestionPct),0)</f>
        <v/>
      </c>
      <c r="CA39" s="7">
        <f>IF(BB39=1,BO39+BS39+BU39+BV39+BW39+BX39,loc_rentaMensual*12*C39)</f>
        <v/>
      </c>
      <c r="CB39" s="7">
        <f>IF(BB39=1,personal_aporteFamiliaMensual*12,0)</f>
        <v/>
      </c>
      <c r="CC39" s="7">
        <f>MIN(IF(6=0,personal_irsSaldo,CD38),personal_irsPagoMensual*12)</f>
        <v/>
      </c>
      <c r="CD39" s="7">
        <f>IF(6=0,personal_irsSaldo,CD38)-CC39</f>
        <v/>
      </c>
      <c r="CE39" s="7">
        <f>IF(6=0,IF(personal_deudaEsFederal=1,personal_deudaEstudiantil,0),DW38)</f>
        <v/>
      </c>
      <c r="CF39" s="7">
        <f>IF(6=0,personal_tasaDeudaEstudiantil,DX38)</f>
        <v/>
      </c>
      <c r="CG39" s="7">
        <f>IF(6=0,0,DY38)</f>
        <v/>
      </c>
      <c r="CH39" s="7">
        <f>IF(J39&gt;=0.5,1,0)</f>
        <v/>
      </c>
      <c r="CI39" s="7">
        <f>IF(AND(CH39=0,prestamos_pslfActivo=1,K39&gt;=0.5,CE39&gt;0),1,0)</f>
        <v/>
      </c>
      <c r="CJ39" s="7">
        <f>CE39*CF39</f>
        <v/>
      </c>
      <c r="CK39" s="7">
        <f>MAX(prestamos_rapPagoMinimoAnual,IF(Y39&lt;10000,0,MIN(0.1,INT(Y39/10000)/100))*Y39)</f>
        <v/>
      </c>
      <c r="CL39" s="7">
        <f>IF(CE39&lt;=0,0,IF(CH39=1,0,IF(CI39=1,MIN(CE39+CJ39,CK39),PMT(CF39,MAX(1,prestamos_plazoAnios-CG39),-CE39))))</f>
        <v/>
      </c>
      <c r="CM39" s="7">
        <f>IF(CE39&lt;=0,0,IF(CH39=1,CE39+CJ39,IF(CI39=1,MAX(0,CE39-MAX(CL39-CJ39,MIN(600,CL39))),MAX(0,CE39*(1+CF39)-CL39))))</f>
        <v/>
      </c>
      <c r="CN39" s="7">
        <f>IF(6=0,0,CN38)+IF(CI39=1,12*MIN(1,K39),0)</f>
        <v/>
      </c>
      <c r="CO39" s="7">
        <f>IF(AND(CI39=1,CN39&gt;=prestamos_pslfPagos,CM39&gt;0),CM39,0)</f>
        <v/>
      </c>
      <c r="CP39" s="7">
        <f>CM39-CO39</f>
        <v/>
      </c>
      <c r="CQ39" s="7">
        <f>IF(AND(CE39&gt;0,CH39=0,CI39=0),CG39+1,CG39)</f>
        <v/>
      </c>
      <c r="CR39" s="7">
        <f>IF(6=0,IF(personal_deudaEsFederal=1,0,personal_deudaEstudiantil),EA38)</f>
        <v/>
      </c>
      <c r="CS39" s="7">
        <f>IF(6=0,IF(personal_deudaEsFederal=1,prestamos_tasaPrivada,personal_tasaDeudaEstudiantil),EB38)</f>
        <v/>
      </c>
      <c r="CT39" s="7">
        <f>IF(6=0,0,EC38)</f>
        <v/>
      </c>
      <c r="CU39" s="7">
        <f>IF(OR(CR39&lt;=0,CH39=1),0,PMT(CS39,MAX(1,prestamos_plazoAnios-CT39),-CR39))</f>
        <v/>
      </c>
      <c r="CV39" s="7">
        <f>IF(CR39&lt;=0,0,IF(CH39=1,CR39*(1+CS39),MAX(0,CR39*(1+CS39)-CU39)))</f>
        <v/>
      </c>
      <c r="CW39" s="7">
        <f>IF(AND(CR39&gt;0,CH39=0),CT39+1,CT39)</f>
        <v/>
      </c>
      <c r="CX39" s="7">
        <f>IF(6=0,0,ED38)*(1+general_tasaDeudaConsumo)</f>
        <v/>
      </c>
      <c r="CY39" s="7">
        <f>L39*12*tiempos_travelGastoExtraMes*C39</f>
        <v/>
      </c>
      <c r="CZ39" s="7">
        <f>AJ39+CY39+CA39+CC39+CL39+CU39+I39+N39-BZ39-CB39</f>
        <v/>
      </c>
      <c r="DA39" s="7">
        <f>AH39-CZ39</f>
        <v/>
      </c>
      <c r="DB39" s="7">
        <f>IF(6=0,0,DB38)+DA39</f>
        <v/>
      </c>
      <c r="DC39" s="7">
        <f>AN39*vivienda_enganchePct+AN39*vivienda_cierrePct+general_reservaMeses/12*AJ39</f>
        <v/>
      </c>
      <c r="DD39" s="7">
        <f>IF(BB39=1,g_ret,IF(BD39&gt;0,MIN(1,DC39/BD39),1)*g_cash+(1-IF(BD39&gt;0,MIN(1,DC39/BD39),1))*g_ret)</f>
        <v/>
      </c>
      <c r="DE39" s="7">
        <f>IF(DA39&gt;=0,MIN(CX39,DA39),0)</f>
        <v/>
      </c>
      <c r="DF39" s="7">
        <f>IF(DA39&gt;=0,(1-general_tasaAhorro)*(DA39-DE39),0)</f>
        <v/>
      </c>
      <c r="DG39" s="7">
        <f>IF(DA39&gt;=0,DA39-DE39-DF39,0)</f>
        <v/>
      </c>
      <c r="DH39" s="7">
        <f>MIN(personal_rothAnual,DG39)</f>
        <v/>
      </c>
      <c r="DI39" s="7">
        <f>IF(AND(DA39&gt;=0,BB39=1,BP39+BT39&gt;0),MIN(vivienda_prepagoPct*(DG39-DH39),BP39+BT39),0)</f>
        <v/>
      </c>
      <c r="DJ39" s="7">
        <f>MIN(DI39,BP39)</f>
        <v/>
      </c>
      <c r="DK39" s="7">
        <f>IF(DA39&lt;0,MIN(MAX(0,BD39),-DA39),0)</f>
        <v/>
      </c>
      <c r="DL39" s="7">
        <f>IF(DA39&lt;0,-DA39-DK39,0)</f>
        <v/>
      </c>
      <c r="DM39" s="7">
        <f>IF(6=0,0,DZ38)</f>
        <v/>
      </c>
      <c r="DN39" s="7">
        <f>IF(AND(DL39&gt;0,J39&gt;0),MIN(DL39,MIN(prestamos_topeAnualPosgrado*MIN(1,J39),MAX(0,prestamos_topeTotalPosgrado-DM39))),0)</f>
        <v/>
      </c>
      <c r="DO39" s="7">
        <f>IF(AND(DL39&gt;0,J39&gt;0),DL39-DN39,0)</f>
        <v/>
      </c>
      <c r="DP39" s="7">
        <f>IF(AND(DL39&gt;0,J39&lt;=0),DL39,0)</f>
        <v/>
      </c>
      <c r="DQ39" s="7">
        <f>IF(DA39&gt;=0,DG39-DH39-DI39,-DK39)</f>
        <v/>
      </c>
      <c r="DR39" s="7">
        <f>BD39*(1+DD39)+DQ39*(1+DD39/2)</f>
        <v/>
      </c>
      <c r="DS39" s="7">
        <f>IF(6=0,personal_retiroInicial,DS38)*(1+g_ret)+(O39+P39+DH39)*(1+g_ret/2)</f>
        <v/>
      </c>
      <c r="DT39" s="7">
        <f>IF(BB39=1,BL39*(1+g_appr),0)</f>
        <v/>
      </c>
      <c r="DU39" s="7">
        <f>BP39-DJ39</f>
        <v/>
      </c>
      <c r="DV39" s="7">
        <f>BT39-(DI39-DJ39)</f>
        <v/>
      </c>
      <c r="DW39" s="7">
        <f>CP39+DN39</f>
        <v/>
      </c>
      <c r="DX39" s="7">
        <f>IF(DN39&gt;0,(CP39*CF39+DN39*prestamos_tasaFederalPosgrado)/(CP39+DN39),CF39)</f>
        <v/>
      </c>
      <c r="DY39" s="7">
        <f>IF(DN39&gt;0,0,CQ39)</f>
        <v/>
      </c>
      <c r="DZ39" s="7">
        <f>DM39+DN39</f>
        <v/>
      </c>
      <c r="EA39" s="7">
        <f>CV39+DO39</f>
        <v/>
      </c>
      <c r="EB39" s="7">
        <f>IF(DO39&gt;0,(CV39*CS39+DO39*prestamos_tasaPrivada)/(CV39+DO39),CS39)</f>
        <v/>
      </c>
      <c r="EC39" s="7">
        <f>IF(DO39&gt;0,0,CW39)</f>
        <v/>
      </c>
      <c r="ED39" s="7">
        <f>CX39-DE39+DP39</f>
        <v/>
      </c>
      <c r="EE39" s="7">
        <f>IF(IF(6=0,"",EE38)&lt;&gt;"",EE38,IF(AND(BB39=1,DU39&lt;=0.5,DV39&lt;=0.5,OR(BH39=0,BJ39=1)),A39,""))</f>
        <v/>
      </c>
      <c r="EF39" s="7">
        <f>DU39+DV39+DW39+EA39+ED39+CD39</f>
        <v/>
      </c>
      <c r="EG39" s="7">
        <f>DR39+DS39+DT39-EF39</f>
        <v/>
      </c>
      <c r="EH39" s="7">
        <f>EG39/(1+g_inf)^(A39+1-2026)</f>
        <v/>
      </c>
    </row>
    <row r="40">
      <c r="A40" t="n">
        <v>2034</v>
      </c>
      <c r="B40" t="n">
        <v>7</v>
      </c>
      <c r="C40" s="7">
        <f>(1+g_inf)^(A40-2026)</f>
        <v/>
      </c>
      <c r="D40" s="7">
        <f>SUMPRODUCT($AA$5:$AA$29,$E$5:$E$29*(1+$F$5:$F$29)^(A40-2026)*$G$5:$G$29*$H$5:$H$29*(1-$N$5:$N$29*$O$5:$O$29))*g_salMult+SUMPRODUCT(($B$5:$B$29&gt;=A40)*($B$5:$B$29&lt;A40+1)*$I$5:$I$29)*g_salMult</f>
        <v/>
      </c>
      <c r="E40" s="7">
        <f>SUMPRODUCT($AA$5:$AA$29,$E$5:$E$29*(1+$F$5:$F$29)^(A40-2026)*$G$5:$G$29*$H$5:$H$29*$M$5:$M$29)*g_salMult</f>
        <v/>
      </c>
      <c r="F40" s="7">
        <f>SUMPRODUCT($AA$5:$AA$29,$E$5:$E$29*(1+$F$5:$F$29)^(A40-2026)*$G$5:$G$29*$H$5:$H$29*$N$5:$N$29*$O$5:$O$29)*g_salMult</f>
        <v/>
      </c>
      <c r="G40" s="7">
        <f>SUMPRODUCT($AA$5:$AA$29,$P$5:$P$29*(1+$F$5:$F$29)^(A40-2026))</f>
        <v/>
      </c>
      <c r="H40" s="7">
        <f>SUMPRODUCT($AA$5:$AA$29,$Q$5:$Q$29*(1+$F$5:$F$29)^(A40-2026))+IF(personal_llcActivo=1,personal_llcNeto*(1+personal_llcCrecimiento)^7,0)</f>
        <v/>
      </c>
      <c r="I40" s="7">
        <f>SUMPRODUCT($AA$5:$AA$29,$J$5:$J$29/($C$5:$C$29-$B$5:$B$29+($C$5:$C$29=$B$5:$B$29)))*C40</f>
        <v/>
      </c>
      <c r="J40" s="7">
        <f>SUMPRODUCT($AA$5:$AA$29,$K$5:$K$29)</f>
        <v/>
      </c>
      <c r="K40" s="7">
        <f>SUMPRODUCT($AA$5:$AA$29,$L$5:$L$29)</f>
        <v/>
      </c>
      <c r="L40" s="7">
        <f>SUMPRODUCT($AA$5:$AA$29,$N$5:$N$29)</f>
        <v/>
      </c>
      <c r="M40" s="7">
        <f>IF(SUMPRODUCT($AA$5:$AA$29,$R$5:$R$29)&gt;0,1,0)</f>
        <v/>
      </c>
      <c r="N40" s="7">
        <f>SUMPRODUCT(($AO$5:$AO$24&gt;=A40)*($AO$5:$AO$24&lt;A40+1)*$AP$5:$AP$24)*C40+IF(7=0,IF(sel_loc&lt;&gt;"miami",personal_costoMudanzaInicial,0),0)</f>
        <v/>
      </c>
      <c r="O40" s="7">
        <f>MIN(personal_aporte403bPct*D40,retiro_limite403b*C40)</f>
        <v/>
      </c>
      <c r="P40" s="7">
        <f>MIN(personal_aporte403bPct,personal_match403bPct)*E40</f>
        <v/>
      </c>
      <c r="Q40" s="7">
        <f>IF(G40&gt;0,MAX(0,G40-impuestos_scorpCostoAnual*C40),0)</f>
        <v/>
      </c>
      <c r="R40" s="7">
        <f>Q40*impuestos_scorpSalarioPct/(1+impuestos_ssTasa+impuestos_medicareTasa)</f>
        <v/>
      </c>
      <c r="S40" s="7">
        <f>impuestos_ssTasa*MIN(R40,MAX(0,impuestos_ssTope*C40-D40))+impuestos_medicareTasa*R40</f>
        <v/>
      </c>
      <c r="T40" s="7">
        <f>Q40-R40-S40</f>
        <v/>
      </c>
      <c r="U40" s="7">
        <f>D40+R40</f>
        <v/>
      </c>
      <c r="V40" s="7">
        <f>H40*0.9235</f>
        <v/>
      </c>
      <c r="W40" s="7">
        <f>IF(H40&gt;0,2*impuestos_ssTasa*MIN(V40,MAX(0,impuestos_ssTope*C40-U40))+2*impuestos_medicareTasa*V40,0)</f>
        <v/>
      </c>
      <c r="X40" s="7">
        <f>impuestos_ssTasa*MIN(U40,impuestos_ssTope*C40)+impuestos_medicareTasa*U40+impuestos_medicareAdicional*MAX(0,U40+H40*0.9235-impuestos_medicareUmbral)</f>
        <v/>
      </c>
      <c r="Y40" s="7">
        <f>MAX(0,D40-O40+R40+T40+H40-W40/2)</f>
        <v/>
      </c>
      <c r="Z40" s="7">
        <f>MAX(0,Y40-impuestos_deduccionEstandar*C40)</f>
        <v/>
      </c>
      <c r="AA40" s="7">
        <f>MIN(0.2*MAX(0,T40+H40-W40/2)*MAX(0,MIN(1,1-(Z40-impuestos_qbiUmbral*C40)/(impuestos_qbiRango*C40))),0.2*Z40)</f>
        <v/>
      </c>
      <c r="AB40" s="7">
        <f>MAX(0,Z40-AA40)</f>
        <v/>
      </c>
      <c r="AC40" s="7">
        <f>SUMPRODUCT((AB40&gt;tb_federalBrackets_lo*C40)*(AB40-tb_federalBrackets_lo*C40)*tb_federalBrackets_dr)</f>
        <v/>
      </c>
      <c r="AD40" s="7">
        <f>MAX(0,Y40-impuestos_nyDeduccion*C40)</f>
        <v/>
      </c>
      <c r="AE40" s="7">
        <f>CHOOSE(loc_taxcode,0,impuestos_ohTasa*MAX(0,Y40-impuestos_ohExento*C40)+impuestos_ohMunicipal*U40,SUMPRODUCT((AD40&gt;tb_nyBrackets_lo*C40)*(AD40-tb_nyBrackets_lo*C40)*tb_nyBrackets_dr)+loc_nyc*SUMPRODUCT((AD40&gt;tb_nycBrackets_lo*C40)*(AD40-tb_nycBrackets_lo*C40)*tb_nycBrackets_dr))</f>
        <v/>
      </c>
      <c r="AF40" s="7">
        <f>AC40+AE40+X40+W40</f>
        <v/>
      </c>
      <c r="AG40" s="7">
        <f>D40+F40+R40+T40+H40</f>
        <v/>
      </c>
      <c r="AH40" s="7">
        <f>AG40-AF40-O40</f>
        <v/>
      </c>
      <c r="AI40" s="7">
        <f>D40+F40+G40+H40</f>
        <v/>
      </c>
      <c r="AJ40" s="7">
        <f>loc_gastosVida*C40*g_gastos</f>
        <v/>
      </c>
      <c r="AK40" s="7">
        <f>IF(7=0,personal_liquidoInicial,DR39)</f>
        <v/>
      </c>
      <c r="AL40" s="7">
        <f>IF(7=0,0,BB39)</f>
        <v/>
      </c>
      <c r="AM40" s="7">
        <f>CHOOSE(sel_cfgIdx,loc_precio_duplex,loc_precio_inlaw,loc_precio_dosCasas,loc_precio_casaAdu,loc_precio_multi)</f>
        <v/>
      </c>
      <c r="AN40" s="7">
        <f>AM40*(1+g_appr)^(A40-2026)</f>
        <v/>
      </c>
      <c r="AO40" s="7">
        <f>IF(AND(M40=1,vivienda_prestamoMedico=1),1,0)</f>
        <v/>
      </c>
      <c r="AP40" s="7">
        <f>IF(AO40=1,0.05,vivienda_enganchePct)</f>
        <v/>
      </c>
      <c r="AQ40" s="7">
        <f>AN40*(1-AP40)</f>
        <v/>
      </c>
      <c r="AR40" s="7">
        <f>PMT(g_mortRate/12,vivienda_plazoHipoteca*12,-AQ40)</f>
        <v/>
      </c>
      <c r="AS40" s="7">
        <f>INDEX(cfg_units,sel_cfgIdx)</f>
        <v/>
      </c>
      <c r="AT40" s="7">
        <f>AS40*loc_rentaUnidad*(1+g_inf)^(A40-2026)*(1-vivienda_vacancia)</f>
        <v/>
      </c>
      <c r="AU40" s="7">
        <f>AR40+AN40*loc_impuestoPropPct/12+AM40*loc_seguroPct*(1+vivienda_inflacionSeguro)^(A40-2026)/12+IF(AND(AO40=0,AP40&lt;0.2),AQ40*vivienda_pmiTasa/12,0)</f>
        <v/>
      </c>
      <c r="AV40" s="7">
        <f>AN40*AP40+AN40*vivienda_cierrePct+general_reservaMeses/12*AJ40</f>
        <v/>
      </c>
      <c r="AW40" s="7">
        <f>(IF(7=0,MIN(personal_irsSaldo,personal_irsPagoMensual*12),MIN(CD39,personal_irsPagoMensual*12))+IF(CE40&gt;0,PMT(CF40,MAX(1,prestamos_plazoAnios-CG40),-CE40),0)+IF(CR40&gt;0,PMT(CS40,MAX(1,prestamos_plazoAnios-CT40),-CR40),0))/12</f>
        <v/>
      </c>
      <c r="AX40" s="7">
        <f>IF(OR(sel_cfg="duplex",sel_cfg="multi",sel_cfg="dosCasas"),0.75*personal_aporteFamiliaMensual,0)</f>
        <v/>
      </c>
      <c r="AY40" s="7">
        <f>AU40-0.75*AT40-AX40+AW40</f>
        <v/>
      </c>
      <c r="AZ40" s="7">
        <f>(D40+G40+H40+0.5*F40)/12</f>
        <v/>
      </c>
      <c r="BA40" s="7">
        <f>IF(AND(AL40=0,A40&gt;=vivienda_anioMinCompra,J40&lt;0.5,AI40&gt;0,AK40&gt;=AV40,AY40&lt;=vivienda_dtiMax*AZ40),1,0)</f>
        <v/>
      </c>
      <c r="BB40" s="7">
        <f>MAX(AL40,BA40)</f>
        <v/>
      </c>
      <c r="BC40" s="7">
        <f>IF(BA40=1,A40,IF(7=0,"",BC39))</f>
        <v/>
      </c>
      <c r="BD40" s="7">
        <f>AK40-IF(BA40=1,AN40*AP40+AN40*vivienda_cierrePct,0)</f>
        <v/>
      </c>
      <c r="BE40" s="7">
        <f>IF(BA40=1,AN40,IF(7=0,0,BE39))</f>
        <v/>
      </c>
      <c r="BF40" s="7">
        <f>IF(BA40=1,AR40,IF(7=0,0,BF39))</f>
        <v/>
      </c>
      <c r="BG40" s="7">
        <f>IF(BA40=1,IF(AND(AO40=0,AP40&lt;0.2),1,0),IF(7=0,0,BY39))</f>
        <v/>
      </c>
      <c r="BH40" s="7">
        <f>IF(sel_cfg="casaAdu",1,0)</f>
        <v/>
      </c>
      <c r="BI40" s="7">
        <f>IF(AND(BB40=1,BH40=1,IF(7=0,0,BJ39)=0,A40&gt;=IF(BC40="",9999,BC40)+vivienda_aduRetrasoAnios),1,0)</f>
        <v/>
      </c>
      <c r="BJ40" s="7">
        <f>MAX(IF(7=0,0,BJ39),BI40)</f>
        <v/>
      </c>
      <c r="BK40" s="7">
        <f>IF(BI40=1,PMT((g_mortRate+0.005)/12,180,-loc_precio_aduCosto*C40),IF(7=0,0,BK39))</f>
        <v/>
      </c>
      <c r="BL40" s="7">
        <f>IF(BA40=1,AN40,IF(7=0,0,DT39))+IF(BI40=1,loc_precio_aduCosto*C40,0)</f>
        <v/>
      </c>
      <c r="BM40" s="7">
        <f>IF(BA40=1,AQ40,IF(7=0,0,DU39))</f>
        <v/>
      </c>
      <c r="BN40" s="7">
        <f>IF(BM40&lt;=0,0,FV(g_mortRate/12,12,BF40,-BM40))</f>
        <v/>
      </c>
      <c r="BO40" s="7">
        <f>IF(BM40&lt;=0,0,12*BF40+MIN(0,BN40))</f>
        <v/>
      </c>
      <c r="BP40" s="7">
        <f>MAX(0,BN40)</f>
        <v/>
      </c>
      <c r="BQ40" s="7">
        <f>IF(BI40=1,loc_precio_aduCosto*C40,IF(7=0,0,DV39))</f>
        <v/>
      </c>
      <c r="BR40" s="7">
        <f>IF(BQ40&lt;=0,0,FV((g_mortRate+0.005)/12,12,BK40,-BQ40))</f>
        <v/>
      </c>
      <c r="BS40" s="7">
        <f>IF(BQ40&lt;=0,0,12*BK40+MIN(0,BR40))</f>
        <v/>
      </c>
      <c r="BT40" s="7">
        <f>MAX(0,BR40)</f>
        <v/>
      </c>
      <c r="BU40" s="7">
        <f>IF(BB40=1,AM40*loc_seguroPct*(1+vivienda_inflacionSeguro)^(A40-2026)*IF(BJ40=1,1+loc_precio_aduCosto/AM40,1),0)</f>
        <v/>
      </c>
      <c r="BV40" s="7">
        <f>BL40*loc_impuestoPropPct</f>
        <v/>
      </c>
      <c r="BW40" s="7">
        <f>BL40*vivienda_mantenimientoPct</f>
        <v/>
      </c>
      <c r="BX40" s="7">
        <f>IF(AND(BG40=1,BP40&gt;0.8*BE40),BE40*(1-vivienda_enganchePct)*vivienda_pmiTasa,0)</f>
        <v/>
      </c>
      <c r="BY40" s="7">
        <f>IF(AND(BG40=1,BP40&gt;0.8*BE40),1,0)</f>
        <v/>
      </c>
      <c r="BZ40" s="7">
        <f>IF(BB40=1,AS40*loc_rentaUnidad*12*C40*(1-vivienda_vacancia)*(1-vivienda_gestionPct),0)</f>
        <v/>
      </c>
      <c r="CA40" s="7">
        <f>IF(BB40=1,BO40+BS40+BU40+BV40+BW40+BX40,loc_rentaMensual*12*C40)</f>
        <v/>
      </c>
      <c r="CB40" s="7">
        <f>IF(BB40=1,personal_aporteFamiliaMensual*12,0)</f>
        <v/>
      </c>
      <c r="CC40" s="7">
        <f>MIN(IF(7=0,personal_irsSaldo,CD39),personal_irsPagoMensual*12)</f>
        <v/>
      </c>
      <c r="CD40" s="7">
        <f>IF(7=0,personal_irsSaldo,CD39)-CC40</f>
        <v/>
      </c>
      <c r="CE40" s="7">
        <f>IF(7=0,IF(personal_deudaEsFederal=1,personal_deudaEstudiantil,0),DW39)</f>
        <v/>
      </c>
      <c r="CF40" s="7">
        <f>IF(7=0,personal_tasaDeudaEstudiantil,DX39)</f>
        <v/>
      </c>
      <c r="CG40" s="7">
        <f>IF(7=0,0,DY39)</f>
        <v/>
      </c>
      <c r="CH40" s="7">
        <f>IF(J40&gt;=0.5,1,0)</f>
        <v/>
      </c>
      <c r="CI40" s="7">
        <f>IF(AND(CH40=0,prestamos_pslfActivo=1,K40&gt;=0.5,CE40&gt;0),1,0)</f>
        <v/>
      </c>
      <c r="CJ40" s="7">
        <f>CE40*CF40</f>
        <v/>
      </c>
      <c r="CK40" s="7">
        <f>MAX(prestamos_rapPagoMinimoAnual,IF(Y40&lt;10000,0,MIN(0.1,INT(Y40/10000)/100))*Y40)</f>
        <v/>
      </c>
      <c r="CL40" s="7">
        <f>IF(CE40&lt;=0,0,IF(CH40=1,0,IF(CI40=1,MIN(CE40+CJ40,CK40),PMT(CF40,MAX(1,prestamos_plazoAnios-CG40),-CE40))))</f>
        <v/>
      </c>
      <c r="CM40" s="7">
        <f>IF(CE40&lt;=0,0,IF(CH40=1,CE40+CJ40,IF(CI40=1,MAX(0,CE40-MAX(CL40-CJ40,MIN(600,CL40))),MAX(0,CE40*(1+CF40)-CL40))))</f>
        <v/>
      </c>
      <c r="CN40" s="7">
        <f>IF(7=0,0,CN39)+IF(CI40=1,12*MIN(1,K40),0)</f>
        <v/>
      </c>
      <c r="CO40" s="7">
        <f>IF(AND(CI40=1,CN40&gt;=prestamos_pslfPagos,CM40&gt;0),CM40,0)</f>
        <v/>
      </c>
      <c r="CP40" s="7">
        <f>CM40-CO40</f>
        <v/>
      </c>
      <c r="CQ40" s="7">
        <f>IF(AND(CE40&gt;0,CH40=0,CI40=0),CG40+1,CG40)</f>
        <v/>
      </c>
      <c r="CR40" s="7">
        <f>IF(7=0,IF(personal_deudaEsFederal=1,0,personal_deudaEstudiantil),EA39)</f>
        <v/>
      </c>
      <c r="CS40" s="7">
        <f>IF(7=0,IF(personal_deudaEsFederal=1,prestamos_tasaPrivada,personal_tasaDeudaEstudiantil),EB39)</f>
        <v/>
      </c>
      <c r="CT40" s="7">
        <f>IF(7=0,0,EC39)</f>
        <v/>
      </c>
      <c r="CU40" s="7">
        <f>IF(OR(CR40&lt;=0,CH40=1),0,PMT(CS40,MAX(1,prestamos_plazoAnios-CT40),-CR40))</f>
        <v/>
      </c>
      <c r="CV40" s="7">
        <f>IF(CR40&lt;=0,0,IF(CH40=1,CR40*(1+CS40),MAX(0,CR40*(1+CS40)-CU40)))</f>
        <v/>
      </c>
      <c r="CW40" s="7">
        <f>IF(AND(CR40&gt;0,CH40=0),CT40+1,CT40)</f>
        <v/>
      </c>
      <c r="CX40" s="7">
        <f>IF(7=0,0,ED39)*(1+general_tasaDeudaConsumo)</f>
        <v/>
      </c>
      <c r="CY40" s="7">
        <f>L40*12*tiempos_travelGastoExtraMes*C40</f>
        <v/>
      </c>
      <c r="CZ40" s="7">
        <f>AJ40+CY40+CA40+CC40+CL40+CU40+I40+N40-BZ40-CB40</f>
        <v/>
      </c>
      <c r="DA40" s="7">
        <f>AH40-CZ40</f>
        <v/>
      </c>
      <c r="DB40" s="7">
        <f>IF(7=0,0,DB39)+DA40</f>
        <v/>
      </c>
      <c r="DC40" s="7">
        <f>AN40*vivienda_enganchePct+AN40*vivienda_cierrePct+general_reservaMeses/12*AJ40</f>
        <v/>
      </c>
      <c r="DD40" s="7">
        <f>IF(BB40=1,g_ret,IF(BD40&gt;0,MIN(1,DC40/BD40),1)*g_cash+(1-IF(BD40&gt;0,MIN(1,DC40/BD40),1))*g_ret)</f>
        <v/>
      </c>
      <c r="DE40" s="7">
        <f>IF(DA40&gt;=0,MIN(CX40,DA40),0)</f>
        <v/>
      </c>
      <c r="DF40" s="7">
        <f>IF(DA40&gt;=0,(1-general_tasaAhorro)*(DA40-DE40),0)</f>
        <v/>
      </c>
      <c r="DG40" s="7">
        <f>IF(DA40&gt;=0,DA40-DE40-DF40,0)</f>
        <v/>
      </c>
      <c r="DH40" s="7">
        <f>MIN(personal_rothAnual,DG40)</f>
        <v/>
      </c>
      <c r="DI40" s="7">
        <f>IF(AND(DA40&gt;=0,BB40=1,BP40+BT40&gt;0),MIN(vivienda_prepagoPct*(DG40-DH40),BP40+BT40),0)</f>
        <v/>
      </c>
      <c r="DJ40" s="7">
        <f>MIN(DI40,BP40)</f>
        <v/>
      </c>
      <c r="DK40" s="7">
        <f>IF(DA40&lt;0,MIN(MAX(0,BD40),-DA40),0)</f>
        <v/>
      </c>
      <c r="DL40" s="7">
        <f>IF(DA40&lt;0,-DA40-DK40,0)</f>
        <v/>
      </c>
      <c r="DM40" s="7">
        <f>IF(7=0,0,DZ39)</f>
        <v/>
      </c>
      <c r="DN40" s="7">
        <f>IF(AND(DL40&gt;0,J40&gt;0),MIN(DL40,MIN(prestamos_topeAnualPosgrado*MIN(1,J40),MAX(0,prestamos_topeTotalPosgrado-DM40))),0)</f>
        <v/>
      </c>
      <c r="DO40" s="7">
        <f>IF(AND(DL40&gt;0,J40&gt;0),DL40-DN40,0)</f>
        <v/>
      </c>
      <c r="DP40" s="7">
        <f>IF(AND(DL40&gt;0,J40&lt;=0),DL40,0)</f>
        <v/>
      </c>
      <c r="DQ40" s="7">
        <f>IF(DA40&gt;=0,DG40-DH40-DI40,-DK40)</f>
        <v/>
      </c>
      <c r="DR40" s="7">
        <f>BD40*(1+DD40)+DQ40*(1+DD40/2)</f>
        <v/>
      </c>
      <c r="DS40" s="7">
        <f>IF(7=0,personal_retiroInicial,DS39)*(1+g_ret)+(O40+P40+DH40)*(1+g_ret/2)</f>
        <v/>
      </c>
      <c r="DT40" s="7">
        <f>IF(BB40=1,BL40*(1+g_appr),0)</f>
        <v/>
      </c>
      <c r="DU40" s="7">
        <f>BP40-DJ40</f>
        <v/>
      </c>
      <c r="DV40" s="7">
        <f>BT40-(DI40-DJ40)</f>
        <v/>
      </c>
      <c r="DW40" s="7">
        <f>CP40+DN40</f>
        <v/>
      </c>
      <c r="DX40" s="7">
        <f>IF(DN40&gt;0,(CP40*CF40+DN40*prestamos_tasaFederalPosgrado)/(CP40+DN40),CF40)</f>
        <v/>
      </c>
      <c r="DY40" s="7">
        <f>IF(DN40&gt;0,0,CQ40)</f>
        <v/>
      </c>
      <c r="DZ40" s="7">
        <f>DM40+DN40</f>
        <v/>
      </c>
      <c r="EA40" s="7">
        <f>CV40+DO40</f>
        <v/>
      </c>
      <c r="EB40" s="7">
        <f>IF(DO40&gt;0,(CV40*CS40+DO40*prestamos_tasaPrivada)/(CV40+DO40),CS40)</f>
        <v/>
      </c>
      <c r="EC40" s="7">
        <f>IF(DO40&gt;0,0,CW40)</f>
        <v/>
      </c>
      <c r="ED40" s="7">
        <f>CX40-DE40+DP40</f>
        <v/>
      </c>
      <c r="EE40" s="7">
        <f>IF(IF(7=0,"",EE39)&lt;&gt;"",EE39,IF(AND(BB40=1,DU40&lt;=0.5,DV40&lt;=0.5,OR(BH40=0,BJ40=1)),A40,""))</f>
        <v/>
      </c>
      <c r="EF40" s="7">
        <f>DU40+DV40+DW40+EA40+ED40+CD40</f>
        <v/>
      </c>
      <c r="EG40" s="7">
        <f>DR40+DS40+DT40-EF40</f>
        <v/>
      </c>
      <c r="EH40" s="7">
        <f>EG40/(1+g_inf)^(A40+1-2026)</f>
        <v/>
      </c>
    </row>
    <row r="41">
      <c r="A41" t="n">
        <v>2035</v>
      </c>
      <c r="B41" t="n">
        <v>8</v>
      </c>
      <c r="C41" s="7">
        <f>(1+g_inf)^(A41-2026)</f>
        <v/>
      </c>
      <c r="D41" s="7">
        <f>SUMPRODUCT($AB$5:$AB$29,$E$5:$E$29*(1+$F$5:$F$29)^(A41-2026)*$G$5:$G$29*$H$5:$H$29*(1-$N$5:$N$29*$O$5:$O$29))*g_salMult+SUMPRODUCT(($B$5:$B$29&gt;=A41)*($B$5:$B$29&lt;A41+1)*$I$5:$I$29)*g_salMult</f>
        <v/>
      </c>
      <c r="E41" s="7">
        <f>SUMPRODUCT($AB$5:$AB$29,$E$5:$E$29*(1+$F$5:$F$29)^(A41-2026)*$G$5:$G$29*$H$5:$H$29*$M$5:$M$29)*g_salMult</f>
        <v/>
      </c>
      <c r="F41" s="7">
        <f>SUMPRODUCT($AB$5:$AB$29,$E$5:$E$29*(1+$F$5:$F$29)^(A41-2026)*$G$5:$G$29*$H$5:$H$29*$N$5:$N$29*$O$5:$O$29)*g_salMult</f>
        <v/>
      </c>
      <c r="G41" s="7">
        <f>SUMPRODUCT($AB$5:$AB$29,$P$5:$P$29*(1+$F$5:$F$29)^(A41-2026))</f>
        <v/>
      </c>
      <c r="H41" s="7">
        <f>SUMPRODUCT($AB$5:$AB$29,$Q$5:$Q$29*(1+$F$5:$F$29)^(A41-2026))+IF(personal_llcActivo=1,personal_llcNeto*(1+personal_llcCrecimiento)^8,0)</f>
        <v/>
      </c>
      <c r="I41" s="7">
        <f>SUMPRODUCT($AB$5:$AB$29,$J$5:$J$29/($C$5:$C$29-$B$5:$B$29+($C$5:$C$29=$B$5:$B$29)))*C41</f>
        <v/>
      </c>
      <c r="J41" s="7">
        <f>SUMPRODUCT($AB$5:$AB$29,$K$5:$K$29)</f>
        <v/>
      </c>
      <c r="K41" s="7">
        <f>SUMPRODUCT($AB$5:$AB$29,$L$5:$L$29)</f>
        <v/>
      </c>
      <c r="L41" s="7">
        <f>SUMPRODUCT($AB$5:$AB$29,$N$5:$N$29)</f>
        <v/>
      </c>
      <c r="M41" s="7">
        <f>IF(SUMPRODUCT($AB$5:$AB$29,$R$5:$R$29)&gt;0,1,0)</f>
        <v/>
      </c>
      <c r="N41" s="7">
        <f>SUMPRODUCT(($AO$5:$AO$24&gt;=A41)*($AO$5:$AO$24&lt;A41+1)*$AP$5:$AP$24)*C41+IF(8=0,IF(sel_loc&lt;&gt;"miami",personal_costoMudanzaInicial,0),0)</f>
        <v/>
      </c>
      <c r="O41" s="7">
        <f>MIN(personal_aporte403bPct*D41,retiro_limite403b*C41)</f>
        <v/>
      </c>
      <c r="P41" s="7">
        <f>MIN(personal_aporte403bPct,personal_match403bPct)*E41</f>
        <v/>
      </c>
      <c r="Q41" s="7">
        <f>IF(G41&gt;0,MAX(0,G41-impuestos_scorpCostoAnual*C41),0)</f>
        <v/>
      </c>
      <c r="R41" s="7">
        <f>Q41*impuestos_scorpSalarioPct/(1+impuestos_ssTasa+impuestos_medicareTasa)</f>
        <v/>
      </c>
      <c r="S41" s="7">
        <f>impuestos_ssTasa*MIN(R41,MAX(0,impuestos_ssTope*C41-D41))+impuestos_medicareTasa*R41</f>
        <v/>
      </c>
      <c r="T41" s="7">
        <f>Q41-R41-S41</f>
        <v/>
      </c>
      <c r="U41" s="7">
        <f>D41+R41</f>
        <v/>
      </c>
      <c r="V41" s="7">
        <f>H41*0.9235</f>
        <v/>
      </c>
      <c r="W41" s="7">
        <f>IF(H41&gt;0,2*impuestos_ssTasa*MIN(V41,MAX(0,impuestos_ssTope*C41-U41))+2*impuestos_medicareTasa*V41,0)</f>
        <v/>
      </c>
      <c r="X41" s="7">
        <f>impuestos_ssTasa*MIN(U41,impuestos_ssTope*C41)+impuestos_medicareTasa*U41+impuestos_medicareAdicional*MAX(0,U41+H41*0.9235-impuestos_medicareUmbral)</f>
        <v/>
      </c>
      <c r="Y41" s="7">
        <f>MAX(0,D41-O41+R41+T41+H41-W41/2)</f>
        <v/>
      </c>
      <c r="Z41" s="7">
        <f>MAX(0,Y41-impuestos_deduccionEstandar*C41)</f>
        <v/>
      </c>
      <c r="AA41" s="7">
        <f>MIN(0.2*MAX(0,T41+H41-W41/2)*MAX(0,MIN(1,1-(Z41-impuestos_qbiUmbral*C41)/(impuestos_qbiRango*C41))),0.2*Z41)</f>
        <v/>
      </c>
      <c r="AB41" s="7">
        <f>MAX(0,Z41-AA41)</f>
        <v/>
      </c>
      <c r="AC41" s="7">
        <f>SUMPRODUCT((AB41&gt;tb_federalBrackets_lo*C41)*(AB41-tb_federalBrackets_lo*C41)*tb_federalBrackets_dr)</f>
        <v/>
      </c>
      <c r="AD41" s="7">
        <f>MAX(0,Y41-impuestos_nyDeduccion*C41)</f>
        <v/>
      </c>
      <c r="AE41" s="7">
        <f>CHOOSE(loc_taxcode,0,impuestos_ohTasa*MAX(0,Y41-impuestos_ohExento*C41)+impuestos_ohMunicipal*U41,SUMPRODUCT((AD41&gt;tb_nyBrackets_lo*C41)*(AD41-tb_nyBrackets_lo*C41)*tb_nyBrackets_dr)+loc_nyc*SUMPRODUCT((AD41&gt;tb_nycBrackets_lo*C41)*(AD41-tb_nycBrackets_lo*C41)*tb_nycBrackets_dr))</f>
        <v/>
      </c>
      <c r="AF41" s="7">
        <f>AC41+AE41+X41+W41</f>
        <v/>
      </c>
      <c r="AG41" s="7">
        <f>D41+F41+R41+T41+H41</f>
        <v/>
      </c>
      <c r="AH41" s="7">
        <f>AG41-AF41-O41</f>
        <v/>
      </c>
      <c r="AI41" s="7">
        <f>D41+F41+G41+H41</f>
        <v/>
      </c>
      <c r="AJ41" s="7">
        <f>loc_gastosVida*C41*g_gastos</f>
        <v/>
      </c>
      <c r="AK41" s="7">
        <f>IF(8=0,personal_liquidoInicial,DR40)</f>
        <v/>
      </c>
      <c r="AL41" s="7">
        <f>IF(8=0,0,BB40)</f>
        <v/>
      </c>
      <c r="AM41" s="7">
        <f>CHOOSE(sel_cfgIdx,loc_precio_duplex,loc_precio_inlaw,loc_precio_dosCasas,loc_precio_casaAdu,loc_precio_multi)</f>
        <v/>
      </c>
      <c r="AN41" s="7">
        <f>AM41*(1+g_appr)^(A41-2026)</f>
        <v/>
      </c>
      <c r="AO41" s="7">
        <f>IF(AND(M41=1,vivienda_prestamoMedico=1),1,0)</f>
        <v/>
      </c>
      <c r="AP41" s="7">
        <f>IF(AO41=1,0.05,vivienda_enganchePct)</f>
        <v/>
      </c>
      <c r="AQ41" s="7">
        <f>AN41*(1-AP41)</f>
        <v/>
      </c>
      <c r="AR41" s="7">
        <f>PMT(g_mortRate/12,vivienda_plazoHipoteca*12,-AQ41)</f>
        <v/>
      </c>
      <c r="AS41" s="7">
        <f>INDEX(cfg_units,sel_cfgIdx)</f>
        <v/>
      </c>
      <c r="AT41" s="7">
        <f>AS41*loc_rentaUnidad*(1+g_inf)^(A41-2026)*(1-vivienda_vacancia)</f>
        <v/>
      </c>
      <c r="AU41" s="7">
        <f>AR41+AN41*loc_impuestoPropPct/12+AM41*loc_seguroPct*(1+vivienda_inflacionSeguro)^(A41-2026)/12+IF(AND(AO41=0,AP41&lt;0.2),AQ41*vivienda_pmiTasa/12,0)</f>
        <v/>
      </c>
      <c r="AV41" s="7">
        <f>AN41*AP41+AN41*vivienda_cierrePct+general_reservaMeses/12*AJ41</f>
        <v/>
      </c>
      <c r="AW41" s="7">
        <f>(IF(8=0,MIN(personal_irsSaldo,personal_irsPagoMensual*12),MIN(CD40,personal_irsPagoMensual*12))+IF(CE41&gt;0,PMT(CF41,MAX(1,prestamos_plazoAnios-CG41),-CE41),0)+IF(CR41&gt;0,PMT(CS41,MAX(1,prestamos_plazoAnios-CT41),-CR41),0))/12</f>
        <v/>
      </c>
      <c r="AX41" s="7">
        <f>IF(OR(sel_cfg="duplex",sel_cfg="multi",sel_cfg="dosCasas"),0.75*personal_aporteFamiliaMensual,0)</f>
        <v/>
      </c>
      <c r="AY41" s="7">
        <f>AU41-0.75*AT41-AX41+AW41</f>
        <v/>
      </c>
      <c r="AZ41" s="7">
        <f>(D41+G41+H41+0.5*F41)/12</f>
        <v/>
      </c>
      <c r="BA41" s="7">
        <f>IF(AND(AL41=0,A41&gt;=vivienda_anioMinCompra,J41&lt;0.5,AI41&gt;0,AK41&gt;=AV41,AY41&lt;=vivienda_dtiMax*AZ41),1,0)</f>
        <v/>
      </c>
      <c r="BB41" s="7">
        <f>MAX(AL41,BA41)</f>
        <v/>
      </c>
      <c r="BC41" s="7">
        <f>IF(BA41=1,A41,IF(8=0,"",BC40))</f>
        <v/>
      </c>
      <c r="BD41" s="7">
        <f>AK41-IF(BA41=1,AN41*AP41+AN41*vivienda_cierrePct,0)</f>
        <v/>
      </c>
      <c r="BE41" s="7">
        <f>IF(BA41=1,AN41,IF(8=0,0,BE40))</f>
        <v/>
      </c>
      <c r="BF41" s="7">
        <f>IF(BA41=1,AR41,IF(8=0,0,BF40))</f>
        <v/>
      </c>
      <c r="BG41" s="7">
        <f>IF(BA41=1,IF(AND(AO41=0,AP41&lt;0.2),1,0),IF(8=0,0,BY40))</f>
        <v/>
      </c>
      <c r="BH41" s="7">
        <f>IF(sel_cfg="casaAdu",1,0)</f>
        <v/>
      </c>
      <c r="BI41" s="7">
        <f>IF(AND(BB41=1,BH41=1,IF(8=0,0,BJ40)=0,A41&gt;=IF(BC41="",9999,BC41)+vivienda_aduRetrasoAnios),1,0)</f>
        <v/>
      </c>
      <c r="BJ41" s="7">
        <f>MAX(IF(8=0,0,BJ40),BI41)</f>
        <v/>
      </c>
      <c r="BK41" s="7">
        <f>IF(BI41=1,PMT((g_mortRate+0.005)/12,180,-loc_precio_aduCosto*C41),IF(8=0,0,BK40))</f>
        <v/>
      </c>
      <c r="BL41" s="7">
        <f>IF(BA41=1,AN41,IF(8=0,0,DT40))+IF(BI41=1,loc_precio_aduCosto*C41,0)</f>
        <v/>
      </c>
      <c r="BM41" s="7">
        <f>IF(BA41=1,AQ41,IF(8=0,0,DU40))</f>
        <v/>
      </c>
      <c r="BN41" s="7">
        <f>IF(BM41&lt;=0,0,FV(g_mortRate/12,12,BF41,-BM41))</f>
        <v/>
      </c>
      <c r="BO41" s="7">
        <f>IF(BM41&lt;=0,0,12*BF41+MIN(0,BN41))</f>
        <v/>
      </c>
      <c r="BP41" s="7">
        <f>MAX(0,BN41)</f>
        <v/>
      </c>
      <c r="BQ41" s="7">
        <f>IF(BI41=1,loc_precio_aduCosto*C41,IF(8=0,0,DV40))</f>
        <v/>
      </c>
      <c r="BR41" s="7">
        <f>IF(BQ41&lt;=0,0,FV((g_mortRate+0.005)/12,12,BK41,-BQ41))</f>
        <v/>
      </c>
      <c r="BS41" s="7">
        <f>IF(BQ41&lt;=0,0,12*BK41+MIN(0,BR41))</f>
        <v/>
      </c>
      <c r="BT41" s="7">
        <f>MAX(0,BR41)</f>
        <v/>
      </c>
      <c r="BU41" s="7">
        <f>IF(BB41=1,AM41*loc_seguroPct*(1+vivienda_inflacionSeguro)^(A41-2026)*IF(BJ41=1,1+loc_precio_aduCosto/AM41,1),0)</f>
        <v/>
      </c>
      <c r="BV41" s="7">
        <f>BL41*loc_impuestoPropPct</f>
        <v/>
      </c>
      <c r="BW41" s="7">
        <f>BL41*vivienda_mantenimientoPct</f>
        <v/>
      </c>
      <c r="BX41" s="7">
        <f>IF(AND(BG41=1,BP41&gt;0.8*BE41),BE41*(1-vivienda_enganchePct)*vivienda_pmiTasa,0)</f>
        <v/>
      </c>
      <c r="BY41" s="7">
        <f>IF(AND(BG41=1,BP41&gt;0.8*BE41),1,0)</f>
        <v/>
      </c>
      <c r="BZ41" s="7">
        <f>IF(BB41=1,AS41*loc_rentaUnidad*12*C41*(1-vivienda_vacancia)*(1-vivienda_gestionPct),0)</f>
        <v/>
      </c>
      <c r="CA41" s="7">
        <f>IF(BB41=1,BO41+BS41+BU41+BV41+BW41+BX41,loc_rentaMensual*12*C41)</f>
        <v/>
      </c>
      <c r="CB41" s="7">
        <f>IF(BB41=1,personal_aporteFamiliaMensual*12,0)</f>
        <v/>
      </c>
      <c r="CC41" s="7">
        <f>MIN(IF(8=0,personal_irsSaldo,CD40),personal_irsPagoMensual*12)</f>
        <v/>
      </c>
      <c r="CD41" s="7">
        <f>IF(8=0,personal_irsSaldo,CD40)-CC41</f>
        <v/>
      </c>
      <c r="CE41" s="7">
        <f>IF(8=0,IF(personal_deudaEsFederal=1,personal_deudaEstudiantil,0),DW40)</f>
        <v/>
      </c>
      <c r="CF41" s="7">
        <f>IF(8=0,personal_tasaDeudaEstudiantil,DX40)</f>
        <v/>
      </c>
      <c r="CG41" s="7">
        <f>IF(8=0,0,DY40)</f>
        <v/>
      </c>
      <c r="CH41" s="7">
        <f>IF(J41&gt;=0.5,1,0)</f>
        <v/>
      </c>
      <c r="CI41" s="7">
        <f>IF(AND(CH41=0,prestamos_pslfActivo=1,K41&gt;=0.5,CE41&gt;0),1,0)</f>
        <v/>
      </c>
      <c r="CJ41" s="7">
        <f>CE41*CF41</f>
        <v/>
      </c>
      <c r="CK41" s="7">
        <f>MAX(prestamos_rapPagoMinimoAnual,IF(Y41&lt;10000,0,MIN(0.1,INT(Y41/10000)/100))*Y41)</f>
        <v/>
      </c>
      <c r="CL41" s="7">
        <f>IF(CE41&lt;=0,0,IF(CH41=1,0,IF(CI41=1,MIN(CE41+CJ41,CK41),PMT(CF41,MAX(1,prestamos_plazoAnios-CG41),-CE41))))</f>
        <v/>
      </c>
      <c r="CM41" s="7">
        <f>IF(CE41&lt;=0,0,IF(CH41=1,CE41+CJ41,IF(CI41=1,MAX(0,CE41-MAX(CL41-CJ41,MIN(600,CL41))),MAX(0,CE41*(1+CF41)-CL41))))</f>
        <v/>
      </c>
      <c r="CN41" s="7">
        <f>IF(8=0,0,CN40)+IF(CI41=1,12*MIN(1,K41),0)</f>
        <v/>
      </c>
      <c r="CO41" s="7">
        <f>IF(AND(CI41=1,CN41&gt;=prestamos_pslfPagos,CM41&gt;0),CM41,0)</f>
        <v/>
      </c>
      <c r="CP41" s="7">
        <f>CM41-CO41</f>
        <v/>
      </c>
      <c r="CQ41" s="7">
        <f>IF(AND(CE41&gt;0,CH41=0,CI41=0),CG41+1,CG41)</f>
        <v/>
      </c>
      <c r="CR41" s="7">
        <f>IF(8=0,IF(personal_deudaEsFederal=1,0,personal_deudaEstudiantil),EA40)</f>
        <v/>
      </c>
      <c r="CS41" s="7">
        <f>IF(8=0,IF(personal_deudaEsFederal=1,prestamos_tasaPrivada,personal_tasaDeudaEstudiantil),EB40)</f>
        <v/>
      </c>
      <c r="CT41" s="7">
        <f>IF(8=0,0,EC40)</f>
        <v/>
      </c>
      <c r="CU41" s="7">
        <f>IF(OR(CR41&lt;=0,CH41=1),0,PMT(CS41,MAX(1,prestamos_plazoAnios-CT41),-CR41))</f>
        <v/>
      </c>
      <c r="CV41" s="7">
        <f>IF(CR41&lt;=0,0,IF(CH41=1,CR41*(1+CS41),MAX(0,CR41*(1+CS41)-CU41)))</f>
        <v/>
      </c>
      <c r="CW41" s="7">
        <f>IF(AND(CR41&gt;0,CH41=0),CT41+1,CT41)</f>
        <v/>
      </c>
      <c r="CX41" s="7">
        <f>IF(8=0,0,ED40)*(1+general_tasaDeudaConsumo)</f>
        <v/>
      </c>
      <c r="CY41" s="7">
        <f>L41*12*tiempos_travelGastoExtraMes*C41</f>
        <v/>
      </c>
      <c r="CZ41" s="7">
        <f>AJ41+CY41+CA41+CC41+CL41+CU41+I41+N41-BZ41-CB41</f>
        <v/>
      </c>
      <c r="DA41" s="7">
        <f>AH41-CZ41</f>
        <v/>
      </c>
      <c r="DB41" s="7">
        <f>IF(8=0,0,DB40)+DA41</f>
        <v/>
      </c>
      <c r="DC41" s="7">
        <f>AN41*vivienda_enganchePct+AN41*vivienda_cierrePct+general_reservaMeses/12*AJ41</f>
        <v/>
      </c>
      <c r="DD41" s="7">
        <f>IF(BB41=1,g_ret,IF(BD41&gt;0,MIN(1,DC41/BD41),1)*g_cash+(1-IF(BD41&gt;0,MIN(1,DC41/BD41),1))*g_ret)</f>
        <v/>
      </c>
      <c r="DE41" s="7">
        <f>IF(DA41&gt;=0,MIN(CX41,DA41),0)</f>
        <v/>
      </c>
      <c r="DF41" s="7">
        <f>IF(DA41&gt;=0,(1-general_tasaAhorro)*(DA41-DE41),0)</f>
        <v/>
      </c>
      <c r="DG41" s="7">
        <f>IF(DA41&gt;=0,DA41-DE41-DF41,0)</f>
        <v/>
      </c>
      <c r="DH41" s="7">
        <f>MIN(personal_rothAnual,DG41)</f>
        <v/>
      </c>
      <c r="DI41" s="7">
        <f>IF(AND(DA41&gt;=0,BB41=1,BP41+BT41&gt;0),MIN(vivienda_prepagoPct*(DG41-DH41),BP41+BT41),0)</f>
        <v/>
      </c>
      <c r="DJ41" s="7">
        <f>MIN(DI41,BP41)</f>
        <v/>
      </c>
      <c r="DK41" s="7">
        <f>IF(DA41&lt;0,MIN(MAX(0,BD41),-DA41),0)</f>
        <v/>
      </c>
      <c r="DL41" s="7">
        <f>IF(DA41&lt;0,-DA41-DK41,0)</f>
        <v/>
      </c>
      <c r="DM41" s="7">
        <f>IF(8=0,0,DZ40)</f>
        <v/>
      </c>
      <c r="DN41" s="7">
        <f>IF(AND(DL41&gt;0,J41&gt;0),MIN(DL41,MIN(prestamos_topeAnualPosgrado*MIN(1,J41),MAX(0,prestamos_topeTotalPosgrado-DM41))),0)</f>
        <v/>
      </c>
      <c r="DO41" s="7">
        <f>IF(AND(DL41&gt;0,J41&gt;0),DL41-DN41,0)</f>
        <v/>
      </c>
      <c r="DP41" s="7">
        <f>IF(AND(DL41&gt;0,J41&lt;=0),DL41,0)</f>
        <v/>
      </c>
      <c r="DQ41" s="7">
        <f>IF(DA41&gt;=0,DG41-DH41-DI41,-DK41)</f>
        <v/>
      </c>
      <c r="DR41" s="7">
        <f>BD41*(1+DD41)+DQ41*(1+DD41/2)</f>
        <v/>
      </c>
      <c r="DS41" s="7">
        <f>IF(8=0,personal_retiroInicial,DS40)*(1+g_ret)+(O41+P41+DH41)*(1+g_ret/2)</f>
        <v/>
      </c>
      <c r="DT41" s="7">
        <f>IF(BB41=1,BL41*(1+g_appr),0)</f>
        <v/>
      </c>
      <c r="DU41" s="7">
        <f>BP41-DJ41</f>
        <v/>
      </c>
      <c r="DV41" s="7">
        <f>BT41-(DI41-DJ41)</f>
        <v/>
      </c>
      <c r="DW41" s="7">
        <f>CP41+DN41</f>
        <v/>
      </c>
      <c r="DX41" s="7">
        <f>IF(DN41&gt;0,(CP41*CF41+DN41*prestamos_tasaFederalPosgrado)/(CP41+DN41),CF41)</f>
        <v/>
      </c>
      <c r="DY41" s="7">
        <f>IF(DN41&gt;0,0,CQ41)</f>
        <v/>
      </c>
      <c r="DZ41" s="7">
        <f>DM41+DN41</f>
        <v/>
      </c>
      <c r="EA41" s="7">
        <f>CV41+DO41</f>
        <v/>
      </c>
      <c r="EB41" s="7">
        <f>IF(DO41&gt;0,(CV41*CS41+DO41*prestamos_tasaPrivada)/(CV41+DO41),CS41)</f>
        <v/>
      </c>
      <c r="EC41" s="7">
        <f>IF(DO41&gt;0,0,CW41)</f>
        <v/>
      </c>
      <c r="ED41" s="7">
        <f>CX41-DE41+DP41</f>
        <v/>
      </c>
      <c r="EE41" s="7">
        <f>IF(IF(8=0,"",EE40)&lt;&gt;"",EE40,IF(AND(BB41=1,DU41&lt;=0.5,DV41&lt;=0.5,OR(BH41=0,BJ41=1)),A41,""))</f>
        <v/>
      </c>
      <c r="EF41" s="7">
        <f>DU41+DV41+DW41+EA41+ED41+CD41</f>
        <v/>
      </c>
      <c r="EG41" s="7">
        <f>DR41+DS41+DT41-EF41</f>
        <v/>
      </c>
      <c r="EH41" s="7">
        <f>EG41/(1+g_inf)^(A41+1-2026)</f>
        <v/>
      </c>
    </row>
    <row r="42">
      <c r="A42" t="n">
        <v>2036</v>
      </c>
      <c r="B42" t="n">
        <v>9</v>
      </c>
      <c r="C42" s="7">
        <f>(1+g_inf)^(A42-2026)</f>
        <v/>
      </c>
      <c r="D42" s="7">
        <f>SUMPRODUCT($AC$5:$AC$29,$E$5:$E$29*(1+$F$5:$F$29)^(A42-2026)*$G$5:$G$29*$H$5:$H$29*(1-$N$5:$N$29*$O$5:$O$29))*g_salMult+SUMPRODUCT(($B$5:$B$29&gt;=A42)*($B$5:$B$29&lt;A42+1)*$I$5:$I$29)*g_salMult</f>
        <v/>
      </c>
      <c r="E42" s="7">
        <f>SUMPRODUCT($AC$5:$AC$29,$E$5:$E$29*(1+$F$5:$F$29)^(A42-2026)*$G$5:$G$29*$H$5:$H$29*$M$5:$M$29)*g_salMult</f>
        <v/>
      </c>
      <c r="F42" s="7">
        <f>SUMPRODUCT($AC$5:$AC$29,$E$5:$E$29*(1+$F$5:$F$29)^(A42-2026)*$G$5:$G$29*$H$5:$H$29*$N$5:$N$29*$O$5:$O$29)*g_salMult</f>
        <v/>
      </c>
      <c r="G42" s="7">
        <f>SUMPRODUCT($AC$5:$AC$29,$P$5:$P$29*(1+$F$5:$F$29)^(A42-2026))</f>
        <v/>
      </c>
      <c r="H42" s="7">
        <f>SUMPRODUCT($AC$5:$AC$29,$Q$5:$Q$29*(1+$F$5:$F$29)^(A42-2026))+IF(personal_llcActivo=1,personal_llcNeto*(1+personal_llcCrecimiento)^9,0)</f>
        <v/>
      </c>
      <c r="I42" s="7">
        <f>SUMPRODUCT($AC$5:$AC$29,$J$5:$J$29/($C$5:$C$29-$B$5:$B$29+($C$5:$C$29=$B$5:$B$29)))*C42</f>
        <v/>
      </c>
      <c r="J42" s="7">
        <f>SUMPRODUCT($AC$5:$AC$29,$K$5:$K$29)</f>
        <v/>
      </c>
      <c r="K42" s="7">
        <f>SUMPRODUCT($AC$5:$AC$29,$L$5:$L$29)</f>
        <v/>
      </c>
      <c r="L42" s="7">
        <f>SUMPRODUCT($AC$5:$AC$29,$N$5:$N$29)</f>
        <v/>
      </c>
      <c r="M42" s="7">
        <f>IF(SUMPRODUCT($AC$5:$AC$29,$R$5:$R$29)&gt;0,1,0)</f>
        <v/>
      </c>
      <c r="N42" s="7">
        <f>SUMPRODUCT(($AO$5:$AO$24&gt;=A42)*($AO$5:$AO$24&lt;A42+1)*$AP$5:$AP$24)*C42+IF(9=0,IF(sel_loc&lt;&gt;"miami",personal_costoMudanzaInicial,0),0)</f>
        <v/>
      </c>
      <c r="O42" s="7">
        <f>MIN(personal_aporte403bPct*D42,retiro_limite403b*C42)</f>
        <v/>
      </c>
      <c r="P42" s="7">
        <f>MIN(personal_aporte403bPct,personal_match403bPct)*E42</f>
        <v/>
      </c>
      <c r="Q42" s="7">
        <f>IF(G42&gt;0,MAX(0,G42-impuestos_scorpCostoAnual*C42),0)</f>
        <v/>
      </c>
      <c r="R42" s="7">
        <f>Q42*impuestos_scorpSalarioPct/(1+impuestos_ssTasa+impuestos_medicareTasa)</f>
        <v/>
      </c>
      <c r="S42" s="7">
        <f>impuestos_ssTasa*MIN(R42,MAX(0,impuestos_ssTope*C42-D42))+impuestos_medicareTasa*R42</f>
        <v/>
      </c>
      <c r="T42" s="7">
        <f>Q42-R42-S42</f>
        <v/>
      </c>
      <c r="U42" s="7">
        <f>D42+R42</f>
        <v/>
      </c>
      <c r="V42" s="7">
        <f>H42*0.9235</f>
        <v/>
      </c>
      <c r="W42" s="7">
        <f>IF(H42&gt;0,2*impuestos_ssTasa*MIN(V42,MAX(0,impuestos_ssTope*C42-U42))+2*impuestos_medicareTasa*V42,0)</f>
        <v/>
      </c>
      <c r="X42" s="7">
        <f>impuestos_ssTasa*MIN(U42,impuestos_ssTope*C42)+impuestos_medicareTasa*U42+impuestos_medicareAdicional*MAX(0,U42+H42*0.9235-impuestos_medicareUmbral)</f>
        <v/>
      </c>
      <c r="Y42" s="7">
        <f>MAX(0,D42-O42+R42+T42+H42-W42/2)</f>
        <v/>
      </c>
      <c r="Z42" s="7">
        <f>MAX(0,Y42-impuestos_deduccionEstandar*C42)</f>
        <v/>
      </c>
      <c r="AA42" s="7">
        <f>MIN(0.2*MAX(0,T42+H42-W42/2)*MAX(0,MIN(1,1-(Z42-impuestos_qbiUmbral*C42)/(impuestos_qbiRango*C42))),0.2*Z42)</f>
        <v/>
      </c>
      <c r="AB42" s="7">
        <f>MAX(0,Z42-AA42)</f>
        <v/>
      </c>
      <c r="AC42" s="7">
        <f>SUMPRODUCT((AB42&gt;tb_federalBrackets_lo*C42)*(AB42-tb_federalBrackets_lo*C42)*tb_federalBrackets_dr)</f>
        <v/>
      </c>
      <c r="AD42" s="7">
        <f>MAX(0,Y42-impuestos_nyDeduccion*C42)</f>
        <v/>
      </c>
      <c r="AE42" s="7">
        <f>CHOOSE(loc_taxcode,0,impuestos_ohTasa*MAX(0,Y42-impuestos_ohExento*C42)+impuestos_ohMunicipal*U42,SUMPRODUCT((AD42&gt;tb_nyBrackets_lo*C42)*(AD42-tb_nyBrackets_lo*C42)*tb_nyBrackets_dr)+loc_nyc*SUMPRODUCT((AD42&gt;tb_nycBrackets_lo*C42)*(AD42-tb_nycBrackets_lo*C42)*tb_nycBrackets_dr))</f>
        <v/>
      </c>
      <c r="AF42" s="7">
        <f>AC42+AE42+X42+W42</f>
        <v/>
      </c>
      <c r="AG42" s="7">
        <f>D42+F42+R42+T42+H42</f>
        <v/>
      </c>
      <c r="AH42" s="7">
        <f>AG42-AF42-O42</f>
        <v/>
      </c>
      <c r="AI42" s="7">
        <f>D42+F42+G42+H42</f>
        <v/>
      </c>
      <c r="AJ42" s="7">
        <f>loc_gastosVida*C42*g_gastos</f>
        <v/>
      </c>
      <c r="AK42" s="7">
        <f>IF(9=0,personal_liquidoInicial,DR41)</f>
        <v/>
      </c>
      <c r="AL42" s="7">
        <f>IF(9=0,0,BB41)</f>
        <v/>
      </c>
      <c r="AM42" s="7">
        <f>CHOOSE(sel_cfgIdx,loc_precio_duplex,loc_precio_inlaw,loc_precio_dosCasas,loc_precio_casaAdu,loc_precio_multi)</f>
        <v/>
      </c>
      <c r="AN42" s="7">
        <f>AM42*(1+g_appr)^(A42-2026)</f>
        <v/>
      </c>
      <c r="AO42" s="7">
        <f>IF(AND(M42=1,vivienda_prestamoMedico=1),1,0)</f>
        <v/>
      </c>
      <c r="AP42" s="7">
        <f>IF(AO42=1,0.05,vivienda_enganchePct)</f>
        <v/>
      </c>
      <c r="AQ42" s="7">
        <f>AN42*(1-AP42)</f>
        <v/>
      </c>
      <c r="AR42" s="7">
        <f>PMT(g_mortRate/12,vivienda_plazoHipoteca*12,-AQ42)</f>
        <v/>
      </c>
      <c r="AS42" s="7">
        <f>INDEX(cfg_units,sel_cfgIdx)</f>
        <v/>
      </c>
      <c r="AT42" s="7">
        <f>AS42*loc_rentaUnidad*(1+g_inf)^(A42-2026)*(1-vivienda_vacancia)</f>
        <v/>
      </c>
      <c r="AU42" s="7">
        <f>AR42+AN42*loc_impuestoPropPct/12+AM42*loc_seguroPct*(1+vivienda_inflacionSeguro)^(A42-2026)/12+IF(AND(AO42=0,AP42&lt;0.2),AQ42*vivienda_pmiTasa/12,0)</f>
        <v/>
      </c>
      <c r="AV42" s="7">
        <f>AN42*AP42+AN42*vivienda_cierrePct+general_reservaMeses/12*AJ42</f>
        <v/>
      </c>
      <c r="AW42" s="7">
        <f>(IF(9=0,MIN(personal_irsSaldo,personal_irsPagoMensual*12),MIN(CD41,personal_irsPagoMensual*12))+IF(CE42&gt;0,PMT(CF42,MAX(1,prestamos_plazoAnios-CG42),-CE42),0)+IF(CR42&gt;0,PMT(CS42,MAX(1,prestamos_plazoAnios-CT42),-CR42),0))/12</f>
        <v/>
      </c>
      <c r="AX42" s="7">
        <f>IF(OR(sel_cfg="duplex",sel_cfg="multi",sel_cfg="dosCasas"),0.75*personal_aporteFamiliaMensual,0)</f>
        <v/>
      </c>
      <c r="AY42" s="7">
        <f>AU42-0.75*AT42-AX42+AW42</f>
        <v/>
      </c>
      <c r="AZ42" s="7">
        <f>(D42+G42+H42+0.5*F42)/12</f>
        <v/>
      </c>
      <c r="BA42" s="7">
        <f>IF(AND(AL42=0,A42&gt;=vivienda_anioMinCompra,J42&lt;0.5,AI42&gt;0,AK42&gt;=AV42,AY42&lt;=vivienda_dtiMax*AZ42),1,0)</f>
        <v/>
      </c>
      <c r="BB42" s="7">
        <f>MAX(AL42,BA42)</f>
        <v/>
      </c>
      <c r="BC42" s="7">
        <f>IF(BA42=1,A42,IF(9=0,"",BC41))</f>
        <v/>
      </c>
      <c r="BD42" s="7">
        <f>AK42-IF(BA42=1,AN42*AP42+AN42*vivienda_cierrePct,0)</f>
        <v/>
      </c>
      <c r="BE42" s="7">
        <f>IF(BA42=1,AN42,IF(9=0,0,BE41))</f>
        <v/>
      </c>
      <c r="BF42" s="7">
        <f>IF(BA42=1,AR42,IF(9=0,0,BF41))</f>
        <v/>
      </c>
      <c r="BG42" s="7">
        <f>IF(BA42=1,IF(AND(AO42=0,AP42&lt;0.2),1,0),IF(9=0,0,BY41))</f>
        <v/>
      </c>
      <c r="BH42" s="7">
        <f>IF(sel_cfg="casaAdu",1,0)</f>
        <v/>
      </c>
      <c r="BI42" s="7">
        <f>IF(AND(BB42=1,BH42=1,IF(9=0,0,BJ41)=0,A42&gt;=IF(BC42="",9999,BC42)+vivienda_aduRetrasoAnios),1,0)</f>
        <v/>
      </c>
      <c r="BJ42" s="7">
        <f>MAX(IF(9=0,0,BJ41),BI42)</f>
        <v/>
      </c>
      <c r="BK42" s="7">
        <f>IF(BI42=1,PMT((g_mortRate+0.005)/12,180,-loc_precio_aduCosto*C42),IF(9=0,0,BK41))</f>
        <v/>
      </c>
      <c r="BL42" s="7">
        <f>IF(BA42=1,AN42,IF(9=0,0,DT41))+IF(BI42=1,loc_precio_aduCosto*C42,0)</f>
        <v/>
      </c>
      <c r="BM42" s="7">
        <f>IF(BA42=1,AQ42,IF(9=0,0,DU41))</f>
        <v/>
      </c>
      <c r="BN42" s="7">
        <f>IF(BM42&lt;=0,0,FV(g_mortRate/12,12,BF42,-BM42))</f>
        <v/>
      </c>
      <c r="BO42" s="7">
        <f>IF(BM42&lt;=0,0,12*BF42+MIN(0,BN42))</f>
        <v/>
      </c>
      <c r="BP42" s="7">
        <f>MAX(0,BN42)</f>
        <v/>
      </c>
      <c r="BQ42" s="7">
        <f>IF(BI42=1,loc_precio_aduCosto*C42,IF(9=0,0,DV41))</f>
        <v/>
      </c>
      <c r="BR42" s="7">
        <f>IF(BQ42&lt;=0,0,FV((g_mortRate+0.005)/12,12,BK42,-BQ42))</f>
        <v/>
      </c>
      <c r="BS42" s="7">
        <f>IF(BQ42&lt;=0,0,12*BK42+MIN(0,BR42))</f>
        <v/>
      </c>
      <c r="BT42" s="7">
        <f>MAX(0,BR42)</f>
        <v/>
      </c>
      <c r="BU42" s="7">
        <f>IF(BB42=1,AM42*loc_seguroPct*(1+vivienda_inflacionSeguro)^(A42-2026)*IF(BJ42=1,1+loc_precio_aduCosto/AM42,1),0)</f>
        <v/>
      </c>
      <c r="BV42" s="7">
        <f>BL42*loc_impuestoPropPct</f>
        <v/>
      </c>
      <c r="BW42" s="7">
        <f>BL42*vivienda_mantenimientoPct</f>
        <v/>
      </c>
      <c r="BX42" s="7">
        <f>IF(AND(BG42=1,BP42&gt;0.8*BE42),BE42*(1-vivienda_enganchePct)*vivienda_pmiTasa,0)</f>
        <v/>
      </c>
      <c r="BY42" s="7">
        <f>IF(AND(BG42=1,BP42&gt;0.8*BE42),1,0)</f>
        <v/>
      </c>
      <c r="BZ42" s="7">
        <f>IF(BB42=1,AS42*loc_rentaUnidad*12*C42*(1-vivienda_vacancia)*(1-vivienda_gestionPct),0)</f>
        <v/>
      </c>
      <c r="CA42" s="7">
        <f>IF(BB42=1,BO42+BS42+BU42+BV42+BW42+BX42,loc_rentaMensual*12*C42)</f>
        <v/>
      </c>
      <c r="CB42" s="7">
        <f>IF(BB42=1,personal_aporteFamiliaMensual*12,0)</f>
        <v/>
      </c>
      <c r="CC42" s="7">
        <f>MIN(IF(9=0,personal_irsSaldo,CD41),personal_irsPagoMensual*12)</f>
        <v/>
      </c>
      <c r="CD42" s="7">
        <f>IF(9=0,personal_irsSaldo,CD41)-CC42</f>
        <v/>
      </c>
      <c r="CE42" s="7">
        <f>IF(9=0,IF(personal_deudaEsFederal=1,personal_deudaEstudiantil,0),DW41)</f>
        <v/>
      </c>
      <c r="CF42" s="7">
        <f>IF(9=0,personal_tasaDeudaEstudiantil,DX41)</f>
        <v/>
      </c>
      <c r="CG42" s="7">
        <f>IF(9=0,0,DY41)</f>
        <v/>
      </c>
      <c r="CH42" s="7">
        <f>IF(J42&gt;=0.5,1,0)</f>
        <v/>
      </c>
      <c r="CI42" s="7">
        <f>IF(AND(CH42=0,prestamos_pslfActivo=1,K42&gt;=0.5,CE42&gt;0),1,0)</f>
        <v/>
      </c>
      <c r="CJ42" s="7">
        <f>CE42*CF42</f>
        <v/>
      </c>
      <c r="CK42" s="7">
        <f>MAX(prestamos_rapPagoMinimoAnual,IF(Y42&lt;10000,0,MIN(0.1,INT(Y42/10000)/100))*Y42)</f>
        <v/>
      </c>
      <c r="CL42" s="7">
        <f>IF(CE42&lt;=0,0,IF(CH42=1,0,IF(CI42=1,MIN(CE42+CJ42,CK42),PMT(CF42,MAX(1,prestamos_plazoAnios-CG42),-CE42))))</f>
        <v/>
      </c>
      <c r="CM42" s="7">
        <f>IF(CE42&lt;=0,0,IF(CH42=1,CE42+CJ42,IF(CI42=1,MAX(0,CE42-MAX(CL42-CJ42,MIN(600,CL42))),MAX(0,CE42*(1+CF42)-CL42))))</f>
        <v/>
      </c>
      <c r="CN42" s="7">
        <f>IF(9=0,0,CN41)+IF(CI42=1,12*MIN(1,K42),0)</f>
        <v/>
      </c>
      <c r="CO42" s="7">
        <f>IF(AND(CI42=1,CN42&gt;=prestamos_pslfPagos,CM42&gt;0),CM42,0)</f>
        <v/>
      </c>
      <c r="CP42" s="7">
        <f>CM42-CO42</f>
        <v/>
      </c>
      <c r="CQ42" s="7">
        <f>IF(AND(CE42&gt;0,CH42=0,CI42=0),CG42+1,CG42)</f>
        <v/>
      </c>
      <c r="CR42" s="7">
        <f>IF(9=0,IF(personal_deudaEsFederal=1,0,personal_deudaEstudiantil),EA41)</f>
        <v/>
      </c>
      <c r="CS42" s="7">
        <f>IF(9=0,IF(personal_deudaEsFederal=1,prestamos_tasaPrivada,personal_tasaDeudaEstudiantil),EB41)</f>
        <v/>
      </c>
      <c r="CT42" s="7">
        <f>IF(9=0,0,EC41)</f>
        <v/>
      </c>
      <c r="CU42" s="7">
        <f>IF(OR(CR42&lt;=0,CH42=1),0,PMT(CS42,MAX(1,prestamos_plazoAnios-CT42),-CR42))</f>
        <v/>
      </c>
      <c r="CV42" s="7">
        <f>IF(CR42&lt;=0,0,IF(CH42=1,CR42*(1+CS42),MAX(0,CR42*(1+CS42)-CU42)))</f>
        <v/>
      </c>
      <c r="CW42" s="7">
        <f>IF(AND(CR42&gt;0,CH42=0),CT42+1,CT42)</f>
        <v/>
      </c>
      <c r="CX42" s="7">
        <f>IF(9=0,0,ED41)*(1+general_tasaDeudaConsumo)</f>
        <v/>
      </c>
      <c r="CY42" s="7">
        <f>L42*12*tiempos_travelGastoExtraMes*C42</f>
        <v/>
      </c>
      <c r="CZ42" s="7">
        <f>AJ42+CY42+CA42+CC42+CL42+CU42+I42+N42-BZ42-CB42</f>
        <v/>
      </c>
      <c r="DA42" s="7">
        <f>AH42-CZ42</f>
        <v/>
      </c>
      <c r="DB42" s="7">
        <f>IF(9=0,0,DB41)+DA42</f>
        <v/>
      </c>
      <c r="DC42" s="7">
        <f>AN42*vivienda_enganchePct+AN42*vivienda_cierrePct+general_reservaMeses/12*AJ42</f>
        <v/>
      </c>
      <c r="DD42" s="7">
        <f>IF(BB42=1,g_ret,IF(BD42&gt;0,MIN(1,DC42/BD42),1)*g_cash+(1-IF(BD42&gt;0,MIN(1,DC42/BD42),1))*g_ret)</f>
        <v/>
      </c>
      <c r="DE42" s="7">
        <f>IF(DA42&gt;=0,MIN(CX42,DA42),0)</f>
        <v/>
      </c>
      <c r="DF42" s="7">
        <f>IF(DA42&gt;=0,(1-general_tasaAhorro)*(DA42-DE42),0)</f>
        <v/>
      </c>
      <c r="DG42" s="7">
        <f>IF(DA42&gt;=0,DA42-DE42-DF42,0)</f>
        <v/>
      </c>
      <c r="DH42" s="7">
        <f>MIN(personal_rothAnual,DG42)</f>
        <v/>
      </c>
      <c r="DI42" s="7">
        <f>IF(AND(DA42&gt;=0,BB42=1,BP42+BT42&gt;0),MIN(vivienda_prepagoPct*(DG42-DH42),BP42+BT42),0)</f>
        <v/>
      </c>
      <c r="DJ42" s="7">
        <f>MIN(DI42,BP42)</f>
        <v/>
      </c>
      <c r="DK42" s="7">
        <f>IF(DA42&lt;0,MIN(MAX(0,BD42),-DA42),0)</f>
        <v/>
      </c>
      <c r="DL42" s="7">
        <f>IF(DA42&lt;0,-DA42-DK42,0)</f>
        <v/>
      </c>
      <c r="DM42" s="7">
        <f>IF(9=0,0,DZ41)</f>
        <v/>
      </c>
      <c r="DN42" s="7">
        <f>IF(AND(DL42&gt;0,J42&gt;0),MIN(DL42,MIN(prestamos_topeAnualPosgrado*MIN(1,J42),MAX(0,prestamos_topeTotalPosgrado-DM42))),0)</f>
        <v/>
      </c>
      <c r="DO42" s="7">
        <f>IF(AND(DL42&gt;0,J42&gt;0),DL42-DN42,0)</f>
        <v/>
      </c>
      <c r="DP42" s="7">
        <f>IF(AND(DL42&gt;0,J42&lt;=0),DL42,0)</f>
        <v/>
      </c>
      <c r="DQ42" s="7">
        <f>IF(DA42&gt;=0,DG42-DH42-DI42,-DK42)</f>
        <v/>
      </c>
      <c r="DR42" s="7">
        <f>BD42*(1+DD42)+DQ42*(1+DD42/2)</f>
        <v/>
      </c>
      <c r="DS42" s="7">
        <f>IF(9=0,personal_retiroInicial,DS41)*(1+g_ret)+(O42+P42+DH42)*(1+g_ret/2)</f>
        <v/>
      </c>
      <c r="DT42" s="7">
        <f>IF(BB42=1,BL42*(1+g_appr),0)</f>
        <v/>
      </c>
      <c r="DU42" s="7">
        <f>BP42-DJ42</f>
        <v/>
      </c>
      <c r="DV42" s="7">
        <f>BT42-(DI42-DJ42)</f>
        <v/>
      </c>
      <c r="DW42" s="7">
        <f>CP42+DN42</f>
        <v/>
      </c>
      <c r="DX42" s="7">
        <f>IF(DN42&gt;0,(CP42*CF42+DN42*prestamos_tasaFederalPosgrado)/(CP42+DN42),CF42)</f>
        <v/>
      </c>
      <c r="DY42" s="7">
        <f>IF(DN42&gt;0,0,CQ42)</f>
        <v/>
      </c>
      <c r="DZ42" s="7">
        <f>DM42+DN42</f>
        <v/>
      </c>
      <c r="EA42" s="7">
        <f>CV42+DO42</f>
        <v/>
      </c>
      <c r="EB42" s="7">
        <f>IF(DO42&gt;0,(CV42*CS42+DO42*prestamos_tasaPrivada)/(CV42+DO42),CS42)</f>
        <v/>
      </c>
      <c r="EC42" s="7">
        <f>IF(DO42&gt;0,0,CW42)</f>
        <v/>
      </c>
      <c r="ED42" s="7">
        <f>CX42-DE42+DP42</f>
        <v/>
      </c>
      <c r="EE42" s="7">
        <f>IF(IF(9=0,"",EE41)&lt;&gt;"",EE41,IF(AND(BB42=1,DU42&lt;=0.5,DV42&lt;=0.5,OR(BH42=0,BJ42=1)),A42,""))</f>
        <v/>
      </c>
      <c r="EF42" s="7">
        <f>DU42+DV42+DW42+EA42+ED42+CD42</f>
        <v/>
      </c>
      <c r="EG42" s="7">
        <f>DR42+DS42+DT42-EF42</f>
        <v/>
      </c>
      <c r="EH42" s="7">
        <f>EG42/(1+g_inf)^(A42+1-2026)</f>
        <v/>
      </c>
    </row>
    <row r="43">
      <c r="A43" t="n">
        <v>2037</v>
      </c>
      <c r="B43" t="n">
        <v>10</v>
      </c>
      <c r="C43" s="7">
        <f>(1+g_inf)^(A43-2026)</f>
        <v/>
      </c>
      <c r="D43" s="7">
        <f>SUMPRODUCT($AD$5:$AD$29,$E$5:$E$29*(1+$F$5:$F$29)^(A43-2026)*$G$5:$G$29*$H$5:$H$29*(1-$N$5:$N$29*$O$5:$O$29))*g_salMult+SUMPRODUCT(($B$5:$B$29&gt;=A43)*($B$5:$B$29&lt;A43+1)*$I$5:$I$29)*g_salMult</f>
        <v/>
      </c>
      <c r="E43" s="7">
        <f>SUMPRODUCT($AD$5:$AD$29,$E$5:$E$29*(1+$F$5:$F$29)^(A43-2026)*$G$5:$G$29*$H$5:$H$29*$M$5:$M$29)*g_salMult</f>
        <v/>
      </c>
      <c r="F43" s="7">
        <f>SUMPRODUCT($AD$5:$AD$29,$E$5:$E$29*(1+$F$5:$F$29)^(A43-2026)*$G$5:$G$29*$H$5:$H$29*$N$5:$N$29*$O$5:$O$29)*g_salMult</f>
        <v/>
      </c>
      <c r="G43" s="7">
        <f>SUMPRODUCT($AD$5:$AD$29,$P$5:$P$29*(1+$F$5:$F$29)^(A43-2026))</f>
        <v/>
      </c>
      <c r="H43" s="7">
        <f>SUMPRODUCT($AD$5:$AD$29,$Q$5:$Q$29*(1+$F$5:$F$29)^(A43-2026))+IF(personal_llcActivo=1,personal_llcNeto*(1+personal_llcCrecimiento)^10,0)</f>
        <v/>
      </c>
      <c r="I43" s="7">
        <f>SUMPRODUCT($AD$5:$AD$29,$J$5:$J$29/($C$5:$C$29-$B$5:$B$29+($C$5:$C$29=$B$5:$B$29)))*C43</f>
        <v/>
      </c>
      <c r="J43" s="7">
        <f>SUMPRODUCT($AD$5:$AD$29,$K$5:$K$29)</f>
        <v/>
      </c>
      <c r="K43" s="7">
        <f>SUMPRODUCT($AD$5:$AD$29,$L$5:$L$29)</f>
        <v/>
      </c>
      <c r="L43" s="7">
        <f>SUMPRODUCT($AD$5:$AD$29,$N$5:$N$29)</f>
        <v/>
      </c>
      <c r="M43" s="7">
        <f>IF(SUMPRODUCT($AD$5:$AD$29,$R$5:$R$29)&gt;0,1,0)</f>
        <v/>
      </c>
      <c r="N43" s="7">
        <f>SUMPRODUCT(($AO$5:$AO$24&gt;=A43)*($AO$5:$AO$24&lt;A43+1)*$AP$5:$AP$24)*C43+IF(10=0,IF(sel_loc&lt;&gt;"miami",personal_costoMudanzaInicial,0),0)</f>
        <v/>
      </c>
      <c r="O43" s="7">
        <f>MIN(personal_aporte403bPct*D43,retiro_limite403b*C43)</f>
        <v/>
      </c>
      <c r="P43" s="7">
        <f>MIN(personal_aporte403bPct,personal_match403bPct)*E43</f>
        <v/>
      </c>
      <c r="Q43" s="7">
        <f>IF(G43&gt;0,MAX(0,G43-impuestos_scorpCostoAnual*C43),0)</f>
        <v/>
      </c>
      <c r="R43" s="7">
        <f>Q43*impuestos_scorpSalarioPct/(1+impuestos_ssTasa+impuestos_medicareTasa)</f>
        <v/>
      </c>
      <c r="S43" s="7">
        <f>impuestos_ssTasa*MIN(R43,MAX(0,impuestos_ssTope*C43-D43))+impuestos_medicareTasa*R43</f>
        <v/>
      </c>
      <c r="T43" s="7">
        <f>Q43-R43-S43</f>
        <v/>
      </c>
      <c r="U43" s="7">
        <f>D43+R43</f>
        <v/>
      </c>
      <c r="V43" s="7">
        <f>H43*0.9235</f>
        <v/>
      </c>
      <c r="W43" s="7">
        <f>IF(H43&gt;0,2*impuestos_ssTasa*MIN(V43,MAX(0,impuestos_ssTope*C43-U43))+2*impuestos_medicareTasa*V43,0)</f>
        <v/>
      </c>
      <c r="X43" s="7">
        <f>impuestos_ssTasa*MIN(U43,impuestos_ssTope*C43)+impuestos_medicareTasa*U43+impuestos_medicareAdicional*MAX(0,U43+H43*0.9235-impuestos_medicareUmbral)</f>
        <v/>
      </c>
      <c r="Y43" s="7">
        <f>MAX(0,D43-O43+R43+T43+H43-W43/2)</f>
        <v/>
      </c>
      <c r="Z43" s="7">
        <f>MAX(0,Y43-impuestos_deduccionEstandar*C43)</f>
        <v/>
      </c>
      <c r="AA43" s="7">
        <f>MIN(0.2*MAX(0,T43+H43-W43/2)*MAX(0,MIN(1,1-(Z43-impuestos_qbiUmbral*C43)/(impuestos_qbiRango*C43))),0.2*Z43)</f>
        <v/>
      </c>
      <c r="AB43" s="7">
        <f>MAX(0,Z43-AA43)</f>
        <v/>
      </c>
      <c r="AC43" s="7">
        <f>SUMPRODUCT((AB43&gt;tb_federalBrackets_lo*C43)*(AB43-tb_federalBrackets_lo*C43)*tb_federalBrackets_dr)</f>
        <v/>
      </c>
      <c r="AD43" s="7">
        <f>MAX(0,Y43-impuestos_nyDeduccion*C43)</f>
        <v/>
      </c>
      <c r="AE43" s="7">
        <f>CHOOSE(loc_taxcode,0,impuestos_ohTasa*MAX(0,Y43-impuestos_ohExento*C43)+impuestos_ohMunicipal*U43,SUMPRODUCT((AD43&gt;tb_nyBrackets_lo*C43)*(AD43-tb_nyBrackets_lo*C43)*tb_nyBrackets_dr)+loc_nyc*SUMPRODUCT((AD43&gt;tb_nycBrackets_lo*C43)*(AD43-tb_nycBrackets_lo*C43)*tb_nycBrackets_dr))</f>
        <v/>
      </c>
      <c r="AF43" s="7">
        <f>AC43+AE43+X43+W43</f>
        <v/>
      </c>
      <c r="AG43" s="7">
        <f>D43+F43+R43+T43+H43</f>
        <v/>
      </c>
      <c r="AH43" s="7">
        <f>AG43-AF43-O43</f>
        <v/>
      </c>
      <c r="AI43" s="7">
        <f>D43+F43+G43+H43</f>
        <v/>
      </c>
      <c r="AJ43" s="7">
        <f>loc_gastosVida*C43*g_gastos</f>
        <v/>
      </c>
      <c r="AK43" s="7">
        <f>IF(10=0,personal_liquidoInicial,DR42)</f>
        <v/>
      </c>
      <c r="AL43" s="7">
        <f>IF(10=0,0,BB42)</f>
        <v/>
      </c>
      <c r="AM43" s="7">
        <f>CHOOSE(sel_cfgIdx,loc_precio_duplex,loc_precio_inlaw,loc_precio_dosCasas,loc_precio_casaAdu,loc_precio_multi)</f>
        <v/>
      </c>
      <c r="AN43" s="7">
        <f>AM43*(1+g_appr)^(A43-2026)</f>
        <v/>
      </c>
      <c r="AO43" s="7">
        <f>IF(AND(M43=1,vivienda_prestamoMedico=1),1,0)</f>
        <v/>
      </c>
      <c r="AP43" s="7">
        <f>IF(AO43=1,0.05,vivienda_enganchePct)</f>
        <v/>
      </c>
      <c r="AQ43" s="7">
        <f>AN43*(1-AP43)</f>
        <v/>
      </c>
      <c r="AR43" s="7">
        <f>PMT(g_mortRate/12,vivienda_plazoHipoteca*12,-AQ43)</f>
        <v/>
      </c>
      <c r="AS43" s="7">
        <f>INDEX(cfg_units,sel_cfgIdx)</f>
        <v/>
      </c>
      <c r="AT43" s="7">
        <f>AS43*loc_rentaUnidad*(1+g_inf)^(A43-2026)*(1-vivienda_vacancia)</f>
        <v/>
      </c>
      <c r="AU43" s="7">
        <f>AR43+AN43*loc_impuestoPropPct/12+AM43*loc_seguroPct*(1+vivienda_inflacionSeguro)^(A43-2026)/12+IF(AND(AO43=0,AP43&lt;0.2),AQ43*vivienda_pmiTasa/12,0)</f>
        <v/>
      </c>
      <c r="AV43" s="7">
        <f>AN43*AP43+AN43*vivienda_cierrePct+general_reservaMeses/12*AJ43</f>
        <v/>
      </c>
      <c r="AW43" s="7">
        <f>(IF(10=0,MIN(personal_irsSaldo,personal_irsPagoMensual*12),MIN(CD42,personal_irsPagoMensual*12))+IF(CE43&gt;0,PMT(CF43,MAX(1,prestamos_plazoAnios-CG43),-CE43),0)+IF(CR43&gt;0,PMT(CS43,MAX(1,prestamos_plazoAnios-CT43),-CR43),0))/12</f>
        <v/>
      </c>
      <c r="AX43" s="7">
        <f>IF(OR(sel_cfg="duplex",sel_cfg="multi",sel_cfg="dosCasas"),0.75*personal_aporteFamiliaMensual,0)</f>
        <v/>
      </c>
      <c r="AY43" s="7">
        <f>AU43-0.75*AT43-AX43+AW43</f>
        <v/>
      </c>
      <c r="AZ43" s="7">
        <f>(D43+G43+H43+0.5*F43)/12</f>
        <v/>
      </c>
      <c r="BA43" s="7">
        <f>IF(AND(AL43=0,A43&gt;=vivienda_anioMinCompra,J43&lt;0.5,AI43&gt;0,AK43&gt;=AV43,AY43&lt;=vivienda_dtiMax*AZ43),1,0)</f>
        <v/>
      </c>
      <c r="BB43" s="7">
        <f>MAX(AL43,BA43)</f>
        <v/>
      </c>
      <c r="BC43" s="7">
        <f>IF(BA43=1,A43,IF(10=0,"",BC42))</f>
        <v/>
      </c>
      <c r="BD43" s="7">
        <f>AK43-IF(BA43=1,AN43*AP43+AN43*vivienda_cierrePct,0)</f>
        <v/>
      </c>
      <c r="BE43" s="7">
        <f>IF(BA43=1,AN43,IF(10=0,0,BE42))</f>
        <v/>
      </c>
      <c r="BF43" s="7">
        <f>IF(BA43=1,AR43,IF(10=0,0,BF42))</f>
        <v/>
      </c>
      <c r="BG43" s="7">
        <f>IF(BA43=1,IF(AND(AO43=0,AP43&lt;0.2),1,0),IF(10=0,0,BY42))</f>
        <v/>
      </c>
      <c r="BH43" s="7">
        <f>IF(sel_cfg="casaAdu",1,0)</f>
        <v/>
      </c>
      <c r="BI43" s="7">
        <f>IF(AND(BB43=1,BH43=1,IF(10=0,0,BJ42)=0,A43&gt;=IF(BC43="",9999,BC43)+vivienda_aduRetrasoAnios),1,0)</f>
        <v/>
      </c>
      <c r="BJ43" s="7">
        <f>MAX(IF(10=0,0,BJ42),BI43)</f>
        <v/>
      </c>
      <c r="BK43" s="7">
        <f>IF(BI43=1,PMT((g_mortRate+0.005)/12,180,-loc_precio_aduCosto*C43),IF(10=0,0,BK42))</f>
        <v/>
      </c>
      <c r="BL43" s="7">
        <f>IF(BA43=1,AN43,IF(10=0,0,DT42))+IF(BI43=1,loc_precio_aduCosto*C43,0)</f>
        <v/>
      </c>
      <c r="BM43" s="7">
        <f>IF(BA43=1,AQ43,IF(10=0,0,DU42))</f>
        <v/>
      </c>
      <c r="BN43" s="7">
        <f>IF(BM43&lt;=0,0,FV(g_mortRate/12,12,BF43,-BM43))</f>
        <v/>
      </c>
      <c r="BO43" s="7">
        <f>IF(BM43&lt;=0,0,12*BF43+MIN(0,BN43))</f>
        <v/>
      </c>
      <c r="BP43" s="7">
        <f>MAX(0,BN43)</f>
        <v/>
      </c>
      <c r="BQ43" s="7">
        <f>IF(BI43=1,loc_precio_aduCosto*C43,IF(10=0,0,DV42))</f>
        <v/>
      </c>
      <c r="BR43" s="7">
        <f>IF(BQ43&lt;=0,0,FV((g_mortRate+0.005)/12,12,BK43,-BQ43))</f>
        <v/>
      </c>
      <c r="BS43" s="7">
        <f>IF(BQ43&lt;=0,0,12*BK43+MIN(0,BR43))</f>
        <v/>
      </c>
      <c r="BT43" s="7">
        <f>MAX(0,BR43)</f>
        <v/>
      </c>
      <c r="BU43" s="7">
        <f>IF(BB43=1,AM43*loc_seguroPct*(1+vivienda_inflacionSeguro)^(A43-2026)*IF(BJ43=1,1+loc_precio_aduCosto/AM43,1),0)</f>
        <v/>
      </c>
      <c r="BV43" s="7">
        <f>BL43*loc_impuestoPropPct</f>
        <v/>
      </c>
      <c r="BW43" s="7">
        <f>BL43*vivienda_mantenimientoPct</f>
        <v/>
      </c>
      <c r="BX43" s="7">
        <f>IF(AND(BG43=1,BP43&gt;0.8*BE43),BE43*(1-vivienda_enganchePct)*vivienda_pmiTasa,0)</f>
        <v/>
      </c>
      <c r="BY43" s="7">
        <f>IF(AND(BG43=1,BP43&gt;0.8*BE43),1,0)</f>
        <v/>
      </c>
      <c r="BZ43" s="7">
        <f>IF(BB43=1,AS43*loc_rentaUnidad*12*C43*(1-vivienda_vacancia)*(1-vivienda_gestionPct),0)</f>
        <v/>
      </c>
      <c r="CA43" s="7">
        <f>IF(BB43=1,BO43+BS43+BU43+BV43+BW43+BX43,loc_rentaMensual*12*C43)</f>
        <v/>
      </c>
      <c r="CB43" s="7">
        <f>IF(BB43=1,personal_aporteFamiliaMensual*12,0)</f>
        <v/>
      </c>
      <c r="CC43" s="7">
        <f>MIN(IF(10=0,personal_irsSaldo,CD42),personal_irsPagoMensual*12)</f>
        <v/>
      </c>
      <c r="CD43" s="7">
        <f>IF(10=0,personal_irsSaldo,CD42)-CC43</f>
        <v/>
      </c>
      <c r="CE43" s="7">
        <f>IF(10=0,IF(personal_deudaEsFederal=1,personal_deudaEstudiantil,0),DW42)</f>
        <v/>
      </c>
      <c r="CF43" s="7">
        <f>IF(10=0,personal_tasaDeudaEstudiantil,DX42)</f>
        <v/>
      </c>
      <c r="CG43" s="7">
        <f>IF(10=0,0,DY42)</f>
        <v/>
      </c>
      <c r="CH43" s="7">
        <f>IF(J43&gt;=0.5,1,0)</f>
        <v/>
      </c>
      <c r="CI43" s="7">
        <f>IF(AND(CH43=0,prestamos_pslfActivo=1,K43&gt;=0.5,CE43&gt;0),1,0)</f>
        <v/>
      </c>
      <c r="CJ43" s="7">
        <f>CE43*CF43</f>
        <v/>
      </c>
      <c r="CK43" s="7">
        <f>MAX(prestamos_rapPagoMinimoAnual,IF(Y43&lt;10000,0,MIN(0.1,INT(Y43/10000)/100))*Y43)</f>
        <v/>
      </c>
      <c r="CL43" s="7">
        <f>IF(CE43&lt;=0,0,IF(CH43=1,0,IF(CI43=1,MIN(CE43+CJ43,CK43),PMT(CF43,MAX(1,prestamos_plazoAnios-CG43),-CE43))))</f>
        <v/>
      </c>
      <c r="CM43" s="7">
        <f>IF(CE43&lt;=0,0,IF(CH43=1,CE43+CJ43,IF(CI43=1,MAX(0,CE43-MAX(CL43-CJ43,MIN(600,CL43))),MAX(0,CE43*(1+CF43)-CL43))))</f>
        <v/>
      </c>
      <c r="CN43" s="7">
        <f>IF(10=0,0,CN42)+IF(CI43=1,12*MIN(1,K43),0)</f>
        <v/>
      </c>
      <c r="CO43" s="7">
        <f>IF(AND(CI43=1,CN43&gt;=prestamos_pslfPagos,CM43&gt;0),CM43,0)</f>
        <v/>
      </c>
      <c r="CP43" s="7">
        <f>CM43-CO43</f>
        <v/>
      </c>
      <c r="CQ43" s="7">
        <f>IF(AND(CE43&gt;0,CH43=0,CI43=0),CG43+1,CG43)</f>
        <v/>
      </c>
      <c r="CR43" s="7">
        <f>IF(10=0,IF(personal_deudaEsFederal=1,0,personal_deudaEstudiantil),EA42)</f>
        <v/>
      </c>
      <c r="CS43" s="7">
        <f>IF(10=0,IF(personal_deudaEsFederal=1,prestamos_tasaPrivada,personal_tasaDeudaEstudiantil),EB42)</f>
        <v/>
      </c>
      <c r="CT43" s="7">
        <f>IF(10=0,0,EC42)</f>
        <v/>
      </c>
      <c r="CU43" s="7">
        <f>IF(OR(CR43&lt;=0,CH43=1),0,PMT(CS43,MAX(1,prestamos_plazoAnios-CT43),-CR43))</f>
        <v/>
      </c>
      <c r="CV43" s="7">
        <f>IF(CR43&lt;=0,0,IF(CH43=1,CR43*(1+CS43),MAX(0,CR43*(1+CS43)-CU43)))</f>
        <v/>
      </c>
      <c r="CW43" s="7">
        <f>IF(AND(CR43&gt;0,CH43=0),CT43+1,CT43)</f>
        <v/>
      </c>
      <c r="CX43" s="7">
        <f>IF(10=0,0,ED42)*(1+general_tasaDeudaConsumo)</f>
        <v/>
      </c>
      <c r="CY43" s="7">
        <f>L43*12*tiempos_travelGastoExtraMes*C43</f>
        <v/>
      </c>
      <c r="CZ43" s="7">
        <f>AJ43+CY43+CA43+CC43+CL43+CU43+I43+N43-BZ43-CB43</f>
        <v/>
      </c>
      <c r="DA43" s="7">
        <f>AH43-CZ43</f>
        <v/>
      </c>
      <c r="DB43" s="7">
        <f>IF(10=0,0,DB42)+DA43</f>
        <v/>
      </c>
      <c r="DC43" s="7">
        <f>AN43*vivienda_enganchePct+AN43*vivienda_cierrePct+general_reservaMeses/12*AJ43</f>
        <v/>
      </c>
      <c r="DD43" s="7">
        <f>IF(BB43=1,g_ret,IF(BD43&gt;0,MIN(1,DC43/BD43),1)*g_cash+(1-IF(BD43&gt;0,MIN(1,DC43/BD43),1))*g_ret)</f>
        <v/>
      </c>
      <c r="DE43" s="7">
        <f>IF(DA43&gt;=0,MIN(CX43,DA43),0)</f>
        <v/>
      </c>
      <c r="DF43" s="7">
        <f>IF(DA43&gt;=0,(1-general_tasaAhorro)*(DA43-DE43),0)</f>
        <v/>
      </c>
      <c r="DG43" s="7">
        <f>IF(DA43&gt;=0,DA43-DE43-DF43,0)</f>
        <v/>
      </c>
      <c r="DH43" s="7">
        <f>MIN(personal_rothAnual,DG43)</f>
        <v/>
      </c>
      <c r="DI43" s="7">
        <f>IF(AND(DA43&gt;=0,BB43=1,BP43+BT43&gt;0),MIN(vivienda_prepagoPct*(DG43-DH43),BP43+BT43),0)</f>
        <v/>
      </c>
      <c r="DJ43" s="7">
        <f>MIN(DI43,BP43)</f>
        <v/>
      </c>
      <c r="DK43" s="7">
        <f>IF(DA43&lt;0,MIN(MAX(0,BD43),-DA43),0)</f>
        <v/>
      </c>
      <c r="DL43" s="7">
        <f>IF(DA43&lt;0,-DA43-DK43,0)</f>
        <v/>
      </c>
      <c r="DM43" s="7">
        <f>IF(10=0,0,DZ42)</f>
        <v/>
      </c>
      <c r="DN43" s="7">
        <f>IF(AND(DL43&gt;0,J43&gt;0),MIN(DL43,MIN(prestamos_topeAnualPosgrado*MIN(1,J43),MAX(0,prestamos_topeTotalPosgrado-DM43))),0)</f>
        <v/>
      </c>
      <c r="DO43" s="7">
        <f>IF(AND(DL43&gt;0,J43&gt;0),DL43-DN43,0)</f>
        <v/>
      </c>
      <c r="DP43" s="7">
        <f>IF(AND(DL43&gt;0,J43&lt;=0),DL43,0)</f>
        <v/>
      </c>
      <c r="DQ43" s="7">
        <f>IF(DA43&gt;=0,DG43-DH43-DI43,-DK43)</f>
        <v/>
      </c>
      <c r="DR43" s="7">
        <f>BD43*(1+DD43)+DQ43*(1+DD43/2)</f>
        <v/>
      </c>
      <c r="DS43" s="7">
        <f>IF(10=0,personal_retiroInicial,DS42)*(1+g_ret)+(O43+P43+DH43)*(1+g_ret/2)</f>
        <v/>
      </c>
      <c r="DT43" s="7">
        <f>IF(BB43=1,BL43*(1+g_appr),0)</f>
        <v/>
      </c>
      <c r="DU43" s="7">
        <f>BP43-DJ43</f>
        <v/>
      </c>
      <c r="DV43" s="7">
        <f>BT43-(DI43-DJ43)</f>
        <v/>
      </c>
      <c r="DW43" s="7">
        <f>CP43+DN43</f>
        <v/>
      </c>
      <c r="DX43" s="7">
        <f>IF(DN43&gt;0,(CP43*CF43+DN43*prestamos_tasaFederalPosgrado)/(CP43+DN43),CF43)</f>
        <v/>
      </c>
      <c r="DY43" s="7">
        <f>IF(DN43&gt;0,0,CQ43)</f>
        <v/>
      </c>
      <c r="DZ43" s="7">
        <f>DM43+DN43</f>
        <v/>
      </c>
      <c r="EA43" s="7">
        <f>CV43+DO43</f>
        <v/>
      </c>
      <c r="EB43" s="7">
        <f>IF(DO43&gt;0,(CV43*CS43+DO43*prestamos_tasaPrivada)/(CV43+DO43),CS43)</f>
        <v/>
      </c>
      <c r="EC43" s="7">
        <f>IF(DO43&gt;0,0,CW43)</f>
        <v/>
      </c>
      <c r="ED43" s="7">
        <f>CX43-DE43+DP43</f>
        <v/>
      </c>
      <c r="EE43" s="7">
        <f>IF(IF(10=0,"",EE42)&lt;&gt;"",EE42,IF(AND(BB43=1,DU43&lt;=0.5,DV43&lt;=0.5,OR(BH43=0,BJ43=1)),A43,""))</f>
        <v/>
      </c>
      <c r="EF43" s="7">
        <f>DU43+DV43+DW43+EA43+ED43+CD43</f>
        <v/>
      </c>
      <c r="EG43" s="7">
        <f>DR43+DS43+DT43-EF43</f>
        <v/>
      </c>
      <c r="EH43" s="7">
        <f>EG43/(1+g_inf)^(A43+1-2026)</f>
        <v/>
      </c>
    </row>
    <row r="44">
      <c r="A44" t="n">
        <v>2038</v>
      </c>
      <c r="B44" t="n">
        <v>11</v>
      </c>
      <c r="C44" s="7">
        <f>(1+g_inf)^(A44-2026)</f>
        <v/>
      </c>
      <c r="D44" s="7">
        <f>SUMPRODUCT($AE$5:$AE$29,$E$5:$E$29*(1+$F$5:$F$29)^(A44-2026)*$G$5:$G$29*$H$5:$H$29*(1-$N$5:$N$29*$O$5:$O$29))*g_salMult+SUMPRODUCT(($B$5:$B$29&gt;=A44)*($B$5:$B$29&lt;A44+1)*$I$5:$I$29)*g_salMult</f>
        <v/>
      </c>
      <c r="E44" s="7">
        <f>SUMPRODUCT($AE$5:$AE$29,$E$5:$E$29*(1+$F$5:$F$29)^(A44-2026)*$G$5:$G$29*$H$5:$H$29*$M$5:$M$29)*g_salMult</f>
        <v/>
      </c>
      <c r="F44" s="7">
        <f>SUMPRODUCT($AE$5:$AE$29,$E$5:$E$29*(1+$F$5:$F$29)^(A44-2026)*$G$5:$G$29*$H$5:$H$29*$N$5:$N$29*$O$5:$O$29)*g_salMult</f>
        <v/>
      </c>
      <c r="G44" s="7">
        <f>SUMPRODUCT($AE$5:$AE$29,$P$5:$P$29*(1+$F$5:$F$29)^(A44-2026))</f>
        <v/>
      </c>
      <c r="H44" s="7">
        <f>SUMPRODUCT($AE$5:$AE$29,$Q$5:$Q$29*(1+$F$5:$F$29)^(A44-2026))+IF(personal_llcActivo=1,personal_llcNeto*(1+personal_llcCrecimiento)^11,0)</f>
        <v/>
      </c>
      <c r="I44" s="7">
        <f>SUMPRODUCT($AE$5:$AE$29,$J$5:$J$29/($C$5:$C$29-$B$5:$B$29+($C$5:$C$29=$B$5:$B$29)))*C44</f>
        <v/>
      </c>
      <c r="J44" s="7">
        <f>SUMPRODUCT($AE$5:$AE$29,$K$5:$K$29)</f>
        <v/>
      </c>
      <c r="K44" s="7">
        <f>SUMPRODUCT($AE$5:$AE$29,$L$5:$L$29)</f>
        <v/>
      </c>
      <c r="L44" s="7">
        <f>SUMPRODUCT($AE$5:$AE$29,$N$5:$N$29)</f>
        <v/>
      </c>
      <c r="M44" s="7">
        <f>IF(SUMPRODUCT($AE$5:$AE$29,$R$5:$R$29)&gt;0,1,0)</f>
        <v/>
      </c>
      <c r="N44" s="7">
        <f>SUMPRODUCT(($AO$5:$AO$24&gt;=A44)*($AO$5:$AO$24&lt;A44+1)*$AP$5:$AP$24)*C44+IF(11=0,IF(sel_loc&lt;&gt;"miami",personal_costoMudanzaInicial,0),0)</f>
        <v/>
      </c>
      <c r="O44" s="7">
        <f>MIN(personal_aporte403bPct*D44,retiro_limite403b*C44)</f>
        <v/>
      </c>
      <c r="P44" s="7">
        <f>MIN(personal_aporte403bPct,personal_match403bPct)*E44</f>
        <v/>
      </c>
      <c r="Q44" s="7">
        <f>IF(G44&gt;0,MAX(0,G44-impuestos_scorpCostoAnual*C44),0)</f>
        <v/>
      </c>
      <c r="R44" s="7">
        <f>Q44*impuestos_scorpSalarioPct/(1+impuestos_ssTasa+impuestos_medicareTasa)</f>
        <v/>
      </c>
      <c r="S44" s="7">
        <f>impuestos_ssTasa*MIN(R44,MAX(0,impuestos_ssTope*C44-D44))+impuestos_medicareTasa*R44</f>
        <v/>
      </c>
      <c r="T44" s="7">
        <f>Q44-R44-S44</f>
        <v/>
      </c>
      <c r="U44" s="7">
        <f>D44+R44</f>
        <v/>
      </c>
      <c r="V44" s="7">
        <f>H44*0.9235</f>
        <v/>
      </c>
      <c r="W44" s="7">
        <f>IF(H44&gt;0,2*impuestos_ssTasa*MIN(V44,MAX(0,impuestos_ssTope*C44-U44))+2*impuestos_medicareTasa*V44,0)</f>
        <v/>
      </c>
      <c r="X44" s="7">
        <f>impuestos_ssTasa*MIN(U44,impuestos_ssTope*C44)+impuestos_medicareTasa*U44+impuestos_medicareAdicional*MAX(0,U44+H44*0.9235-impuestos_medicareUmbral)</f>
        <v/>
      </c>
      <c r="Y44" s="7">
        <f>MAX(0,D44-O44+R44+T44+H44-W44/2)</f>
        <v/>
      </c>
      <c r="Z44" s="7">
        <f>MAX(0,Y44-impuestos_deduccionEstandar*C44)</f>
        <v/>
      </c>
      <c r="AA44" s="7">
        <f>MIN(0.2*MAX(0,T44+H44-W44/2)*MAX(0,MIN(1,1-(Z44-impuestos_qbiUmbral*C44)/(impuestos_qbiRango*C44))),0.2*Z44)</f>
        <v/>
      </c>
      <c r="AB44" s="7">
        <f>MAX(0,Z44-AA44)</f>
        <v/>
      </c>
      <c r="AC44" s="7">
        <f>SUMPRODUCT((AB44&gt;tb_federalBrackets_lo*C44)*(AB44-tb_federalBrackets_lo*C44)*tb_federalBrackets_dr)</f>
        <v/>
      </c>
      <c r="AD44" s="7">
        <f>MAX(0,Y44-impuestos_nyDeduccion*C44)</f>
        <v/>
      </c>
      <c r="AE44" s="7">
        <f>CHOOSE(loc_taxcode,0,impuestos_ohTasa*MAX(0,Y44-impuestos_ohExento*C44)+impuestos_ohMunicipal*U44,SUMPRODUCT((AD44&gt;tb_nyBrackets_lo*C44)*(AD44-tb_nyBrackets_lo*C44)*tb_nyBrackets_dr)+loc_nyc*SUMPRODUCT((AD44&gt;tb_nycBrackets_lo*C44)*(AD44-tb_nycBrackets_lo*C44)*tb_nycBrackets_dr))</f>
        <v/>
      </c>
      <c r="AF44" s="7">
        <f>AC44+AE44+X44+W44</f>
        <v/>
      </c>
      <c r="AG44" s="7">
        <f>D44+F44+R44+T44+H44</f>
        <v/>
      </c>
      <c r="AH44" s="7">
        <f>AG44-AF44-O44</f>
        <v/>
      </c>
      <c r="AI44" s="7">
        <f>D44+F44+G44+H44</f>
        <v/>
      </c>
      <c r="AJ44" s="7">
        <f>loc_gastosVida*C44*g_gastos</f>
        <v/>
      </c>
      <c r="AK44" s="7">
        <f>IF(11=0,personal_liquidoInicial,DR43)</f>
        <v/>
      </c>
      <c r="AL44" s="7">
        <f>IF(11=0,0,BB43)</f>
        <v/>
      </c>
      <c r="AM44" s="7">
        <f>CHOOSE(sel_cfgIdx,loc_precio_duplex,loc_precio_inlaw,loc_precio_dosCasas,loc_precio_casaAdu,loc_precio_multi)</f>
        <v/>
      </c>
      <c r="AN44" s="7">
        <f>AM44*(1+g_appr)^(A44-2026)</f>
        <v/>
      </c>
      <c r="AO44" s="7">
        <f>IF(AND(M44=1,vivienda_prestamoMedico=1),1,0)</f>
        <v/>
      </c>
      <c r="AP44" s="7">
        <f>IF(AO44=1,0.05,vivienda_enganchePct)</f>
        <v/>
      </c>
      <c r="AQ44" s="7">
        <f>AN44*(1-AP44)</f>
        <v/>
      </c>
      <c r="AR44" s="7">
        <f>PMT(g_mortRate/12,vivienda_plazoHipoteca*12,-AQ44)</f>
        <v/>
      </c>
      <c r="AS44" s="7">
        <f>INDEX(cfg_units,sel_cfgIdx)</f>
        <v/>
      </c>
      <c r="AT44" s="7">
        <f>AS44*loc_rentaUnidad*(1+g_inf)^(A44-2026)*(1-vivienda_vacancia)</f>
        <v/>
      </c>
      <c r="AU44" s="7">
        <f>AR44+AN44*loc_impuestoPropPct/12+AM44*loc_seguroPct*(1+vivienda_inflacionSeguro)^(A44-2026)/12+IF(AND(AO44=0,AP44&lt;0.2),AQ44*vivienda_pmiTasa/12,0)</f>
        <v/>
      </c>
      <c r="AV44" s="7">
        <f>AN44*AP44+AN44*vivienda_cierrePct+general_reservaMeses/12*AJ44</f>
        <v/>
      </c>
      <c r="AW44" s="7">
        <f>(IF(11=0,MIN(personal_irsSaldo,personal_irsPagoMensual*12),MIN(CD43,personal_irsPagoMensual*12))+IF(CE44&gt;0,PMT(CF44,MAX(1,prestamos_plazoAnios-CG44),-CE44),0)+IF(CR44&gt;0,PMT(CS44,MAX(1,prestamos_plazoAnios-CT44),-CR44),0))/12</f>
        <v/>
      </c>
      <c r="AX44" s="7">
        <f>IF(OR(sel_cfg="duplex",sel_cfg="multi",sel_cfg="dosCasas"),0.75*personal_aporteFamiliaMensual,0)</f>
        <v/>
      </c>
      <c r="AY44" s="7">
        <f>AU44-0.75*AT44-AX44+AW44</f>
        <v/>
      </c>
      <c r="AZ44" s="7">
        <f>(D44+G44+H44+0.5*F44)/12</f>
        <v/>
      </c>
      <c r="BA44" s="7">
        <f>IF(AND(AL44=0,A44&gt;=vivienda_anioMinCompra,J44&lt;0.5,AI44&gt;0,AK44&gt;=AV44,AY44&lt;=vivienda_dtiMax*AZ44),1,0)</f>
        <v/>
      </c>
      <c r="BB44" s="7">
        <f>MAX(AL44,BA44)</f>
        <v/>
      </c>
      <c r="BC44" s="7">
        <f>IF(BA44=1,A44,IF(11=0,"",BC43))</f>
        <v/>
      </c>
      <c r="BD44" s="7">
        <f>AK44-IF(BA44=1,AN44*AP44+AN44*vivienda_cierrePct,0)</f>
        <v/>
      </c>
      <c r="BE44" s="7">
        <f>IF(BA44=1,AN44,IF(11=0,0,BE43))</f>
        <v/>
      </c>
      <c r="BF44" s="7">
        <f>IF(BA44=1,AR44,IF(11=0,0,BF43))</f>
        <v/>
      </c>
      <c r="BG44" s="7">
        <f>IF(BA44=1,IF(AND(AO44=0,AP44&lt;0.2),1,0),IF(11=0,0,BY43))</f>
        <v/>
      </c>
      <c r="BH44" s="7">
        <f>IF(sel_cfg="casaAdu",1,0)</f>
        <v/>
      </c>
      <c r="BI44" s="7">
        <f>IF(AND(BB44=1,BH44=1,IF(11=0,0,BJ43)=0,A44&gt;=IF(BC44="",9999,BC44)+vivienda_aduRetrasoAnios),1,0)</f>
        <v/>
      </c>
      <c r="BJ44" s="7">
        <f>MAX(IF(11=0,0,BJ43),BI44)</f>
        <v/>
      </c>
      <c r="BK44" s="7">
        <f>IF(BI44=1,PMT((g_mortRate+0.005)/12,180,-loc_precio_aduCosto*C44),IF(11=0,0,BK43))</f>
        <v/>
      </c>
      <c r="BL44" s="7">
        <f>IF(BA44=1,AN44,IF(11=0,0,DT43))+IF(BI44=1,loc_precio_aduCosto*C44,0)</f>
        <v/>
      </c>
      <c r="BM44" s="7">
        <f>IF(BA44=1,AQ44,IF(11=0,0,DU43))</f>
        <v/>
      </c>
      <c r="BN44" s="7">
        <f>IF(BM44&lt;=0,0,FV(g_mortRate/12,12,BF44,-BM44))</f>
        <v/>
      </c>
      <c r="BO44" s="7">
        <f>IF(BM44&lt;=0,0,12*BF44+MIN(0,BN44))</f>
        <v/>
      </c>
      <c r="BP44" s="7">
        <f>MAX(0,BN44)</f>
        <v/>
      </c>
      <c r="BQ44" s="7">
        <f>IF(BI44=1,loc_precio_aduCosto*C44,IF(11=0,0,DV43))</f>
        <v/>
      </c>
      <c r="BR44" s="7">
        <f>IF(BQ44&lt;=0,0,FV((g_mortRate+0.005)/12,12,BK44,-BQ44))</f>
        <v/>
      </c>
      <c r="BS44" s="7">
        <f>IF(BQ44&lt;=0,0,12*BK44+MIN(0,BR44))</f>
        <v/>
      </c>
      <c r="BT44" s="7">
        <f>MAX(0,BR44)</f>
        <v/>
      </c>
      <c r="BU44" s="7">
        <f>IF(BB44=1,AM44*loc_seguroPct*(1+vivienda_inflacionSeguro)^(A44-2026)*IF(BJ44=1,1+loc_precio_aduCosto/AM44,1),0)</f>
        <v/>
      </c>
      <c r="BV44" s="7">
        <f>BL44*loc_impuestoPropPct</f>
        <v/>
      </c>
      <c r="BW44" s="7">
        <f>BL44*vivienda_mantenimientoPct</f>
        <v/>
      </c>
      <c r="BX44" s="7">
        <f>IF(AND(BG44=1,BP44&gt;0.8*BE44),BE44*(1-vivienda_enganchePct)*vivienda_pmiTasa,0)</f>
        <v/>
      </c>
      <c r="BY44" s="7">
        <f>IF(AND(BG44=1,BP44&gt;0.8*BE44),1,0)</f>
        <v/>
      </c>
      <c r="BZ44" s="7">
        <f>IF(BB44=1,AS44*loc_rentaUnidad*12*C44*(1-vivienda_vacancia)*(1-vivienda_gestionPct),0)</f>
        <v/>
      </c>
      <c r="CA44" s="7">
        <f>IF(BB44=1,BO44+BS44+BU44+BV44+BW44+BX44,loc_rentaMensual*12*C44)</f>
        <v/>
      </c>
      <c r="CB44" s="7">
        <f>IF(BB44=1,personal_aporteFamiliaMensual*12,0)</f>
        <v/>
      </c>
      <c r="CC44" s="7">
        <f>MIN(IF(11=0,personal_irsSaldo,CD43),personal_irsPagoMensual*12)</f>
        <v/>
      </c>
      <c r="CD44" s="7">
        <f>IF(11=0,personal_irsSaldo,CD43)-CC44</f>
        <v/>
      </c>
      <c r="CE44" s="7">
        <f>IF(11=0,IF(personal_deudaEsFederal=1,personal_deudaEstudiantil,0),DW43)</f>
        <v/>
      </c>
      <c r="CF44" s="7">
        <f>IF(11=0,personal_tasaDeudaEstudiantil,DX43)</f>
        <v/>
      </c>
      <c r="CG44" s="7">
        <f>IF(11=0,0,DY43)</f>
        <v/>
      </c>
      <c r="CH44" s="7">
        <f>IF(J44&gt;=0.5,1,0)</f>
        <v/>
      </c>
      <c r="CI44" s="7">
        <f>IF(AND(CH44=0,prestamos_pslfActivo=1,K44&gt;=0.5,CE44&gt;0),1,0)</f>
        <v/>
      </c>
      <c r="CJ44" s="7">
        <f>CE44*CF44</f>
        <v/>
      </c>
      <c r="CK44" s="7">
        <f>MAX(prestamos_rapPagoMinimoAnual,IF(Y44&lt;10000,0,MIN(0.1,INT(Y44/10000)/100))*Y44)</f>
        <v/>
      </c>
      <c r="CL44" s="7">
        <f>IF(CE44&lt;=0,0,IF(CH44=1,0,IF(CI44=1,MIN(CE44+CJ44,CK44),PMT(CF44,MAX(1,prestamos_plazoAnios-CG44),-CE44))))</f>
        <v/>
      </c>
      <c r="CM44" s="7">
        <f>IF(CE44&lt;=0,0,IF(CH44=1,CE44+CJ44,IF(CI44=1,MAX(0,CE44-MAX(CL44-CJ44,MIN(600,CL44))),MAX(0,CE44*(1+CF44)-CL44))))</f>
        <v/>
      </c>
      <c r="CN44" s="7">
        <f>IF(11=0,0,CN43)+IF(CI44=1,12*MIN(1,K44),0)</f>
        <v/>
      </c>
      <c r="CO44" s="7">
        <f>IF(AND(CI44=1,CN44&gt;=prestamos_pslfPagos,CM44&gt;0),CM44,0)</f>
        <v/>
      </c>
      <c r="CP44" s="7">
        <f>CM44-CO44</f>
        <v/>
      </c>
      <c r="CQ44" s="7">
        <f>IF(AND(CE44&gt;0,CH44=0,CI44=0),CG44+1,CG44)</f>
        <v/>
      </c>
      <c r="CR44" s="7">
        <f>IF(11=0,IF(personal_deudaEsFederal=1,0,personal_deudaEstudiantil),EA43)</f>
        <v/>
      </c>
      <c r="CS44" s="7">
        <f>IF(11=0,IF(personal_deudaEsFederal=1,prestamos_tasaPrivada,personal_tasaDeudaEstudiantil),EB43)</f>
        <v/>
      </c>
      <c r="CT44" s="7">
        <f>IF(11=0,0,EC43)</f>
        <v/>
      </c>
      <c r="CU44" s="7">
        <f>IF(OR(CR44&lt;=0,CH44=1),0,PMT(CS44,MAX(1,prestamos_plazoAnios-CT44),-CR44))</f>
        <v/>
      </c>
      <c r="CV44" s="7">
        <f>IF(CR44&lt;=0,0,IF(CH44=1,CR44*(1+CS44),MAX(0,CR44*(1+CS44)-CU44)))</f>
        <v/>
      </c>
      <c r="CW44" s="7">
        <f>IF(AND(CR44&gt;0,CH44=0),CT44+1,CT44)</f>
        <v/>
      </c>
      <c r="CX44" s="7">
        <f>IF(11=0,0,ED43)*(1+general_tasaDeudaConsumo)</f>
        <v/>
      </c>
      <c r="CY44" s="7">
        <f>L44*12*tiempos_travelGastoExtraMes*C44</f>
        <v/>
      </c>
      <c r="CZ44" s="7">
        <f>AJ44+CY44+CA44+CC44+CL44+CU44+I44+N44-BZ44-CB44</f>
        <v/>
      </c>
      <c r="DA44" s="7">
        <f>AH44-CZ44</f>
        <v/>
      </c>
      <c r="DB44" s="7">
        <f>IF(11=0,0,DB43)+DA44</f>
        <v/>
      </c>
      <c r="DC44" s="7">
        <f>AN44*vivienda_enganchePct+AN44*vivienda_cierrePct+general_reservaMeses/12*AJ44</f>
        <v/>
      </c>
      <c r="DD44" s="7">
        <f>IF(BB44=1,g_ret,IF(BD44&gt;0,MIN(1,DC44/BD44),1)*g_cash+(1-IF(BD44&gt;0,MIN(1,DC44/BD44),1))*g_ret)</f>
        <v/>
      </c>
      <c r="DE44" s="7">
        <f>IF(DA44&gt;=0,MIN(CX44,DA44),0)</f>
        <v/>
      </c>
      <c r="DF44" s="7">
        <f>IF(DA44&gt;=0,(1-general_tasaAhorro)*(DA44-DE44),0)</f>
        <v/>
      </c>
      <c r="DG44" s="7">
        <f>IF(DA44&gt;=0,DA44-DE44-DF44,0)</f>
        <v/>
      </c>
      <c r="DH44" s="7">
        <f>MIN(personal_rothAnual,DG44)</f>
        <v/>
      </c>
      <c r="DI44" s="7">
        <f>IF(AND(DA44&gt;=0,BB44=1,BP44+BT44&gt;0),MIN(vivienda_prepagoPct*(DG44-DH44),BP44+BT44),0)</f>
        <v/>
      </c>
      <c r="DJ44" s="7">
        <f>MIN(DI44,BP44)</f>
        <v/>
      </c>
      <c r="DK44" s="7">
        <f>IF(DA44&lt;0,MIN(MAX(0,BD44),-DA44),0)</f>
        <v/>
      </c>
      <c r="DL44" s="7">
        <f>IF(DA44&lt;0,-DA44-DK44,0)</f>
        <v/>
      </c>
      <c r="DM44" s="7">
        <f>IF(11=0,0,DZ43)</f>
        <v/>
      </c>
      <c r="DN44" s="7">
        <f>IF(AND(DL44&gt;0,J44&gt;0),MIN(DL44,MIN(prestamos_topeAnualPosgrado*MIN(1,J44),MAX(0,prestamos_topeTotalPosgrado-DM44))),0)</f>
        <v/>
      </c>
      <c r="DO44" s="7">
        <f>IF(AND(DL44&gt;0,J44&gt;0),DL44-DN44,0)</f>
        <v/>
      </c>
      <c r="DP44" s="7">
        <f>IF(AND(DL44&gt;0,J44&lt;=0),DL44,0)</f>
        <v/>
      </c>
      <c r="DQ44" s="7">
        <f>IF(DA44&gt;=0,DG44-DH44-DI44,-DK44)</f>
        <v/>
      </c>
      <c r="DR44" s="7">
        <f>BD44*(1+DD44)+DQ44*(1+DD44/2)</f>
        <v/>
      </c>
      <c r="DS44" s="7">
        <f>IF(11=0,personal_retiroInicial,DS43)*(1+g_ret)+(O44+P44+DH44)*(1+g_ret/2)</f>
        <v/>
      </c>
      <c r="DT44" s="7">
        <f>IF(BB44=1,BL44*(1+g_appr),0)</f>
        <v/>
      </c>
      <c r="DU44" s="7">
        <f>BP44-DJ44</f>
        <v/>
      </c>
      <c r="DV44" s="7">
        <f>BT44-(DI44-DJ44)</f>
        <v/>
      </c>
      <c r="DW44" s="7">
        <f>CP44+DN44</f>
        <v/>
      </c>
      <c r="DX44" s="7">
        <f>IF(DN44&gt;0,(CP44*CF44+DN44*prestamos_tasaFederalPosgrado)/(CP44+DN44),CF44)</f>
        <v/>
      </c>
      <c r="DY44" s="7">
        <f>IF(DN44&gt;0,0,CQ44)</f>
        <v/>
      </c>
      <c r="DZ44" s="7">
        <f>DM44+DN44</f>
        <v/>
      </c>
      <c r="EA44" s="7">
        <f>CV44+DO44</f>
        <v/>
      </c>
      <c r="EB44" s="7">
        <f>IF(DO44&gt;0,(CV44*CS44+DO44*prestamos_tasaPrivada)/(CV44+DO44),CS44)</f>
        <v/>
      </c>
      <c r="EC44" s="7">
        <f>IF(DO44&gt;0,0,CW44)</f>
        <v/>
      </c>
      <c r="ED44" s="7">
        <f>CX44-DE44+DP44</f>
        <v/>
      </c>
      <c r="EE44" s="7">
        <f>IF(IF(11=0,"",EE43)&lt;&gt;"",EE43,IF(AND(BB44=1,DU44&lt;=0.5,DV44&lt;=0.5,OR(BH44=0,BJ44=1)),A44,""))</f>
        <v/>
      </c>
      <c r="EF44" s="7">
        <f>DU44+DV44+DW44+EA44+ED44+CD44</f>
        <v/>
      </c>
      <c r="EG44" s="7">
        <f>DR44+DS44+DT44-EF44</f>
        <v/>
      </c>
      <c r="EH44" s="7">
        <f>EG44/(1+g_inf)^(A44+1-2026)</f>
        <v/>
      </c>
    </row>
    <row r="45">
      <c r="A45" t="n">
        <v>2039</v>
      </c>
      <c r="B45" t="n">
        <v>12</v>
      </c>
      <c r="C45" s="7">
        <f>(1+g_inf)^(A45-2026)</f>
        <v/>
      </c>
      <c r="D45" s="7">
        <f>SUMPRODUCT($AF$5:$AF$29,$E$5:$E$29*(1+$F$5:$F$29)^(A45-2026)*$G$5:$G$29*$H$5:$H$29*(1-$N$5:$N$29*$O$5:$O$29))*g_salMult+SUMPRODUCT(($B$5:$B$29&gt;=A45)*($B$5:$B$29&lt;A45+1)*$I$5:$I$29)*g_salMult</f>
        <v/>
      </c>
      <c r="E45" s="7">
        <f>SUMPRODUCT($AF$5:$AF$29,$E$5:$E$29*(1+$F$5:$F$29)^(A45-2026)*$G$5:$G$29*$H$5:$H$29*$M$5:$M$29)*g_salMult</f>
        <v/>
      </c>
      <c r="F45" s="7">
        <f>SUMPRODUCT($AF$5:$AF$29,$E$5:$E$29*(1+$F$5:$F$29)^(A45-2026)*$G$5:$G$29*$H$5:$H$29*$N$5:$N$29*$O$5:$O$29)*g_salMult</f>
        <v/>
      </c>
      <c r="G45" s="7">
        <f>SUMPRODUCT($AF$5:$AF$29,$P$5:$P$29*(1+$F$5:$F$29)^(A45-2026))</f>
        <v/>
      </c>
      <c r="H45" s="7">
        <f>SUMPRODUCT($AF$5:$AF$29,$Q$5:$Q$29*(1+$F$5:$F$29)^(A45-2026))+IF(personal_llcActivo=1,personal_llcNeto*(1+personal_llcCrecimiento)^12,0)</f>
        <v/>
      </c>
      <c r="I45" s="7">
        <f>SUMPRODUCT($AF$5:$AF$29,$J$5:$J$29/($C$5:$C$29-$B$5:$B$29+($C$5:$C$29=$B$5:$B$29)))*C45</f>
        <v/>
      </c>
      <c r="J45" s="7">
        <f>SUMPRODUCT($AF$5:$AF$29,$K$5:$K$29)</f>
        <v/>
      </c>
      <c r="K45" s="7">
        <f>SUMPRODUCT($AF$5:$AF$29,$L$5:$L$29)</f>
        <v/>
      </c>
      <c r="L45" s="7">
        <f>SUMPRODUCT($AF$5:$AF$29,$N$5:$N$29)</f>
        <v/>
      </c>
      <c r="M45" s="7">
        <f>IF(SUMPRODUCT($AF$5:$AF$29,$R$5:$R$29)&gt;0,1,0)</f>
        <v/>
      </c>
      <c r="N45" s="7">
        <f>SUMPRODUCT(($AO$5:$AO$24&gt;=A45)*($AO$5:$AO$24&lt;A45+1)*$AP$5:$AP$24)*C45+IF(12=0,IF(sel_loc&lt;&gt;"miami",personal_costoMudanzaInicial,0),0)</f>
        <v/>
      </c>
      <c r="O45" s="7">
        <f>MIN(personal_aporte403bPct*D45,retiro_limite403b*C45)</f>
        <v/>
      </c>
      <c r="P45" s="7">
        <f>MIN(personal_aporte403bPct,personal_match403bPct)*E45</f>
        <v/>
      </c>
      <c r="Q45" s="7">
        <f>IF(G45&gt;0,MAX(0,G45-impuestos_scorpCostoAnual*C45),0)</f>
        <v/>
      </c>
      <c r="R45" s="7">
        <f>Q45*impuestos_scorpSalarioPct/(1+impuestos_ssTasa+impuestos_medicareTasa)</f>
        <v/>
      </c>
      <c r="S45" s="7">
        <f>impuestos_ssTasa*MIN(R45,MAX(0,impuestos_ssTope*C45-D45))+impuestos_medicareTasa*R45</f>
        <v/>
      </c>
      <c r="T45" s="7">
        <f>Q45-R45-S45</f>
        <v/>
      </c>
      <c r="U45" s="7">
        <f>D45+R45</f>
        <v/>
      </c>
      <c r="V45" s="7">
        <f>H45*0.9235</f>
        <v/>
      </c>
      <c r="W45" s="7">
        <f>IF(H45&gt;0,2*impuestos_ssTasa*MIN(V45,MAX(0,impuestos_ssTope*C45-U45))+2*impuestos_medicareTasa*V45,0)</f>
        <v/>
      </c>
      <c r="X45" s="7">
        <f>impuestos_ssTasa*MIN(U45,impuestos_ssTope*C45)+impuestos_medicareTasa*U45+impuestos_medicareAdicional*MAX(0,U45+H45*0.9235-impuestos_medicareUmbral)</f>
        <v/>
      </c>
      <c r="Y45" s="7">
        <f>MAX(0,D45-O45+R45+T45+H45-W45/2)</f>
        <v/>
      </c>
      <c r="Z45" s="7">
        <f>MAX(0,Y45-impuestos_deduccionEstandar*C45)</f>
        <v/>
      </c>
      <c r="AA45" s="7">
        <f>MIN(0.2*MAX(0,T45+H45-W45/2)*MAX(0,MIN(1,1-(Z45-impuestos_qbiUmbral*C45)/(impuestos_qbiRango*C45))),0.2*Z45)</f>
        <v/>
      </c>
      <c r="AB45" s="7">
        <f>MAX(0,Z45-AA45)</f>
        <v/>
      </c>
      <c r="AC45" s="7">
        <f>SUMPRODUCT((AB45&gt;tb_federalBrackets_lo*C45)*(AB45-tb_federalBrackets_lo*C45)*tb_federalBrackets_dr)</f>
        <v/>
      </c>
      <c r="AD45" s="7">
        <f>MAX(0,Y45-impuestos_nyDeduccion*C45)</f>
        <v/>
      </c>
      <c r="AE45" s="7">
        <f>CHOOSE(loc_taxcode,0,impuestos_ohTasa*MAX(0,Y45-impuestos_ohExento*C45)+impuestos_ohMunicipal*U45,SUMPRODUCT((AD45&gt;tb_nyBrackets_lo*C45)*(AD45-tb_nyBrackets_lo*C45)*tb_nyBrackets_dr)+loc_nyc*SUMPRODUCT((AD45&gt;tb_nycBrackets_lo*C45)*(AD45-tb_nycBrackets_lo*C45)*tb_nycBrackets_dr))</f>
        <v/>
      </c>
      <c r="AF45" s="7">
        <f>AC45+AE45+X45+W45</f>
        <v/>
      </c>
      <c r="AG45" s="7">
        <f>D45+F45+R45+T45+H45</f>
        <v/>
      </c>
      <c r="AH45" s="7">
        <f>AG45-AF45-O45</f>
        <v/>
      </c>
      <c r="AI45" s="7">
        <f>D45+F45+G45+H45</f>
        <v/>
      </c>
      <c r="AJ45" s="7">
        <f>loc_gastosVida*C45*g_gastos</f>
        <v/>
      </c>
      <c r="AK45" s="7">
        <f>IF(12=0,personal_liquidoInicial,DR44)</f>
        <v/>
      </c>
      <c r="AL45" s="7">
        <f>IF(12=0,0,BB44)</f>
        <v/>
      </c>
      <c r="AM45" s="7">
        <f>CHOOSE(sel_cfgIdx,loc_precio_duplex,loc_precio_inlaw,loc_precio_dosCasas,loc_precio_casaAdu,loc_precio_multi)</f>
        <v/>
      </c>
      <c r="AN45" s="7">
        <f>AM45*(1+g_appr)^(A45-2026)</f>
        <v/>
      </c>
      <c r="AO45" s="7">
        <f>IF(AND(M45=1,vivienda_prestamoMedico=1),1,0)</f>
        <v/>
      </c>
      <c r="AP45" s="7">
        <f>IF(AO45=1,0.05,vivienda_enganchePct)</f>
        <v/>
      </c>
      <c r="AQ45" s="7">
        <f>AN45*(1-AP45)</f>
        <v/>
      </c>
      <c r="AR45" s="7">
        <f>PMT(g_mortRate/12,vivienda_plazoHipoteca*12,-AQ45)</f>
        <v/>
      </c>
      <c r="AS45" s="7">
        <f>INDEX(cfg_units,sel_cfgIdx)</f>
        <v/>
      </c>
      <c r="AT45" s="7">
        <f>AS45*loc_rentaUnidad*(1+g_inf)^(A45-2026)*(1-vivienda_vacancia)</f>
        <v/>
      </c>
      <c r="AU45" s="7">
        <f>AR45+AN45*loc_impuestoPropPct/12+AM45*loc_seguroPct*(1+vivienda_inflacionSeguro)^(A45-2026)/12+IF(AND(AO45=0,AP45&lt;0.2),AQ45*vivienda_pmiTasa/12,0)</f>
        <v/>
      </c>
      <c r="AV45" s="7">
        <f>AN45*AP45+AN45*vivienda_cierrePct+general_reservaMeses/12*AJ45</f>
        <v/>
      </c>
      <c r="AW45" s="7">
        <f>(IF(12=0,MIN(personal_irsSaldo,personal_irsPagoMensual*12),MIN(CD44,personal_irsPagoMensual*12))+IF(CE45&gt;0,PMT(CF45,MAX(1,prestamos_plazoAnios-CG45),-CE45),0)+IF(CR45&gt;0,PMT(CS45,MAX(1,prestamos_plazoAnios-CT45),-CR45),0))/12</f>
        <v/>
      </c>
      <c r="AX45" s="7">
        <f>IF(OR(sel_cfg="duplex",sel_cfg="multi",sel_cfg="dosCasas"),0.75*personal_aporteFamiliaMensual,0)</f>
        <v/>
      </c>
      <c r="AY45" s="7">
        <f>AU45-0.75*AT45-AX45+AW45</f>
        <v/>
      </c>
      <c r="AZ45" s="7">
        <f>(D45+G45+H45+0.5*F45)/12</f>
        <v/>
      </c>
      <c r="BA45" s="7">
        <f>IF(AND(AL45=0,A45&gt;=vivienda_anioMinCompra,J45&lt;0.5,AI45&gt;0,AK45&gt;=AV45,AY45&lt;=vivienda_dtiMax*AZ45),1,0)</f>
        <v/>
      </c>
      <c r="BB45" s="7">
        <f>MAX(AL45,BA45)</f>
        <v/>
      </c>
      <c r="BC45" s="7">
        <f>IF(BA45=1,A45,IF(12=0,"",BC44))</f>
        <v/>
      </c>
      <c r="BD45" s="7">
        <f>AK45-IF(BA45=1,AN45*AP45+AN45*vivienda_cierrePct,0)</f>
        <v/>
      </c>
      <c r="BE45" s="7">
        <f>IF(BA45=1,AN45,IF(12=0,0,BE44))</f>
        <v/>
      </c>
      <c r="BF45" s="7">
        <f>IF(BA45=1,AR45,IF(12=0,0,BF44))</f>
        <v/>
      </c>
      <c r="BG45" s="7">
        <f>IF(BA45=1,IF(AND(AO45=0,AP45&lt;0.2),1,0),IF(12=0,0,BY44))</f>
        <v/>
      </c>
      <c r="BH45" s="7">
        <f>IF(sel_cfg="casaAdu",1,0)</f>
        <v/>
      </c>
      <c r="BI45" s="7">
        <f>IF(AND(BB45=1,BH45=1,IF(12=0,0,BJ44)=0,A45&gt;=IF(BC45="",9999,BC45)+vivienda_aduRetrasoAnios),1,0)</f>
        <v/>
      </c>
      <c r="BJ45" s="7">
        <f>MAX(IF(12=0,0,BJ44),BI45)</f>
        <v/>
      </c>
      <c r="BK45" s="7">
        <f>IF(BI45=1,PMT((g_mortRate+0.005)/12,180,-loc_precio_aduCosto*C45),IF(12=0,0,BK44))</f>
        <v/>
      </c>
      <c r="BL45" s="7">
        <f>IF(BA45=1,AN45,IF(12=0,0,DT44))+IF(BI45=1,loc_precio_aduCosto*C45,0)</f>
        <v/>
      </c>
      <c r="BM45" s="7">
        <f>IF(BA45=1,AQ45,IF(12=0,0,DU44))</f>
        <v/>
      </c>
      <c r="BN45" s="7">
        <f>IF(BM45&lt;=0,0,FV(g_mortRate/12,12,BF45,-BM45))</f>
        <v/>
      </c>
      <c r="BO45" s="7">
        <f>IF(BM45&lt;=0,0,12*BF45+MIN(0,BN45))</f>
        <v/>
      </c>
      <c r="BP45" s="7">
        <f>MAX(0,BN45)</f>
        <v/>
      </c>
      <c r="BQ45" s="7">
        <f>IF(BI45=1,loc_precio_aduCosto*C45,IF(12=0,0,DV44))</f>
        <v/>
      </c>
      <c r="BR45" s="7">
        <f>IF(BQ45&lt;=0,0,FV((g_mortRate+0.005)/12,12,BK45,-BQ45))</f>
        <v/>
      </c>
      <c r="BS45" s="7">
        <f>IF(BQ45&lt;=0,0,12*BK45+MIN(0,BR45))</f>
        <v/>
      </c>
      <c r="BT45" s="7">
        <f>MAX(0,BR45)</f>
        <v/>
      </c>
      <c r="BU45" s="7">
        <f>IF(BB45=1,AM45*loc_seguroPct*(1+vivienda_inflacionSeguro)^(A45-2026)*IF(BJ45=1,1+loc_precio_aduCosto/AM45,1),0)</f>
        <v/>
      </c>
      <c r="BV45" s="7">
        <f>BL45*loc_impuestoPropPct</f>
        <v/>
      </c>
      <c r="BW45" s="7">
        <f>BL45*vivienda_mantenimientoPct</f>
        <v/>
      </c>
      <c r="BX45" s="7">
        <f>IF(AND(BG45=1,BP45&gt;0.8*BE45),BE45*(1-vivienda_enganchePct)*vivienda_pmiTasa,0)</f>
        <v/>
      </c>
      <c r="BY45" s="7">
        <f>IF(AND(BG45=1,BP45&gt;0.8*BE45),1,0)</f>
        <v/>
      </c>
      <c r="BZ45" s="7">
        <f>IF(BB45=1,AS45*loc_rentaUnidad*12*C45*(1-vivienda_vacancia)*(1-vivienda_gestionPct),0)</f>
        <v/>
      </c>
      <c r="CA45" s="7">
        <f>IF(BB45=1,BO45+BS45+BU45+BV45+BW45+BX45,loc_rentaMensual*12*C45)</f>
        <v/>
      </c>
      <c r="CB45" s="7">
        <f>IF(BB45=1,personal_aporteFamiliaMensual*12,0)</f>
        <v/>
      </c>
      <c r="CC45" s="7">
        <f>MIN(IF(12=0,personal_irsSaldo,CD44),personal_irsPagoMensual*12)</f>
        <v/>
      </c>
      <c r="CD45" s="7">
        <f>IF(12=0,personal_irsSaldo,CD44)-CC45</f>
        <v/>
      </c>
      <c r="CE45" s="7">
        <f>IF(12=0,IF(personal_deudaEsFederal=1,personal_deudaEstudiantil,0),DW44)</f>
        <v/>
      </c>
      <c r="CF45" s="7">
        <f>IF(12=0,personal_tasaDeudaEstudiantil,DX44)</f>
        <v/>
      </c>
      <c r="CG45" s="7">
        <f>IF(12=0,0,DY44)</f>
        <v/>
      </c>
      <c r="CH45" s="7">
        <f>IF(J45&gt;=0.5,1,0)</f>
        <v/>
      </c>
      <c r="CI45" s="7">
        <f>IF(AND(CH45=0,prestamos_pslfActivo=1,K45&gt;=0.5,CE45&gt;0),1,0)</f>
        <v/>
      </c>
      <c r="CJ45" s="7">
        <f>CE45*CF45</f>
        <v/>
      </c>
      <c r="CK45" s="7">
        <f>MAX(prestamos_rapPagoMinimoAnual,IF(Y45&lt;10000,0,MIN(0.1,INT(Y45/10000)/100))*Y45)</f>
        <v/>
      </c>
      <c r="CL45" s="7">
        <f>IF(CE45&lt;=0,0,IF(CH45=1,0,IF(CI45=1,MIN(CE45+CJ45,CK45),PMT(CF45,MAX(1,prestamos_plazoAnios-CG45),-CE45))))</f>
        <v/>
      </c>
      <c r="CM45" s="7">
        <f>IF(CE45&lt;=0,0,IF(CH45=1,CE45+CJ45,IF(CI45=1,MAX(0,CE45-MAX(CL45-CJ45,MIN(600,CL45))),MAX(0,CE45*(1+CF45)-CL45))))</f>
        <v/>
      </c>
      <c r="CN45" s="7">
        <f>IF(12=0,0,CN44)+IF(CI45=1,12*MIN(1,K45),0)</f>
        <v/>
      </c>
      <c r="CO45" s="7">
        <f>IF(AND(CI45=1,CN45&gt;=prestamos_pslfPagos,CM45&gt;0),CM45,0)</f>
        <v/>
      </c>
      <c r="CP45" s="7">
        <f>CM45-CO45</f>
        <v/>
      </c>
      <c r="CQ45" s="7">
        <f>IF(AND(CE45&gt;0,CH45=0,CI45=0),CG45+1,CG45)</f>
        <v/>
      </c>
      <c r="CR45" s="7">
        <f>IF(12=0,IF(personal_deudaEsFederal=1,0,personal_deudaEstudiantil),EA44)</f>
        <v/>
      </c>
      <c r="CS45" s="7">
        <f>IF(12=0,IF(personal_deudaEsFederal=1,prestamos_tasaPrivada,personal_tasaDeudaEstudiantil),EB44)</f>
        <v/>
      </c>
      <c r="CT45" s="7">
        <f>IF(12=0,0,EC44)</f>
        <v/>
      </c>
      <c r="CU45" s="7">
        <f>IF(OR(CR45&lt;=0,CH45=1),0,PMT(CS45,MAX(1,prestamos_plazoAnios-CT45),-CR45))</f>
        <v/>
      </c>
      <c r="CV45" s="7">
        <f>IF(CR45&lt;=0,0,IF(CH45=1,CR45*(1+CS45),MAX(0,CR45*(1+CS45)-CU45)))</f>
        <v/>
      </c>
      <c r="CW45" s="7">
        <f>IF(AND(CR45&gt;0,CH45=0),CT45+1,CT45)</f>
        <v/>
      </c>
      <c r="CX45" s="7">
        <f>IF(12=0,0,ED44)*(1+general_tasaDeudaConsumo)</f>
        <v/>
      </c>
      <c r="CY45" s="7">
        <f>L45*12*tiempos_travelGastoExtraMes*C45</f>
        <v/>
      </c>
      <c r="CZ45" s="7">
        <f>AJ45+CY45+CA45+CC45+CL45+CU45+I45+N45-BZ45-CB45</f>
        <v/>
      </c>
      <c r="DA45" s="7">
        <f>AH45-CZ45</f>
        <v/>
      </c>
      <c r="DB45" s="7">
        <f>IF(12=0,0,DB44)+DA45</f>
        <v/>
      </c>
      <c r="DC45" s="7">
        <f>AN45*vivienda_enganchePct+AN45*vivienda_cierrePct+general_reservaMeses/12*AJ45</f>
        <v/>
      </c>
      <c r="DD45" s="7">
        <f>IF(BB45=1,g_ret,IF(BD45&gt;0,MIN(1,DC45/BD45),1)*g_cash+(1-IF(BD45&gt;0,MIN(1,DC45/BD45),1))*g_ret)</f>
        <v/>
      </c>
      <c r="DE45" s="7">
        <f>IF(DA45&gt;=0,MIN(CX45,DA45),0)</f>
        <v/>
      </c>
      <c r="DF45" s="7">
        <f>IF(DA45&gt;=0,(1-general_tasaAhorro)*(DA45-DE45),0)</f>
        <v/>
      </c>
      <c r="DG45" s="7">
        <f>IF(DA45&gt;=0,DA45-DE45-DF45,0)</f>
        <v/>
      </c>
      <c r="DH45" s="7">
        <f>MIN(personal_rothAnual,DG45)</f>
        <v/>
      </c>
      <c r="DI45" s="7">
        <f>IF(AND(DA45&gt;=0,BB45=1,BP45+BT45&gt;0),MIN(vivienda_prepagoPct*(DG45-DH45),BP45+BT45),0)</f>
        <v/>
      </c>
      <c r="DJ45" s="7">
        <f>MIN(DI45,BP45)</f>
        <v/>
      </c>
      <c r="DK45" s="7">
        <f>IF(DA45&lt;0,MIN(MAX(0,BD45),-DA45),0)</f>
        <v/>
      </c>
      <c r="DL45" s="7">
        <f>IF(DA45&lt;0,-DA45-DK45,0)</f>
        <v/>
      </c>
      <c r="DM45" s="7">
        <f>IF(12=0,0,DZ44)</f>
        <v/>
      </c>
      <c r="DN45" s="7">
        <f>IF(AND(DL45&gt;0,J45&gt;0),MIN(DL45,MIN(prestamos_topeAnualPosgrado*MIN(1,J45),MAX(0,prestamos_topeTotalPosgrado-DM45))),0)</f>
        <v/>
      </c>
      <c r="DO45" s="7">
        <f>IF(AND(DL45&gt;0,J45&gt;0),DL45-DN45,0)</f>
        <v/>
      </c>
      <c r="DP45" s="7">
        <f>IF(AND(DL45&gt;0,J45&lt;=0),DL45,0)</f>
        <v/>
      </c>
      <c r="DQ45" s="7">
        <f>IF(DA45&gt;=0,DG45-DH45-DI45,-DK45)</f>
        <v/>
      </c>
      <c r="DR45" s="7">
        <f>BD45*(1+DD45)+DQ45*(1+DD45/2)</f>
        <v/>
      </c>
      <c r="DS45" s="7">
        <f>IF(12=0,personal_retiroInicial,DS44)*(1+g_ret)+(O45+P45+DH45)*(1+g_ret/2)</f>
        <v/>
      </c>
      <c r="DT45" s="7">
        <f>IF(BB45=1,BL45*(1+g_appr),0)</f>
        <v/>
      </c>
      <c r="DU45" s="7">
        <f>BP45-DJ45</f>
        <v/>
      </c>
      <c r="DV45" s="7">
        <f>BT45-(DI45-DJ45)</f>
        <v/>
      </c>
      <c r="DW45" s="7">
        <f>CP45+DN45</f>
        <v/>
      </c>
      <c r="DX45" s="7">
        <f>IF(DN45&gt;0,(CP45*CF45+DN45*prestamos_tasaFederalPosgrado)/(CP45+DN45),CF45)</f>
        <v/>
      </c>
      <c r="DY45" s="7">
        <f>IF(DN45&gt;0,0,CQ45)</f>
        <v/>
      </c>
      <c r="DZ45" s="7">
        <f>DM45+DN45</f>
        <v/>
      </c>
      <c r="EA45" s="7">
        <f>CV45+DO45</f>
        <v/>
      </c>
      <c r="EB45" s="7">
        <f>IF(DO45&gt;0,(CV45*CS45+DO45*prestamos_tasaPrivada)/(CV45+DO45),CS45)</f>
        <v/>
      </c>
      <c r="EC45" s="7">
        <f>IF(DO45&gt;0,0,CW45)</f>
        <v/>
      </c>
      <c r="ED45" s="7">
        <f>CX45-DE45+DP45</f>
        <v/>
      </c>
      <c r="EE45" s="7">
        <f>IF(IF(12=0,"",EE44)&lt;&gt;"",EE44,IF(AND(BB45=1,DU45&lt;=0.5,DV45&lt;=0.5,OR(BH45=0,BJ45=1)),A45,""))</f>
        <v/>
      </c>
      <c r="EF45" s="7">
        <f>DU45+DV45+DW45+EA45+ED45+CD45</f>
        <v/>
      </c>
      <c r="EG45" s="7">
        <f>DR45+DS45+DT45-EF45</f>
        <v/>
      </c>
      <c r="EH45" s="7">
        <f>EG45/(1+g_inf)^(A45+1-2026)</f>
        <v/>
      </c>
    </row>
    <row r="46">
      <c r="A46" t="n">
        <v>2040</v>
      </c>
      <c r="B46" t="n">
        <v>13</v>
      </c>
      <c r="C46" s="7">
        <f>(1+g_inf)^(A46-2026)</f>
        <v/>
      </c>
      <c r="D46" s="7">
        <f>SUMPRODUCT($AG$5:$AG$29,$E$5:$E$29*(1+$F$5:$F$29)^(A46-2026)*$G$5:$G$29*$H$5:$H$29*(1-$N$5:$N$29*$O$5:$O$29))*g_salMult+SUMPRODUCT(($B$5:$B$29&gt;=A46)*($B$5:$B$29&lt;A46+1)*$I$5:$I$29)*g_salMult</f>
        <v/>
      </c>
      <c r="E46" s="7">
        <f>SUMPRODUCT($AG$5:$AG$29,$E$5:$E$29*(1+$F$5:$F$29)^(A46-2026)*$G$5:$G$29*$H$5:$H$29*$M$5:$M$29)*g_salMult</f>
        <v/>
      </c>
      <c r="F46" s="7">
        <f>SUMPRODUCT($AG$5:$AG$29,$E$5:$E$29*(1+$F$5:$F$29)^(A46-2026)*$G$5:$G$29*$H$5:$H$29*$N$5:$N$29*$O$5:$O$29)*g_salMult</f>
        <v/>
      </c>
      <c r="G46" s="7">
        <f>SUMPRODUCT($AG$5:$AG$29,$P$5:$P$29*(1+$F$5:$F$29)^(A46-2026))</f>
        <v/>
      </c>
      <c r="H46" s="7">
        <f>SUMPRODUCT($AG$5:$AG$29,$Q$5:$Q$29*(1+$F$5:$F$29)^(A46-2026))+IF(personal_llcActivo=1,personal_llcNeto*(1+personal_llcCrecimiento)^13,0)</f>
        <v/>
      </c>
      <c r="I46" s="7">
        <f>SUMPRODUCT($AG$5:$AG$29,$J$5:$J$29/($C$5:$C$29-$B$5:$B$29+($C$5:$C$29=$B$5:$B$29)))*C46</f>
        <v/>
      </c>
      <c r="J46" s="7">
        <f>SUMPRODUCT($AG$5:$AG$29,$K$5:$K$29)</f>
        <v/>
      </c>
      <c r="K46" s="7">
        <f>SUMPRODUCT($AG$5:$AG$29,$L$5:$L$29)</f>
        <v/>
      </c>
      <c r="L46" s="7">
        <f>SUMPRODUCT($AG$5:$AG$29,$N$5:$N$29)</f>
        <v/>
      </c>
      <c r="M46" s="7">
        <f>IF(SUMPRODUCT($AG$5:$AG$29,$R$5:$R$29)&gt;0,1,0)</f>
        <v/>
      </c>
      <c r="N46" s="7">
        <f>SUMPRODUCT(($AO$5:$AO$24&gt;=A46)*($AO$5:$AO$24&lt;A46+1)*$AP$5:$AP$24)*C46+IF(13=0,IF(sel_loc&lt;&gt;"miami",personal_costoMudanzaInicial,0),0)</f>
        <v/>
      </c>
      <c r="O46" s="7">
        <f>MIN(personal_aporte403bPct*D46,retiro_limite403b*C46)</f>
        <v/>
      </c>
      <c r="P46" s="7">
        <f>MIN(personal_aporte403bPct,personal_match403bPct)*E46</f>
        <v/>
      </c>
      <c r="Q46" s="7">
        <f>IF(G46&gt;0,MAX(0,G46-impuestos_scorpCostoAnual*C46),0)</f>
        <v/>
      </c>
      <c r="R46" s="7">
        <f>Q46*impuestos_scorpSalarioPct/(1+impuestos_ssTasa+impuestos_medicareTasa)</f>
        <v/>
      </c>
      <c r="S46" s="7">
        <f>impuestos_ssTasa*MIN(R46,MAX(0,impuestos_ssTope*C46-D46))+impuestos_medicareTasa*R46</f>
        <v/>
      </c>
      <c r="T46" s="7">
        <f>Q46-R46-S46</f>
        <v/>
      </c>
      <c r="U46" s="7">
        <f>D46+R46</f>
        <v/>
      </c>
      <c r="V46" s="7">
        <f>H46*0.9235</f>
        <v/>
      </c>
      <c r="W46" s="7">
        <f>IF(H46&gt;0,2*impuestos_ssTasa*MIN(V46,MAX(0,impuestos_ssTope*C46-U46))+2*impuestos_medicareTasa*V46,0)</f>
        <v/>
      </c>
      <c r="X46" s="7">
        <f>impuestos_ssTasa*MIN(U46,impuestos_ssTope*C46)+impuestos_medicareTasa*U46+impuestos_medicareAdicional*MAX(0,U46+H46*0.9235-impuestos_medicareUmbral)</f>
        <v/>
      </c>
      <c r="Y46" s="7">
        <f>MAX(0,D46-O46+R46+T46+H46-W46/2)</f>
        <v/>
      </c>
      <c r="Z46" s="7">
        <f>MAX(0,Y46-impuestos_deduccionEstandar*C46)</f>
        <v/>
      </c>
      <c r="AA46" s="7">
        <f>MIN(0.2*MAX(0,T46+H46-W46/2)*MAX(0,MIN(1,1-(Z46-impuestos_qbiUmbral*C46)/(impuestos_qbiRango*C46))),0.2*Z46)</f>
        <v/>
      </c>
      <c r="AB46" s="7">
        <f>MAX(0,Z46-AA46)</f>
        <v/>
      </c>
      <c r="AC46" s="7">
        <f>SUMPRODUCT((AB46&gt;tb_federalBrackets_lo*C46)*(AB46-tb_federalBrackets_lo*C46)*tb_federalBrackets_dr)</f>
        <v/>
      </c>
      <c r="AD46" s="7">
        <f>MAX(0,Y46-impuestos_nyDeduccion*C46)</f>
        <v/>
      </c>
      <c r="AE46" s="7">
        <f>CHOOSE(loc_taxcode,0,impuestos_ohTasa*MAX(0,Y46-impuestos_ohExento*C46)+impuestos_ohMunicipal*U46,SUMPRODUCT((AD46&gt;tb_nyBrackets_lo*C46)*(AD46-tb_nyBrackets_lo*C46)*tb_nyBrackets_dr)+loc_nyc*SUMPRODUCT((AD46&gt;tb_nycBrackets_lo*C46)*(AD46-tb_nycBrackets_lo*C46)*tb_nycBrackets_dr))</f>
        <v/>
      </c>
      <c r="AF46" s="7">
        <f>AC46+AE46+X46+W46</f>
        <v/>
      </c>
      <c r="AG46" s="7">
        <f>D46+F46+R46+T46+H46</f>
        <v/>
      </c>
      <c r="AH46" s="7">
        <f>AG46-AF46-O46</f>
        <v/>
      </c>
      <c r="AI46" s="7">
        <f>D46+F46+G46+H46</f>
        <v/>
      </c>
      <c r="AJ46" s="7">
        <f>loc_gastosVida*C46*g_gastos</f>
        <v/>
      </c>
      <c r="AK46" s="7">
        <f>IF(13=0,personal_liquidoInicial,DR45)</f>
        <v/>
      </c>
      <c r="AL46" s="7">
        <f>IF(13=0,0,BB45)</f>
        <v/>
      </c>
      <c r="AM46" s="7">
        <f>CHOOSE(sel_cfgIdx,loc_precio_duplex,loc_precio_inlaw,loc_precio_dosCasas,loc_precio_casaAdu,loc_precio_multi)</f>
        <v/>
      </c>
      <c r="AN46" s="7">
        <f>AM46*(1+g_appr)^(A46-2026)</f>
        <v/>
      </c>
      <c r="AO46" s="7">
        <f>IF(AND(M46=1,vivienda_prestamoMedico=1),1,0)</f>
        <v/>
      </c>
      <c r="AP46" s="7">
        <f>IF(AO46=1,0.05,vivienda_enganchePct)</f>
        <v/>
      </c>
      <c r="AQ46" s="7">
        <f>AN46*(1-AP46)</f>
        <v/>
      </c>
      <c r="AR46" s="7">
        <f>PMT(g_mortRate/12,vivienda_plazoHipoteca*12,-AQ46)</f>
        <v/>
      </c>
      <c r="AS46" s="7">
        <f>INDEX(cfg_units,sel_cfgIdx)</f>
        <v/>
      </c>
      <c r="AT46" s="7">
        <f>AS46*loc_rentaUnidad*(1+g_inf)^(A46-2026)*(1-vivienda_vacancia)</f>
        <v/>
      </c>
      <c r="AU46" s="7">
        <f>AR46+AN46*loc_impuestoPropPct/12+AM46*loc_seguroPct*(1+vivienda_inflacionSeguro)^(A46-2026)/12+IF(AND(AO46=0,AP46&lt;0.2),AQ46*vivienda_pmiTasa/12,0)</f>
        <v/>
      </c>
      <c r="AV46" s="7">
        <f>AN46*AP46+AN46*vivienda_cierrePct+general_reservaMeses/12*AJ46</f>
        <v/>
      </c>
      <c r="AW46" s="7">
        <f>(IF(13=0,MIN(personal_irsSaldo,personal_irsPagoMensual*12),MIN(CD45,personal_irsPagoMensual*12))+IF(CE46&gt;0,PMT(CF46,MAX(1,prestamos_plazoAnios-CG46),-CE46),0)+IF(CR46&gt;0,PMT(CS46,MAX(1,prestamos_plazoAnios-CT46),-CR46),0))/12</f>
        <v/>
      </c>
      <c r="AX46" s="7">
        <f>IF(OR(sel_cfg="duplex",sel_cfg="multi",sel_cfg="dosCasas"),0.75*personal_aporteFamiliaMensual,0)</f>
        <v/>
      </c>
      <c r="AY46" s="7">
        <f>AU46-0.75*AT46-AX46+AW46</f>
        <v/>
      </c>
      <c r="AZ46" s="7">
        <f>(D46+G46+H46+0.5*F46)/12</f>
        <v/>
      </c>
      <c r="BA46" s="7">
        <f>IF(AND(AL46=0,A46&gt;=vivienda_anioMinCompra,J46&lt;0.5,AI46&gt;0,AK46&gt;=AV46,AY46&lt;=vivienda_dtiMax*AZ46),1,0)</f>
        <v/>
      </c>
      <c r="BB46" s="7">
        <f>MAX(AL46,BA46)</f>
        <v/>
      </c>
      <c r="BC46" s="7">
        <f>IF(BA46=1,A46,IF(13=0,"",BC45))</f>
        <v/>
      </c>
      <c r="BD46" s="7">
        <f>AK46-IF(BA46=1,AN46*AP46+AN46*vivienda_cierrePct,0)</f>
        <v/>
      </c>
      <c r="BE46" s="7">
        <f>IF(BA46=1,AN46,IF(13=0,0,BE45))</f>
        <v/>
      </c>
      <c r="BF46" s="7">
        <f>IF(BA46=1,AR46,IF(13=0,0,BF45))</f>
        <v/>
      </c>
      <c r="BG46" s="7">
        <f>IF(BA46=1,IF(AND(AO46=0,AP46&lt;0.2),1,0),IF(13=0,0,BY45))</f>
        <v/>
      </c>
      <c r="BH46" s="7">
        <f>IF(sel_cfg="casaAdu",1,0)</f>
        <v/>
      </c>
      <c r="BI46" s="7">
        <f>IF(AND(BB46=1,BH46=1,IF(13=0,0,BJ45)=0,A46&gt;=IF(BC46="",9999,BC46)+vivienda_aduRetrasoAnios),1,0)</f>
        <v/>
      </c>
      <c r="BJ46" s="7">
        <f>MAX(IF(13=0,0,BJ45),BI46)</f>
        <v/>
      </c>
      <c r="BK46" s="7">
        <f>IF(BI46=1,PMT((g_mortRate+0.005)/12,180,-loc_precio_aduCosto*C46),IF(13=0,0,BK45))</f>
        <v/>
      </c>
      <c r="BL46" s="7">
        <f>IF(BA46=1,AN46,IF(13=0,0,DT45))+IF(BI46=1,loc_precio_aduCosto*C46,0)</f>
        <v/>
      </c>
      <c r="BM46" s="7">
        <f>IF(BA46=1,AQ46,IF(13=0,0,DU45))</f>
        <v/>
      </c>
      <c r="BN46" s="7">
        <f>IF(BM46&lt;=0,0,FV(g_mortRate/12,12,BF46,-BM46))</f>
        <v/>
      </c>
      <c r="BO46" s="7">
        <f>IF(BM46&lt;=0,0,12*BF46+MIN(0,BN46))</f>
        <v/>
      </c>
      <c r="BP46" s="7">
        <f>MAX(0,BN46)</f>
        <v/>
      </c>
      <c r="BQ46" s="7">
        <f>IF(BI46=1,loc_precio_aduCosto*C46,IF(13=0,0,DV45))</f>
        <v/>
      </c>
      <c r="BR46" s="7">
        <f>IF(BQ46&lt;=0,0,FV((g_mortRate+0.005)/12,12,BK46,-BQ46))</f>
        <v/>
      </c>
      <c r="BS46" s="7">
        <f>IF(BQ46&lt;=0,0,12*BK46+MIN(0,BR46))</f>
        <v/>
      </c>
      <c r="BT46" s="7">
        <f>MAX(0,BR46)</f>
        <v/>
      </c>
      <c r="BU46" s="7">
        <f>IF(BB46=1,AM46*loc_seguroPct*(1+vivienda_inflacionSeguro)^(A46-2026)*IF(BJ46=1,1+loc_precio_aduCosto/AM46,1),0)</f>
        <v/>
      </c>
      <c r="BV46" s="7">
        <f>BL46*loc_impuestoPropPct</f>
        <v/>
      </c>
      <c r="BW46" s="7">
        <f>BL46*vivienda_mantenimientoPct</f>
        <v/>
      </c>
      <c r="BX46" s="7">
        <f>IF(AND(BG46=1,BP46&gt;0.8*BE46),BE46*(1-vivienda_enganchePct)*vivienda_pmiTasa,0)</f>
        <v/>
      </c>
      <c r="BY46" s="7">
        <f>IF(AND(BG46=1,BP46&gt;0.8*BE46),1,0)</f>
        <v/>
      </c>
      <c r="BZ46" s="7">
        <f>IF(BB46=1,AS46*loc_rentaUnidad*12*C46*(1-vivienda_vacancia)*(1-vivienda_gestionPct),0)</f>
        <v/>
      </c>
      <c r="CA46" s="7">
        <f>IF(BB46=1,BO46+BS46+BU46+BV46+BW46+BX46,loc_rentaMensual*12*C46)</f>
        <v/>
      </c>
      <c r="CB46" s="7">
        <f>IF(BB46=1,personal_aporteFamiliaMensual*12,0)</f>
        <v/>
      </c>
      <c r="CC46" s="7">
        <f>MIN(IF(13=0,personal_irsSaldo,CD45),personal_irsPagoMensual*12)</f>
        <v/>
      </c>
      <c r="CD46" s="7">
        <f>IF(13=0,personal_irsSaldo,CD45)-CC46</f>
        <v/>
      </c>
      <c r="CE46" s="7">
        <f>IF(13=0,IF(personal_deudaEsFederal=1,personal_deudaEstudiantil,0),DW45)</f>
        <v/>
      </c>
      <c r="CF46" s="7">
        <f>IF(13=0,personal_tasaDeudaEstudiantil,DX45)</f>
        <v/>
      </c>
      <c r="CG46" s="7">
        <f>IF(13=0,0,DY45)</f>
        <v/>
      </c>
      <c r="CH46" s="7">
        <f>IF(J46&gt;=0.5,1,0)</f>
        <v/>
      </c>
      <c r="CI46" s="7">
        <f>IF(AND(CH46=0,prestamos_pslfActivo=1,K46&gt;=0.5,CE46&gt;0),1,0)</f>
        <v/>
      </c>
      <c r="CJ46" s="7">
        <f>CE46*CF46</f>
        <v/>
      </c>
      <c r="CK46" s="7">
        <f>MAX(prestamos_rapPagoMinimoAnual,IF(Y46&lt;10000,0,MIN(0.1,INT(Y46/10000)/100))*Y46)</f>
        <v/>
      </c>
      <c r="CL46" s="7">
        <f>IF(CE46&lt;=0,0,IF(CH46=1,0,IF(CI46=1,MIN(CE46+CJ46,CK46),PMT(CF46,MAX(1,prestamos_plazoAnios-CG46),-CE46))))</f>
        <v/>
      </c>
      <c r="CM46" s="7">
        <f>IF(CE46&lt;=0,0,IF(CH46=1,CE46+CJ46,IF(CI46=1,MAX(0,CE46-MAX(CL46-CJ46,MIN(600,CL46))),MAX(0,CE46*(1+CF46)-CL46))))</f>
        <v/>
      </c>
      <c r="CN46" s="7">
        <f>IF(13=0,0,CN45)+IF(CI46=1,12*MIN(1,K46),0)</f>
        <v/>
      </c>
      <c r="CO46" s="7">
        <f>IF(AND(CI46=1,CN46&gt;=prestamos_pslfPagos,CM46&gt;0),CM46,0)</f>
        <v/>
      </c>
      <c r="CP46" s="7">
        <f>CM46-CO46</f>
        <v/>
      </c>
      <c r="CQ46" s="7">
        <f>IF(AND(CE46&gt;0,CH46=0,CI46=0),CG46+1,CG46)</f>
        <v/>
      </c>
      <c r="CR46" s="7">
        <f>IF(13=0,IF(personal_deudaEsFederal=1,0,personal_deudaEstudiantil),EA45)</f>
        <v/>
      </c>
      <c r="CS46" s="7">
        <f>IF(13=0,IF(personal_deudaEsFederal=1,prestamos_tasaPrivada,personal_tasaDeudaEstudiantil),EB45)</f>
        <v/>
      </c>
      <c r="CT46" s="7">
        <f>IF(13=0,0,EC45)</f>
        <v/>
      </c>
      <c r="CU46" s="7">
        <f>IF(OR(CR46&lt;=0,CH46=1),0,PMT(CS46,MAX(1,prestamos_plazoAnios-CT46),-CR46))</f>
        <v/>
      </c>
      <c r="CV46" s="7">
        <f>IF(CR46&lt;=0,0,IF(CH46=1,CR46*(1+CS46),MAX(0,CR46*(1+CS46)-CU46)))</f>
        <v/>
      </c>
      <c r="CW46" s="7">
        <f>IF(AND(CR46&gt;0,CH46=0),CT46+1,CT46)</f>
        <v/>
      </c>
      <c r="CX46" s="7">
        <f>IF(13=0,0,ED45)*(1+general_tasaDeudaConsumo)</f>
        <v/>
      </c>
      <c r="CY46" s="7">
        <f>L46*12*tiempos_travelGastoExtraMes*C46</f>
        <v/>
      </c>
      <c r="CZ46" s="7">
        <f>AJ46+CY46+CA46+CC46+CL46+CU46+I46+N46-BZ46-CB46</f>
        <v/>
      </c>
      <c r="DA46" s="7">
        <f>AH46-CZ46</f>
        <v/>
      </c>
      <c r="DB46" s="7">
        <f>IF(13=0,0,DB45)+DA46</f>
        <v/>
      </c>
      <c r="DC46" s="7">
        <f>AN46*vivienda_enganchePct+AN46*vivienda_cierrePct+general_reservaMeses/12*AJ46</f>
        <v/>
      </c>
      <c r="DD46" s="7">
        <f>IF(BB46=1,g_ret,IF(BD46&gt;0,MIN(1,DC46/BD46),1)*g_cash+(1-IF(BD46&gt;0,MIN(1,DC46/BD46),1))*g_ret)</f>
        <v/>
      </c>
      <c r="DE46" s="7">
        <f>IF(DA46&gt;=0,MIN(CX46,DA46),0)</f>
        <v/>
      </c>
      <c r="DF46" s="7">
        <f>IF(DA46&gt;=0,(1-general_tasaAhorro)*(DA46-DE46),0)</f>
        <v/>
      </c>
      <c r="DG46" s="7">
        <f>IF(DA46&gt;=0,DA46-DE46-DF46,0)</f>
        <v/>
      </c>
      <c r="DH46" s="7">
        <f>MIN(personal_rothAnual,DG46)</f>
        <v/>
      </c>
      <c r="DI46" s="7">
        <f>IF(AND(DA46&gt;=0,BB46=1,BP46+BT46&gt;0),MIN(vivienda_prepagoPct*(DG46-DH46),BP46+BT46),0)</f>
        <v/>
      </c>
      <c r="DJ46" s="7">
        <f>MIN(DI46,BP46)</f>
        <v/>
      </c>
      <c r="DK46" s="7">
        <f>IF(DA46&lt;0,MIN(MAX(0,BD46),-DA46),0)</f>
        <v/>
      </c>
      <c r="DL46" s="7">
        <f>IF(DA46&lt;0,-DA46-DK46,0)</f>
        <v/>
      </c>
      <c r="DM46" s="7">
        <f>IF(13=0,0,DZ45)</f>
        <v/>
      </c>
      <c r="DN46" s="7">
        <f>IF(AND(DL46&gt;0,J46&gt;0),MIN(DL46,MIN(prestamos_topeAnualPosgrado*MIN(1,J46),MAX(0,prestamos_topeTotalPosgrado-DM46))),0)</f>
        <v/>
      </c>
      <c r="DO46" s="7">
        <f>IF(AND(DL46&gt;0,J46&gt;0),DL46-DN46,0)</f>
        <v/>
      </c>
      <c r="DP46" s="7">
        <f>IF(AND(DL46&gt;0,J46&lt;=0),DL46,0)</f>
        <v/>
      </c>
      <c r="DQ46" s="7">
        <f>IF(DA46&gt;=0,DG46-DH46-DI46,-DK46)</f>
        <v/>
      </c>
      <c r="DR46" s="7">
        <f>BD46*(1+DD46)+DQ46*(1+DD46/2)</f>
        <v/>
      </c>
      <c r="DS46" s="7">
        <f>IF(13=0,personal_retiroInicial,DS45)*(1+g_ret)+(O46+P46+DH46)*(1+g_ret/2)</f>
        <v/>
      </c>
      <c r="DT46" s="7">
        <f>IF(BB46=1,BL46*(1+g_appr),0)</f>
        <v/>
      </c>
      <c r="DU46" s="7">
        <f>BP46-DJ46</f>
        <v/>
      </c>
      <c r="DV46" s="7">
        <f>BT46-(DI46-DJ46)</f>
        <v/>
      </c>
      <c r="DW46" s="7">
        <f>CP46+DN46</f>
        <v/>
      </c>
      <c r="DX46" s="7">
        <f>IF(DN46&gt;0,(CP46*CF46+DN46*prestamos_tasaFederalPosgrado)/(CP46+DN46),CF46)</f>
        <v/>
      </c>
      <c r="DY46" s="7">
        <f>IF(DN46&gt;0,0,CQ46)</f>
        <v/>
      </c>
      <c r="DZ46" s="7">
        <f>DM46+DN46</f>
        <v/>
      </c>
      <c r="EA46" s="7">
        <f>CV46+DO46</f>
        <v/>
      </c>
      <c r="EB46" s="7">
        <f>IF(DO46&gt;0,(CV46*CS46+DO46*prestamos_tasaPrivada)/(CV46+DO46),CS46)</f>
        <v/>
      </c>
      <c r="EC46" s="7">
        <f>IF(DO46&gt;0,0,CW46)</f>
        <v/>
      </c>
      <c r="ED46" s="7">
        <f>CX46-DE46+DP46</f>
        <v/>
      </c>
      <c r="EE46" s="7">
        <f>IF(IF(13=0,"",EE45)&lt;&gt;"",EE45,IF(AND(BB46=1,DU46&lt;=0.5,DV46&lt;=0.5,OR(BH46=0,BJ46=1)),A46,""))</f>
        <v/>
      </c>
      <c r="EF46" s="7">
        <f>DU46+DV46+DW46+EA46+ED46+CD46</f>
        <v/>
      </c>
      <c r="EG46" s="7">
        <f>DR46+DS46+DT46-EF46</f>
        <v/>
      </c>
      <c r="EH46" s="7">
        <f>EG46/(1+g_inf)^(A46+1-2026)</f>
        <v/>
      </c>
    </row>
    <row r="47">
      <c r="A47" t="n">
        <v>2041</v>
      </c>
      <c r="B47" t="n">
        <v>14</v>
      </c>
      <c r="C47" s="7">
        <f>(1+g_inf)^(A47-2026)</f>
        <v/>
      </c>
      <c r="D47" s="7">
        <f>SUMPRODUCT($AH$5:$AH$29,$E$5:$E$29*(1+$F$5:$F$29)^(A47-2026)*$G$5:$G$29*$H$5:$H$29*(1-$N$5:$N$29*$O$5:$O$29))*g_salMult+SUMPRODUCT(($B$5:$B$29&gt;=A47)*($B$5:$B$29&lt;A47+1)*$I$5:$I$29)*g_salMult</f>
        <v/>
      </c>
      <c r="E47" s="7">
        <f>SUMPRODUCT($AH$5:$AH$29,$E$5:$E$29*(1+$F$5:$F$29)^(A47-2026)*$G$5:$G$29*$H$5:$H$29*$M$5:$M$29)*g_salMult</f>
        <v/>
      </c>
      <c r="F47" s="7">
        <f>SUMPRODUCT($AH$5:$AH$29,$E$5:$E$29*(1+$F$5:$F$29)^(A47-2026)*$G$5:$G$29*$H$5:$H$29*$N$5:$N$29*$O$5:$O$29)*g_salMult</f>
        <v/>
      </c>
      <c r="G47" s="7">
        <f>SUMPRODUCT($AH$5:$AH$29,$P$5:$P$29*(1+$F$5:$F$29)^(A47-2026))</f>
        <v/>
      </c>
      <c r="H47" s="7">
        <f>SUMPRODUCT($AH$5:$AH$29,$Q$5:$Q$29*(1+$F$5:$F$29)^(A47-2026))+IF(personal_llcActivo=1,personal_llcNeto*(1+personal_llcCrecimiento)^14,0)</f>
        <v/>
      </c>
      <c r="I47" s="7">
        <f>SUMPRODUCT($AH$5:$AH$29,$J$5:$J$29/($C$5:$C$29-$B$5:$B$29+($C$5:$C$29=$B$5:$B$29)))*C47</f>
        <v/>
      </c>
      <c r="J47" s="7">
        <f>SUMPRODUCT($AH$5:$AH$29,$K$5:$K$29)</f>
        <v/>
      </c>
      <c r="K47" s="7">
        <f>SUMPRODUCT($AH$5:$AH$29,$L$5:$L$29)</f>
        <v/>
      </c>
      <c r="L47" s="7">
        <f>SUMPRODUCT($AH$5:$AH$29,$N$5:$N$29)</f>
        <v/>
      </c>
      <c r="M47" s="7">
        <f>IF(SUMPRODUCT($AH$5:$AH$29,$R$5:$R$29)&gt;0,1,0)</f>
        <v/>
      </c>
      <c r="N47" s="7">
        <f>SUMPRODUCT(($AO$5:$AO$24&gt;=A47)*($AO$5:$AO$24&lt;A47+1)*$AP$5:$AP$24)*C47+IF(14=0,IF(sel_loc&lt;&gt;"miami",personal_costoMudanzaInicial,0),0)</f>
        <v/>
      </c>
      <c r="O47" s="7">
        <f>MIN(personal_aporte403bPct*D47,retiro_limite403b*C47)</f>
        <v/>
      </c>
      <c r="P47" s="7">
        <f>MIN(personal_aporte403bPct,personal_match403bPct)*E47</f>
        <v/>
      </c>
      <c r="Q47" s="7">
        <f>IF(G47&gt;0,MAX(0,G47-impuestos_scorpCostoAnual*C47),0)</f>
        <v/>
      </c>
      <c r="R47" s="7">
        <f>Q47*impuestos_scorpSalarioPct/(1+impuestos_ssTasa+impuestos_medicareTasa)</f>
        <v/>
      </c>
      <c r="S47" s="7">
        <f>impuestos_ssTasa*MIN(R47,MAX(0,impuestos_ssTope*C47-D47))+impuestos_medicareTasa*R47</f>
        <v/>
      </c>
      <c r="T47" s="7">
        <f>Q47-R47-S47</f>
        <v/>
      </c>
      <c r="U47" s="7">
        <f>D47+R47</f>
        <v/>
      </c>
      <c r="V47" s="7">
        <f>H47*0.9235</f>
        <v/>
      </c>
      <c r="W47" s="7">
        <f>IF(H47&gt;0,2*impuestos_ssTasa*MIN(V47,MAX(0,impuestos_ssTope*C47-U47))+2*impuestos_medicareTasa*V47,0)</f>
        <v/>
      </c>
      <c r="X47" s="7">
        <f>impuestos_ssTasa*MIN(U47,impuestos_ssTope*C47)+impuestos_medicareTasa*U47+impuestos_medicareAdicional*MAX(0,U47+H47*0.9235-impuestos_medicareUmbral)</f>
        <v/>
      </c>
      <c r="Y47" s="7">
        <f>MAX(0,D47-O47+R47+T47+H47-W47/2)</f>
        <v/>
      </c>
      <c r="Z47" s="7">
        <f>MAX(0,Y47-impuestos_deduccionEstandar*C47)</f>
        <v/>
      </c>
      <c r="AA47" s="7">
        <f>MIN(0.2*MAX(0,T47+H47-W47/2)*MAX(0,MIN(1,1-(Z47-impuestos_qbiUmbral*C47)/(impuestos_qbiRango*C47))),0.2*Z47)</f>
        <v/>
      </c>
      <c r="AB47" s="7">
        <f>MAX(0,Z47-AA47)</f>
        <v/>
      </c>
      <c r="AC47" s="7">
        <f>SUMPRODUCT((AB47&gt;tb_federalBrackets_lo*C47)*(AB47-tb_federalBrackets_lo*C47)*tb_federalBrackets_dr)</f>
        <v/>
      </c>
      <c r="AD47" s="7">
        <f>MAX(0,Y47-impuestos_nyDeduccion*C47)</f>
        <v/>
      </c>
      <c r="AE47" s="7">
        <f>CHOOSE(loc_taxcode,0,impuestos_ohTasa*MAX(0,Y47-impuestos_ohExento*C47)+impuestos_ohMunicipal*U47,SUMPRODUCT((AD47&gt;tb_nyBrackets_lo*C47)*(AD47-tb_nyBrackets_lo*C47)*tb_nyBrackets_dr)+loc_nyc*SUMPRODUCT((AD47&gt;tb_nycBrackets_lo*C47)*(AD47-tb_nycBrackets_lo*C47)*tb_nycBrackets_dr))</f>
        <v/>
      </c>
      <c r="AF47" s="7">
        <f>AC47+AE47+X47+W47</f>
        <v/>
      </c>
      <c r="AG47" s="7">
        <f>D47+F47+R47+T47+H47</f>
        <v/>
      </c>
      <c r="AH47" s="7">
        <f>AG47-AF47-O47</f>
        <v/>
      </c>
      <c r="AI47" s="7">
        <f>D47+F47+G47+H47</f>
        <v/>
      </c>
      <c r="AJ47" s="7">
        <f>loc_gastosVida*C47*g_gastos</f>
        <v/>
      </c>
      <c r="AK47" s="7">
        <f>IF(14=0,personal_liquidoInicial,DR46)</f>
        <v/>
      </c>
      <c r="AL47" s="7">
        <f>IF(14=0,0,BB46)</f>
        <v/>
      </c>
      <c r="AM47" s="7">
        <f>CHOOSE(sel_cfgIdx,loc_precio_duplex,loc_precio_inlaw,loc_precio_dosCasas,loc_precio_casaAdu,loc_precio_multi)</f>
        <v/>
      </c>
      <c r="AN47" s="7">
        <f>AM47*(1+g_appr)^(A47-2026)</f>
        <v/>
      </c>
      <c r="AO47" s="7">
        <f>IF(AND(M47=1,vivienda_prestamoMedico=1),1,0)</f>
        <v/>
      </c>
      <c r="AP47" s="7">
        <f>IF(AO47=1,0.05,vivienda_enganchePct)</f>
        <v/>
      </c>
      <c r="AQ47" s="7">
        <f>AN47*(1-AP47)</f>
        <v/>
      </c>
      <c r="AR47" s="7">
        <f>PMT(g_mortRate/12,vivienda_plazoHipoteca*12,-AQ47)</f>
        <v/>
      </c>
      <c r="AS47" s="7">
        <f>INDEX(cfg_units,sel_cfgIdx)</f>
        <v/>
      </c>
      <c r="AT47" s="7">
        <f>AS47*loc_rentaUnidad*(1+g_inf)^(A47-2026)*(1-vivienda_vacancia)</f>
        <v/>
      </c>
      <c r="AU47" s="7">
        <f>AR47+AN47*loc_impuestoPropPct/12+AM47*loc_seguroPct*(1+vivienda_inflacionSeguro)^(A47-2026)/12+IF(AND(AO47=0,AP47&lt;0.2),AQ47*vivienda_pmiTasa/12,0)</f>
        <v/>
      </c>
      <c r="AV47" s="7">
        <f>AN47*AP47+AN47*vivienda_cierrePct+general_reservaMeses/12*AJ47</f>
        <v/>
      </c>
      <c r="AW47" s="7">
        <f>(IF(14=0,MIN(personal_irsSaldo,personal_irsPagoMensual*12),MIN(CD46,personal_irsPagoMensual*12))+IF(CE47&gt;0,PMT(CF47,MAX(1,prestamos_plazoAnios-CG47),-CE47),0)+IF(CR47&gt;0,PMT(CS47,MAX(1,prestamos_plazoAnios-CT47),-CR47),0))/12</f>
        <v/>
      </c>
      <c r="AX47" s="7">
        <f>IF(OR(sel_cfg="duplex",sel_cfg="multi",sel_cfg="dosCasas"),0.75*personal_aporteFamiliaMensual,0)</f>
        <v/>
      </c>
      <c r="AY47" s="7">
        <f>AU47-0.75*AT47-AX47+AW47</f>
        <v/>
      </c>
      <c r="AZ47" s="7">
        <f>(D47+G47+H47+0.5*F47)/12</f>
        <v/>
      </c>
      <c r="BA47" s="7">
        <f>IF(AND(AL47=0,A47&gt;=vivienda_anioMinCompra,J47&lt;0.5,AI47&gt;0,AK47&gt;=AV47,AY47&lt;=vivienda_dtiMax*AZ47),1,0)</f>
        <v/>
      </c>
      <c r="BB47" s="7">
        <f>MAX(AL47,BA47)</f>
        <v/>
      </c>
      <c r="BC47" s="7">
        <f>IF(BA47=1,A47,IF(14=0,"",BC46))</f>
        <v/>
      </c>
      <c r="BD47" s="7">
        <f>AK47-IF(BA47=1,AN47*AP47+AN47*vivienda_cierrePct,0)</f>
        <v/>
      </c>
      <c r="BE47" s="7">
        <f>IF(BA47=1,AN47,IF(14=0,0,BE46))</f>
        <v/>
      </c>
      <c r="BF47" s="7">
        <f>IF(BA47=1,AR47,IF(14=0,0,BF46))</f>
        <v/>
      </c>
      <c r="BG47" s="7">
        <f>IF(BA47=1,IF(AND(AO47=0,AP47&lt;0.2),1,0),IF(14=0,0,BY46))</f>
        <v/>
      </c>
      <c r="BH47" s="7">
        <f>IF(sel_cfg="casaAdu",1,0)</f>
        <v/>
      </c>
      <c r="BI47" s="7">
        <f>IF(AND(BB47=1,BH47=1,IF(14=0,0,BJ46)=0,A47&gt;=IF(BC47="",9999,BC47)+vivienda_aduRetrasoAnios),1,0)</f>
        <v/>
      </c>
      <c r="BJ47" s="7">
        <f>MAX(IF(14=0,0,BJ46),BI47)</f>
        <v/>
      </c>
      <c r="BK47" s="7">
        <f>IF(BI47=1,PMT((g_mortRate+0.005)/12,180,-loc_precio_aduCosto*C47),IF(14=0,0,BK46))</f>
        <v/>
      </c>
      <c r="BL47" s="7">
        <f>IF(BA47=1,AN47,IF(14=0,0,DT46))+IF(BI47=1,loc_precio_aduCosto*C47,0)</f>
        <v/>
      </c>
      <c r="BM47" s="7">
        <f>IF(BA47=1,AQ47,IF(14=0,0,DU46))</f>
        <v/>
      </c>
      <c r="BN47" s="7">
        <f>IF(BM47&lt;=0,0,FV(g_mortRate/12,12,BF47,-BM47))</f>
        <v/>
      </c>
      <c r="BO47" s="7">
        <f>IF(BM47&lt;=0,0,12*BF47+MIN(0,BN47))</f>
        <v/>
      </c>
      <c r="BP47" s="7">
        <f>MAX(0,BN47)</f>
        <v/>
      </c>
      <c r="BQ47" s="7">
        <f>IF(BI47=1,loc_precio_aduCosto*C47,IF(14=0,0,DV46))</f>
        <v/>
      </c>
      <c r="BR47" s="7">
        <f>IF(BQ47&lt;=0,0,FV((g_mortRate+0.005)/12,12,BK47,-BQ47))</f>
        <v/>
      </c>
      <c r="BS47" s="7">
        <f>IF(BQ47&lt;=0,0,12*BK47+MIN(0,BR47))</f>
        <v/>
      </c>
      <c r="BT47" s="7">
        <f>MAX(0,BR47)</f>
        <v/>
      </c>
      <c r="BU47" s="7">
        <f>IF(BB47=1,AM47*loc_seguroPct*(1+vivienda_inflacionSeguro)^(A47-2026)*IF(BJ47=1,1+loc_precio_aduCosto/AM47,1),0)</f>
        <v/>
      </c>
      <c r="BV47" s="7">
        <f>BL47*loc_impuestoPropPct</f>
        <v/>
      </c>
      <c r="BW47" s="7">
        <f>BL47*vivienda_mantenimientoPct</f>
        <v/>
      </c>
      <c r="BX47" s="7">
        <f>IF(AND(BG47=1,BP47&gt;0.8*BE47),BE47*(1-vivienda_enganchePct)*vivienda_pmiTasa,0)</f>
        <v/>
      </c>
      <c r="BY47" s="7">
        <f>IF(AND(BG47=1,BP47&gt;0.8*BE47),1,0)</f>
        <v/>
      </c>
      <c r="BZ47" s="7">
        <f>IF(BB47=1,AS47*loc_rentaUnidad*12*C47*(1-vivienda_vacancia)*(1-vivienda_gestionPct),0)</f>
        <v/>
      </c>
      <c r="CA47" s="7">
        <f>IF(BB47=1,BO47+BS47+BU47+BV47+BW47+BX47,loc_rentaMensual*12*C47)</f>
        <v/>
      </c>
      <c r="CB47" s="7">
        <f>IF(BB47=1,personal_aporteFamiliaMensual*12,0)</f>
        <v/>
      </c>
      <c r="CC47" s="7">
        <f>MIN(IF(14=0,personal_irsSaldo,CD46),personal_irsPagoMensual*12)</f>
        <v/>
      </c>
      <c r="CD47" s="7">
        <f>IF(14=0,personal_irsSaldo,CD46)-CC47</f>
        <v/>
      </c>
      <c r="CE47" s="7">
        <f>IF(14=0,IF(personal_deudaEsFederal=1,personal_deudaEstudiantil,0),DW46)</f>
        <v/>
      </c>
      <c r="CF47" s="7">
        <f>IF(14=0,personal_tasaDeudaEstudiantil,DX46)</f>
        <v/>
      </c>
      <c r="CG47" s="7">
        <f>IF(14=0,0,DY46)</f>
        <v/>
      </c>
      <c r="CH47" s="7">
        <f>IF(J47&gt;=0.5,1,0)</f>
        <v/>
      </c>
      <c r="CI47" s="7">
        <f>IF(AND(CH47=0,prestamos_pslfActivo=1,K47&gt;=0.5,CE47&gt;0),1,0)</f>
        <v/>
      </c>
      <c r="CJ47" s="7">
        <f>CE47*CF47</f>
        <v/>
      </c>
      <c r="CK47" s="7">
        <f>MAX(prestamos_rapPagoMinimoAnual,IF(Y47&lt;10000,0,MIN(0.1,INT(Y47/10000)/100))*Y47)</f>
        <v/>
      </c>
      <c r="CL47" s="7">
        <f>IF(CE47&lt;=0,0,IF(CH47=1,0,IF(CI47=1,MIN(CE47+CJ47,CK47),PMT(CF47,MAX(1,prestamos_plazoAnios-CG47),-CE47))))</f>
        <v/>
      </c>
      <c r="CM47" s="7">
        <f>IF(CE47&lt;=0,0,IF(CH47=1,CE47+CJ47,IF(CI47=1,MAX(0,CE47-MAX(CL47-CJ47,MIN(600,CL47))),MAX(0,CE47*(1+CF47)-CL47))))</f>
        <v/>
      </c>
      <c r="CN47" s="7">
        <f>IF(14=0,0,CN46)+IF(CI47=1,12*MIN(1,K47),0)</f>
        <v/>
      </c>
      <c r="CO47" s="7">
        <f>IF(AND(CI47=1,CN47&gt;=prestamos_pslfPagos,CM47&gt;0),CM47,0)</f>
        <v/>
      </c>
      <c r="CP47" s="7">
        <f>CM47-CO47</f>
        <v/>
      </c>
      <c r="CQ47" s="7">
        <f>IF(AND(CE47&gt;0,CH47=0,CI47=0),CG47+1,CG47)</f>
        <v/>
      </c>
      <c r="CR47" s="7">
        <f>IF(14=0,IF(personal_deudaEsFederal=1,0,personal_deudaEstudiantil),EA46)</f>
        <v/>
      </c>
      <c r="CS47" s="7">
        <f>IF(14=0,IF(personal_deudaEsFederal=1,prestamos_tasaPrivada,personal_tasaDeudaEstudiantil),EB46)</f>
        <v/>
      </c>
      <c r="CT47" s="7">
        <f>IF(14=0,0,EC46)</f>
        <v/>
      </c>
      <c r="CU47" s="7">
        <f>IF(OR(CR47&lt;=0,CH47=1),0,PMT(CS47,MAX(1,prestamos_plazoAnios-CT47),-CR47))</f>
        <v/>
      </c>
      <c r="CV47" s="7">
        <f>IF(CR47&lt;=0,0,IF(CH47=1,CR47*(1+CS47),MAX(0,CR47*(1+CS47)-CU47)))</f>
        <v/>
      </c>
      <c r="CW47" s="7">
        <f>IF(AND(CR47&gt;0,CH47=0),CT47+1,CT47)</f>
        <v/>
      </c>
      <c r="CX47" s="7">
        <f>IF(14=0,0,ED46)*(1+general_tasaDeudaConsumo)</f>
        <v/>
      </c>
      <c r="CY47" s="7">
        <f>L47*12*tiempos_travelGastoExtraMes*C47</f>
        <v/>
      </c>
      <c r="CZ47" s="7">
        <f>AJ47+CY47+CA47+CC47+CL47+CU47+I47+N47-BZ47-CB47</f>
        <v/>
      </c>
      <c r="DA47" s="7">
        <f>AH47-CZ47</f>
        <v/>
      </c>
      <c r="DB47" s="7">
        <f>IF(14=0,0,DB46)+DA47</f>
        <v/>
      </c>
      <c r="DC47" s="7">
        <f>AN47*vivienda_enganchePct+AN47*vivienda_cierrePct+general_reservaMeses/12*AJ47</f>
        <v/>
      </c>
      <c r="DD47" s="7">
        <f>IF(BB47=1,g_ret,IF(BD47&gt;0,MIN(1,DC47/BD47),1)*g_cash+(1-IF(BD47&gt;0,MIN(1,DC47/BD47),1))*g_ret)</f>
        <v/>
      </c>
      <c r="DE47" s="7">
        <f>IF(DA47&gt;=0,MIN(CX47,DA47),0)</f>
        <v/>
      </c>
      <c r="DF47" s="7">
        <f>IF(DA47&gt;=0,(1-general_tasaAhorro)*(DA47-DE47),0)</f>
        <v/>
      </c>
      <c r="DG47" s="7">
        <f>IF(DA47&gt;=0,DA47-DE47-DF47,0)</f>
        <v/>
      </c>
      <c r="DH47" s="7">
        <f>MIN(personal_rothAnual,DG47)</f>
        <v/>
      </c>
      <c r="DI47" s="7">
        <f>IF(AND(DA47&gt;=0,BB47=1,BP47+BT47&gt;0),MIN(vivienda_prepagoPct*(DG47-DH47),BP47+BT47),0)</f>
        <v/>
      </c>
      <c r="DJ47" s="7">
        <f>MIN(DI47,BP47)</f>
        <v/>
      </c>
      <c r="DK47" s="7">
        <f>IF(DA47&lt;0,MIN(MAX(0,BD47),-DA47),0)</f>
        <v/>
      </c>
      <c r="DL47" s="7">
        <f>IF(DA47&lt;0,-DA47-DK47,0)</f>
        <v/>
      </c>
      <c r="DM47" s="7">
        <f>IF(14=0,0,DZ46)</f>
        <v/>
      </c>
      <c r="DN47" s="7">
        <f>IF(AND(DL47&gt;0,J47&gt;0),MIN(DL47,MIN(prestamos_topeAnualPosgrado*MIN(1,J47),MAX(0,prestamos_topeTotalPosgrado-DM47))),0)</f>
        <v/>
      </c>
      <c r="DO47" s="7">
        <f>IF(AND(DL47&gt;0,J47&gt;0),DL47-DN47,0)</f>
        <v/>
      </c>
      <c r="DP47" s="7">
        <f>IF(AND(DL47&gt;0,J47&lt;=0),DL47,0)</f>
        <v/>
      </c>
      <c r="DQ47" s="7">
        <f>IF(DA47&gt;=0,DG47-DH47-DI47,-DK47)</f>
        <v/>
      </c>
      <c r="DR47" s="7">
        <f>BD47*(1+DD47)+DQ47*(1+DD47/2)</f>
        <v/>
      </c>
      <c r="DS47" s="7">
        <f>IF(14=0,personal_retiroInicial,DS46)*(1+g_ret)+(O47+P47+DH47)*(1+g_ret/2)</f>
        <v/>
      </c>
      <c r="DT47" s="7">
        <f>IF(BB47=1,BL47*(1+g_appr),0)</f>
        <v/>
      </c>
      <c r="DU47" s="7">
        <f>BP47-DJ47</f>
        <v/>
      </c>
      <c r="DV47" s="7">
        <f>BT47-(DI47-DJ47)</f>
        <v/>
      </c>
      <c r="DW47" s="7">
        <f>CP47+DN47</f>
        <v/>
      </c>
      <c r="DX47" s="7">
        <f>IF(DN47&gt;0,(CP47*CF47+DN47*prestamos_tasaFederalPosgrado)/(CP47+DN47),CF47)</f>
        <v/>
      </c>
      <c r="DY47" s="7">
        <f>IF(DN47&gt;0,0,CQ47)</f>
        <v/>
      </c>
      <c r="DZ47" s="7">
        <f>DM47+DN47</f>
        <v/>
      </c>
      <c r="EA47" s="7">
        <f>CV47+DO47</f>
        <v/>
      </c>
      <c r="EB47" s="7">
        <f>IF(DO47&gt;0,(CV47*CS47+DO47*prestamos_tasaPrivada)/(CV47+DO47),CS47)</f>
        <v/>
      </c>
      <c r="EC47" s="7">
        <f>IF(DO47&gt;0,0,CW47)</f>
        <v/>
      </c>
      <c r="ED47" s="7">
        <f>CX47-DE47+DP47</f>
        <v/>
      </c>
      <c r="EE47" s="7">
        <f>IF(IF(14=0,"",EE46)&lt;&gt;"",EE46,IF(AND(BB47=1,DU47&lt;=0.5,DV47&lt;=0.5,OR(BH47=0,BJ47=1)),A47,""))</f>
        <v/>
      </c>
      <c r="EF47" s="7">
        <f>DU47+DV47+DW47+EA47+ED47+CD47</f>
        <v/>
      </c>
      <c r="EG47" s="7">
        <f>DR47+DS47+DT47-EF47</f>
        <v/>
      </c>
      <c r="EH47" s="7">
        <f>EG47/(1+g_inf)^(A47+1-2026)</f>
        <v/>
      </c>
    </row>
    <row r="48">
      <c r="A48" t="n">
        <v>2042</v>
      </c>
      <c r="B48" t="n">
        <v>15</v>
      </c>
      <c r="C48" s="7">
        <f>(1+g_inf)^(A48-2026)</f>
        <v/>
      </c>
      <c r="D48" s="7">
        <f>SUMPRODUCT($AI$5:$AI$29,$E$5:$E$29*(1+$F$5:$F$29)^(A48-2026)*$G$5:$G$29*$H$5:$H$29*(1-$N$5:$N$29*$O$5:$O$29))*g_salMult+SUMPRODUCT(($B$5:$B$29&gt;=A48)*($B$5:$B$29&lt;A48+1)*$I$5:$I$29)*g_salMult</f>
        <v/>
      </c>
      <c r="E48" s="7">
        <f>SUMPRODUCT($AI$5:$AI$29,$E$5:$E$29*(1+$F$5:$F$29)^(A48-2026)*$G$5:$G$29*$H$5:$H$29*$M$5:$M$29)*g_salMult</f>
        <v/>
      </c>
      <c r="F48" s="7">
        <f>SUMPRODUCT($AI$5:$AI$29,$E$5:$E$29*(1+$F$5:$F$29)^(A48-2026)*$G$5:$G$29*$H$5:$H$29*$N$5:$N$29*$O$5:$O$29)*g_salMult</f>
        <v/>
      </c>
      <c r="G48" s="7">
        <f>SUMPRODUCT($AI$5:$AI$29,$P$5:$P$29*(1+$F$5:$F$29)^(A48-2026))</f>
        <v/>
      </c>
      <c r="H48" s="7">
        <f>SUMPRODUCT($AI$5:$AI$29,$Q$5:$Q$29*(1+$F$5:$F$29)^(A48-2026))+IF(personal_llcActivo=1,personal_llcNeto*(1+personal_llcCrecimiento)^15,0)</f>
        <v/>
      </c>
      <c r="I48" s="7">
        <f>SUMPRODUCT($AI$5:$AI$29,$J$5:$J$29/($C$5:$C$29-$B$5:$B$29+($C$5:$C$29=$B$5:$B$29)))*C48</f>
        <v/>
      </c>
      <c r="J48" s="7">
        <f>SUMPRODUCT($AI$5:$AI$29,$K$5:$K$29)</f>
        <v/>
      </c>
      <c r="K48" s="7">
        <f>SUMPRODUCT($AI$5:$AI$29,$L$5:$L$29)</f>
        <v/>
      </c>
      <c r="L48" s="7">
        <f>SUMPRODUCT($AI$5:$AI$29,$N$5:$N$29)</f>
        <v/>
      </c>
      <c r="M48" s="7">
        <f>IF(SUMPRODUCT($AI$5:$AI$29,$R$5:$R$29)&gt;0,1,0)</f>
        <v/>
      </c>
      <c r="N48" s="7">
        <f>SUMPRODUCT(($AO$5:$AO$24&gt;=A48)*($AO$5:$AO$24&lt;A48+1)*$AP$5:$AP$24)*C48+IF(15=0,IF(sel_loc&lt;&gt;"miami",personal_costoMudanzaInicial,0),0)</f>
        <v/>
      </c>
      <c r="O48" s="7">
        <f>MIN(personal_aporte403bPct*D48,retiro_limite403b*C48)</f>
        <v/>
      </c>
      <c r="P48" s="7">
        <f>MIN(personal_aporte403bPct,personal_match403bPct)*E48</f>
        <v/>
      </c>
      <c r="Q48" s="7">
        <f>IF(G48&gt;0,MAX(0,G48-impuestos_scorpCostoAnual*C48),0)</f>
        <v/>
      </c>
      <c r="R48" s="7">
        <f>Q48*impuestos_scorpSalarioPct/(1+impuestos_ssTasa+impuestos_medicareTasa)</f>
        <v/>
      </c>
      <c r="S48" s="7">
        <f>impuestos_ssTasa*MIN(R48,MAX(0,impuestos_ssTope*C48-D48))+impuestos_medicareTasa*R48</f>
        <v/>
      </c>
      <c r="T48" s="7">
        <f>Q48-R48-S48</f>
        <v/>
      </c>
      <c r="U48" s="7">
        <f>D48+R48</f>
        <v/>
      </c>
      <c r="V48" s="7">
        <f>H48*0.9235</f>
        <v/>
      </c>
      <c r="W48" s="7">
        <f>IF(H48&gt;0,2*impuestos_ssTasa*MIN(V48,MAX(0,impuestos_ssTope*C48-U48))+2*impuestos_medicareTasa*V48,0)</f>
        <v/>
      </c>
      <c r="X48" s="7">
        <f>impuestos_ssTasa*MIN(U48,impuestos_ssTope*C48)+impuestos_medicareTasa*U48+impuestos_medicareAdicional*MAX(0,U48+H48*0.9235-impuestos_medicareUmbral)</f>
        <v/>
      </c>
      <c r="Y48" s="7">
        <f>MAX(0,D48-O48+R48+T48+H48-W48/2)</f>
        <v/>
      </c>
      <c r="Z48" s="7">
        <f>MAX(0,Y48-impuestos_deduccionEstandar*C48)</f>
        <v/>
      </c>
      <c r="AA48" s="7">
        <f>MIN(0.2*MAX(0,T48+H48-W48/2)*MAX(0,MIN(1,1-(Z48-impuestos_qbiUmbral*C48)/(impuestos_qbiRango*C48))),0.2*Z48)</f>
        <v/>
      </c>
      <c r="AB48" s="7">
        <f>MAX(0,Z48-AA48)</f>
        <v/>
      </c>
      <c r="AC48" s="7">
        <f>SUMPRODUCT((AB48&gt;tb_federalBrackets_lo*C48)*(AB48-tb_federalBrackets_lo*C48)*tb_federalBrackets_dr)</f>
        <v/>
      </c>
      <c r="AD48" s="7">
        <f>MAX(0,Y48-impuestos_nyDeduccion*C48)</f>
        <v/>
      </c>
      <c r="AE48" s="7">
        <f>CHOOSE(loc_taxcode,0,impuestos_ohTasa*MAX(0,Y48-impuestos_ohExento*C48)+impuestos_ohMunicipal*U48,SUMPRODUCT((AD48&gt;tb_nyBrackets_lo*C48)*(AD48-tb_nyBrackets_lo*C48)*tb_nyBrackets_dr)+loc_nyc*SUMPRODUCT((AD48&gt;tb_nycBrackets_lo*C48)*(AD48-tb_nycBrackets_lo*C48)*tb_nycBrackets_dr))</f>
        <v/>
      </c>
      <c r="AF48" s="7">
        <f>AC48+AE48+X48+W48</f>
        <v/>
      </c>
      <c r="AG48" s="7">
        <f>D48+F48+R48+T48+H48</f>
        <v/>
      </c>
      <c r="AH48" s="7">
        <f>AG48-AF48-O48</f>
        <v/>
      </c>
      <c r="AI48" s="7">
        <f>D48+F48+G48+H48</f>
        <v/>
      </c>
      <c r="AJ48" s="7">
        <f>loc_gastosVida*C48*g_gastos</f>
        <v/>
      </c>
      <c r="AK48" s="7">
        <f>IF(15=0,personal_liquidoInicial,DR47)</f>
        <v/>
      </c>
      <c r="AL48" s="7">
        <f>IF(15=0,0,BB47)</f>
        <v/>
      </c>
      <c r="AM48" s="7">
        <f>CHOOSE(sel_cfgIdx,loc_precio_duplex,loc_precio_inlaw,loc_precio_dosCasas,loc_precio_casaAdu,loc_precio_multi)</f>
        <v/>
      </c>
      <c r="AN48" s="7">
        <f>AM48*(1+g_appr)^(A48-2026)</f>
        <v/>
      </c>
      <c r="AO48" s="7">
        <f>IF(AND(M48=1,vivienda_prestamoMedico=1),1,0)</f>
        <v/>
      </c>
      <c r="AP48" s="7">
        <f>IF(AO48=1,0.05,vivienda_enganchePct)</f>
        <v/>
      </c>
      <c r="AQ48" s="7">
        <f>AN48*(1-AP48)</f>
        <v/>
      </c>
      <c r="AR48" s="7">
        <f>PMT(g_mortRate/12,vivienda_plazoHipoteca*12,-AQ48)</f>
        <v/>
      </c>
      <c r="AS48" s="7">
        <f>INDEX(cfg_units,sel_cfgIdx)</f>
        <v/>
      </c>
      <c r="AT48" s="7">
        <f>AS48*loc_rentaUnidad*(1+g_inf)^(A48-2026)*(1-vivienda_vacancia)</f>
        <v/>
      </c>
      <c r="AU48" s="7">
        <f>AR48+AN48*loc_impuestoPropPct/12+AM48*loc_seguroPct*(1+vivienda_inflacionSeguro)^(A48-2026)/12+IF(AND(AO48=0,AP48&lt;0.2),AQ48*vivienda_pmiTasa/12,0)</f>
        <v/>
      </c>
      <c r="AV48" s="7">
        <f>AN48*AP48+AN48*vivienda_cierrePct+general_reservaMeses/12*AJ48</f>
        <v/>
      </c>
      <c r="AW48" s="7">
        <f>(IF(15=0,MIN(personal_irsSaldo,personal_irsPagoMensual*12),MIN(CD47,personal_irsPagoMensual*12))+IF(CE48&gt;0,PMT(CF48,MAX(1,prestamos_plazoAnios-CG48),-CE48),0)+IF(CR48&gt;0,PMT(CS48,MAX(1,prestamos_plazoAnios-CT48),-CR48),0))/12</f>
        <v/>
      </c>
      <c r="AX48" s="7">
        <f>IF(OR(sel_cfg="duplex",sel_cfg="multi",sel_cfg="dosCasas"),0.75*personal_aporteFamiliaMensual,0)</f>
        <v/>
      </c>
      <c r="AY48" s="7">
        <f>AU48-0.75*AT48-AX48+AW48</f>
        <v/>
      </c>
      <c r="AZ48" s="7">
        <f>(D48+G48+H48+0.5*F48)/12</f>
        <v/>
      </c>
      <c r="BA48" s="7">
        <f>IF(AND(AL48=0,A48&gt;=vivienda_anioMinCompra,J48&lt;0.5,AI48&gt;0,AK48&gt;=AV48,AY48&lt;=vivienda_dtiMax*AZ48),1,0)</f>
        <v/>
      </c>
      <c r="BB48" s="7">
        <f>MAX(AL48,BA48)</f>
        <v/>
      </c>
      <c r="BC48" s="7">
        <f>IF(BA48=1,A48,IF(15=0,"",BC47))</f>
        <v/>
      </c>
      <c r="BD48" s="7">
        <f>AK48-IF(BA48=1,AN48*AP48+AN48*vivienda_cierrePct,0)</f>
        <v/>
      </c>
      <c r="BE48" s="7">
        <f>IF(BA48=1,AN48,IF(15=0,0,BE47))</f>
        <v/>
      </c>
      <c r="BF48" s="7">
        <f>IF(BA48=1,AR48,IF(15=0,0,BF47))</f>
        <v/>
      </c>
      <c r="BG48" s="7">
        <f>IF(BA48=1,IF(AND(AO48=0,AP48&lt;0.2),1,0),IF(15=0,0,BY47))</f>
        <v/>
      </c>
      <c r="BH48" s="7">
        <f>IF(sel_cfg="casaAdu",1,0)</f>
        <v/>
      </c>
      <c r="BI48" s="7">
        <f>IF(AND(BB48=1,BH48=1,IF(15=0,0,BJ47)=0,A48&gt;=IF(BC48="",9999,BC48)+vivienda_aduRetrasoAnios),1,0)</f>
        <v/>
      </c>
      <c r="BJ48" s="7">
        <f>MAX(IF(15=0,0,BJ47),BI48)</f>
        <v/>
      </c>
      <c r="BK48" s="7">
        <f>IF(BI48=1,PMT((g_mortRate+0.005)/12,180,-loc_precio_aduCosto*C48),IF(15=0,0,BK47))</f>
        <v/>
      </c>
      <c r="BL48" s="7">
        <f>IF(BA48=1,AN48,IF(15=0,0,DT47))+IF(BI48=1,loc_precio_aduCosto*C48,0)</f>
        <v/>
      </c>
      <c r="BM48" s="7">
        <f>IF(BA48=1,AQ48,IF(15=0,0,DU47))</f>
        <v/>
      </c>
      <c r="BN48" s="7">
        <f>IF(BM48&lt;=0,0,FV(g_mortRate/12,12,BF48,-BM48))</f>
        <v/>
      </c>
      <c r="BO48" s="7">
        <f>IF(BM48&lt;=0,0,12*BF48+MIN(0,BN48))</f>
        <v/>
      </c>
      <c r="BP48" s="7">
        <f>MAX(0,BN48)</f>
        <v/>
      </c>
      <c r="BQ48" s="7">
        <f>IF(BI48=1,loc_precio_aduCosto*C48,IF(15=0,0,DV47))</f>
        <v/>
      </c>
      <c r="BR48" s="7">
        <f>IF(BQ48&lt;=0,0,FV((g_mortRate+0.005)/12,12,BK48,-BQ48))</f>
        <v/>
      </c>
      <c r="BS48" s="7">
        <f>IF(BQ48&lt;=0,0,12*BK48+MIN(0,BR48))</f>
        <v/>
      </c>
      <c r="BT48" s="7">
        <f>MAX(0,BR48)</f>
        <v/>
      </c>
      <c r="BU48" s="7">
        <f>IF(BB48=1,AM48*loc_seguroPct*(1+vivienda_inflacionSeguro)^(A48-2026)*IF(BJ48=1,1+loc_precio_aduCosto/AM48,1),0)</f>
        <v/>
      </c>
      <c r="BV48" s="7">
        <f>BL48*loc_impuestoPropPct</f>
        <v/>
      </c>
      <c r="BW48" s="7">
        <f>BL48*vivienda_mantenimientoPct</f>
        <v/>
      </c>
      <c r="BX48" s="7">
        <f>IF(AND(BG48=1,BP48&gt;0.8*BE48),BE48*(1-vivienda_enganchePct)*vivienda_pmiTasa,0)</f>
        <v/>
      </c>
      <c r="BY48" s="7">
        <f>IF(AND(BG48=1,BP48&gt;0.8*BE48),1,0)</f>
        <v/>
      </c>
      <c r="BZ48" s="7">
        <f>IF(BB48=1,AS48*loc_rentaUnidad*12*C48*(1-vivienda_vacancia)*(1-vivienda_gestionPct),0)</f>
        <v/>
      </c>
      <c r="CA48" s="7">
        <f>IF(BB48=1,BO48+BS48+BU48+BV48+BW48+BX48,loc_rentaMensual*12*C48)</f>
        <v/>
      </c>
      <c r="CB48" s="7">
        <f>IF(BB48=1,personal_aporteFamiliaMensual*12,0)</f>
        <v/>
      </c>
      <c r="CC48" s="7">
        <f>MIN(IF(15=0,personal_irsSaldo,CD47),personal_irsPagoMensual*12)</f>
        <v/>
      </c>
      <c r="CD48" s="7">
        <f>IF(15=0,personal_irsSaldo,CD47)-CC48</f>
        <v/>
      </c>
      <c r="CE48" s="7">
        <f>IF(15=0,IF(personal_deudaEsFederal=1,personal_deudaEstudiantil,0),DW47)</f>
        <v/>
      </c>
      <c r="CF48" s="7">
        <f>IF(15=0,personal_tasaDeudaEstudiantil,DX47)</f>
        <v/>
      </c>
      <c r="CG48" s="7">
        <f>IF(15=0,0,DY47)</f>
        <v/>
      </c>
      <c r="CH48" s="7">
        <f>IF(J48&gt;=0.5,1,0)</f>
        <v/>
      </c>
      <c r="CI48" s="7">
        <f>IF(AND(CH48=0,prestamos_pslfActivo=1,K48&gt;=0.5,CE48&gt;0),1,0)</f>
        <v/>
      </c>
      <c r="CJ48" s="7">
        <f>CE48*CF48</f>
        <v/>
      </c>
      <c r="CK48" s="7">
        <f>MAX(prestamos_rapPagoMinimoAnual,IF(Y48&lt;10000,0,MIN(0.1,INT(Y48/10000)/100))*Y48)</f>
        <v/>
      </c>
      <c r="CL48" s="7">
        <f>IF(CE48&lt;=0,0,IF(CH48=1,0,IF(CI48=1,MIN(CE48+CJ48,CK48),PMT(CF48,MAX(1,prestamos_plazoAnios-CG48),-CE48))))</f>
        <v/>
      </c>
      <c r="CM48" s="7">
        <f>IF(CE48&lt;=0,0,IF(CH48=1,CE48+CJ48,IF(CI48=1,MAX(0,CE48-MAX(CL48-CJ48,MIN(600,CL48))),MAX(0,CE48*(1+CF48)-CL48))))</f>
        <v/>
      </c>
      <c r="CN48" s="7">
        <f>IF(15=0,0,CN47)+IF(CI48=1,12*MIN(1,K48),0)</f>
        <v/>
      </c>
      <c r="CO48" s="7">
        <f>IF(AND(CI48=1,CN48&gt;=prestamos_pslfPagos,CM48&gt;0),CM48,0)</f>
        <v/>
      </c>
      <c r="CP48" s="7">
        <f>CM48-CO48</f>
        <v/>
      </c>
      <c r="CQ48" s="7">
        <f>IF(AND(CE48&gt;0,CH48=0,CI48=0),CG48+1,CG48)</f>
        <v/>
      </c>
      <c r="CR48" s="7">
        <f>IF(15=0,IF(personal_deudaEsFederal=1,0,personal_deudaEstudiantil),EA47)</f>
        <v/>
      </c>
      <c r="CS48" s="7">
        <f>IF(15=0,IF(personal_deudaEsFederal=1,prestamos_tasaPrivada,personal_tasaDeudaEstudiantil),EB47)</f>
        <v/>
      </c>
      <c r="CT48" s="7">
        <f>IF(15=0,0,EC47)</f>
        <v/>
      </c>
      <c r="CU48" s="7">
        <f>IF(OR(CR48&lt;=0,CH48=1),0,PMT(CS48,MAX(1,prestamos_plazoAnios-CT48),-CR48))</f>
        <v/>
      </c>
      <c r="CV48" s="7">
        <f>IF(CR48&lt;=0,0,IF(CH48=1,CR48*(1+CS48),MAX(0,CR48*(1+CS48)-CU48)))</f>
        <v/>
      </c>
      <c r="CW48" s="7">
        <f>IF(AND(CR48&gt;0,CH48=0),CT48+1,CT48)</f>
        <v/>
      </c>
      <c r="CX48" s="7">
        <f>IF(15=0,0,ED47)*(1+general_tasaDeudaConsumo)</f>
        <v/>
      </c>
      <c r="CY48" s="7">
        <f>L48*12*tiempos_travelGastoExtraMes*C48</f>
        <v/>
      </c>
      <c r="CZ48" s="7">
        <f>AJ48+CY48+CA48+CC48+CL48+CU48+I48+N48-BZ48-CB48</f>
        <v/>
      </c>
      <c r="DA48" s="7">
        <f>AH48-CZ48</f>
        <v/>
      </c>
      <c r="DB48" s="7">
        <f>IF(15=0,0,DB47)+DA48</f>
        <v/>
      </c>
      <c r="DC48" s="7">
        <f>AN48*vivienda_enganchePct+AN48*vivienda_cierrePct+general_reservaMeses/12*AJ48</f>
        <v/>
      </c>
      <c r="DD48" s="7">
        <f>IF(BB48=1,g_ret,IF(BD48&gt;0,MIN(1,DC48/BD48),1)*g_cash+(1-IF(BD48&gt;0,MIN(1,DC48/BD48),1))*g_ret)</f>
        <v/>
      </c>
      <c r="DE48" s="7">
        <f>IF(DA48&gt;=0,MIN(CX48,DA48),0)</f>
        <v/>
      </c>
      <c r="DF48" s="7">
        <f>IF(DA48&gt;=0,(1-general_tasaAhorro)*(DA48-DE48),0)</f>
        <v/>
      </c>
      <c r="DG48" s="7">
        <f>IF(DA48&gt;=0,DA48-DE48-DF48,0)</f>
        <v/>
      </c>
      <c r="DH48" s="7">
        <f>MIN(personal_rothAnual,DG48)</f>
        <v/>
      </c>
      <c r="DI48" s="7">
        <f>IF(AND(DA48&gt;=0,BB48=1,BP48+BT48&gt;0),MIN(vivienda_prepagoPct*(DG48-DH48),BP48+BT48),0)</f>
        <v/>
      </c>
      <c r="DJ48" s="7">
        <f>MIN(DI48,BP48)</f>
        <v/>
      </c>
      <c r="DK48" s="7">
        <f>IF(DA48&lt;0,MIN(MAX(0,BD48),-DA48),0)</f>
        <v/>
      </c>
      <c r="DL48" s="7">
        <f>IF(DA48&lt;0,-DA48-DK48,0)</f>
        <v/>
      </c>
      <c r="DM48" s="7">
        <f>IF(15=0,0,DZ47)</f>
        <v/>
      </c>
      <c r="DN48" s="7">
        <f>IF(AND(DL48&gt;0,J48&gt;0),MIN(DL48,MIN(prestamos_topeAnualPosgrado*MIN(1,J48),MAX(0,prestamos_topeTotalPosgrado-DM48))),0)</f>
        <v/>
      </c>
      <c r="DO48" s="7">
        <f>IF(AND(DL48&gt;0,J48&gt;0),DL48-DN48,0)</f>
        <v/>
      </c>
      <c r="DP48" s="7">
        <f>IF(AND(DL48&gt;0,J48&lt;=0),DL48,0)</f>
        <v/>
      </c>
      <c r="DQ48" s="7">
        <f>IF(DA48&gt;=0,DG48-DH48-DI48,-DK48)</f>
        <v/>
      </c>
      <c r="DR48" s="7">
        <f>BD48*(1+DD48)+DQ48*(1+DD48/2)</f>
        <v/>
      </c>
      <c r="DS48" s="7">
        <f>IF(15=0,personal_retiroInicial,DS47)*(1+g_ret)+(O48+P48+DH48)*(1+g_ret/2)</f>
        <v/>
      </c>
      <c r="DT48" s="7">
        <f>IF(BB48=1,BL48*(1+g_appr),0)</f>
        <v/>
      </c>
      <c r="DU48" s="7">
        <f>BP48-DJ48</f>
        <v/>
      </c>
      <c r="DV48" s="7">
        <f>BT48-(DI48-DJ48)</f>
        <v/>
      </c>
      <c r="DW48" s="7">
        <f>CP48+DN48</f>
        <v/>
      </c>
      <c r="DX48" s="7">
        <f>IF(DN48&gt;0,(CP48*CF48+DN48*prestamos_tasaFederalPosgrado)/(CP48+DN48),CF48)</f>
        <v/>
      </c>
      <c r="DY48" s="7">
        <f>IF(DN48&gt;0,0,CQ48)</f>
        <v/>
      </c>
      <c r="DZ48" s="7">
        <f>DM48+DN48</f>
        <v/>
      </c>
      <c r="EA48" s="7">
        <f>CV48+DO48</f>
        <v/>
      </c>
      <c r="EB48" s="7">
        <f>IF(DO48&gt;0,(CV48*CS48+DO48*prestamos_tasaPrivada)/(CV48+DO48),CS48)</f>
        <v/>
      </c>
      <c r="EC48" s="7">
        <f>IF(DO48&gt;0,0,CW48)</f>
        <v/>
      </c>
      <c r="ED48" s="7">
        <f>CX48-DE48+DP48</f>
        <v/>
      </c>
      <c r="EE48" s="7">
        <f>IF(IF(15=0,"",EE47)&lt;&gt;"",EE47,IF(AND(BB48=1,DU48&lt;=0.5,DV48&lt;=0.5,OR(BH48=0,BJ48=1)),A48,""))</f>
        <v/>
      </c>
      <c r="EF48" s="7">
        <f>DU48+DV48+DW48+EA48+ED48+CD48</f>
        <v/>
      </c>
      <c r="EG48" s="7">
        <f>DR48+DS48+DT48-EF48</f>
        <v/>
      </c>
      <c r="EH48" s="7">
        <f>EG48/(1+g_inf)^(A48+1-2026)</f>
        <v/>
      </c>
    </row>
    <row r="49">
      <c r="A49" t="n">
        <v>2043</v>
      </c>
      <c r="B49" t="n">
        <v>16</v>
      </c>
      <c r="C49" s="7">
        <f>(1+g_inf)^(A49-2026)</f>
        <v/>
      </c>
      <c r="D49" s="7">
        <f>SUMPRODUCT($AJ$5:$AJ$29,$E$5:$E$29*(1+$F$5:$F$29)^(A49-2026)*$G$5:$G$29*$H$5:$H$29*(1-$N$5:$N$29*$O$5:$O$29))*g_salMult+SUMPRODUCT(($B$5:$B$29&gt;=A49)*($B$5:$B$29&lt;A49+1)*$I$5:$I$29)*g_salMult</f>
        <v/>
      </c>
      <c r="E49" s="7">
        <f>SUMPRODUCT($AJ$5:$AJ$29,$E$5:$E$29*(1+$F$5:$F$29)^(A49-2026)*$G$5:$G$29*$H$5:$H$29*$M$5:$M$29)*g_salMult</f>
        <v/>
      </c>
      <c r="F49" s="7">
        <f>SUMPRODUCT($AJ$5:$AJ$29,$E$5:$E$29*(1+$F$5:$F$29)^(A49-2026)*$G$5:$G$29*$H$5:$H$29*$N$5:$N$29*$O$5:$O$29)*g_salMult</f>
        <v/>
      </c>
      <c r="G49" s="7">
        <f>SUMPRODUCT($AJ$5:$AJ$29,$P$5:$P$29*(1+$F$5:$F$29)^(A49-2026))</f>
        <v/>
      </c>
      <c r="H49" s="7">
        <f>SUMPRODUCT($AJ$5:$AJ$29,$Q$5:$Q$29*(1+$F$5:$F$29)^(A49-2026))+IF(personal_llcActivo=1,personal_llcNeto*(1+personal_llcCrecimiento)^16,0)</f>
        <v/>
      </c>
      <c r="I49" s="7">
        <f>SUMPRODUCT($AJ$5:$AJ$29,$J$5:$J$29/($C$5:$C$29-$B$5:$B$29+($C$5:$C$29=$B$5:$B$29)))*C49</f>
        <v/>
      </c>
      <c r="J49" s="7">
        <f>SUMPRODUCT($AJ$5:$AJ$29,$K$5:$K$29)</f>
        <v/>
      </c>
      <c r="K49" s="7">
        <f>SUMPRODUCT($AJ$5:$AJ$29,$L$5:$L$29)</f>
        <v/>
      </c>
      <c r="L49" s="7">
        <f>SUMPRODUCT($AJ$5:$AJ$29,$N$5:$N$29)</f>
        <v/>
      </c>
      <c r="M49" s="7">
        <f>IF(SUMPRODUCT($AJ$5:$AJ$29,$R$5:$R$29)&gt;0,1,0)</f>
        <v/>
      </c>
      <c r="N49" s="7">
        <f>SUMPRODUCT(($AO$5:$AO$24&gt;=A49)*($AO$5:$AO$24&lt;A49+1)*$AP$5:$AP$24)*C49+IF(16=0,IF(sel_loc&lt;&gt;"miami",personal_costoMudanzaInicial,0),0)</f>
        <v/>
      </c>
      <c r="O49" s="7">
        <f>MIN(personal_aporte403bPct*D49,retiro_limite403b*C49)</f>
        <v/>
      </c>
      <c r="P49" s="7">
        <f>MIN(personal_aporte403bPct,personal_match403bPct)*E49</f>
        <v/>
      </c>
      <c r="Q49" s="7">
        <f>IF(G49&gt;0,MAX(0,G49-impuestos_scorpCostoAnual*C49),0)</f>
        <v/>
      </c>
      <c r="R49" s="7">
        <f>Q49*impuestos_scorpSalarioPct/(1+impuestos_ssTasa+impuestos_medicareTasa)</f>
        <v/>
      </c>
      <c r="S49" s="7">
        <f>impuestos_ssTasa*MIN(R49,MAX(0,impuestos_ssTope*C49-D49))+impuestos_medicareTasa*R49</f>
        <v/>
      </c>
      <c r="T49" s="7">
        <f>Q49-R49-S49</f>
        <v/>
      </c>
      <c r="U49" s="7">
        <f>D49+R49</f>
        <v/>
      </c>
      <c r="V49" s="7">
        <f>H49*0.9235</f>
        <v/>
      </c>
      <c r="W49" s="7">
        <f>IF(H49&gt;0,2*impuestos_ssTasa*MIN(V49,MAX(0,impuestos_ssTope*C49-U49))+2*impuestos_medicareTasa*V49,0)</f>
        <v/>
      </c>
      <c r="X49" s="7">
        <f>impuestos_ssTasa*MIN(U49,impuestos_ssTope*C49)+impuestos_medicareTasa*U49+impuestos_medicareAdicional*MAX(0,U49+H49*0.9235-impuestos_medicareUmbral)</f>
        <v/>
      </c>
      <c r="Y49" s="7">
        <f>MAX(0,D49-O49+R49+T49+H49-W49/2)</f>
        <v/>
      </c>
      <c r="Z49" s="7">
        <f>MAX(0,Y49-impuestos_deduccionEstandar*C49)</f>
        <v/>
      </c>
      <c r="AA49" s="7">
        <f>MIN(0.2*MAX(0,T49+H49-W49/2)*MAX(0,MIN(1,1-(Z49-impuestos_qbiUmbral*C49)/(impuestos_qbiRango*C49))),0.2*Z49)</f>
        <v/>
      </c>
      <c r="AB49" s="7">
        <f>MAX(0,Z49-AA49)</f>
        <v/>
      </c>
      <c r="AC49" s="7">
        <f>SUMPRODUCT((AB49&gt;tb_federalBrackets_lo*C49)*(AB49-tb_federalBrackets_lo*C49)*tb_federalBrackets_dr)</f>
        <v/>
      </c>
      <c r="AD49" s="7">
        <f>MAX(0,Y49-impuestos_nyDeduccion*C49)</f>
        <v/>
      </c>
      <c r="AE49" s="7">
        <f>CHOOSE(loc_taxcode,0,impuestos_ohTasa*MAX(0,Y49-impuestos_ohExento*C49)+impuestos_ohMunicipal*U49,SUMPRODUCT((AD49&gt;tb_nyBrackets_lo*C49)*(AD49-tb_nyBrackets_lo*C49)*tb_nyBrackets_dr)+loc_nyc*SUMPRODUCT((AD49&gt;tb_nycBrackets_lo*C49)*(AD49-tb_nycBrackets_lo*C49)*tb_nycBrackets_dr))</f>
        <v/>
      </c>
      <c r="AF49" s="7">
        <f>AC49+AE49+X49+W49</f>
        <v/>
      </c>
      <c r="AG49" s="7">
        <f>D49+F49+R49+T49+H49</f>
        <v/>
      </c>
      <c r="AH49" s="7">
        <f>AG49-AF49-O49</f>
        <v/>
      </c>
      <c r="AI49" s="7">
        <f>D49+F49+G49+H49</f>
        <v/>
      </c>
      <c r="AJ49" s="7">
        <f>loc_gastosVida*C49*g_gastos</f>
        <v/>
      </c>
      <c r="AK49" s="7">
        <f>IF(16=0,personal_liquidoInicial,DR48)</f>
        <v/>
      </c>
      <c r="AL49" s="7">
        <f>IF(16=0,0,BB48)</f>
        <v/>
      </c>
      <c r="AM49" s="7">
        <f>CHOOSE(sel_cfgIdx,loc_precio_duplex,loc_precio_inlaw,loc_precio_dosCasas,loc_precio_casaAdu,loc_precio_multi)</f>
        <v/>
      </c>
      <c r="AN49" s="7">
        <f>AM49*(1+g_appr)^(A49-2026)</f>
        <v/>
      </c>
      <c r="AO49" s="7">
        <f>IF(AND(M49=1,vivienda_prestamoMedico=1),1,0)</f>
        <v/>
      </c>
      <c r="AP49" s="7">
        <f>IF(AO49=1,0.05,vivienda_enganchePct)</f>
        <v/>
      </c>
      <c r="AQ49" s="7">
        <f>AN49*(1-AP49)</f>
        <v/>
      </c>
      <c r="AR49" s="7">
        <f>PMT(g_mortRate/12,vivienda_plazoHipoteca*12,-AQ49)</f>
        <v/>
      </c>
      <c r="AS49" s="7">
        <f>INDEX(cfg_units,sel_cfgIdx)</f>
        <v/>
      </c>
      <c r="AT49" s="7">
        <f>AS49*loc_rentaUnidad*(1+g_inf)^(A49-2026)*(1-vivienda_vacancia)</f>
        <v/>
      </c>
      <c r="AU49" s="7">
        <f>AR49+AN49*loc_impuestoPropPct/12+AM49*loc_seguroPct*(1+vivienda_inflacionSeguro)^(A49-2026)/12+IF(AND(AO49=0,AP49&lt;0.2),AQ49*vivienda_pmiTasa/12,0)</f>
        <v/>
      </c>
      <c r="AV49" s="7">
        <f>AN49*AP49+AN49*vivienda_cierrePct+general_reservaMeses/12*AJ49</f>
        <v/>
      </c>
      <c r="AW49" s="7">
        <f>(IF(16=0,MIN(personal_irsSaldo,personal_irsPagoMensual*12),MIN(CD48,personal_irsPagoMensual*12))+IF(CE49&gt;0,PMT(CF49,MAX(1,prestamos_plazoAnios-CG49),-CE49),0)+IF(CR49&gt;0,PMT(CS49,MAX(1,prestamos_plazoAnios-CT49),-CR49),0))/12</f>
        <v/>
      </c>
      <c r="AX49" s="7">
        <f>IF(OR(sel_cfg="duplex",sel_cfg="multi",sel_cfg="dosCasas"),0.75*personal_aporteFamiliaMensual,0)</f>
        <v/>
      </c>
      <c r="AY49" s="7">
        <f>AU49-0.75*AT49-AX49+AW49</f>
        <v/>
      </c>
      <c r="AZ49" s="7">
        <f>(D49+G49+H49+0.5*F49)/12</f>
        <v/>
      </c>
      <c r="BA49" s="7">
        <f>IF(AND(AL49=0,A49&gt;=vivienda_anioMinCompra,J49&lt;0.5,AI49&gt;0,AK49&gt;=AV49,AY49&lt;=vivienda_dtiMax*AZ49),1,0)</f>
        <v/>
      </c>
      <c r="BB49" s="7">
        <f>MAX(AL49,BA49)</f>
        <v/>
      </c>
      <c r="BC49" s="7">
        <f>IF(BA49=1,A49,IF(16=0,"",BC48))</f>
        <v/>
      </c>
      <c r="BD49" s="7">
        <f>AK49-IF(BA49=1,AN49*AP49+AN49*vivienda_cierrePct,0)</f>
        <v/>
      </c>
      <c r="BE49" s="7">
        <f>IF(BA49=1,AN49,IF(16=0,0,BE48))</f>
        <v/>
      </c>
      <c r="BF49" s="7">
        <f>IF(BA49=1,AR49,IF(16=0,0,BF48))</f>
        <v/>
      </c>
      <c r="BG49" s="7">
        <f>IF(BA49=1,IF(AND(AO49=0,AP49&lt;0.2),1,0),IF(16=0,0,BY48))</f>
        <v/>
      </c>
      <c r="BH49" s="7">
        <f>IF(sel_cfg="casaAdu",1,0)</f>
        <v/>
      </c>
      <c r="BI49" s="7">
        <f>IF(AND(BB49=1,BH49=1,IF(16=0,0,BJ48)=0,A49&gt;=IF(BC49="",9999,BC49)+vivienda_aduRetrasoAnios),1,0)</f>
        <v/>
      </c>
      <c r="BJ49" s="7">
        <f>MAX(IF(16=0,0,BJ48),BI49)</f>
        <v/>
      </c>
      <c r="BK49" s="7">
        <f>IF(BI49=1,PMT((g_mortRate+0.005)/12,180,-loc_precio_aduCosto*C49),IF(16=0,0,BK48))</f>
        <v/>
      </c>
      <c r="BL49" s="7">
        <f>IF(BA49=1,AN49,IF(16=0,0,DT48))+IF(BI49=1,loc_precio_aduCosto*C49,0)</f>
        <v/>
      </c>
      <c r="BM49" s="7">
        <f>IF(BA49=1,AQ49,IF(16=0,0,DU48))</f>
        <v/>
      </c>
      <c r="BN49" s="7">
        <f>IF(BM49&lt;=0,0,FV(g_mortRate/12,12,BF49,-BM49))</f>
        <v/>
      </c>
      <c r="BO49" s="7">
        <f>IF(BM49&lt;=0,0,12*BF49+MIN(0,BN49))</f>
        <v/>
      </c>
      <c r="BP49" s="7">
        <f>MAX(0,BN49)</f>
        <v/>
      </c>
      <c r="BQ49" s="7">
        <f>IF(BI49=1,loc_precio_aduCosto*C49,IF(16=0,0,DV48))</f>
        <v/>
      </c>
      <c r="BR49" s="7">
        <f>IF(BQ49&lt;=0,0,FV((g_mortRate+0.005)/12,12,BK49,-BQ49))</f>
        <v/>
      </c>
      <c r="BS49" s="7">
        <f>IF(BQ49&lt;=0,0,12*BK49+MIN(0,BR49))</f>
        <v/>
      </c>
      <c r="BT49" s="7">
        <f>MAX(0,BR49)</f>
        <v/>
      </c>
      <c r="BU49" s="7">
        <f>IF(BB49=1,AM49*loc_seguroPct*(1+vivienda_inflacionSeguro)^(A49-2026)*IF(BJ49=1,1+loc_precio_aduCosto/AM49,1),0)</f>
        <v/>
      </c>
      <c r="BV49" s="7">
        <f>BL49*loc_impuestoPropPct</f>
        <v/>
      </c>
      <c r="BW49" s="7">
        <f>BL49*vivienda_mantenimientoPct</f>
        <v/>
      </c>
      <c r="BX49" s="7">
        <f>IF(AND(BG49=1,BP49&gt;0.8*BE49),BE49*(1-vivienda_enganchePct)*vivienda_pmiTasa,0)</f>
        <v/>
      </c>
      <c r="BY49" s="7">
        <f>IF(AND(BG49=1,BP49&gt;0.8*BE49),1,0)</f>
        <v/>
      </c>
      <c r="BZ49" s="7">
        <f>IF(BB49=1,AS49*loc_rentaUnidad*12*C49*(1-vivienda_vacancia)*(1-vivienda_gestionPct),0)</f>
        <v/>
      </c>
      <c r="CA49" s="7">
        <f>IF(BB49=1,BO49+BS49+BU49+BV49+BW49+BX49,loc_rentaMensual*12*C49)</f>
        <v/>
      </c>
      <c r="CB49" s="7">
        <f>IF(BB49=1,personal_aporteFamiliaMensual*12,0)</f>
        <v/>
      </c>
      <c r="CC49" s="7">
        <f>MIN(IF(16=0,personal_irsSaldo,CD48),personal_irsPagoMensual*12)</f>
        <v/>
      </c>
      <c r="CD49" s="7">
        <f>IF(16=0,personal_irsSaldo,CD48)-CC49</f>
        <v/>
      </c>
      <c r="CE49" s="7">
        <f>IF(16=0,IF(personal_deudaEsFederal=1,personal_deudaEstudiantil,0),DW48)</f>
        <v/>
      </c>
      <c r="CF49" s="7">
        <f>IF(16=0,personal_tasaDeudaEstudiantil,DX48)</f>
        <v/>
      </c>
      <c r="CG49" s="7">
        <f>IF(16=0,0,DY48)</f>
        <v/>
      </c>
      <c r="CH49" s="7">
        <f>IF(J49&gt;=0.5,1,0)</f>
        <v/>
      </c>
      <c r="CI49" s="7">
        <f>IF(AND(CH49=0,prestamos_pslfActivo=1,K49&gt;=0.5,CE49&gt;0),1,0)</f>
        <v/>
      </c>
      <c r="CJ49" s="7">
        <f>CE49*CF49</f>
        <v/>
      </c>
      <c r="CK49" s="7">
        <f>MAX(prestamos_rapPagoMinimoAnual,IF(Y49&lt;10000,0,MIN(0.1,INT(Y49/10000)/100))*Y49)</f>
        <v/>
      </c>
      <c r="CL49" s="7">
        <f>IF(CE49&lt;=0,0,IF(CH49=1,0,IF(CI49=1,MIN(CE49+CJ49,CK49),PMT(CF49,MAX(1,prestamos_plazoAnios-CG49),-CE49))))</f>
        <v/>
      </c>
      <c r="CM49" s="7">
        <f>IF(CE49&lt;=0,0,IF(CH49=1,CE49+CJ49,IF(CI49=1,MAX(0,CE49-MAX(CL49-CJ49,MIN(600,CL49))),MAX(0,CE49*(1+CF49)-CL49))))</f>
        <v/>
      </c>
      <c r="CN49" s="7">
        <f>IF(16=0,0,CN48)+IF(CI49=1,12*MIN(1,K49),0)</f>
        <v/>
      </c>
      <c r="CO49" s="7">
        <f>IF(AND(CI49=1,CN49&gt;=prestamos_pslfPagos,CM49&gt;0),CM49,0)</f>
        <v/>
      </c>
      <c r="CP49" s="7">
        <f>CM49-CO49</f>
        <v/>
      </c>
      <c r="CQ49" s="7">
        <f>IF(AND(CE49&gt;0,CH49=0,CI49=0),CG49+1,CG49)</f>
        <v/>
      </c>
      <c r="CR49" s="7">
        <f>IF(16=0,IF(personal_deudaEsFederal=1,0,personal_deudaEstudiantil),EA48)</f>
        <v/>
      </c>
      <c r="CS49" s="7">
        <f>IF(16=0,IF(personal_deudaEsFederal=1,prestamos_tasaPrivada,personal_tasaDeudaEstudiantil),EB48)</f>
        <v/>
      </c>
      <c r="CT49" s="7">
        <f>IF(16=0,0,EC48)</f>
        <v/>
      </c>
      <c r="CU49" s="7">
        <f>IF(OR(CR49&lt;=0,CH49=1),0,PMT(CS49,MAX(1,prestamos_plazoAnios-CT49),-CR49))</f>
        <v/>
      </c>
      <c r="CV49" s="7">
        <f>IF(CR49&lt;=0,0,IF(CH49=1,CR49*(1+CS49),MAX(0,CR49*(1+CS49)-CU49)))</f>
        <v/>
      </c>
      <c r="CW49" s="7">
        <f>IF(AND(CR49&gt;0,CH49=0),CT49+1,CT49)</f>
        <v/>
      </c>
      <c r="CX49" s="7">
        <f>IF(16=0,0,ED48)*(1+general_tasaDeudaConsumo)</f>
        <v/>
      </c>
      <c r="CY49" s="7">
        <f>L49*12*tiempos_travelGastoExtraMes*C49</f>
        <v/>
      </c>
      <c r="CZ49" s="7">
        <f>AJ49+CY49+CA49+CC49+CL49+CU49+I49+N49-BZ49-CB49</f>
        <v/>
      </c>
      <c r="DA49" s="7">
        <f>AH49-CZ49</f>
        <v/>
      </c>
      <c r="DB49" s="7">
        <f>IF(16=0,0,DB48)+DA49</f>
        <v/>
      </c>
      <c r="DC49" s="7">
        <f>AN49*vivienda_enganchePct+AN49*vivienda_cierrePct+general_reservaMeses/12*AJ49</f>
        <v/>
      </c>
      <c r="DD49" s="7">
        <f>IF(BB49=1,g_ret,IF(BD49&gt;0,MIN(1,DC49/BD49),1)*g_cash+(1-IF(BD49&gt;0,MIN(1,DC49/BD49),1))*g_ret)</f>
        <v/>
      </c>
      <c r="DE49" s="7">
        <f>IF(DA49&gt;=0,MIN(CX49,DA49),0)</f>
        <v/>
      </c>
      <c r="DF49" s="7">
        <f>IF(DA49&gt;=0,(1-general_tasaAhorro)*(DA49-DE49),0)</f>
        <v/>
      </c>
      <c r="DG49" s="7">
        <f>IF(DA49&gt;=0,DA49-DE49-DF49,0)</f>
        <v/>
      </c>
      <c r="DH49" s="7">
        <f>MIN(personal_rothAnual,DG49)</f>
        <v/>
      </c>
      <c r="DI49" s="7">
        <f>IF(AND(DA49&gt;=0,BB49=1,BP49+BT49&gt;0),MIN(vivienda_prepagoPct*(DG49-DH49),BP49+BT49),0)</f>
        <v/>
      </c>
      <c r="DJ49" s="7">
        <f>MIN(DI49,BP49)</f>
        <v/>
      </c>
      <c r="DK49" s="7">
        <f>IF(DA49&lt;0,MIN(MAX(0,BD49),-DA49),0)</f>
        <v/>
      </c>
      <c r="DL49" s="7">
        <f>IF(DA49&lt;0,-DA49-DK49,0)</f>
        <v/>
      </c>
      <c r="DM49" s="7">
        <f>IF(16=0,0,DZ48)</f>
        <v/>
      </c>
      <c r="DN49" s="7">
        <f>IF(AND(DL49&gt;0,J49&gt;0),MIN(DL49,MIN(prestamos_topeAnualPosgrado*MIN(1,J49),MAX(0,prestamos_topeTotalPosgrado-DM49))),0)</f>
        <v/>
      </c>
      <c r="DO49" s="7">
        <f>IF(AND(DL49&gt;0,J49&gt;0),DL49-DN49,0)</f>
        <v/>
      </c>
      <c r="DP49" s="7">
        <f>IF(AND(DL49&gt;0,J49&lt;=0),DL49,0)</f>
        <v/>
      </c>
      <c r="DQ49" s="7">
        <f>IF(DA49&gt;=0,DG49-DH49-DI49,-DK49)</f>
        <v/>
      </c>
      <c r="DR49" s="7">
        <f>BD49*(1+DD49)+DQ49*(1+DD49/2)</f>
        <v/>
      </c>
      <c r="DS49" s="7">
        <f>IF(16=0,personal_retiroInicial,DS48)*(1+g_ret)+(O49+P49+DH49)*(1+g_ret/2)</f>
        <v/>
      </c>
      <c r="DT49" s="7">
        <f>IF(BB49=1,BL49*(1+g_appr),0)</f>
        <v/>
      </c>
      <c r="DU49" s="7">
        <f>BP49-DJ49</f>
        <v/>
      </c>
      <c r="DV49" s="7">
        <f>BT49-(DI49-DJ49)</f>
        <v/>
      </c>
      <c r="DW49" s="7">
        <f>CP49+DN49</f>
        <v/>
      </c>
      <c r="DX49" s="7">
        <f>IF(DN49&gt;0,(CP49*CF49+DN49*prestamos_tasaFederalPosgrado)/(CP49+DN49),CF49)</f>
        <v/>
      </c>
      <c r="DY49" s="7">
        <f>IF(DN49&gt;0,0,CQ49)</f>
        <v/>
      </c>
      <c r="DZ49" s="7">
        <f>DM49+DN49</f>
        <v/>
      </c>
      <c r="EA49" s="7">
        <f>CV49+DO49</f>
        <v/>
      </c>
      <c r="EB49" s="7">
        <f>IF(DO49&gt;0,(CV49*CS49+DO49*prestamos_tasaPrivada)/(CV49+DO49),CS49)</f>
        <v/>
      </c>
      <c r="EC49" s="7">
        <f>IF(DO49&gt;0,0,CW49)</f>
        <v/>
      </c>
      <c r="ED49" s="7">
        <f>CX49-DE49+DP49</f>
        <v/>
      </c>
      <c r="EE49" s="7">
        <f>IF(IF(16=0,"",EE48)&lt;&gt;"",EE48,IF(AND(BB49=1,DU49&lt;=0.5,DV49&lt;=0.5,OR(BH49=0,BJ49=1)),A49,""))</f>
        <v/>
      </c>
      <c r="EF49" s="7">
        <f>DU49+DV49+DW49+EA49+ED49+CD49</f>
        <v/>
      </c>
      <c r="EG49" s="7">
        <f>DR49+DS49+DT49-EF49</f>
        <v/>
      </c>
      <c r="EH49" s="7">
        <f>EG49/(1+g_inf)^(A49+1-2026)</f>
        <v/>
      </c>
    </row>
    <row r="50">
      <c r="A50" t="n">
        <v>2044</v>
      </c>
      <c r="B50" t="n">
        <v>17</v>
      </c>
      <c r="C50" s="7">
        <f>(1+g_inf)^(A50-2026)</f>
        <v/>
      </c>
      <c r="D50" s="7">
        <f>SUMPRODUCT($AK$5:$AK$29,$E$5:$E$29*(1+$F$5:$F$29)^(A50-2026)*$G$5:$G$29*$H$5:$H$29*(1-$N$5:$N$29*$O$5:$O$29))*g_salMult+SUMPRODUCT(($B$5:$B$29&gt;=A50)*($B$5:$B$29&lt;A50+1)*$I$5:$I$29)*g_salMult</f>
        <v/>
      </c>
      <c r="E50" s="7">
        <f>SUMPRODUCT($AK$5:$AK$29,$E$5:$E$29*(1+$F$5:$F$29)^(A50-2026)*$G$5:$G$29*$H$5:$H$29*$M$5:$M$29)*g_salMult</f>
        <v/>
      </c>
      <c r="F50" s="7">
        <f>SUMPRODUCT($AK$5:$AK$29,$E$5:$E$29*(1+$F$5:$F$29)^(A50-2026)*$G$5:$G$29*$H$5:$H$29*$N$5:$N$29*$O$5:$O$29)*g_salMult</f>
        <v/>
      </c>
      <c r="G50" s="7">
        <f>SUMPRODUCT($AK$5:$AK$29,$P$5:$P$29*(1+$F$5:$F$29)^(A50-2026))</f>
        <v/>
      </c>
      <c r="H50" s="7">
        <f>SUMPRODUCT($AK$5:$AK$29,$Q$5:$Q$29*(1+$F$5:$F$29)^(A50-2026))+IF(personal_llcActivo=1,personal_llcNeto*(1+personal_llcCrecimiento)^17,0)</f>
        <v/>
      </c>
      <c r="I50" s="7">
        <f>SUMPRODUCT($AK$5:$AK$29,$J$5:$J$29/($C$5:$C$29-$B$5:$B$29+($C$5:$C$29=$B$5:$B$29)))*C50</f>
        <v/>
      </c>
      <c r="J50" s="7">
        <f>SUMPRODUCT($AK$5:$AK$29,$K$5:$K$29)</f>
        <v/>
      </c>
      <c r="K50" s="7">
        <f>SUMPRODUCT($AK$5:$AK$29,$L$5:$L$29)</f>
        <v/>
      </c>
      <c r="L50" s="7">
        <f>SUMPRODUCT($AK$5:$AK$29,$N$5:$N$29)</f>
        <v/>
      </c>
      <c r="M50" s="7">
        <f>IF(SUMPRODUCT($AK$5:$AK$29,$R$5:$R$29)&gt;0,1,0)</f>
        <v/>
      </c>
      <c r="N50" s="7">
        <f>SUMPRODUCT(($AO$5:$AO$24&gt;=A50)*($AO$5:$AO$24&lt;A50+1)*$AP$5:$AP$24)*C50+IF(17=0,IF(sel_loc&lt;&gt;"miami",personal_costoMudanzaInicial,0),0)</f>
        <v/>
      </c>
      <c r="O50" s="7">
        <f>MIN(personal_aporte403bPct*D50,retiro_limite403b*C50)</f>
        <v/>
      </c>
      <c r="P50" s="7">
        <f>MIN(personal_aporte403bPct,personal_match403bPct)*E50</f>
        <v/>
      </c>
      <c r="Q50" s="7">
        <f>IF(G50&gt;0,MAX(0,G50-impuestos_scorpCostoAnual*C50),0)</f>
        <v/>
      </c>
      <c r="R50" s="7">
        <f>Q50*impuestos_scorpSalarioPct/(1+impuestos_ssTasa+impuestos_medicareTasa)</f>
        <v/>
      </c>
      <c r="S50" s="7">
        <f>impuestos_ssTasa*MIN(R50,MAX(0,impuestos_ssTope*C50-D50))+impuestos_medicareTasa*R50</f>
        <v/>
      </c>
      <c r="T50" s="7">
        <f>Q50-R50-S50</f>
        <v/>
      </c>
      <c r="U50" s="7">
        <f>D50+R50</f>
        <v/>
      </c>
      <c r="V50" s="7">
        <f>H50*0.9235</f>
        <v/>
      </c>
      <c r="W50" s="7">
        <f>IF(H50&gt;0,2*impuestos_ssTasa*MIN(V50,MAX(0,impuestos_ssTope*C50-U50))+2*impuestos_medicareTasa*V50,0)</f>
        <v/>
      </c>
      <c r="X50" s="7">
        <f>impuestos_ssTasa*MIN(U50,impuestos_ssTope*C50)+impuestos_medicareTasa*U50+impuestos_medicareAdicional*MAX(0,U50+H50*0.9235-impuestos_medicareUmbral)</f>
        <v/>
      </c>
      <c r="Y50" s="7">
        <f>MAX(0,D50-O50+R50+T50+H50-W50/2)</f>
        <v/>
      </c>
      <c r="Z50" s="7">
        <f>MAX(0,Y50-impuestos_deduccionEstandar*C50)</f>
        <v/>
      </c>
      <c r="AA50" s="7">
        <f>MIN(0.2*MAX(0,T50+H50-W50/2)*MAX(0,MIN(1,1-(Z50-impuestos_qbiUmbral*C50)/(impuestos_qbiRango*C50))),0.2*Z50)</f>
        <v/>
      </c>
      <c r="AB50" s="7">
        <f>MAX(0,Z50-AA50)</f>
        <v/>
      </c>
      <c r="AC50" s="7">
        <f>SUMPRODUCT((AB50&gt;tb_federalBrackets_lo*C50)*(AB50-tb_federalBrackets_lo*C50)*tb_federalBrackets_dr)</f>
        <v/>
      </c>
      <c r="AD50" s="7">
        <f>MAX(0,Y50-impuestos_nyDeduccion*C50)</f>
        <v/>
      </c>
      <c r="AE50" s="7">
        <f>CHOOSE(loc_taxcode,0,impuestos_ohTasa*MAX(0,Y50-impuestos_ohExento*C50)+impuestos_ohMunicipal*U50,SUMPRODUCT((AD50&gt;tb_nyBrackets_lo*C50)*(AD50-tb_nyBrackets_lo*C50)*tb_nyBrackets_dr)+loc_nyc*SUMPRODUCT((AD50&gt;tb_nycBrackets_lo*C50)*(AD50-tb_nycBrackets_lo*C50)*tb_nycBrackets_dr))</f>
        <v/>
      </c>
      <c r="AF50" s="7">
        <f>AC50+AE50+X50+W50</f>
        <v/>
      </c>
      <c r="AG50" s="7">
        <f>D50+F50+R50+T50+H50</f>
        <v/>
      </c>
      <c r="AH50" s="7">
        <f>AG50-AF50-O50</f>
        <v/>
      </c>
      <c r="AI50" s="7">
        <f>D50+F50+G50+H50</f>
        <v/>
      </c>
      <c r="AJ50" s="7">
        <f>loc_gastosVida*C50*g_gastos</f>
        <v/>
      </c>
      <c r="AK50" s="7">
        <f>IF(17=0,personal_liquidoInicial,DR49)</f>
        <v/>
      </c>
      <c r="AL50" s="7">
        <f>IF(17=0,0,BB49)</f>
        <v/>
      </c>
      <c r="AM50" s="7">
        <f>CHOOSE(sel_cfgIdx,loc_precio_duplex,loc_precio_inlaw,loc_precio_dosCasas,loc_precio_casaAdu,loc_precio_multi)</f>
        <v/>
      </c>
      <c r="AN50" s="7">
        <f>AM50*(1+g_appr)^(A50-2026)</f>
        <v/>
      </c>
      <c r="AO50" s="7">
        <f>IF(AND(M50=1,vivienda_prestamoMedico=1),1,0)</f>
        <v/>
      </c>
      <c r="AP50" s="7">
        <f>IF(AO50=1,0.05,vivienda_enganchePct)</f>
        <v/>
      </c>
      <c r="AQ50" s="7">
        <f>AN50*(1-AP50)</f>
        <v/>
      </c>
      <c r="AR50" s="7">
        <f>PMT(g_mortRate/12,vivienda_plazoHipoteca*12,-AQ50)</f>
        <v/>
      </c>
      <c r="AS50" s="7">
        <f>INDEX(cfg_units,sel_cfgIdx)</f>
        <v/>
      </c>
      <c r="AT50" s="7">
        <f>AS50*loc_rentaUnidad*(1+g_inf)^(A50-2026)*(1-vivienda_vacancia)</f>
        <v/>
      </c>
      <c r="AU50" s="7">
        <f>AR50+AN50*loc_impuestoPropPct/12+AM50*loc_seguroPct*(1+vivienda_inflacionSeguro)^(A50-2026)/12+IF(AND(AO50=0,AP50&lt;0.2),AQ50*vivienda_pmiTasa/12,0)</f>
        <v/>
      </c>
      <c r="AV50" s="7">
        <f>AN50*AP50+AN50*vivienda_cierrePct+general_reservaMeses/12*AJ50</f>
        <v/>
      </c>
      <c r="AW50" s="7">
        <f>(IF(17=0,MIN(personal_irsSaldo,personal_irsPagoMensual*12),MIN(CD49,personal_irsPagoMensual*12))+IF(CE50&gt;0,PMT(CF50,MAX(1,prestamos_plazoAnios-CG50),-CE50),0)+IF(CR50&gt;0,PMT(CS50,MAX(1,prestamos_plazoAnios-CT50),-CR50),0))/12</f>
        <v/>
      </c>
      <c r="AX50" s="7">
        <f>IF(OR(sel_cfg="duplex",sel_cfg="multi",sel_cfg="dosCasas"),0.75*personal_aporteFamiliaMensual,0)</f>
        <v/>
      </c>
      <c r="AY50" s="7">
        <f>AU50-0.75*AT50-AX50+AW50</f>
        <v/>
      </c>
      <c r="AZ50" s="7">
        <f>(D50+G50+H50+0.5*F50)/12</f>
        <v/>
      </c>
      <c r="BA50" s="7">
        <f>IF(AND(AL50=0,A50&gt;=vivienda_anioMinCompra,J50&lt;0.5,AI50&gt;0,AK50&gt;=AV50,AY50&lt;=vivienda_dtiMax*AZ50),1,0)</f>
        <v/>
      </c>
      <c r="BB50" s="7">
        <f>MAX(AL50,BA50)</f>
        <v/>
      </c>
      <c r="BC50" s="7">
        <f>IF(BA50=1,A50,IF(17=0,"",BC49))</f>
        <v/>
      </c>
      <c r="BD50" s="7">
        <f>AK50-IF(BA50=1,AN50*AP50+AN50*vivienda_cierrePct,0)</f>
        <v/>
      </c>
      <c r="BE50" s="7">
        <f>IF(BA50=1,AN50,IF(17=0,0,BE49))</f>
        <v/>
      </c>
      <c r="BF50" s="7">
        <f>IF(BA50=1,AR50,IF(17=0,0,BF49))</f>
        <v/>
      </c>
      <c r="BG50" s="7">
        <f>IF(BA50=1,IF(AND(AO50=0,AP50&lt;0.2),1,0),IF(17=0,0,BY49))</f>
        <v/>
      </c>
      <c r="BH50" s="7">
        <f>IF(sel_cfg="casaAdu",1,0)</f>
        <v/>
      </c>
      <c r="BI50" s="7">
        <f>IF(AND(BB50=1,BH50=1,IF(17=0,0,BJ49)=0,A50&gt;=IF(BC50="",9999,BC50)+vivienda_aduRetrasoAnios),1,0)</f>
        <v/>
      </c>
      <c r="BJ50" s="7">
        <f>MAX(IF(17=0,0,BJ49),BI50)</f>
        <v/>
      </c>
      <c r="BK50" s="7">
        <f>IF(BI50=1,PMT((g_mortRate+0.005)/12,180,-loc_precio_aduCosto*C50),IF(17=0,0,BK49))</f>
        <v/>
      </c>
      <c r="BL50" s="7">
        <f>IF(BA50=1,AN50,IF(17=0,0,DT49))+IF(BI50=1,loc_precio_aduCosto*C50,0)</f>
        <v/>
      </c>
      <c r="BM50" s="7">
        <f>IF(BA50=1,AQ50,IF(17=0,0,DU49))</f>
        <v/>
      </c>
      <c r="BN50" s="7">
        <f>IF(BM50&lt;=0,0,FV(g_mortRate/12,12,BF50,-BM50))</f>
        <v/>
      </c>
      <c r="BO50" s="7">
        <f>IF(BM50&lt;=0,0,12*BF50+MIN(0,BN50))</f>
        <v/>
      </c>
      <c r="BP50" s="7">
        <f>MAX(0,BN50)</f>
        <v/>
      </c>
      <c r="BQ50" s="7">
        <f>IF(BI50=1,loc_precio_aduCosto*C50,IF(17=0,0,DV49))</f>
        <v/>
      </c>
      <c r="BR50" s="7">
        <f>IF(BQ50&lt;=0,0,FV((g_mortRate+0.005)/12,12,BK50,-BQ50))</f>
        <v/>
      </c>
      <c r="BS50" s="7">
        <f>IF(BQ50&lt;=0,0,12*BK50+MIN(0,BR50))</f>
        <v/>
      </c>
      <c r="BT50" s="7">
        <f>MAX(0,BR50)</f>
        <v/>
      </c>
      <c r="BU50" s="7">
        <f>IF(BB50=1,AM50*loc_seguroPct*(1+vivienda_inflacionSeguro)^(A50-2026)*IF(BJ50=1,1+loc_precio_aduCosto/AM50,1),0)</f>
        <v/>
      </c>
      <c r="BV50" s="7">
        <f>BL50*loc_impuestoPropPct</f>
        <v/>
      </c>
      <c r="BW50" s="7">
        <f>BL50*vivienda_mantenimientoPct</f>
        <v/>
      </c>
      <c r="BX50" s="7">
        <f>IF(AND(BG50=1,BP50&gt;0.8*BE50),BE50*(1-vivienda_enganchePct)*vivienda_pmiTasa,0)</f>
        <v/>
      </c>
      <c r="BY50" s="7">
        <f>IF(AND(BG50=1,BP50&gt;0.8*BE50),1,0)</f>
        <v/>
      </c>
      <c r="BZ50" s="7">
        <f>IF(BB50=1,AS50*loc_rentaUnidad*12*C50*(1-vivienda_vacancia)*(1-vivienda_gestionPct),0)</f>
        <v/>
      </c>
      <c r="CA50" s="7">
        <f>IF(BB50=1,BO50+BS50+BU50+BV50+BW50+BX50,loc_rentaMensual*12*C50)</f>
        <v/>
      </c>
      <c r="CB50" s="7">
        <f>IF(BB50=1,personal_aporteFamiliaMensual*12,0)</f>
        <v/>
      </c>
      <c r="CC50" s="7">
        <f>MIN(IF(17=0,personal_irsSaldo,CD49),personal_irsPagoMensual*12)</f>
        <v/>
      </c>
      <c r="CD50" s="7">
        <f>IF(17=0,personal_irsSaldo,CD49)-CC50</f>
        <v/>
      </c>
      <c r="CE50" s="7">
        <f>IF(17=0,IF(personal_deudaEsFederal=1,personal_deudaEstudiantil,0),DW49)</f>
        <v/>
      </c>
      <c r="CF50" s="7">
        <f>IF(17=0,personal_tasaDeudaEstudiantil,DX49)</f>
        <v/>
      </c>
      <c r="CG50" s="7">
        <f>IF(17=0,0,DY49)</f>
        <v/>
      </c>
      <c r="CH50" s="7">
        <f>IF(J50&gt;=0.5,1,0)</f>
        <v/>
      </c>
      <c r="CI50" s="7">
        <f>IF(AND(CH50=0,prestamos_pslfActivo=1,K50&gt;=0.5,CE50&gt;0),1,0)</f>
        <v/>
      </c>
      <c r="CJ50" s="7">
        <f>CE50*CF50</f>
        <v/>
      </c>
      <c r="CK50" s="7">
        <f>MAX(prestamos_rapPagoMinimoAnual,IF(Y50&lt;10000,0,MIN(0.1,INT(Y50/10000)/100))*Y50)</f>
        <v/>
      </c>
      <c r="CL50" s="7">
        <f>IF(CE50&lt;=0,0,IF(CH50=1,0,IF(CI50=1,MIN(CE50+CJ50,CK50),PMT(CF50,MAX(1,prestamos_plazoAnios-CG50),-CE50))))</f>
        <v/>
      </c>
      <c r="CM50" s="7">
        <f>IF(CE50&lt;=0,0,IF(CH50=1,CE50+CJ50,IF(CI50=1,MAX(0,CE50-MAX(CL50-CJ50,MIN(600,CL50))),MAX(0,CE50*(1+CF50)-CL50))))</f>
        <v/>
      </c>
      <c r="CN50" s="7">
        <f>IF(17=0,0,CN49)+IF(CI50=1,12*MIN(1,K50),0)</f>
        <v/>
      </c>
      <c r="CO50" s="7">
        <f>IF(AND(CI50=1,CN50&gt;=prestamos_pslfPagos,CM50&gt;0),CM50,0)</f>
        <v/>
      </c>
      <c r="CP50" s="7">
        <f>CM50-CO50</f>
        <v/>
      </c>
      <c r="CQ50" s="7">
        <f>IF(AND(CE50&gt;0,CH50=0,CI50=0),CG50+1,CG50)</f>
        <v/>
      </c>
      <c r="CR50" s="7">
        <f>IF(17=0,IF(personal_deudaEsFederal=1,0,personal_deudaEstudiantil),EA49)</f>
        <v/>
      </c>
      <c r="CS50" s="7">
        <f>IF(17=0,IF(personal_deudaEsFederal=1,prestamos_tasaPrivada,personal_tasaDeudaEstudiantil),EB49)</f>
        <v/>
      </c>
      <c r="CT50" s="7">
        <f>IF(17=0,0,EC49)</f>
        <v/>
      </c>
      <c r="CU50" s="7">
        <f>IF(OR(CR50&lt;=0,CH50=1),0,PMT(CS50,MAX(1,prestamos_plazoAnios-CT50),-CR50))</f>
        <v/>
      </c>
      <c r="CV50" s="7">
        <f>IF(CR50&lt;=0,0,IF(CH50=1,CR50*(1+CS50),MAX(0,CR50*(1+CS50)-CU50)))</f>
        <v/>
      </c>
      <c r="CW50" s="7">
        <f>IF(AND(CR50&gt;0,CH50=0),CT50+1,CT50)</f>
        <v/>
      </c>
      <c r="CX50" s="7">
        <f>IF(17=0,0,ED49)*(1+general_tasaDeudaConsumo)</f>
        <v/>
      </c>
      <c r="CY50" s="7">
        <f>L50*12*tiempos_travelGastoExtraMes*C50</f>
        <v/>
      </c>
      <c r="CZ50" s="7">
        <f>AJ50+CY50+CA50+CC50+CL50+CU50+I50+N50-BZ50-CB50</f>
        <v/>
      </c>
      <c r="DA50" s="7">
        <f>AH50-CZ50</f>
        <v/>
      </c>
      <c r="DB50" s="7">
        <f>IF(17=0,0,DB49)+DA50</f>
        <v/>
      </c>
      <c r="DC50" s="7">
        <f>AN50*vivienda_enganchePct+AN50*vivienda_cierrePct+general_reservaMeses/12*AJ50</f>
        <v/>
      </c>
      <c r="DD50" s="7">
        <f>IF(BB50=1,g_ret,IF(BD50&gt;0,MIN(1,DC50/BD50),1)*g_cash+(1-IF(BD50&gt;0,MIN(1,DC50/BD50),1))*g_ret)</f>
        <v/>
      </c>
      <c r="DE50" s="7">
        <f>IF(DA50&gt;=0,MIN(CX50,DA50),0)</f>
        <v/>
      </c>
      <c r="DF50" s="7">
        <f>IF(DA50&gt;=0,(1-general_tasaAhorro)*(DA50-DE50),0)</f>
        <v/>
      </c>
      <c r="DG50" s="7">
        <f>IF(DA50&gt;=0,DA50-DE50-DF50,0)</f>
        <v/>
      </c>
      <c r="DH50" s="7">
        <f>MIN(personal_rothAnual,DG50)</f>
        <v/>
      </c>
      <c r="DI50" s="7">
        <f>IF(AND(DA50&gt;=0,BB50=1,BP50+BT50&gt;0),MIN(vivienda_prepagoPct*(DG50-DH50),BP50+BT50),0)</f>
        <v/>
      </c>
      <c r="DJ50" s="7">
        <f>MIN(DI50,BP50)</f>
        <v/>
      </c>
      <c r="DK50" s="7">
        <f>IF(DA50&lt;0,MIN(MAX(0,BD50),-DA50),0)</f>
        <v/>
      </c>
      <c r="DL50" s="7">
        <f>IF(DA50&lt;0,-DA50-DK50,0)</f>
        <v/>
      </c>
      <c r="DM50" s="7">
        <f>IF(17=0,0,DZ49)</f>
        <v/>
      </c>
      <c r="DN50" s="7">
        <f>IF(AND(DL50&gt;0,J50&gt;0),MIN(DL50,MIN(prestamos_topeAnualPosgrado*MIN(1,J50),MAX(0,prestamos_topeTotalPosgrado-DM50))),0)</f>
        <v/>
      </c>
      <c r="DO50" s="7">
        <f>IF(AND(DL50&gt;0,J50&gt;0),DL50-DN50,0)</f>
        <v/>
      </c>
      <c r="DP50" s="7">
        <f>IF(AND(DL50&gt;0,J50&lt;=0),DL50,0)</f>
        <v/>
      </c>
      <c r="DQ50" s="7">
        <f>IF(DA50&gt;=0,DG50-DH50-DI50,-DK50)</f>
        <v/>
      </c>
      <c r="DR50" s="7">
        <f>BD50*(1+DD50)+DQ50*(1+DD50/2)</f>
        <v/>
      </c>
      <c r="DS50" s="7">
        <f>IF(17=0,personal_retiroInicial,DS49)*(1+g_ret)+(O50+P50+DH50)*(1+g_ret/2)</f>
        <v/>
      </c>
      <c r="DT50" s="7">
        <f>IF(BB50=1,BL50*(1+g_appr),0)</f>
        <v/>
      </c>
      <c r="DU50" s="7">
        <f>BP50-DJ50</f>
        <v/>
      </c>
      <c r="DV50" s="7">
        <f>BT50-(DI50-DJ50)</f>
        <v/>
      </c>
      <c r="DW50" s="7">
        <f>CP50+DN50</f>
        <v/>
      </c>
      <c r="DX50" s="7">
        <f>IF(DN50&gt;0,(CP50*CF50+DN50*prestamos_tasaFederalPosgrado)/(CP50+DN50),CF50)</f>
        <v/>
      </c>
      <c r="DY50" s="7">
        <f>IF(DN50&gt;0,0,CQ50)</f>
        <v/>
      </c>
      <c r="DZ50" s="7">
        <f>DM50+DN50</f>
        <v/>
      </c>
      <c r="EA50" s="7">
        <f>CV50+DO50</f>
        <v/>
      </c>
      <c r="EB50" s="7">
        <f>IF(DO50&gt;0,(CV50*CS50+DO50*prestamos_tasaPrivada)/(CV50+DO50),CS50)</f>
        <v/>
      </c>
      <c r="EC50" s="7">
        <f>IF(DO50&gt;0,0,CW50)</f>
        <v/>
      </c>
      <c r="ED50" s="7">
        <f>CX50-DE50+DP50</f>
        <v/>
      </c>
      <c r="EE50" s="7">
        <f>IF(IF(17=0,"",EE49)&lt;&gt;"",EE49,IF(AND(BB50=1,DU50&lt;=0.5,DV50&lt;=0.5,OR(BH50=0,BJ50=1)),A50,""))</f>
        <v/>
      </c>
      <c r="EF50" s="7">
        <f>DU50+DV50+DW50+EA50+ED50+CD50</f>
        <v/>
      </c>
      <c r="EG50" s="7">
        <f>DR50+DS50+DT50-EF50</f>
        <v/>
      </c>
      <c r="EH50" s="7">
        <f>EG50/(1+g_inf)^(A50+1-2026)</f>
        <v/>
      </c>
    </row>
    <row r="51">
      <c r="A51" t="n">
        <v>2045</v>
      </c>
      <c r="B51" t="n">
        <v>18</v>
      </c>
      <c r="C51" s="7">
        <f>(1+g_inf)^(A51-2026)</f>
        <v/>
      </c>
      <c r="D51" s="7">
        <f>SUMPRODUCT($AL$5:$AL$29,$E$5:$E$29*(1+$F$5:$F$29)^(A51-2026)*$G$5:$G$29*$H$5:$H$29*(1-$N$5:$N$29*$O$5:$O$29))*g_salMult+SUMPRODUCT(($B$5:$B$29&gt;=A51)*($B$5:$B$29&lt;A51+1)*$I$5:$I$29)*g_salMult</f>
        <v/>
      </c>
      <c r="E51" s="7">
        <f>SUMPRODUCT($AL$5:$AL$29,$E$5:$E$29*(1+$F$5:$F$29)^(A51-2026)*$G$5:$G$29*$H$5:$H$29*$M$5:$M$29)*g_salMult</f>
        <v/>
      </c>
      <c r="F51" s="7">
        <f>SUMPRODUCT($AL$5:$AL$29,$E$5:$E$29*(1+$F$5:$F$29)^(A51-2026)*$G$5:$G$29*$H$5:$H$29*$N$5:$N$29*$O$5:$O$29)*g_salMult</f>
        <v/>
      </c>
      <c r="G51" s="7">
        <f>SUMPRODUCT($AL$5:$AL$29,$P$5:$P$29*(1+$F$5:$F$29)^(A51-2026))</f>
        <v/>
      </c>
      <c r="H51" s="7">
        <f>SUMPRODUCT($AL$5:$AL$29,$Q$5:$Q$29*(1+$F$5:$F$29)^(A51-2026))+IF(personal_llcActivo=1,personal_llcNeto*(1+personal_llcCrecimiento)^18,0)</f>
        <v/>
      </c>
      <c r="I51" s="7">
        <f>SUMPRODUCT($AL$5:$AL$29,$J$5:$J$29/($C$5:$C$29-$B$5:$B$29+($C$5:$C$29=$B$5:$B$29)))*C51</f>
        <v/>
      </c>
      <c r="J51" s="7">
        <f>SUMPRODUCT($AL$5:$AL$29,$K$5:$K$29)</f>
        <v/>
      </c>
      <c r="K51" s="7">
        <f>SUMPRODUCT($AL$5:$AL$29,$L$5:$L$29)</f>
        <v/>
      </c>
      <c r="L51" s="7">
        <f>SUMPRODUCT($AL$5:$AL$29,$N$5:$N$29)</f>
        <v/>
      </c>
      <c r="M51" s="7">
        <f>IF(SUMPRODUCT($AL$5:$AL$29,$R$5:$R$29)&gt;0,1,0)</f>
        <v/>
      </c>
      <c r="N51" s="7">
        <f>SUMPRODUCT(($AO$5:$AO$24&gt;=A51)*($AO$5:$AO$24&lt;A51+1)*$AP$5:$AP$24)*C51+IF(18=0,IF(sel_loc&lt;&gt;"miami",personal_costoMudanzaInicial,0),0)</f>
        <v/>
      </c>
      <c r="O51" s="7">
        <f>MIN(personal_aporte403bPct*D51,retiro_limite403b*C51)</f>
        <v/>
      </c>
      <c r="P51" s="7">
        <f>MIN(personal_aporte403bPct,personal_match403bPct)*E51</f>
        <v/>
      </c>
      <c r="Q51" s="7">
        <f>IF(G51&gt;0,MAX(0,G51-impuestos_scorpCostoAnual*C51),0)</f>
        <v/>
      </c>
      <c r="R51" s="7">
        <f>Q51*impuestos_scorpSalarioPct/(1+impuestos_ssTasa+impuestos_medicareTasa)</f>
        <v/>
      </c>
      <c r="S51" s="7">
        <f>impuestos_ssTasa*MIN(R51,MAX(0,impuestos_ssTope*C51-D51))+impuestos_medicareTasa*R51</f>
        <v/>
      </c>
      <c r="T51" s="7">
        <f>Q51-R51-S51</f>
        <v/>
      </c>
      <c r="U51" s="7">
        <f>D51+R51</f>
        <v/>
      </c>
      <c r="V51" s="7">
        <f>H51*0.9235</f>
        <v/>
      </c>
      <c r="W51" s="7">
        <f>IF(H51&gt;0,2*impuestos_ssTasa*MIN(V51,MAX(0,impuestos_ssTope*C51-U51))+2*impuestos_medicareTasa*V51,0)</f>
        <v/>
      </c>
      <c r="X51" s="7">
        <f>impuestos_ssTasa*MIN(U51,impuestos_ssTope*C51)+impuestos_medicareTasa*U51+impuestos_medicareAdicional*MAX(0,U51+H51*0.9235-impuestos_medicareUmbral)</f>
        <v/>
      </c>
      <c r="Y51" s="7">
        <f>MAX(0,D51-O51+R51+T51+H51-W51/2)</f>
        <v/>
      </c>
      <c r="Z51" s="7">
        <f>MAX(0,Y51-impuestos_deduccionEstandar*C51)</f>
        <v/>
      </c>
      <c r="AA51" s="7">
        <f>MIN(0.2*MAX(0,T51+H51-W51/2)*MAX(0,MIN(1,1-(Z51-impuestos_qbiUmbral*C51)/(impuestos_qbiRango*C51))),0.2*Z51)</f>
        <v/>
      </c>
      <c r="AB51" s="7">
        <f>MAX(0,Z51-AA51)</f>
        <v/>
      </c>
      <c r="AC51" s="7">
        <f>SUMPRODUCT((AB51&gt;tb_federalBrackets_lo*C51)*(AB51-tb_federalBrackets_lo*C51)*tb_federalBrackets_dr)</f>
        <v/>
      </c>
      <c r="AD51" s="7">
        <f>MAX(0,Y51-impuestos_nyDeduccion*C51)</f>
        <v/>
      </c>
      <c r="AE51" s="7">
        <f>CHOOSE(loc_taxcode,0,impuestos_ohTasa*MAX(0,Y51-impuestos_ohExento*C51)+impuestos_ohMunicipal*U51,SUMPRODUCT((AD51&gt;tb_nyBrackets_lo*C51)*(AD51-tb_nyBrackets_lo*C51)*tb_nyBrackets_dr)+loc_nyc*SUMPRODUCT((AD51&gt;tb_nycBrackets_lo*C51)*(AD51-tb_nycBrackets_lo*C51)*tb_nycBrackets_dr))</f>
        <v/>
      </c>
      <c r="AF51" s="7">
        <f>AC51+AE51+X51+W51</f>
        <v/>
      </c>
      <c r="AG51" s="7">
        <f>D51+F51+R51+T51+H51</f>
        <v/>
      </c>
      <c r="AH51" s="7">
        <f>AG51-AF51-O51</f>
        <v/>
      </c>
      <c r="AI51" s="7">
        <f>D51+F51+G51+H51</f>
        <v/>
      </c>
      <c r="AJ51" s="7">
        <f>loc_gastosVida*C51*g_gastos</f>
        <v/>
      </c>
      <c r="AK51" s="7">
        <f>IF(18=0,personal_liquidoInicial,DR50)</f>
        <v/>
      </c>
      <c r="AL51" s="7">
        <f>IF(18=0,0,BB50)</f>
        <v/>
      </c>
      <c r="AM51" s="7">
        <f>CHOOSE(sel_cfgIdx,loc_precio_duplex,loc_precio_inlaw,loc_precio_dosCasas,loc_precio_casaAdu,loc_precio_multi)</f>
        <v/>
      </c>
      <c r="AN51" s="7">
        <f>AM51*(1+g_appr)^(A51-2026)</f>
        <v/>
      </c>
      <c r="AO51" s="7">
        <f>IF(AND(M51=1,vivienda_prestamoMedico=1),1,0)</f>
        <v/>
      </c>
      <c r="AP51" s="7">
        <f>IF(AO51=1,0.05,vivienda_enganchePct)</f>
        <v/>
      </c>
      <c r="AQ51" s="7">
        <f>AN51*(1-AP51)</f>
        <v/>
      </c>
      <c r="AR51" s="7">
        <f>PMT(g_mortRate/12,vivienda_plazoHipoteca*12,-AQ51)</f>
        <v/>
      </c>
      <c r="AS51" s="7">
        <f>INDEX(cfg_units,sel_cfgIdx)</f>
        <v/>
      </c>
      <c r="AT51" s="7">
        <f>AS51*loc_rentaUnidad*(1+g_inf)^(A51-2026)*(1-vivienda_vacancia)</f>
        <v/>
      </c>
      <c r="AU51" s="7">
        <f>AR51+AN51*loc_impuestoPropPct/12+AM51*loc_seguroPct*(1+vivienda_inflacionSeguro)^(A51-2026)/12+IF(AND(AO51=0,AP51&lt;0.2),AQ51*vivienda_pmiTasa/12,0)</f>
        <v/>
      </c>
      <c r="AV51" s="7">
        <f>AN51*AP51+AN51*vivienda_cierrePct+general_reservaMeses/12*AJ51</f>
        <v/>
      </c>
      <c r="AW51" s="7">
        <f>(IF(18=0,MIN(personal_irsSaldo,personal_irsPagoMensual*12),MIN(CD50,personal_irsPagoMensual*12))+IF(CE51&gt;0,PMT(CF51,MAX(1,prestamos_plazoAnios-CG51),-CE51),0)+IF(CR51&gt;0,PMT(CS51,MAX(1,prestamos_plazoAnios-CT51),-CR51),0))/12</f>
        <v/>
      </c>
      <c r="AX51" s="7">
        <f>IF(OR(sel_cfg="duplex",sel_cfg="multi",sel_cfg="dosCasas"),0.75*personal_aporteFamiliaMensual,0)</f>
        <v/>
      </c>
      <c r="AY51" s="7">
        <f>AU51-0.75*AT51-AX51+AW51</f>
        <v/>
      </c>
      <c r="AZ51" s="7">
        <f>(D51+G51+H51+0.5*F51)/12</f>
        <v/>
      </c>
      <c r="BA51" s="7">
        <f>IF(AND(AL51=0,A51&gt;=vivienda_anioMinCompra,J51&lt;0.5,AI51&gt;0,AK51&gt;=AV51,AY51&lt;=vivienda_dtiMax*AZ51),1,0)</f>
        <v/>
      </c>
      <c r="BB51" s="7">
        <f>MAX(AL51,BA51)</f>
        <v/>
      </c>
      <c r="BC51" s="7">
        <f>IF(BA51=1,A51,IF(18=0,"",BC50))</f>
        <v/>
      </c>
      <c r="BD51" s="7">
        <f>AK51-IF(BA51=1,AN51*AP51+AN51*vivienda_cierrePct,0)</f>
        <v/>
      </c>
      <c r="BE51" s="7">
        <f>IF(BA51=1,AN51,IF(18=0,0,BE50))</f>
        <v/>
      </c>
      <c r="BF51" s="7">
        <f>IF(BA51=1,AR51,IF(18=0,0,BF50))</f>
        <v/>
      </c>
      <c r="BG51" s="7">
        <f>IF(BA51=1,IF(AND(AO51=0,AP51&lt;0.2),1,0),IF(18=0,0,BY50))</f>
        <v/>
      </c>
      <c r="BH51" s="7">
        <f>IF(sel_cfg="casaAdu",1,0)</f>
        <v/>
      </c>
      <c r="BI51" s="7">
        <f>IF(AND(BB51=1,BH51=1,IF(18=0,0,BJ50)=0,A51&gt;=IF(BC51="",9999,BC51)+vivienda_aduRetrasoAnios),1,0)</f>
        <v/>
      </c>
      <c r="BJ51" s="7">
        <f>MAX(IF(18=0,0,BJ50),BI51)</f>
        <v/>
      </c>
      <c r="BK51" s="7">
        <f>IF(BI51=1,PMT((g_mortRate+0.005)/12,180,-loc_precio_aduCosto*C51),IF(18=0,0,BK50))</f>
        <v/>
      </c>
      <c r="BL51" s="7">
        <f>IF(BA51=1,AN51,IF(18=0,0,DT50))+IF(BI51=1,loc_precio_aduCosto*C51,0)</f>
        <v/>
      </c>
      <c r="BM51" s="7">
        <f>IF(BA51=1,AQ51,IF(18=0,0,DU50))</f>
        <v/>
      </c>
      <c r="BN51" s="7">
        <f>IF(BM51&lt;=0,0,FV(g_mortRate/12,12,BF51,-BM51))</f>
        <v/>
      </c>
      <c r="BO51" s="7">
        <f>IF(BM51&lt;=0,0,12*BF51+MIN(0,BN51))</f>
        <v/>
      </c>
      <c r="BP51" s="7">
        <f>MAX(0,BN51)</f>
        <v/>
      </c>
      <c r="BQ51" s="7">
        <f>IF(BI51=1,loc_precio_aduCosto*C51,IF(18=0,0,DV50))</f>
        <v/>
      </c>
      <c r="BR51" s="7">
        <f>IF(BQ51&lt;=0,0,FV((g_mortRate+0.005)/12,12,BK51,-BQ51))</f>
        <v/>
      </c>
      <c r="BS51" s="7">
        <f>IF(BQ51&lt;=0,0,12*BK51+MIN(0,BR51))</f>
        <v/>
      </c>
      <c r="BT51" s="7">
        <f>MAX(0,BR51)</f>
        <v/>
      </c>
      <c r="BU51" s="7">
        <f>IF(BB51=1,AM51*loc_seguroPct*(1+vivienda_inflacionSeguro)^(A51-2026)*IF(BJ51=1,1+loc_precio_aduCosto/AM51,1),0)</f>
        <v/>
      </c>
      <c r="BV51" s="7">
        <f>BL51*loc_impuestoPropPct</f>
        <v/>
      </c>
      <c r="BW51" s="7">
        <f>BL51*vivienda_mantenimientoPct</f>
        <v/>
      </c>
      <c r="BX51" s="7">
        <f>IF(AND(BG51=1,BP51&gt;0.8*BE51),BE51*(1-vivienda_enganchePct)*vivienda_pmiTasa,0)</f>
        <v/>
      </c>
      <c r="BY51" s="7">
        <f>IF(AND(BG51=1,BP51&gt;0.8*BE51),1,0)</f>
        <v/>
      </c>
      <c r="BZ51" s="7">
        <f>IF(BB51=1,AS51*loc_rentaUnidad*12*C51*(1-vivienda_vacancia)*(1-vivienda_gestionPct),0)</f>
        <v/>
      </c>
      <c r="CA51" s="7">
        <f>IF(BB51=1,BO51+BS51+BU51+BV51+BW51+BX51,loc_rentaMensual*12*C51)</f>
        <v/>
      </c>
      <c r="CB51" s="7">
        <f>IF(BB51=1,personal_aporteFamiliaMensual*12,0)</f>
        <v/>
      </c>
      <c r="CC51" s="7">
        <f>MIN(IF(18=0,personal_irsSaldo,CD50),personal_irsPagoMensual*12)</f>
        <v/>
      </c>
      <c r="CD51" s="7">
        <f>IF(18=0,personal_irsSaldo,CD50)-CC51</f>
        <v/>
      </c>
      <c r="CE51" s="7">
        <f>IF(18=0,IF(personal_deudaEsFederal=1,personal_deudaEstudiantil,0),DW50)</f>
        <v/>
      </c>
      <c r="CF51" s="7">
        <f>IF(18=0,personal_tasaDeudaEstudiantil,DX50)</f>
        <v/>
      </c>
      <c r="CG51" s="7">
        <f>IF(18=0,0,DY50)</f>
        <v/>
      </c>
      <c r="CH51" s="7">
        <f>IF(J51&gt;=0.5,1,0)</f>
        <v/>
      </c>
      <c r="CI51" s="7">
        <f>IF(AND(CH51=0,prestamos_pslfActivo=1,K51&gt;=0.5,CE51&gt;0),1,0)</f>
        <v/>
      </c>
      <c r="CJ51" s="7">
        <f>CE51*CF51</f>
        <v/>
      </c>
      <c r="CK51" s="7">
        <f>MAX(prestamos_rapPagoMinimoAnual,IF(Y51&lt;10000,0,MIN(0.1,INT(Y51/10000)/100))*Y51)</f>
        <v/>
      </c>
      <c r="CL51" s="7">
        <f>IF(CE51&lt;=0,0,IF(CH51=1,0,IF(CI51=1,MIN(CE51+CJ51,CK51),PMT(CF51,MAX(1,prestamos_plazoAnios-CG51),-CE51))))</f>
        <v/>
      </c>
      <c r="CM51" s="7">
        <f>IF(CE51&lt;=0,0,IF(CH51=1,CE51+CJ51,IF(CI51=1,MAX(0,CE51-MAX(CL51-CJ51,MIN(600,CL51))),MAX(0,CE51*(1+CF51)-CL51))))</f>
        <v/>
      </c>
      <c r="CN51" s="7">
        <f>IF(18=0,0,CN50)+IF(CI51=1,12*MIN(1,K51),0)</f>
        <v/>
      </c>
      <c r="CO51" s="7">
        <f>IF(AND(CI51=1,CN51&gt;=prestamos_pslfPagos,CM51&gt;0),CM51,0)</f>
        <v/>
      </c>
      <c r="CP51" s="7">
        <f>CM51-CO51</f>
        <v/>
      </c>
      <c r="CQ51" s="7">
        <f>IF(AND(CE51&gt;0,CH51=0,CI51=0),CG51+1,CG51)</f>
        <v/>
      </c>
      <c r="CR51" s="7">
        <f>IF(18=0,IF(personal_deudaEsFederal=1,0,personal_deudaEstudiantil),EA50)</f>
        <v/>
      </c>
      <c r="CS51" s="7">
        <f>IF(18=0,IF(personal_deudaEsFederal=1,prestamos_tasaPrivada,personal_tasaDeudaEstudiantil),EB50)</f>
        <v/>
      </c>
      <c r="CT51" s="7">
        <f>IF(18=0,0,EC50)</f>
        <v/>
      </c>
      <c r="CU51" s="7">
        <f>IF(OR(CR51&lt;=0,CH51=1),0,PMT(CS51,MAX(1,prestamos_plazoAnios-CT51),-CR51))</f>
        <v/>
      </c>
      <c r="CV51" s="7">
        <f>IF(CR51&lt;=0,0,IF(CH51=1,CR51*(1+CS51),MAX(0,CR51*(1+CS51)-CU51)))</f>
        <v/>
      </c>
      <c r="CW51" s="7">
        <f>IF(AND(CR51&gt;0,CH51=0),CT51+1,CT51)</f>
        <v/>
      </c>
      <c r="CX51" s="7">
        <f>IF(18=0,0,ED50)*(1+general_tasaDeudaConsumo)</f>
        <v/>
      </c>
      <c r="CY51" s="7">
        <f>L51*12*tiempos_travelGastoExtraMes*C51</f>
        <v/>
      </c>
      <c r="CZ51" s="7">
        <f>AJ51+CY51+CA51+CC51+CL51+CU51+I51+N51-BZ51-CB51</f>
        <v/>
      </c>
      <c r="DA51" s="7">
        <f>AH51-CZ51</f>
        <v/>
      </c>
      <c r="DB51" s="7">
        <f>IF(18=0,0,DB50)+DA51</f>
        <v/>
      </c>
      <c r="DC51" s="7">
        <f>AN51*vivienda_enganchePct+AN51*vivienda_cierrePct+general_reservaMeses/12*AJ51</f>
        <v/>
      </c>
      <c r="DD51" s="7">
        <f>IF(BB51=1,g_ret,IF(BD51&gt;0,MIN(1,DC51/BD51),1)*g_cash+(1-IF(BD51&gt;0,MIN(1,DC51/BD51),1))*g_ret)</f>
        <v/>
      </c>
      <c r="DE51" s="7">
        <f>IF(DA51&gt;=0,MIN(CX51,DA51),0)</f>
        <v/>
      </c>
      <c r="DF51" s="7">
        <f>IF(DA51&gt;=0,(1-general_tasaAhorro)*(DA51-DE51),0)</f>
        <v/>
      </c>
      <c r="DG51" s="7">
        <f>IF(DA51&gt;=0,DA51-DE51-DF51,0)</f>
        <v/>
      </c>
      <c r="DH51" s="7">
        <f>MIN(personal_rothAnual,DG51)</f>
        <v/>
      </c>
      <c r="DI51" s="7">
        <f>IF(AND(DA51&gt;=0,BB51=1,BP51+BT51&gt;0),MIN(vivienda_prepagoPct*(DG51-DH51),BP51+BT51),0)</f>
        <v/>
      </c>
      <c r="DJ51" s="7">
        <f>MIN(DI51,BP51)</f>
        <v/>
      </c>
      <c r="DK51" s="7">
        <f>IF(DA51&lt;0,MIN(MAX(0,BD51),-DA51),0)</f>
        <v/>
      </c>
      <c r="DL51" s="7">
        <f>IF(DA51&lt;0,-DA51-DK51,0)</f>
        <v/>
      </c>
      <c r="DM51" s="7">
        <f>IF(18=0,0,DZ50)</f>
        <v/>
      </c>
      <c r="DN51" s="7">
        <f>IF(AND(DL51&gt;0,J51&gt;0),MIN(DL51,MIN(prestamos_topeAnualPosgrado*MIN(1,J51),MAX(0,prestamos_topeTotalPosgrado-DM51))),0)</f>
        <v/>
      </c>
      <c r="DO51" s="7">
        <f>IF(AND(DL51&gt;0,J51&gt;0),DL51-DN51,0)</f>
        <v/>
      </c>
      <c r="DP51" s="7">
        <f>IF(AND(DL51&gt;0,J51&lt;=0),DL51,0)</f>
        <v/>
      </c>
      <c r="DQ51" s="7">
        <f>IF(DA51&gt;=0,DG51-DH51-DI51,-DK51)</f>
        <v/>
      </c>
      <c r="DR51" s="7">
        <f>BD51*(1+DD51)+DQ51*(1+DD51/2)</f>
        <v/>
      </c>
      <c r="DS51" s="7">
        <f>IF(18=0,personal_retiroInicial,DS50)*(1+g_ret)+(O51+P51+DH51)*(1+g_ret/2)</f>
        <v/>
      </c>
      <c r="DT51" s="7">
        <f>IF(BB51=1,BL51*(1+g_appr),0)</f>
        <v/>
      </c>
      <c r="DU51" s="7">
        <f>BP51-DJ51</f>
        <v/>
      </c>
      <c r="DV51" s="7">
        <f>BT51-(DI51-DJ51)</f>
        <v/>
      </c>
      <c r="DW51" s="7">
        <f>CP51+DN51</f>
        <v/>
      </c>
      <c r="DX51" s="7">
        <f>IF(DN51&gt;0,(CP51*CF51+DN51*prestamos_tasaFederalPosgrado)/(CP51+DN51),CF51)</f>
        <v/>
      </c>
      <c r="DY51" s="7">
        <f>IF(DN51&gt;0,0,CQ51)</f>
        <v/>
      </c>
      <c r="DZ51" s="7">
        <f>DM51+DN51</f>
        <v/>
      </c>
      <c r="EA51" s="7">
        <f>CV51+DO51</f>
        <v/>
      </c>
      <c r="EB51" s="7">
        <f>IF(DO51&gt;0,(CV51*CS51+DO51*prestamos_tasaPrivada)/(CV51+DO51),CS51)</f>
        <v/>
      </c>
      <c r="EC51" s="7">
        <f>IF(DO51&gt;0,0,CW51)</f>
        <v/>
      </c>
      <c r="ED51" s="7">
        <f>CX51-DE51+DP51</f>
        <v/>
      </c>
      <c r="EE51" s="7">
        <f>IF(IF(18=0,"",EE50)&lt;&gt;"",EE50,IF(AND(BB51=1,DU51&lt;=0.5,DV51&lt;=0.5,OR(BH51=0,BJ51=1)),A51,""))</f>
        <v/>
      </c>
      <c r="EF51" s="7">
        <f>DU51+DV51+DW51+EA51+ED51+CD51</f>
        <v/>
      </c>
      <c r="EG51" s="7">
        <f>DR51+DS51+DT51-EF51</f>
        <v/>
      </c>
      <c r="EH51" s="7">
        <f>EG51/(1+g_inf)^(A51+1-2026)</f>
        <v/>
      </c>
    </row>
    <row r="52">
      <c r="A52" t="n">
        <v>2046</v>
      </c>
      <c r="B52" t="n">
        <v>19</v>
      </c>
      <c r="C52" s="7">
        <f>(1+g_inf)^(A52-2026)</f>
        <v/>
      </c>
      <c r="D52" s="7">
        <f>SUMPRODUCT($AM$5:$AM$29,$E$5:$E$29*(1+$F$5:$F$29)^(A52-2026)*$G$5:$G$29*$H$5:$H$29*(1-$N$5:$N$29*$O$5:$O$29))*g_salMult+SUMPRODUCT(($B$5:$B$29&gt;=A52)*($B$5:$B$29&lt;A52+1)*$I$5:$I$29)*g_salMult</f>
        <v/>
      </c>
      <c r="E52" s="7">
        <f>SUMPRODUCT($AM$5:$AM$29,$E$5:$E$29*(1+$F$5:$F$29)^(A52-2026)*$G$5:$G$29*$H$5:$H$29*$M$5:$M$29)*g_salMult</f>
        <v/>
      </c>
      <c r="F52" s="7">
        <f>SUMPRODUCT($AM$5:$AM$29,$E$5:$E$29*(1+$F$5:$F$29)^(A52-2026)*$G$5:$G$29*$H$5:$H$29*$N$5:$N$29*$O$5:$O$29)*g_salMult</f>
        <v/>
      </c>
      <c r="G52" s="7">
        <f>SUMPRODUCT($AM$5:$AM$29,$P$5:$P$29*(1+$F$5:$F$29)^(A52-2026))</f>
        <v/>
      </c>
      <c r="H52" s="7">
        <f>SUMPRODUCT($AM$5:$AM$29,$Q$5:$Q$29*(1+$F$5:$F$29)^(A52-2026))+IF(personal_llcActivo=1,personal_llcNeto*(1+personal_llcCrecimiento)^19,0)</f>
        <v/>
      </c>
      <c r="I52" s="7">
        <f>SUMPRODUCT($AM$5:$AM$29,$J$5:$J$29/($C$5:$C$29-$B$5:$B$29+($C$5:$C$29=$B$5:$B$29)))*C52</f>
        <v/>
      </c>
      <c r="J52" s="7">
        <f>SUMPRODUCT($AM$5:$AM$29,$K$5:$K$29)</f>
        <v/>
      </c>
      <c r="K52" s="7">
        <f>SUMPRODUCT($AM$5:$AM$29,$L$5:$L$29)</f>
        <v/>
      </c>
      <c r="L52" s="7">
        <f>SUMPRODUCT($AM$5:$AM$29,$N$5:$N$29)</f>
        <v/>
      </c>
      <c r="M52" s="7">
        <f>IF(SUMPRODUCT($AM$5:$AM$29,$R$5:$R$29)&gt;0,1,0)</f>
        <v/>
      </c>
      <c r="N52" s="7">
        <f>SUMPRODUCT(($AO$5:$AO$24&gt;=A52)*($AO$5:$AO$24&lt;A52+1)*$AP$5:$AP$24)*C52+IF(19=0,IF(sel_loc&lt;&gt;"miami",personal_costoMudanzaInicial,0),0)</f>
        <v/>
      </c>
      <c r="O52" s="7">
        <f>MIN(personal_aporte403bPct*D52,retiro_limite403b*C52)</f>
        <v/>
      </c>
      <c r="P52" s="7">
        <f>MIN(personal_aporte403bPct,personal_match403bPct)*E52</f>
        <v/>
      </c>
      <c r="Q52" s="7">
        <f>IF(G52&gt;0,MAX(0,G52-impuestos_scorpCostoAnual*C52),0)</f>
        <v/>
      </c>
      <c r="R52" s="7">
        <f>Q52*impuestos_scorpSalarioPct/(1+impuestos_ssTasa+impuestos_medicareTasa)</f>
        <v/>
      </c>
      <c r="S52" s="7">
        <f>impuestos_ssTasa*MIN(R52,MAX(0,impuestos_ssTope*C52-D52))+impuestos_medicareTasa*R52</f>
        <v/>
      </c>
      <c r="T52" s="7">
        <f>Q52-R52-S52</f>
        <v/>
      </c>
      <c r="U52" s="7">
        <f>D52+R52</f>
        <v/>
      </c>
      <c r="V52" s="7">
        <f>H52*0.9235</f>
        <v/>
      </c>
      <c r="W52" s="7">
        <f>IF(H52&gt;0,2*impuestos_ssTasa*MIN(V52,MAX(0,impuestos_ssTope*C52-U52))+2*impuestos_medicareTasa*V52,0)</f>
        <v/>
      </c>
      <c r="X52" s="7">
        <f>impuestos_ssTasa*MIN(U52,impuestos_ssTope*C52)+impuestos_medicareTasa*U52+impuestos_medicareAdicional*MAX(0,U52+H52*0.9235-impuestos_medicareUmbral)</f>
        <v/>
      </c>
      <c r="Y52" s="7">
        <f>MAX(0,D52-O52+R52+T52+H52-W52/2)</f>
        <v/>
      </c>
      <c r="Z52" s="7">
        <f>MAX(0,Y52-impuestos_deduccionEstandar*C52)</f>
        <v/>
      </c>
      <c r="AA52" s="7">
        <f>MIN(0.2*MAX(0,T52+H52-W52/2)*MAX(0,MIN(1,1-(Z52-impuestos_qbiUmbral*C52)/(impuestos_qbiRango*C52))),0.2*Z52)</f>
        <v/>
      </c>
      <c r="AB52" s="7">
        <f>MAX(0,Z52-AA52)</f>
        <v/>
      </c>
      <c r="AC52" s="7">
        <f>SUMPRODUCT((AB52&gt;tb_federalBrackets_lo*C52)*(AB52-tb_federalBrackets_lo*C52)*tb_federalBrackets_dr)</f>
        <v/>
      </c>
      <c r="AD52" s="7">
        <f>MAX(0,Y52-impuestos_nyDeduccion*C52)</f>
        <v/>
      </c>
      <c r="AE52" s="7">
        <f>CHOOSE(loc_taxcode,0,impuestos_ohTasa*MAX(0,Y52-impuestos_ohExento*C52)+impuestos_ohMunicipal*U52,SUMPRODUCT((AD52&gt;tb_nyBrackets_lo*C52)*(AD52-tb_nyBrackets_lo*C52)*tb_nyBrackets_dr)+loc_nyc*SUMPRODUCT((AD52&gt;tb_nycBrackets_lo*C52)*(AD52-tb_nycBrackets_lo*C52)*tb_nycBrackets_dr))</f>
        <v/>
      </c>
      <c r="AF52" s="7">
        <f>AC52+AE52+X52+W52</f>
        <v/>
      </c>
      <c r="AG52" s="7">
        <f>D52+F52+R52+T52+H52</f>
        <v/>
      </c>
      <c r="AH52" s="7">
        <f>AG52-AF52-O52</f>
        <v/>
      </c>
      <c r="AI52" s="7">
        <f>D52+F52+G52+H52</f>
        <v/>
      </c>
      <c r="AJ52" s="7">
        <f>loc_gastosVida*C52*g_gastos</f>
        <v/>
      </c>
      <c r="AK52" s="7">
        <f>IF(19=0,personal_liquidoInicial,DR51)</f>
        <v/>
      </c>
      <c r="AL52" s="7">
        <f>IF(19=0,0,BB51)</f>
        <v/>
      </c>
      <c r="AM52" s="7">
        <f>CHOOSE(sel_cfgIdx,loc_precio_duplex,loc_precio_inlaw,loc_precio_dosCasas,loc_precio_casaAdu,loc_precio_multi)</f>
        <v/>
      </c>
      <c r="AN52" s="7">
        <f>AM52*(1+g_appr)^(A52-2026)</f>
        <v/>
      </c>
      <c r="AO52" s="7">
        <f>IF(AND(M52=1,vivienda_prestamoMedico=1),1,0)</f>
        <v/>
      </c>
      <c r="AP52" s="7">
        <f>IF(AO52=1,0.05,vivienda_enganchePct)</f>
        <v/>
      </c>
      <c r="AQ52" s="7">
        <f>AN52*(1-AP52)</f>
        <v/>
      </c>
      <c r="AR52" s="7">
        <f>PMT(g_mortRate/12,vivienda_plazoHipoteca*12,-AQ52)</f>
        <v/>
      </c>
      <c r="AS52" s="7">
        <f>INDEX(cfg_units,sel_cfgIdx)</f>
        <v/>
      </c>
      <c r="AT52" s="7">
        <f>AS52*loc_rentaUnidad*(1+g_inf)^(A52-2026)*(1-vivienda_vacancia)</f>
        <v/>
      </c>
      <c r="AU52" s="7">
        <f>AR52+AN52*loc_impuestoPropPct/12+AM52*loc_seguroPct*(1+vivienda_inflacionSeguro)^(A52-2026)/12+IF(AND(AO52=0,AP52&lt;0.2),AQ52*vivienda_pmiTasa/12,0)</f>
        <v/>
      </c>
      <c r="AV52" s="7">
        <f>AN52*AP52+AN52*vivienda_cierrePct+general_reservaMeses/12*AJ52</f>
        <v/>
      </c>
      <c r="AW52" s="7">
        <f>(IF(19=0,MIN(personal_irsSaldo,personal_irsPagoMensual*12),MIN(CD51,personal_irsPagoMensual*12))+IF(CE52&gt;0,PMT(CF52,MAX(1,prestamos_plazoAnios-CG52),-CE52),0)+IF(CR52&gt;0,PMT(CS52,MAX(1,prestamos_plazoAnios-CT52),-CR52),0))/12</f>
        <v/>
      </c>
      <c r="AX52" s="7">
        <f>IF(OR(sel_cfg="duplex",sel_cfg="multi",sel_cfg="dosCasas"),0.75*personal_aporteFamiliaMensual,0)</f>
        <v/>
      </c>
      <c r="AY52" s="7">
        <f>AU52-0.75*AT52-AX52+AW52</f>
        <v/>
      </c>
      <c r="AZ52" s="7">
        <f>(D52+G52+H52+0.5*F52)/12</f>
        <v/>
      </c>
      <c r="BA52" s="7">
        <f>IF(AND(AL52=0,A52&gt;=vivienda_anioMinCompra,J52&lt;0.5,AI52&gt;0,AK52&gt;=AV52,AY52&lt;=vivienda_dtiMax*AZ52),1,0)</f>
        <v/>
      </c>
      <c r="BB52" s="7">
        <f>MAX(AL52,BA52)</f>
        <v/>
      </c>
      <c r="BC52" s="7">
        <f>IF(BA52=1,A52,IF(19=0,"",BC51))</f>
        <v/>
      </c>
      <c r="BD52" s="7">
        <f>AK52-IF(BA52=1,AN52*AP52+AN52*vivienda_cierrePct,0)</f>
        <v/>
      </c>
      <c r="BE52" s="7">
        <f>IF(BA52=1,AN52,IF(19=0,0,BE51))</f>
        <v/>
      </c>
      <c r="BF52" s="7">
        <f>IF(BA52=1,AR52,IF(19=0,0,BF51))</f>
        <v/>
      </c>
      <c r="BG52" s="7">
        <f>IF(BA52=1,IF(AND(AO52=0,AP52&lt;0.2),1,0),IF(19=0,0,BY51))</f>
        <v/>
      </c>
      <c r="BH52" s="7">
        <f>IF(sel_cfg="casaAdu",1,0)</f>
        <v/>
      </c>
      <c r="BI52" s="7">
        <f>IF(AND(BB52=1,BH52=1,IF(19=0,0,BJ51)=0,A52&gt;=IF(BC52="",9999,BC52)+vivienda_aduRetrasoAnios),1,0)</f>
        <v/>
      </c>
      <c r="BJ52" s="7">
        <f>MAX(IF(19=0,0,BJ51),BI52)</f>
        <v/>
      </c>
      <c r="BK52" s="7">
        <f>IF(BI52=1,PMT((g_mortRate+0.005)/12,180,-loc_precio_aduCosto*C52),IF(19=0,0,BK51))</f>
        <v/>
      </c>
      <c r="BL52" s="7">
        <f>IF(BA52=1,AN52,IF(19=0,0,DT51))+IF(BI52=1,loc_precio_aduCosto*C52,0)</f>
        <v/>
      </c>
      <c r="BM52" s="7">
        <f>IF(BA52=1,AQ52,IF(19=0,0,DU51))</f>
        <v/>
      </c>
      <c r="BN52" s="7">
        <f>IF(BM52&lt;=0,0,FV(g_mortRate/12,12,BF52,-BM52))</f>
        <v/>
      </c>
      <c r="BO52" s="7">
        <f>IF(BM52&lt;=0,0,12*BF52+MIN(0,BN52))</f>
        <v/>
      </c>
      <c r="BP52" s="7">
        <f>MAX(0,BN52)</f>
        <v/>
      </c>
      <c r="BQ52" s="7">
        <f>IF(BI52=1,loc_precio_aduCosto*C52,IF(19=0,0,DV51))</f>
        <v/>
      </c>
      <c r="BR52" s="7">
        <f>IF(BQ52&lt;=0,0,FV((g_mortRate+0.005)/12,12,BK52,-BQ52))</f>
        <v/>
      </c>
      <c r="BS52" s="7">
        <f>IF(BQ52&lt;=0,0,12*BK52+MIN(0,BR52))</f>
        <v/>
      </c>
      <c r="BT52" s="7">
        <f>MAX(0,BR52)</f>
        <v/>
      </c>
      <c r="BU52" s="7">
        <f>IF(BB52=1,AM52*loc_seguroPct*(1+vivienda_inflacionSeguro)^(A52-2026)*IF(BJ52=1,1+loc_precio_aduCosto/AM52,1),0)</f>
        <v/>
      </c>
      <c r="BV52" s="7">
        <f>BL52*loc_impuestoPropPct</f>
        <v/>
      </c>
      <c r="BW52" s="7">
        <f>BL52*vivienda_mantenimientoPct</f>
        <v/>
      </c>
      <c r="BX52" s="7">
        <f>IF(AND(BG52=1,BP52&gt;0.8*BE52),BE52*(1-vivienda_enganchePct)*vivienda_pmiTasa,0)</f>
        <v/>
      </c>
      <c r="BY52" s="7">
        <f>IF(AND(BG52=1,BP52&gt;0.8*BE52),1,0)</f>
        <v/>
      </c>
      <c r="BZ52" s="7">
        <f>IF(BB52=1,AS52*loc_rentaUnidad*12*C52*(1-vivienda_vacancia)*(1-vivienda_gestionPct),0)</f>
        <v/>
      </c>
      <c r="CA52" s="7">
        <f>IF(BB52=1,BO52+BS52+BU52+BV52+BW52+BX52,loc_rentaMensual*12*C52)</f>
        <v/>
      </c>
      <c r="CB52" s="7">
        <f>IF(BB52=1,personal_aporteFamiliaMensual*12,0)</f>
        <v/>
      </c>
      <c r="CC52" s="7">
        <f>MIN(IF(19=0,personal_irsSaldo,CD51),personal_irsPagoMensual*12)</f>
        <v/>
      </c>
      <c r="CD52" s="7">
        <f>IF(19=0,personal_irsSaldo,CD51)-CC52</f>
        <v/>
      </c>
      <c r="CE52" s="7">
        <f>IF(19=0,IF(personal_deudaEsFederal=1,personal_deudaEstudiantil,0),DW51)</f>
        <v/>
      </c>
      <c r="CF52" s="7">
        <f>IF(19=0,personal_tasaDeudaEstudiantil,DX51)</f>
        <v/>
      </c>
      <c r="CG52" s="7">
        <f>IF(19=0,0,DY51)</f>
        <v/>
      </c>
      <c r="CH52" s="7">
        <f>IF(J52&gt;=0.5,1,0)</f>
        <v/>
      </c>
      <c r="CI52" s="7">
        <f>IF(AND(CH52=0,prestamos_pslfActivo=1,K52&gt;=0.5,CE52&gt;0),1,0)</f>
        <v/>
      </c>
      <c r="CJ52" s="7">
        <f>CE52*CF52</f>
        <v/>
      </c>
      <c r="CK52" s="7">
        <f>MAX(prestamos_rapPagoMinimoAnual,IF(Y52&lt;10000,0,MIN(0.1,INT(Y52/10000)/100))*Y52)</f>
        <v/>
      </c>
      <c r="CL52" s="7">
        <f>IF(CE52&lt;=0,0,IF(CH52=1,0,IF(CI52=1,MIN(CE52+CJ52,CK52),PMT(CF52,MAX(1,prestamos_plazoAnios-CG52),-CE52))))</f>
        <v/>
      </c>
      <c r="CM52" s="7">
        <f>IF(CE52&lt;=0,0,IF(CH52=1,CE52+CJ52,IF(CI52=1,MAX(0,CE52-MAX(CL52-CJ52,MIN(600,CL52))),MAX(0,CE52*(1+CF52)-CL52))))</f>
        <v/>
      </c>
      <c r="CN52" s="7">
        <f>IF(19=0,0,CN51)+IF(CI52=1,12*MIN(1,K52),0)</f>
        <v/>
      </c>
      <c r="CO52" s="7">
        <f>IF(AND(CI52=1,CN52&gt;=prestamos_pslfPagos,CM52&gt;0),CM52,0)</f>
        <v/>
      </c>
      <c r="CP52" s="7">
        <f>CM52-CO52</f>
        <v/>
      </c>
      <c r="CQ52" s="7">
        <f>IF(AND(CE52&gt;0,CH52=0,CI52=0),CG52+1,CG52)</f>
        <v/>
      </c>
      <c r="CR52" s="7">
        <f>IF(19=0,IF(personal_deudaEsFederal=1,0,personal_deudaEstudiantil),EA51)</f>
        <v/>
      </c>
      <c r="CS52" s="7">
        <f>IF(19=0,IF(personal_deudaEsFederal=1,prestamos_tasaPrivada,personal_tasaDeudaEstudiantil),EB51)</f>
        <v/>
      </c>
      <c r="CT52" s="7">
        <f>IF(19=0,0,EC51)</f>
        <v/>
      </c>
      <c r="CU52" s="7">
        <f>IF(OR(CR52&lt;=0,CH52=1),0,PMT(CS52,MAX(1,prestamos_plazoAnios-CT52),-CR52))</f>
        <v/>
      </c>
      <c r="CV52" s="7">
        <f>IF(CR52&lt;=0,0,IF(CH52=1,CR52*(1+CS52),MAX(0,CR52*(1+CS52)-CU52)))</f>
        <v/>
      </c>
      <c r="CW52" s="7">
        <f>IF(AND(CR52&gt;0,CH52=0),CT52+1,CT52)</f>
        <v/>
      </c>
      <c r="CX52" s="7">
        <f>IF(19=0,0,ED51)*(1+general_tasaDeudaConsumo)</f>
        <v/>
      </c>
      <c r="CY52" s="7">
        <f>L52*12*tiempos_travelGastoExtraMes*C52</f>
        <v/>
      </c>
      <c r="CZ52" s="7">
        <f>AJ52+CY52+CA52+CC52+CL52+CU52+I52+N52-BZ52-CB52</f>
        <v/>
      </c>
      <c r="DA52" s="7">
        <f>AH52-CZ52</f>
        <v/>
      </c>
      <c r="DB52" s="7">
        <f>IF(19=0,0,DB51)+DA52</f>
        <v/>
      </c>
      <c r="DC52" s="7">
        <f>AN52*vivienda_enganchePct+AN52*vivienda_cierrePct+general_reservaMeses/12*AJ52</f>
        <v/>
      </c>
      <c r="DD52" s="7">
        <f>IF(BB52=1,g_ret,IF(BD52&gt;0,MIN(1,DC52/BD52),1)*g_cash+(1-IF(BD52&gt;0,MIN(1,DC52/BD52),1))*g_ret)</f>
        <v/>
      </c>
      <c r="DE52" s="7">
        <f>IF(DA52&gt;=0,MIN(CX52,DA52),0)</f>
        <v/>
      </c>
      <c r="DF52" s="7">
        <f>IF(DA52&gt;=0,(1-general_tasaAhorro)*(DA52-DE52),0)</f>
        <v/>
      </c>
      <c r="DG52" s="7">
        <f>IF(DA52&gt;=0,DA52-DE52-DF52,0)</f>
        <v/>
      </c>
      <c r="DH52" s="7">
        <f>MIN(personal_rothAnual,DG52)</f>
        <v/>
      </c>
      <c r="DI52" s="7">
        <f>IF(AND(DA52&gt;=0,BB52=1,BP52+BT52&gt;0),MIN(vivienda_prepagoPct*(DG52-DH52),BP52+BT52),0)</f>
        <v/>
      </c>
      <c r="DJ52" s="7">
        <f>MIN(DI52,BP52)</f>
        <v/>
      </c>
      <c r="DK52" s="7">
        <f>IF(DA52&lt;0,MIN(MAX(0,BD52),-DA52),0)</f>
        <v/>
      </c>
      <c r="DL52" s="7">
        <f>IF(DA52&lt;0,-DA52-DK52,0)</f>
        <v/>
      </c>
      <c r="DM52" s="7">
        <f>IF(19=0,0,DZ51)</f>
        <v/>
      </c>
      <c r="DN52" s="7">
        <f>IF(AND(DL52&gt;0,J52&gt;0),MIN(DL52,MIN(prestamos_topeAnualPosgrado*MIN(1,J52),MAX(0,prestamos_topeTotalPosgrado-DM52))),0)</f>
        <v/>
      </c>
      <c r="DO52" s="7">
        <f>IF(AND(DL52&gt;0,J52&gt;0),DL52-DN52,0)</f>
        <v/>
      </c>
      <c r="DP52" s="7">
        <f>IF(AND(DL52&gt;0,J52&lt;=0),DL52,0)</f>
        <v/>
      </c>
      <c r="DQ52" s="7">
        <f>IF(DA52&gt;=0,DG52-DH52-DI52,-DK52)</f>
        <v/>
      </c>
      <c r="DR52" s="7">
        <f>BD52*(1+DD52)+DQ52*(1+DD52/2)</f>
        <v/>
      </c>
      <c r="DS52" s="7">
        <f>IF(19=0,personal_retiroInicial,DS51)*(1+g_ret)+(O52+P52+DH52)*(1+g_ret/2)</f>
        <v/>
      </c>
      <c r="DT52" s="7">
        <f>IF(BB52=1,BL52*(1+g_appr),0)</f>
        <v/>
      </c>
      <c r="DU52" s="7">
        <f>BP52-DJ52</f>
        <v/>
      </c>
      <c r="DV52" s="7">
        <f>BT52-(DI52-DJ52)</f>
        <v/>
      </c>
      <c r="DW52" s="7">
        <f>CP52+DN52</f>
        <v/>
      </c>
      <c r="DX52" s="7">
        <f>IF(DN52&gt;0,(CP52*CF52+DN52*prestamos_tasaFederalPosgrado)/(CP52+DN52),CF52)</f>
        <v/>
      </c>
      <c r="DY52" s="7">
        <f>IF(DN52&gt;0,0,CQ52)</f>
        <v/>
      </c>
      <c r="DZ52" s="7">
        <f>DM52+DN52</f>
        <v/>
      </c>
      <c r="EA52" s="7">
        <f>CV52+DO52</f>
        <v/>
      </c>
      <c r="EB52" s="7">
        <f>IF(DO52&gt;0,(CV52*CS52+DO52*prestamos_tasaPrivada)/(CV52+DO52),CS52)</f>
        <v/>
      </c>
      <c r="EC52" s="7">
        <f>IF(DO52&gt;0,0,CW52)</f>
        <v/>
      </c>
      <c r="ED52" s="7">
        <f>CX52-DE52+DP52</f>
        <v/>
      </c>
      <c r="EE52" s="7">
        <f>IF(IF(19=0,"",EE51)&lt;&gt;"",EE51,IF(AND(BB52=1,DU52&lt;=0.5,DV52&lt;=0.5,OR(BH52=0,BJ52=1)),A52,""))</f>
        <v/>
      </c>
      <c r="EF52" s="7">
        <f>DU52+DV52+DW52+EA52+ED52+CD52</f>
        <v/>
      </c>
      <c r="EG52" s="7">
        <f>DR52+DS52+DT52-EF52</f>
        <v/>
      </c>
      <c r="EH52" s="7">
        <f>EG52/(1+g_inf)^(A52+1-2026)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H52"/>
  <sheetViews>
    <sheetView workbookViewId="0">
      <pane xSplit="1" ySplit="32" topLeftCell="B3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0" customWidth="1" min="1" max="1"/>
  </cols>
  <sheetData>
    <row r="1">
      <c r="A1" s="1" t="inlineStr">
        <is>
          <t>A2 · Bedside ICU (residencia RN experimentado)</t>
        </is>
      </c>
    </row>
    <row r="2">
      <c r="A2" s="2" t="inlineStr">
        <is>
          <t>Etapas (celdas azules editables; fechas decimales: 2027.67 = sep-2027). Traslape por año en columnas T→AM. Hitos con costo en AN→AP.</t>
        </is>
      </c>
    </row>
    <row r="4">
      <c r="A4" s="5" t="inlineStr">
        <is>
          <t>Etapa</t>
        </is>
      </c>
      <c r="B4" s="5" t="inlineStr">
        <is>
          <t>Inicio</t>
        </is>
      </c>
      <c r="C4" s="5" t="inlineStr">
        <is>
          <t>Fin</t>
        </is>
      </c>
      <c r="D4" s="5" t="inlineStr">
        <is>
          <t>Rol</t>
        </is>
      </c>
      <c r="E4" s="5" t="inlineStr">
        <is>
          <t>Salario base FT 2026 ($)</t>
        </is>
      </c>
      <c r="F4" s="5" t="inlineStr">
        <is>
          <t>Aumento anual</t>
        </is>
      </c>
      <c r="G4" s="5" t="inlineStr">
        <is>
          <t>Horas (FTE)</t>
        </is>
      </c>
      <c r="H4" s="5" t="inlineStr">
        <is>
          <t>Multiplicador</t>
        </is>
      </c>
      <c r="I4" s="5" t="inlineStr">
        <is>
          <t>Bono al inicio</t>
        </is>
      </c>
      <c r="J4" s="5" t="inlineStr">
        <is>
          <t>Matrícula total (2026$)</t>
        </is>
      </c>
      <c r="K4" s="5" t="inlineStr">
        <is>
          <t>Estudio (1/0)</t>
        </is>
      </c>
      <c r="L4" s="5" t="inlineStr">
        <is>
          <t>PSLF (1/0)</t>
        </is>
      </c>
      <c r="M4" s="5" t="inlineStr">
        <is>
          <t>Match 403b (1/0)</t>
        </is>
      </c>
      <c r="N4" s="5" t="inlineStr">
        <is>
          <t>Travel (1/0)</t>
        </is>
      </c>
      <c r="O4" s="5" t="inlineStr">
        <is>
          <t>% stipend libre</t>
        </is>
      </c>
      <c r="P4" s="5" t="inlineStr">
        <is>
          <t>S-corp anual base</t>
        </is>
      </c>
      <c r="Q4" s="5" t="inlineStr">
        <is>
          <t>Autoempleo anual base</t>
        </is>
      </c>
      <c r="R4" s="5" t="inlineStr">
        <is>
          <t>Attending (1/0)</t>
        </is>
      </c>
      <c r="T4" s="8" t="n">
        <v>2027</v>
      </c>
      <c r="U4" s="8" t="n">
        <v>2028</v>
      </c>
      <c r="V4" s="8" t="n">
        <v>2029</v>
      </c>
      <c r="W4" s="8" t="n">
        <v>2030</v>
      </c>
      <c r="X4" s="8" t="n">
        <v>2031</v>
      </c>
      <c r="Y4" s="8" t="n">
        <v>2032</v>
      </c>
      <c r="Z4" s="8" t="n">
        <v>2033</v>
      </c>
      <c r="AA4" s="8" t="n">
        <v>2034</v>
      </c>
      <c r="AB4" s="8" t="n">
        <v>2035</v>
      </c>
      <c r="AC4" s="8" t="n">
        <v>2036</v>
      </c>
      <c r="AD4" s="8" t="n">
        <v>2037</v>
      </c>
      <c r="AE4" s="8" t="n">
        <v>2038</v>
      </c>
      <c r="AF4" s="8" t="n">
        <v>2039</v>
      </c>
      <c r="AG4" s="8" t="n">
        <v>2040</v>
      </c>
      <c r="AH4" s="8" t="n">
        <v>2041</v>
      </c>
      <c r="AI4" s="8" t="n">
        <v>2042</v>
      </c>
      <c r="AJ4" s="8" t="n">
        <v>2043</v>
      </c>
      <c r="AK4" s="8" t="n">
        <v>2044</v>
      </c>
      <c r="AL4" s="8" t="n">
        <v>2045</v>
      </c>
      <c r="AM4" s="8" t="n">
        <v>2046</v>
      </c>
      <c r="AN4" s="5" t="inlineStr">
        <is>
          <t>Hito</t>
        </is>
      </c>
      <c r="AO4" s="5" t="inlineStr">
        <is>
          <t>Fecha</t>
        </is>
      </c>
      <c r="AP4" s="5" t="inlineStr">
        <is>
          <t>Costo (2026$)</t>
        </is>
      </c>
    </row>
    <row r="5">
      <c r="A5" t="inlineStr">
        <is>
          <t>Case manager RN (cursando BSN)</t>
        </is>
      </c>
      <c r="B5" s="3" t="n">
        <v>2027</v>
      </c>
      <c r="C5" s="3" t="n">
        <v>2027.5</v>
      </c>
      <c r="D5" t="inlineStr">
        <is>
          <t>cm</t>
        </is>
      </c>
      <c r="E5">
        <f>personal_tarifaHora*2080*loc_factorRN/ubic_miami_factorRN</f>
        <v/>
      </c>
      <c r="F5">
        <f>roles_cm_aumento</f>
        <v/>
      </c>
      <c r="G5">
        <f>personal_horasSemana/40</f>
        <v/>
      </c>
      <c r="H5" s="3" t="n">
        <v>1</v>
      </c>
      <c r="I5" s="3" t="n">
        <v>0</v>
      </c>
      <c r="J5" s="3" t="n">
        <v>0</v>
      </c>
      <c r="K5" s="3" t="n">
        <v>0</v>
      </c>
      <c r="L5" s="3" t="n">
        <v>1</v>
      </c>
      <c r="M5" s="3" t="n">
        <v>1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T5">
        <f>MAX(0,MIN($C5,T$4+1)-MAX($B5,T$4))</f>
        <v/>
      </c>
      <c r="U5">
        <f>MAX(0,MIN($C5,U$4+1)-MAX($B5,U$4))</f>
        <v/>
      </c>
      <c r="V5">
        <f>MAX(0,MIN($C5,V$4+1)-MAX($B5,V$4))</f>
        <v/>
      </c>
      <c r="W5">
        <f>MAX(0,MIN($C5,W$4+1)-MAX($B5,W$4))</f>
        <v/>
      </c>
      <c r="X5">
        <f>MAX(0,MIN($C5,X$4+1)-MAX($B5,X$4))</f>
        <v/>
      </c>
      <c r="Y5">
        <f>MAX(0,MIN($C5,Y$4+1)-MAX($B5,Y$4))</f>
        <v/>
      </c>
      <c r="Z5">
        <f>MAX(0,MIN($C5,Z$4+1)-MAX($B5,Z$4))</f>
        <v/>
      </c>
      <c r="AA5">
        <f>MAX(0,MIN($C5,AA$4+1)-MAX($B5,AA$4))</f>
        <v/>
      </c>
      <c r="AB5">
        <f>MAX(0,MIN($C5,AB$4+1)-MAX($B5,AB$4))</f>
        <v/>
      </c>
      <c r="AC5">
        <f>MAX(0,MIN($C5,AC$4+1)-MAX($B5,AC$4))</f>
        <v/>
      </c>
      <c r="AD5">
        <f>MAX(0,MIN($C5,AD$4+1)-MAX($B5,AD$4))</f>
        <v/>
      </c>
      <c r="AE5">
        <f>MAX(0,MIN($C5,AE$4+1)-MAX($B5,AE$4))</f>
        <v/>
      </c>
      <c r="AF5">
        <f>MAX(0,MIN($C5,AF$4+1)-MAX($B5,AF$4))</f>
        <v/>
      </c>
      <c r="AG5">
        <f>MAX(0,MIN($C5,AG$4+1)-MAX($B5,AG$4))</f>
        <v/>
      </c>
      <c r="AH5">
        <f>MAX(0,MIN($C5,AH$4+1)-MAX($B5,AH$4))</f>
        <v/>
      </c>
      <c r="AI5">
        <f>MAX(0,MIN($C5,AI$4+1)-MAX($B5,AI$4))</f>
        <v/>
      </c>
      <c r="AJ5">
        <f>MAX(0,MIN($C5,AJ$4+1)-MAX($B5,AJ$4))</f>
        <v/>
      </c>
      <c r="AK5">
        <f>MAX(0,MIN($C5,AK$4+1)-MAX($B5,AK$4))</f>
        <v/>
      </c>
      <c r="AL5">
        <f>MAX(0,MIN($C5,AL$4+1)-MAX($B5,AL$4))</f>
        <v/>
      </c>
      <c r="AM5">
        <f>MAX(0,MIN($C5,AM$4+1)-MAX($B5,AM$4))</f>
        <v/>
      </c>
      <c r="AN5" t="inlineStr">
        <is>
          <t>Graduación RN-BSN</t>
        </is>
      </c>
      <c r="AO5" s="3" t="n">
        <v>2027.5</v>
      </c>
      <c r="AP5" s="3" t="n">
        <v>0</v>
      </c>
    </row>
    <row r="6">
      <c r="A6" t="inlineStr">
        <is>
          <t>Case manager RN (BSN)</t>
        </is>
      </c>
      <c r="B6" s="3" t="n">
        <v>2027.5</v>
      </c>
      <c r="C6" s="3" t="n">
        <v>2027.75</v>
      </c>
      <c r="D6" t="inlineStr">
        <is>
          <t>cm</t>
        </is>
      </c>
      <c r="E6">
        <f>personal_tarifaHora*2080*loc_factorRN/ubic_miami_factorRN</f>
        <v/>
      </c>
      <c r="F6">
        <f>roles_cm_aumento</f>
        <v/>
      </c>
      <c r="G6">
        <f>personal_horasSemana/40</f>
        <v/>
      </c>
      <c r="H6">
        <f>1+personal_bsnAumento</f>
        <v/>
      </c>
      <c r="I6" s="3" t="n">
        <v>0</v>
      </c>
      <c r="J6" s="3" t="n">
        <v>0</v>
      </c>
      <c r="K6" s="3" t="n">
        <v>0</v>
      </c>
      <c r="L6" s="3" t="n">
        <v>1</v>
      </c>
      <c r="M6" s="3" t="n">
        <v>1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  <c r="T6">
        <f>MAX(0,MIN($C6,T$4+1)-MAX($B6,T$4))</f>
        <v/>
      </c>
      <c r="U6">
        <f>MAX(0,MIN($C6,U$4+1)-MAX($B6,U$4))</f>
        <v/>
      </c>
      <c r="V6">
        <f>MAX(0,MIN($C6,V$4+1)-MAX($B6,V$4))</f>
        <v/>
      </c>
      <c r="W6">
        <f>MAX(0,MIN($C6,W$4+1)-MAX($B6,W$4))</f>
        <v/>
      </c>
      <c r="X6">
        <f>MAX(0,MIN($C6,X$4+1)-MAX($B6,X$4))</f>
        <v/>
      </c>
      <c r="Y6">
        <f>MAX(0,MIN($C6,Y$4+1)-MAX($B6,Y$4))</f>
        <v/>
      </c>
      <c r="Z6">
        <f>MAX(0,MIN($C6,Z$4+1)-MAX($B6,Z$4))</f>
        <v/>
      </c>
      <c r="AA6">
        <f>MAX(0,MIN($C6,AA$4+1)-MAX($B6,AA$4))</f>
        <v/>
      </c>
      <c r="AB6">
        <f>MAX(0,MIN($C6,AB$4+1)-MAX($B6,AB$4))</f>
        <v/>
      </c>
      <c r="AC6">
        <f>MAX(0,MIN($C6,AC$4+1)-MAX($B6,AC$4))</f>
        <v/>
      </c>
      <c r="AD6">
        <f>MAX(0,MIN($C6,AD$4+1)-MAX($B6,AD$4))</f>
        <v/>
      </c>
      <c r="AE6">
        <f>MAX(0,MIN($C6,AE$4+1)-MAX($B6,AE$4))</f>
        <v/>
      </c>
      <c r="AF6">
        <f>MAX(0,MIN($C6,AF$4+1)-MAX($B6,AF$4))</f>
        <v/>
      </c>
      <c r="AG6">
        <f>MAX(0,MIN($C6,AG$4+1)-MAX($B6,AG$4))</f>
        <v/>
      </c>
      <c r="AH6">
        <f>MAX(0,MIN($C6,AH$4+1)-MAX($B6,AH$4))</f>
        <v/>
      </c>
      <c r="AI6">
        <f>MAX(0,MIN($C6,AI$4+1)-MAX($B6,AI$4))</f>
        <v/>
      </c>
      <c r="AJ6">
        <f>MAX(0,MIN($C6,AJ$4+1)-MAX($B6,AJ$4))</f>
        <v/>
      </c>
      <c r="AK6">
        <f>MAX(0,MIN($C6,AK$4+1)-MAX($B6,AK$4))</f>
        <v/>
      </c>
      <c r="AL6">
        <f>MAX(0,MIN($C6,AL$4+1)-MAX($B6,AL$4))</f>
        <v/>
      </c>
      <c r="AM6">
        <f>MAX(0,MIN($C6,AM$4+1)-MAX($B6,AM$4))</f>
        <v/>
      </c>
      <c r="AN6" t="inlineStr">
        <is>
          <t>Matrícula restante BSN</t>
        </is>
      </c>
      <c r="AO6" s="3" t="n">
        <v>2027</v>
      </c>
      <c r="AP6" s="3">
        <f>personal_bsnCostoRestante</f>
        <v/>
      </c>
    </row>
    <row r="7">
      <c r="A7" t="inlineStr">
        <is>
          <t>ICU (programa de transición, años 1-2)</t>
        </is>
      </c>
      <c r="B7" s="3" t="n">
        <v>2027.75</v>
      </c>
      <c r="C7" s="3" t="n">
        <v>2029.75</v>
      </c>
      <c r="D7" t="inlineStr">
        <is>
          <t>icuNuevo</t>
        </is>
      </c>
      <c r="E7">
        <f>roles_icuNuevo_base*loc_factorRN</f>
        <v/>
      </c>
      <c r="F7">
        <f>roles_icuNuevo_aumento</f>
        <v/>
      </c>
      <c r="G7" s="3" t="n">
        <v>1</v>
      </c>
      <c r="H7" s="3" t="n">
        <v>1</v>
      </c>
      <c r="I7">
        <f>tiempos_bonoFirmaICU</f>
        <v/>
      </c>
      <c r="J7" s="3" t="n">
        <v>0</v>
      </c>
      <c r="K7" s="3" t="n">
        <v>0</v>
      </c>
      <c r="L7" s="3" t="n">
        <v>1</v>
      </c>
      <c r="M7" s="3" t="n">
        <v>1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T7">
        <f>MAX(0,MIN($C7,T$4+1)-MAX($B7,T$4))</f>
        <v/>
      </c>
      <c r="U7">
        <f>MAX(0,MIN($C7,U$4+1)-MAX($B7,U$4))</f>
        <v/>
      </c>
      <c r="V7">
        <f>MAX(0,MIN($C7,V$4+1)-MAX($B7,V$4))</f>
        <v/>
      </c>
      <c r="W7">
        <f>MAX(0,MIN($C7,W$4+1)-MAX($B7,W$4))</f>
        <v/>
      </c>
      <c r="X7">
        <f>MAX(0,MIN($C7,X$4+1)-MAX($B7,X$4))</f>
        <v/>
      </c>
      <c r="Y7">
        <f>MAX(0,MIN($C7,Y$4+1)-MAX($B7,Y$4))</f>
        <v/>
      </c>
      <c r="Z7">
        <f>MAX(0,MIN($C7,Z$4+1)-MAX($B7,Z$4))</f>
        <v/>
      </c>
      <c r="AA7">
        <f>MAX(0,MIN($C7,AA$4+1)-MAX($B7,AA$4))</f>
        <v/>
      </c>
      <c r="AB7">
        <f>MAX(0,MIN($C7,AB$4+1)-MAX($B7,AB$4))</f>
        <v/>
      </c>
      <c r="AC7">
        <f>MAX(0,MIN($C7,AC$4+1)-MAX($B7,AC$4))</f>
        <v/>
      </c>
      <c r="AD7">
        <f>MAX(0,MIN($C7,AD$4+1)-MAX($B7,AD$4))</f>
        <v/>
      </c>
      <c r="AE7">
        <f>MAX(0,MIN($C7,AE$4+1)-MAX($B7,AE$4))</f>
        <v/>
      </c>
      <c r="AF7">
        <f>MAX(0,MIN($C7,AF$4+1)-MAX($B7,AF$4))</f>
        <v/>
      </c>
      <c r="AG7">
        <f>MAX(0,MIN($C7,AG$4+1)-MAX($B7,AG$4))</f>
        <v/>
      </c>
      <c r="AH7">
        <f>MAX(0,MIN($C7,AH$4+1)-MAX($B7,AH$4))</f>
        <v/>
      </c>
      <c r="AI7">
        <f>MAX(0,MIN($C7,AI$4+1)-MAX($B7,AI$4))</f>
        <v/>
      </c>
      <c r="AJ7">
        <f>MAX(0,MIN($C7,AJ$4+1)-MAX($B7,AJ$4))</f>
        <v/>
      </c>
      <c r="AK7">
        <f>MAX(0,MIN($C7,AK$4+1)-MAX($B7,AK$4))</f>
        <v/>
      </c>
      <c r="AL7">
        <f>MAX(0,MIN($C7,AL$4+1)-MAX($B7,AL$4))</f>
        <v/>
      </c>
      <c r="AM7">
        <f>MAX(0,MIN($C7,AM$4+1)-MAX($B7,AM$4))</f>
        <v/>
      </c>
      <c r="AN7" t="inlineStr">
        <is>
          <t>Entra a ICU</t>
        </is>
      </c>
      <c r="AO7" s="3" t="n">
        <v>2027.75</v>
      </c>
      <c r="AP7" s="3" t="n">
        <v>0</v>
      </c>
    </row>
    <row r="8">
      <c r="A8" t="inlineStr">
        <is>
          <t>ICU experimentado</t>
        </is>
      </c>
      <c r="B8" s="3" t="n">
        <v>2029.75</v>
      </c>
      <c r="C8" s="3" t="n">
        <v>2048</v>
      </c>
      <c r="D8" t="inlineStr">
        <is>
          <t>icuExp</t>
        </is>
      </c>
      <c r="E8">
        <f>roles_icuExp_base*loc_factorRN</f>
        <v/>
      </c>
      <c r="F8">
        <f>roles_icuExp_aumento</f>
        <v/>
      </c>
      <c r="G8" s="3" t="n">
        <v>1</v>
      </c>
      <c r="H8" s="3" t="n">
        <v>1</v>
      </c>
      <c r="I8" s="3" t="n">
        <v>0</v>
      </c>
      <c r="J8" s="3" t="n">
        <v>0</v>
      </c>
      <c r="K8" s="3" t="n">
        <v>0</v>
      </c>
      <c r="L8" s="3" t="n">
        <v>1</v>
      </c>
      <c r="M8" s="3" t="n">
        <v>1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T8">
        <f>MAX(0,MIN($C8,T$4+1)-MAX($B8,T$4))</f>
        <v/>
      </c>
      <c r="U8">
        <f>MAX(0,MIN($C8,U$4+1)-MAX($B8,U$4))</f>
        <v/>
      </c>
      <c r="V8">
        <f>MAX(0,MIN($C8,V$4+1)-MAX($B8,V$4))</f>
        <v/>
      </c>
      <c r="W8">
        <f>MAX(0,MIN($C8,W$4+1)-MAX($B8,W$4))</f>
        <v/>
      </c>
      <c r="X8">
        <f>MAX(0,MIN($C8,X$4+1)-MAX($B8,X$4))</f>
        <v/>
      </c>
      <c r="Y8">
        <f>MAX(0,MIN($C8,Y$4+1)-MAX($B8,Y$4))</f>
        <v/>
      </c>
      <c r="Z8">
        <f>MAX(0,MIN($C8,Z$4+1)-MAX($B8,Z$4))</f>
        <v/>
      </c>
      <c r="AA8">
        <f>MAX(0,MIN($C8,AA$4+1)-MAX($B8,AA$4))</f>
        <v/>
      </c>
      <c r="AB8">
        <f>MAX(0,MIN($C8,AB$4+1)-MAX($B8,AB$4))</f>
        <v/>
      </c>
      <c r="AC8">
        <f>MAX(0,MIN($C8,AC$4+1)-MAX($B8,AC$4))</f>
        <v/>
      </c>
      <c r="AD8">
        <f>MAX(0,MIN($C8,AD$4+1)-MAX($B8,AD$4))</f>
        <v/>
      </c>
      <c r="AE8">
        <f>MAX(0,MIN($C8,AE$4+1)-MAX($B8,AE$4))</f>
        <v/>
      </c>
      <c r="AF8">
        <f>MAX(0,MIN($C8,AF$4+1)-MAX($B8,AF$4))</f>
        <v/>
      </c>
      <c r="AG8">
        <f>MAX(0,MIN($C8,AG$4+1)-MAX($B8,AG$4))</f>
        <v/>
      </c>
      <c r="AH8">
        <f>MAX(0,MIN($C8,AH$4+1)-MAX($B8,AH$4))</f>
        <v/>
      </c>
      <c r="AI8">
        <f>MAX(0,MIN($C8,AI$4+1)-MAX($B8,AI$4))</f>
        <v/>
      </c>
      <c r="AJ8">
        <f>MAX(0,MIN($C8,AJ$4+1)-MAX($B8,AJ$4))</f>
        <v/>
      </c>
      <c r="AK8">
        <f>MAX(0,MIN($C8,AK$4+1)-MAX($B8,AK$4))</f>
        <v/>
      </c>
      <c r="AL8">
        <f>MAX(0,MIN($C8,AL$4+1)-MAX($B8,AL$4))</f>
        <v/>
      </c>
      <c r="AM8">
        <f>MAX(0,MIN($C8,AM$4+1)-MAX($B8,AM$4))</f>
        <v/>
      </c>
      <c r="AO8" t="n">
        <v>0</v>
      </c>
      <c r="AP8" t="n">
        <v>0</v>
      </c>
    </row>
    <row r="9">
      <c r="A9" t="inlineStr"/>
      <c r="B9" s="3" t="n">
        <v>0</v>
      </c>
      <c r="C9" s="3" t="n">
        <v>0</v>
      </c>
      <c r="D9" t="inlineStr"/>
      <c r="E9" t="n">
        <v>0</v>
      </c>
      <c r="F9" t="n">
        <v>0</v>
      </c>
      <c r="G9" s="3" t="n">
        <v>0</v>
      </c>
      <c r="H9" s="3" t="n">
        <v>0</v>
      </c>
      <c r="I9" s="3" t="n">
        <v>0</v>
      </c>
      <c r="J9" s="3" t="n">
        <v>0</v>
      </c>
      <c r="K9" s="3" t="n">
        <v>0</v>
      </c>
      <c r="L9" s="3" t="n">
        <v>0</v>
      </c>
      <c r="M9" s="3" t="n">
        <v>0</v>
      </c>
      <c r="N9" s="3" t="n">
        <v>0</v>
      </c>
      <c r="O9" s="3" t="n">
        <v>0</v>
      </c>
      <c r="P9" s="3" t="n">
        <v>0</v>
      </c>
      <c r="Q9" s="3" t="n">
        <v>0</v>
      </c>
      <c r="R9" s="3" t="n">
        <v>0</v>
      </c>
      <c r="T9">
        <f>MAX(0,MIN($C9,T$4+1)-MAX($B9,T$4))</f>
        <v/>
      </c>
      <c r="U9">
        <f>MAX(0,MIN($C9,U$4+1)-MAX($B9,U$4))</f>
        <v/>
      </c>
      <c r="V9">
        <f>MAX(0,MIN($C9,V$4+1)-MAX($B9,V$4))</f>
        <v/>
      </c>
      <c r="W9">
        <f>MAX(0,MIN($C9,W$4+1)-MAX($B9,W$4))</f>
        <v/>
      </c>
      <c r="X9">
        <f>MAX(0,MIN($C9,X$4+1)-MAX($B9,X$4))</f>
        <v/>
      </c>
      <c r="Y9">
        <f>MAX(0,MIN($C9,Y$4+1)-MAX($B9,Y$4))</f>
        <v/>
      </c>
      <c r="Z9">
        <f>MAX(0,MIN($C9,Z$4+1)-MAX($B9,Z$4))</f>
        <v/>
      </c>
      <c r="AA9">
        <f>MAX(0,MIN($C9,AA$4+1)-MAX($B9,AA$4))</f>
        <v/>
      </c>
      <c r="AB9">
        <f>MAX(0,MIN($C9,AB$4+1)-MAX($B9,AB$4))</f>
        <v/>
      </c>
      <c r="AC9">
        <f>MAX(0,MIN($C9,AC$4+1)-MAX($B9,AC$4))</f>
        <v/>
      </c>
      <c r="AD9">
        <f>MAX(0,MIN($C9,AD$4+1)-MAX($B9,AD$4))</f>
        <v/>
      </c>
      <c r="AE9">
        <f>MAX(0,MIN($C9,AE$4+1)-MAX($B9,AE$4))</f>
        <v/>
      </c>
      <c r="AF9">
        <f>MAX(0,MIN($C9,AF$4+1)-MAX($B9,AF$4))</f>
        <v/>
      </c>
      <c r="AG9">
        <f>MAX(0,MIN($C9,AG$4+1)-MAX($B9,AG$4))</f>
        <v/>
      </c>
      <c r="AH9">
        <f>MAX(0,MIN($C9,AH$4+1)-MAX($B9,AH$4))</f>
        <v/>
      </c>
      <c r="AI9">
        <f>MAX(0,MIN($C9,AI$4+1)-MAX($B9,AI$4))</f>
        <v/>
      </c>
      <c r="AJ9">
        <f>MAX(0,MIN($C9,AJ$4+1)-MAX($B9,AJ$4))</f>
        <v/>
      </c>
      <c r="AK9">
        <f>MAX(0,MIN($C9,AK$4+1)-MAX($B9,AK$4))</f>
        <v/>
      </c>
      <c r="AL9">
        <f>MAX(0,MIN($C9,AL$4+1)-MAX($B9,AL$4))</f>
        <v/>
      </c>
      <c r="AM9">
        <f>MAX(0,MIN($C9,AM$4+1)-MAX($B9,AM$4))</f>
        <v/>
      </c>
      <c r="AO9" t="n">
        <v>0</v>
      </c>
      <c r="AP9" t="n">
        <v>0</v>
      </c>
    </row>
    <row r="10">
      <c r="A10" t="inlineStr"/>
      <c r="B10" s="3" t="n">
        <v>0</v>
      </c>
      <c r="C10" s="3" t="n">
        <v>0</v>
      </c>
      <c r="D10" t="inlineStr"/>
      <c r="E10" t="n">
        <v>0</v>
      </c>
      <c r="F10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T10">
        <f>MAX(0,MIN($C10,T$4+1)-MAX($B10,T$4))</f>
        <v/>
      </c>
      <c r="U10">
        <f>MAX(0,MIN($C10,U$4+1)-MAX($B10,U$4))</f>
        <v/>
      </c>
      <c r="V10">
        <f>MAX(0,MIN($C10,V$4+1)-MAX($B10,V$4))</f>
        <v/>
      </c>
      <c r="W10">
        <f>MAX(0,MIN($C10,W$4+1)-MAX($B10,W$4))</f>
        <v/>
      </c>
      <c r="X10">
        <f>MAX(0,MIN($C10,X$4+1)-MAX($B10,X$4))</f>
        <v/>
      </c>
      <c r="Y10">
        <f>MAX(0,MIN($C10,Y$4+1)-MAX($B10,Y$4))</f>
        <v/>
      </c>
      <c r="Z10">
        <f>MAX(0,MIN($C10,Z$4+1)-MAX($B10,Z$4))</f>
        <v/>
      </c>
      <c r="AA10">
        <f>MAX(0,MIN($C10,AA$4+1)-MAX($B10,AA$4))</f>
        <v/>
      </c>
      <c r="AB10">
        <f>MAX(0,MIN($C10,AB$4+1)-MAX($B10,AB$4))</f>
        <v/>
      </c>
      <c r="AC10">
        <f>MAX(0,MIN($C10,AC$4+1)-MAX($B10,AC$4))</f>
        <v/>
      </c>
      <c r="AD10">
        <f>MAX(0,MIN($C10,AD$4+1)-MAX($B10,AD$4))</f>
        <v/>
      </c>
      <c r="AE10">
        <f>MAX(0,MIN($C10,AE$4+1)-MAX($B10,AE$4))</f>
        <v/>
      </c>
      <c r="AF10">
        <f>MAX(0,MIN($C10,AF$4+1)-MAX($B10,AF$4))</f>
        <v/>
      </c>
      <c r="AG10">
        <f>MAX(0,MIN($C10,AG$4+1)-MAX($B10,AG$4))</f>
        <v/>
      </c>
      <c r="AH10">
        <f>MAX(0,MIN($C10,AH$4+1)-MAX($B10,AH$4))</f>
        <v/>
      </c>
      <c r="AI10">
        <f>MAX(0,MIN($C10,AI$4+1)-MAX($B10,AI$4))</f>
        <v/>
      </c>
      <c r="AJ10">
        <f>MAX(0,MIN($C10,AJ$4+1)-MAX($B10,AJ$4))</f>
        <v/>
      </c>
      <c r="AK10">
        <f>MAX(0,MIN($C10,AK$4+1)-MAX($B10,AK$4))</f>
        <v/>
      </c>
      <c r="AL10">
        <f>MAX(0,MIN($C10,AL$4+1)-MAX($B10,AL$4))</f>
        <v/>
      </c>
      <c r="AM10">
        <f>MAX(0,MIN($C10,AM$4+1)-MAX($B10,AM$4))</f>
        <v/>
      </c>
      <c r="AO10" t="n">
        <v>0</v>
      </c>
      <c r="AP10" t="n">
        <v>0</v>
      </c>
    </row>
    <row r="11">
      <c r="A11" t="inlineStr"/>
      <c r="B11" s="3" t="n">
        <v>0</v>
      </c>
      <c r="C11" s="3" t="n">
        <v>0</v>
      </c>
      <c r="D11" t="inlineStr"/>
      <c r="E11" t="n">
        <v>0</v>
      </c>
      <c r="F11" t="n">
        <v>0</v>
      </c>
      <c r="G11" s="3" t="n">
        <v>0</v>
      </c>
      <c r="H11" s="3" t="n">
        <v>0</v>
      </c>
      <c r="I11" s="3" t="n">
        <v>0</v>
      </c>
      <c r="J11" s="3" t="n">
        <v>0</v>
      </c>
      <c r="K11" s="3" t="n">
        <v>0</v>
      </c>
      <c r="L11" s="3" t="n">
        <v>0</v>
      </c>
      <c r="M11" s="3" t="n">
        <v>0</v>
      </c>
      <c r="N11" s="3" t="n">
        <v>0</v>
      </c>
      <c r="O11" s="3" t="n">
        <v>0</v>
      </c>
      <c r="P11" s="3" t="n">
        <v>0</v>
      </c>
      <c r="Q11" s="3" t="n">
        <v>0</v>
      </c>
      <c r="R11" s="3" t="n">
        <v>0</v>
      </c>
      <c r="T11">
        <f>MAX(0,MIN($C11,T$4+1)-MAX($B11,T$4))</f>
        <v/>
      </c>
      <c r="U11">
        <f>MAX(0,MIN($C11,U$4+1)-MAX($B11,U$4))</f>
        <v/>
      </c>
      <c r="V11">
        <f>MAX(0,MIN($C11,V$4+1)-MAX($B11,V$4))</f>
        <v/>
      </c>
      <c r="W11">
        <f>MAX(0,MIN($C11,W$4+1)-MAX($B11,W$4))</f>
        <v/>
      </c>
      <c r="X11">
        <f>MAX(0,MIN($C11,X$4+1)-MAX($B11,X$4))</f>
        <v/>
      </c>
      <c r="Y11">
        <f>MAX(0,MIN($C11,Y$4+1)-MAX($B11,Y$4))</f>
        <v/>
      </c>
      <c r="Z11">
        <f>MAX(0,MIN($C11,Z$4+1)-MAX($B11,Z$4))</f>
        <v/>
      </c>
      <c r="AA11">
        <f>MAX(0,MIN($C11,AA$4+1)-MAX($B11,AA$4))</f>
        <v/>
      </c>
      <c r="AB11">
        <f>MAX(0,MIN($C11,AB$4+1)-MAX($B11,AB$4))</f>
        <v/>
      </c>
      <c r="AC11">
        <f>MAX(0,MIN($C11,AC$4+1)-MAX($B11,AC$4))</f>
        <v/>
      </c>
      <c r="AD11">
        <f>MAX(0,MIN($C11,AD$4+1)-MAX($B11,AD$4))</f>
        <v/>
      </c>
      <c r="AE11">
        <f>MAX(0,MIN($C11,AE$4+1)-MAX($B11,AE$4))</f>
        <v/>
      </c>
      <c r="AF11">
        <f>MAX(0,MIN($C11,AF$4+1)-MAX($B11,AF$4))</f>
        <v/>
      </c>
      <c r="AG11">
        <f>MAX(0,MIN($C11,AG$4+1)-MAX($B11,AG$4))</f>
        <v/>
      </c>
      <c r="AH11">
        <f>MAX(0,MIN($C11,AH$4+1)-MAX($B11,AH$4))</f>
        <v/>
      </c>
      <c r="AI11">
        <f>MAX(0,MIN($C11,AI$4+1)-MAX($B11,AI$4))</f>
        <v/>
      </c>
      <c r="AJ11">
        <f>MAX(0,MIN($C11,AJ$4+1)-MAX($B11,AJ$4))</f>
        <v/>
      </c>
      <c r="AK11">
        <f>MAX(0,MIN($C11,AK$4+1)-MAX($B11,AK$4))</f>
        <v/>
      </c>
      <c r="AL11">
        <f>MAX(0,MIN($C11,AL$4+1)-MAX($B11,AL$4))</f>
        <v/>
      </c>
      <c r="AM11">
        <f>MAX(0,MIN($C11,AM$4+1)-MAX($B11,AM$4))</f>
        <v/>
      </c>
      <c r="AO11" t="n">
        <v>0</v>
      </c>
      <c r="AP11" t="n">
        <v>0</v>
      </c>
    </row>
    <row r="12">
      <c r="A12" t="inlineStr"/>
      <c r="B12" s="3" t="n">
        <v>0</v>
      </c>
      <c r="C12" s="3" t="n">
        <v>0</v>
      </c>
      <c r="D12" t="inlineStr"/>
      <c r="E12" t="n">
        <v>0</v>
      </c>
      <c r="F12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T12">
        <f>MAX(0,MIN($C12,T$4+1)-MAX($B12,T$4))</f>
        <v/>
      </c>
      <c r="U12">
        <f>MAX(0,MIN($C12,U$4+1)-MAX($B12,U$4))</f>
        <v/>
      </c>
      <c r="V12">
        <f>MAX(0,MIN($C12,V$4+1)-MAX($B12,V$4))</f>
        <v/>
      </c>
      <c r="W12">
        <f>MAX(0,MIN($C12,W$4+1)-MAX($B12,W$4))</f>
        <v/>
      </c>
      <c r="X12">
        <f>MAX(0,MIN($C12,X$4+1)-MAX($B12,X$4))</f>
        <v/>
      </c>
      <c r="Y12">
        <f>MAX(0,MIN($C12,Y$4+1)-MAX($B12,Y$4))</f>
        <v/>
      </c>
      <c r="Z12">
        <f>MAX(0,MIN($C12,Z$4+1)-MAX($B12,Z$4))</f>
        <v/>
      </c>
      <c r="AA12">
        <f>MAX(0,MIN($C12,AA$4+1)-MAX($B12,AA$4))</f>
        <v/>
      </c>
      <c r="AB12">
        <f>MAX(0,MIN($C12,AB$4+1)-MAX($B12,AB$4))</f>
        <v/>
      </c>
      <c r="AC12">
        <f>MAX(0,MIN($C12,AC$4+1)-MAX($B12,AC$4))</f>
        <v/>
      </c>
      <c r="AD12">
        <f>MAX(0,MIN($C12,AD$4+1)-MAX($B12,AD$4))</f>
        <v/>
      </c>
      <c r="AE12">
        <f>MAX(0,MIN($C12,AE$4+1)-MAX($B12,AE$4))</f>
        <v/>
      </c>
      <c r="AF12">
        <f>MAX(0,MIN($C12,AF$4+1)-MAX($B12,AF$4))</f>
        <v/>
      </c>
      <c r="AG12">
        <f>MAX(0,MIN($C12,AG$4+1)-MAX($B12,AG$4))</f>
        <v/>
      </c>
      <c r="AH12">
        <f>MAX(0,MIN($C12,AH$4+1)-MAX($B12,AH$4))</f>
        <v/>
      </c>
      <c r="AI12">
        <f>MAX(0,MIN($C12,AI$4+1)-MAX($B12,AI$4))</f>
        <v/>
      </c>
      <c r="AJ12">
        <f>MAX(0,MIN($C12,AJ$4+1)-MAX($B12,AJ$4))</f>
        <v/>
      </c>
      <c r="AK12">
        <f>MAX(0,MIN($C12,AK$4+1)-MAX($B12,AK$4))</f>
        <v/>
      </c>
      <c r="AL12">
        <f>MAX(0,MIN($C12,AL$4+1)-MAX($B12,AL$4))</f>
        <v/>
      </c>
      <c r="AM12">
        <f>MAX(0,MIN($C12,AM$4+1)-MAX($B12,AM$4))</f>
        <v/>
      </c>
      <c r="AO12" t="n">
        <v>0</v>
      </c>
      <c r="AP12" t="n">
        <v>0</v>
      </c>
    </row>
    <row r="13">
      <c r="A13" t="inlineStr"/>
      <c r="B13" s="3" t="n">
        <v>0</v>
      </c>
      <c r="C13" s="3" t="n">
        <v>0</v>
      </c>
      <c r="D13" t="inlineStr"/>
      <c r="E13" t="n">
        <v>0</v>
      </c>
      <c r="F1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T13">
        <f>MAX(0,MIN($C13,T$4+1)-MAX($B13,T$4))</f>
        <v/>
      </c>
      <c r="U13">
        <f>MAX(0,MIN($C13,U$4+1)-MAX($B13,U$4))</f>
        <v/>
      </c>
      <c r="V13">
        <f>MAX(0,MIN($C13,V$4+1)-MAX($B13,V$4))</f>
        <v/>
      </c>
      <c r="W13">
        <f>MAX(0,MIN($C13,W$4+1)-MAX($B13,W$4))</f>
        <v/>
      </c>
      <c r="X13">
        <f>MAX(0,MIN($C13,X$4+1)-MAX($B13,X$4))</f>
        <v/>
      </c>
      <c r="Y13">
        <f>MAX(0,MIN($C13,Y$4+1)-MAX($B13,Y$4))</f>
        <v/>
      </c>
      <c r="Z13">
        <f>MAX(0,MIN($C13,Z$4+1)-MAX($B13,Z$4))</f>
        <v/>
      </c>
      <c r="AA13">
        <f>MAX(0,MIN($C13,AA$4+1)-MAX($B13,AA$4))</f>
        <v/>
      </c>
      <c r="AB13">
        <f>MAX(0,MIN($C13,AB$4+1)-MAX($B13,AB$4))</f>
        <v/>
      </c>
      <c r="AC13">
        <f>MAX(0,MIN($C13,AC$4+1)-MAX($B13,AC$4))</f>
        <v/>
      </c>
      <c r="AD13">
        <f>MAX(0,MIN($C13,AD$4+1)-MAX($B13,AD$4))</f>
        <v/>
      </c>
      <c r="AE13">
        <f>MAX(0,MIN($C13,AE$4+1)-MAX($B13,AE$4))</f>
        <v/>
      </c>
      <c r="AF13">
        <f>MAX(0,MIN($C13,AF$4+1)-MAX($B13,AF$4))</f>
        <v/>
      </c>
      <c r="AG13">
        <f>MAX(0,MIN($C13,AG$4+1)-MAX($B13,AG$4))</f>
        <v/>
      </c>
      <c r="AH13">
        <f>MAX(0,MIN($C13,AH$4+1)-MAX($B13,AH$4))</f>
        <v/>
      </c>
      <c r="AI13">
        <f>MAX(0,MIN($C13,AI$4+1)-MAX($B13,AI$4))</f>
        <v/>
      </c>
      <c r="AJ13">
        <f>MAX(0,MIN($C13,AJ$4+1)-MAX($B13,AJ$4))</f>
        <v/>
      </c>
      <c r="AK13">
        <f>MAX(0,MIN($C13,AK$4+1)-MAX($B13,AK$4))</f>
        <v/>
      </c>
      <c r="AL13">
        <f>MAX(0,MIN($C13,AL$4+1)-MAX($B13,AL$4))</f>
        <v/>
      </c>
      <c r="AM13">
        <f>MAX(0,MIN($C13,AM$4+1)-MAX($B13,AM$4))</f>
        <v/>
      </c>
      <c r="AO13" t="n">
        <v>0</v>
      </c>
      <c r="AP13" t="n">
        <v>0</v>
      </c>
    </row>
    <row r="14">
      <c r="A14" t="inlineStr"/>
      <c r="B14" s="3" t="n">
        <v>0</v>
      </c>
      <c r="C14" s="3" t="n">
        <v>0</v>
      </c>
      <c r="D14" t="inlineStr"/>
      <c r="E14" t="n">
        <v>0</v>
      </c>
      <c r="F14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T14">
        <f>MAX(0,MIN($C14,T$4+1)-MAX($B14,T$4))</f>
        <v/>
      </c>
      <c r="U14">
        <f>MAX(0,MIN($C14,U$4+1)-MAX($B14,U$4))</f>
        <v/>
      </c>
      <c r="V14">
        <f>MAX(0,MIN($C14,V$4+1)-MAX($B14,V$4))</f>
        <v/>
      </c>
      <c r="W14">
        <f>MAX(0,MIN($C14,W$4+1)-MAX($B14,W$4))</f>
        <v/>
      </c>
      <c r="X14">
        <f>MAX(0,MIN($C14,X$4+1)-MAX($B14,X$4))</f>
        <v/>
      </c>
      <c r="Y14">
        <f>MAX(0,MIN($C14,Y$4+1)-MAX($B14,Y$4))</f>
        <v/>
      </c>
      <c r="Z14">
        <f>MAX(0,MIN($C14,Z$4+1)-MAX($B14,Z$4))</f>
        <v/>
      </c>
      <c r="AA14">
        <f>MAX(0,MIN($C14,AA$4+1)-MAX($B14,AA$4))</f>
        <v/>
      </c>
      <c r="AB14">
        <f>MAX(0,MIN($C14,AB$4+1)-MAX($B14,AB$4))</f>
        <v/>
      </c>
      <c r="AC14">
        <f>MAX(0,MIN($C14,AC$4+1)-MAX($B14,AC$4))</f>
        <v/>
      </c>
      <c r="AD14">
        <f>MAX(0,MIN($C14,AD$4+1)-MAX($B14,AD$4))</f>
        <v/>
      </c>
      <c r="AE14">
        <f>MAX(0,MIN($C14,AE$4+1)-MAX($B14,AE$4))</f>
        <v/>
      </c>
      <c r="AF14">
        <f>MAX(0,MIN($C14,AF$4+1)-MAX($B14,AF$4))</f>
        <v/>
      </c>
      <c r="AG14">
        <f>MAX(0,MIN($C14,AG$4+1)-MAX($B14,AG$4))</f>
        <v/>
      </c>
      <c r="AH14">
        <f>MAX(0,MIN($C14,AH$4+1)-MAX($B14,AH$4))</f>
        <v/>
      </c>
      <c r="AI14">
        <f>MAX(0,MIN($C14,AI$4+1)-MAX($B14,AI$4))</f>
        <v/>
      </c>
      <c r="AJ14">
        <f>MAX(0,MIN($C14,AJ$4+1)-MAX($B14,AJ$4))</f>
        <v/>
      </c>
      <c r="AK14">
        <f>MAX(0,MIN($C14,AK$4+1)-MAX($B14,AK$4))</f>
        <v/>
      </c>
      <c r="AL14">
        <f>MAX(0,MIN($C14,AL$4+1)-MAX($B14,AL$4))</f>
        <v/>
      </c>
      <c r="AM14">
        <f>MAX(0,MIN($C14,AM$4+1)-MAX($B14,AM$4))</f>
        <v/>
      </c>
      <c r="AO14" t="n">
        <v>0</v>
      </c>
      <c r="AP14" t="n">
        <v>0</v>
      </c>
    </row>
    <row r="15">
      <c r="A15" t="inlineStr"/>
      <c r="B15" s="3" t="n">
        <v>0</v>
      </c>
      <c r="C15" s="3" t="n">
        <v>0</v>
      </c>
      <c r="D15" t="inlineStr"/>
      <c r="E15" t="n">
        <v>0</v>
      </c>
      <c r="F15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T15">
        <f>MAX(0,MIN($C15,T$4+1)-MAX($B15,T$4))</f>
        <v/>
      </c>
      <c r="U15">
        <f>MAX(0,MIN($C15,U$4+1)-MAX($B15,U$4))</f>
        <v/>
      </c>
      <c r="V15">
        <f>MAX(0,MIN($C15,V$4+1)-MAX($B15,V$4))</f>
        <v/>
      </c>
      <c r="W15">
        <f>MAX(0,MIN($C15,W$4+1)-MAX($B15,W$4))</f>
        <v/>
      </c>
      <c r="X15">
        <f>MAX(0,MIN($C15,X$4+1)-MAX($B15,X$4))</f>
        <v/>
      </c>
      <c r="Y15">
        <f>MAX(0,MIN($C15,Y$4+1)-MAX($B15,Y$4))</f>
        <v/>
      </c>
      <c r="Z15">
        <f>MAX(0,MIN($C15,Z$4+1)-MAX($B15,Z$4))</f>
        <v/>
      </c>
      <c r="AA15">
        <f>MAX(0,MIN($C15,AA$4+1)-MAX($B15,AA$4))</f>
        <v/>
      </c>
      <c r="AB15">
        <f>MAX(0,MIN($C15,AB$4+1)-MAX($B15,AB$4))</f>
        <v/>
      </c>
      <c r="AC15">
        <f>MAX(0,MIN($C15,AC$4+1)-MAX($B15,AC$4))</f>
        <v/>
      </c>
      <c r="AD15">
        <f>MAX(0,MIN($C15,AD$4+1)-MAX($B15,AD$4))</f>
        <v/>
      </c>
      <c r="AE15">
        <f>MAX(0,MIN($C15,AE$4+1)-MAX($B15,AE$4))</f>
        <v/>
      </c>
      <c r="AF15">
        <f>MAX(0,MIN($C15,AF$4+1)-MAX($B15,AF$4))</f>
        <v/>
      </c>
      <c r="AG15">
        <f>MAX(0,MIN($C15,AG$4+1)-MAX($B15,AG$4))</f>
        <v/>
      </c>
      <c r="AH15">
        <f>MAX(0,MIN($C15,AH$4+1)-MAX($B15,AH$4))</f>
        <v/>
      </c>
      <c r="AI15">
        <f>MAX(0,MIN($C15,AI$4+1)-MAX($B15,AI$4))</f>
        <v/>
      </c>
      <c r="AJ15">
        <f>MAX(0,MIN($C15,AJ$4+1)-MAX($B15,AJ$4))</f>
        <v/>
      </c>
      <c r="AK15">
        <f>MAX(0,MIN($C15,AK$4+1)-MAX($B15,AK$4))</f>
        <v/>
      </c>
      <c r="AL15">
        <f>MAX(0,MIN($C15,AL$4+1)-MAX($B15,AL$4))</f>
        <v/>
      </c>
      <c r="AM15">
        <f>MAX(0,MIN($C15,AM$4+1)-MAX($B15,AM$4))</f>
        <v/>
      </c>
      <c r="AO15" t="n">
        <v>0</v>
      </c>
      <c r="AP15" t="n">
        <v>0</v>
      </c>
    </row>
    <row r="16">
      <c r="A16" t="inlineStr"/>
      <c r="B16" s="3" t="n">
        <v>0</v>
      </c>
      <c r="C16" s="3" t="n">
        <v>0</v>
      </c>
      <c r="D16" t="inlineStr"/>
      <c r="E16" t="n">
        <v>0</v>
      </c>
      <c r="F16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0</v>
      </c>
      <c r="T16">
        <f>MAX(0,MIN($C16,T$4+1)-MAX($B16,T$4))</f>
        <v/>
      </c>
      <c r="U16">
        <f>MAX(0,MIN($C16,U$4+1)-MAX($B16,U$4))</f>
        <v/>
      </c>
      <c r="V16">
        <f>MAX(0,MIN($C16,V$4+1)-MAX($B16,V$4))</f>
        <v/>
      </c>
      <c r="W16">
        <f>MAX(0,MIN($C16,W$4+1)-MAX($B16,W$4))</f>
        <v/>
      </c>
      <c r="X16">
        <f>MAX(0,MIN($C16,X$4+1)-MAX($B16,X$4))</f>
        <v/>
      </c>
      <c r="Y16">
        <f>MAX(0,MIN($C16,Y$4+1)-MAX($B16,Y$4))</f>
        <v/>
      </c>
      <c r="Z16">
        <f>MAX(0,MIN($C16,Z$4+1)-MAX($B16,Z$4))</f>
        <v/>
      </c>
      <c r="AA16">
        <f>MAX(0,MIN($C16,AA$4+1)-MAX($B16,AA$4))</f>
        <v/>
      </c>
      <c r="AB16">
        <f>MAX(0,MIN($C16,AB$4+1)-MAX($B16,AB$4))</f>
        <v/>
      </c>
      <c r="AC16">
        <f>MAX(0,MIN($C16,AC$4+1)-MAX($B16,AC$4))</f>
        <v/>
      </c>
      <c r="AD16">
        <f>MAX(0,MIN($C16,AD$4+1)-MAX($B16,AD$4))</f>
        <v/>
      </c>
      <c r="AE16">
        <f>MAX(0,MIN($C16,AE$4+1)-MAX($B16,AE$4))</f>
        <v/>
      </c>
      <c r="AF16">
        <f>MAX(0,MIN($C16,AF$4+1)-MAX($B16,AF$4))</f>
        <v/>
      </c>
      <c r="AG16">
        <f>MAX(0,MIN($C16,AG$4+1)-MAX($B16,AG$4))</f>
        <v/>
      </c>
      <c r="AH16">
        <f>MAX(0,MIN($C16,AH$4+1)-MAX($B16,AH$4))</f>
        <v/>
      </c>
      <c r="AI16">
        <f>MAX(0,MIN($C16,AI$4+1)-MAX($B16,AI$4))</f>
        <v/>
      </c>
      <c r="AJ16">
        <f>MAX(0,MIN($C16,AJ$4+1)-MAX($B16,AJ$4))</f>
        <v/>
      </c>
      <c r="AK16">
        <f>MAX(0,MIN($C16,AK$4+1)-MAX($B16,AK$4))</f>
        <v/>
      </c>
      <c r="AL16">
        <f>MAX(0,MIN($C16,AL$4+1)-MAX($B16,AL$4))</f>
        <v/>
      </c>
      <c r="AM16">
        <f>MAX(0,MIN($C16,AM$4+1)-MAX($B16,AM$4))</f>
        <v/>
      </c>
      <c r="AO16" t="n">
        <v>0</v>
      </c>
      <c r="AP16" t="n">
        <v>0</v>
      </c>
    </row>
    <row r="17">
      <c r="A17" t="inlineStr"/>
      <c r="B17" s="3" t="n">
        <v>0</v>
      </c>
      <c r="C17" s="3" t="n">
        <v>0</v>
      </c>
      <c r="D17" t="inlineStr"/>
      <c r="E17" t="n">
        <v>0</v>
      </c>
      <c r="F17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T17">
        <f>MAX(0,MIN($C17,T$4+1)-MAX($B17,T$4))</f>
        <v/>
      </c>
      <c r="U17">
        <f>MAX(0,MIN($C17,U$4+1)-MAX($B17,U$4))</f>
        <v/>
      </c>
      <c r="V17">
        <f>MAX(0,MIN($C17,V$4+1)-MAX($B17,V$4))</f>
        <v/>
      </c>
      <c r="W17">
        <f>MAX(0,MIN($C17,W$4+1)-MAX($B17,W$4))</f>
        <v/>
      </c>
      <c r="X17">
        <f>MAX(0,MIN($C17,X$4+1)-MAX($B17,X$4))</f>
        <v/>
      </c>
      <c r="Y17">
        <f>MAX(0,MIN($C17,Y$4+1)-MAX($B17,Y$4))</f>
        <v/>
      </c>
      <c r="Z17">
        <f>MAX(0,MIN($C17,Z$4+1)-MAX($B17,Z$4))</f>
        <v/>
      </c>
      <c r="AA17">
        <f>MAX(0,MIN($C17,AA$4+1)-MAX($B17,AA$4))</f>
        <v/>
      </c>
      <c r="AB17">
        <f>MAX(0,MIN($C17,AB$4+1)-MAX($B17,AB$4))</f>
        <v/>
      </c>
      <c r="AC17">
        <f>MAX(0,MIN($C17,AC$4+1)-MAX($B17,AC$4))</f>
        <v/>
      </c>
      <c r="AD17">
        <f>MAX(0,MIN($C17,AD$4+1)-MAX($B17,AD$4))</f>
        <v/>
      </c>
      <c r="AE17">
        <f>MAX(0,MIN($C17,AE$4+1)-MAX($B17,AE$4))</f>
        <v/>
      </c>
      <c r="AF17">
        <f>MAX(0,MIN($C17,AF$4+1)-MAX($B17,AF$4))</f>
        <v/>
      </c>
      <c r="AG17">
        <f>MAX(0,MIN($C17,AG$4+1)-MAX($B17,AG$4))</f>
        <v/>
      </c>
      <c r="AH17">
        <f>MAX(0,MIN($C17,AH$4+1)-MAX($B17,AH$4))</f>
        <v/>
      </c>
      <c r="AI17">
        <f>MAX(0,MIN($C17,AI$4+1)-MAX($B17,AI$4))</f>
        <v/>
      </c>
      <c r="AJ17">
        <f>MAX(0,MIN($C17,AJ$4+1)-MAX($B17,AJ$4))</f>
        <v/>
      </c>
      <c r="AK17">
        <f>MAX(0,MIN($C17,AK$4+1)-MAX($B17,AK$4))</f>
        <v/>
      </c>
      <c r="AL17">
        <f>MAX(0,MIN($C17,AL$4+1)-MAX($B17,AL$4))</f>
        <v/>
      </c>
      <c r="AM17">
        <f>MAX(0,MIN($C17,AM$4+1)-MAX($B17,AM$4))</f>
        <v/>
      </c>
      <c r="AO17" t="n">
        <v>0</v>
      </c>
      <c r="AP17" t="n">
        <v>0</v>
      </c>
    </row>
    <row r="18">
      <c r="A18" t="inlineStr"/>
      <c r="B18" s="3" t="n">
        <v>0</v>
      </c>
      <c r="C18" s="3" t="n">
        <v>0</v>
      </c>
      <c r="D18" t="inlineStr"/>
      <c r="E18" t="n">
        <v>0</v>
      </c>
      <c r="F18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T18">
        <f>MAX(0,MIN($C18,T$4+1)-MAX($B18,T$4))</f>
        <v/>
      </c>
      <c r="U18">
        <f>MAX(0,MIN($C18,U$4+1)-MAX($B18,U$4))</f>
        <v/>
      </c>
      <c r="V18">
        <f>MAX(0,MIN($C18,V$4+1)-MAX($B18,V$4))</f>
        <v/>
      </c>
      <c r="W18">
        <f>MAX(0,MIN($C18,W$4+1)-MAX($B18,W$4))</f>
        <v/>
      </c>
      <c r="X18">
        <f>MAX(0,MIN($C18,X$4+1)-MAX($B18,X$4))</f>
        <v/>
      </c>
      <c r="Y18">
        <f>MAX(0,MIN($C18,Y$4+1)-MAX($B18,Y$4))</f>
        <v/>
      </c>
      <c r="Z18">
        <f>MAX(0,MIN($C18,Z$4+1)-MAX($B18,Z$4))</f>
        <v/>
      </c>
      <c r="AA18">
        <f>MAX(0,MIN($C18,AA$4+1)-MAX($B18,AA$4))</f>
        <v/>
      </c>
      <c r="AB18">
        <f>MAX(0,MIN($C18,AB$4+1)-MAX($B18,AB$4))</f>
        <v/>
      </c>
      <c r="AC18">
        <f>MAX(0,MIN($C18,AC$4+1)-MAX($B18,AC$4))</f>
        <v/>
      </c>
      <c r="AD18">
        <f>MAX(0,MIN($C18,AD$4+1)-MAX($B18,AD$4))</f>
        <v/>
      </c>
      <c r="AE18">
        <f>MAX(0,MIN($C18,AE$4+1)-MAX($B18,AE$4))</f>
        <v/>
      </c>
      <c r="AF18">
        <f>MAX(0,MIN($C18,AF$4+1)-MAX($B18,AF$4))</f>
        <v/>
      </c>
      <c r="AG18">
        <f>MAX(0,MIN($C18,AG$4+1)-MAX($B18,AG$4))</f>
        <v/>
      </c>
      <c r="AH18">
        <f>MAX(0,MIN($C18,AH$4+1)-MAX($B18,AH$4))</f>
        <v/>
      </c>
      <c r="AI18">
        <f>MAX(0,MIN($C18,AI$4+1)-MAX($B18,AI$4))</f>
        <v/>
      </c>
      <c r="AJ18">
        <f>MAX(0,MIN($C18,AJ$4+1)-MAX($B18,AJ$4))</f>
        <v/>
      </c>
      <c r="AK18">
        <f>MAX(0,MIN($C18,AK$4+1)-MAX($B18,AK$4))</f>
        <v/>
      </c>
      <c r="AL18">
        <f>MAX(0,MIN($C18,AL$4+1)-MAX($B18,AL$4))</f>
        <v/>
      </c>
      <c r="AM18">
        <f>MAX(0,MIN($C18,AM$4+1)-MAX($B18,AM$4))</f>
        <v/>
      </c>
      <c r="AO18" t="n">
        <v>0</v>
      </c>
      <c r="AP18" t="n">
        <v>0</v>
      </c>
    </row>
    <row r="19">
      <c r="A19" t="inlineStr"/>
      <c r="B19" s="3" t="n">
        <v>0</v>
      </c>
      <c r="C19" s="3" t="n">
        <v>0</v>
      </c>
      <c r="D19" t="inlineStr"/>
      <c r="E19" t="n">
        <v>0</v>
      </c>
      <c r="F19" t="n">
        <v>0</v>
      </c>
      <c r="G19" s="3" t="n">
        <v>0</v>
      </c>
      <c r="H19" s="3" t="n">
        <v>0</v>
      </c>
      <c r="I19" s="3" t="n">
        <v>0</v>
      </c>
      <c r="J19" s="3" t="n">
        <v>0</v>
      </c>
      <c r="K19" s="3" t="n">
        <v>0</v>
      </c>
      <c r="L19" s="3" t="n">
        <v>0</v>
      </c>
      <c r="M19" s="3" t="n">
        <v>0</v>
      </c>
      <c r="N19" s="3" t="n">
        <v>0</v>
      </c>
      <c r="O19" s="3" t="n">
        <v>0</v>
      </c>
      <c r="P19" s="3" t="n">
        <v>0</v>
      </c>
      <c r="Q19" s="3" t="n">
        <v>0</v>
      </c>
      <c r="R19" s="3" t="n">
        <v>0</v>
      </c>
      <c r="T19">
        <f>MAX(0,MIN($C19,T$4+1)-MAX($B19,T$4))</f>
        <v/>
      </c>
      <c r="U19">
        <f>MAX(0,MIN($C19,U$4+1)-MAX($B19,U$4))</f>
        <v/>
      </c>
      <c r="V19">
        <f>MAX(0,MIN($C19,V$4+1)-MAX($B19,V$4))</f>
        <v/>
      </c>
      <c r="W19">
        <f>MAX(0,MIN($C19,W$4+1)-MAX($B19,W$4))</f>
        <v/>
      </c>
      <c r="X19">
        <f>MAX(0,MIN($C19,X$4+1)-MAX($B19,X$4))</f>
        <v/>
      </c>
      <c r="Y19">
        <f>MAX(0,MIN($C19,Y$4+1)-MAX($B19,Y$4))</f>
        <v/>
      </c>
      <c r="Z19">
        <f>MAX(0,MIN($C19,Z$4+1)-MAX($B19,Z$4))</f>
        <v/>
      </c>
      <c r="AA19">
        <f>MAX(0,MIN($C19,AA$4+1)-MAX($B19,AA$4))</f>
        <v/>
      </c>
      <c r="AB19">
        <f>MAX(0,MIN($C19,AB$4+1)-MAX($B19,AB$4))</f>
        <v/>
      </c>
      <c r="AC19">
        <f>MAX(0,MIN($C19,AC$4+1)-MAX($B19,AC$4))</f>
        <v/>
      </c>
      <c r="AD19">
        <f>MAX(0,MIN($C19,AD$4+1)-MAX($B19,AD$4))</f>
        <v/>
      </c>
      <c r="AE19">
        <f>MAX(0,MIN($C19,AE$4+1)-MAX($B19,AE$4))</f>
        <v/>
      </c>
      <c r="AF19">
        <f>MAX(0,MIN($C19,AF$4+1)-MAX($B19,AF$4))</f>
        <v/>
      </c>
      <c r="AG19">
        <f>MAX(0,MIN($C19,AG$4+1)-MAX($B19,AG$4))</f>
        <v/>
      </c>
      <c r="AH19">
        <f>MAX(0,MIN($C19,AH$4+1)-MAX($B19,AH$4))</f>
        <v/>
      </c>
      <c r="AI19">
        <f>MAX(0,MIN($C19,AI$4+1)-MAX($B19,AI$4))</f>
        <v/>
      </c>
      <c r="AJ19">
        <f>MAX(0,MIN($C19,AJ$4+1)-MAX($B19,AJ$4))</f>
        <v/>
      </c>
      <c r="AK19">
        <f>MAX(0,MIN($C19,AK$4+1)-MAX($B19,AK$4))</f>
        <v/>
      </c>
      <c r="AL19">
        <f>MAX(0,MIN($C19,AL$4+1)-MAX($B19,AL$4))</f>
        <v/>
      </c>
      <c r="AM19">
        <f>MAX(0,MIN($C19,AM$4+1)-MAX($B19,AM$4))</f>
        <v/>
      </c>
      <c r="AO19" t="n">
        <v>0</v>
      </c>
      <c r="AP19" t="n">
        <v>0</v>
      </c>
    </row>
    <row r="20">
      <c r="A20" t="inlineStr"/>
      <c r="B20" s="3" t="n">
        <v>0</v>
      </c>
      <c r="C20" s="3" t="n">
        <v>0</v>
      </c>
      <c r="D20" t="inlineStr"/>
      <c r="E20" t="n">
        <v>0</v>
      </c>
      <c r="F20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T20">
        <f>MAX(0,MIN($C20,T$4+1)-MAX($B20,T$4))</f>
        <v/>
      </c>
      <c r="U20">
        <f>MAX(0,MIN($C20,U$4+1)-MAX($B20,U$4))</f>
        <v/>
      </c>
      <c r="V20">
        <f>MAX(0,MIN($C20,V$4+1)-MAX($B20,V$4))</f>
        <v/>
      </c>
      <c r="W20">
        <f>MAX(0,MIN($C20,W$4+1)-MAX($B20,W$4))</f>
        <v/>
      </c>
      <c r="X20">
        <f>MAX(0,MIN($C20,X$4+1)-MAX($B20,X$4))</f>
        <v/>
      </c>
      <c r="Y20">
        <f>MAX(0,MIN($C20,Y$4+1)-MAX($B20,Y$4))</f>
        <v/>
      </c>
      <c r="Z20">
        <f>MAX(0,MIN($C20,Z$4+1)-MAX($B20,Z$4))</f>
        <v/>
      </c>
      <c r="AA20">
        <f>MAX(0,MIN($C20,AA$4+1)-MAX($B20,AA$4))</f>
        <v/>
      </c>
      <c r="AB20">
        <f>MAX(0,MIN($C20,AB$4+1)-MAX($B20,AB$4))</f>
        <v/>
      </c>
      <c r="AC20">
        <f>MAX(0,MIN($C20,AC$4+1)-MAX($B20,AC$4))</f>
        <v/>
      </c>
      <c r="AD20">
        <f>MAX(0,MIN($C20,AD$4+1)-MAX($B20,AD$4))</f>
        <v/>
      </c>
      <c r="AE20">
        <f>MAX(0,MIN($C20,AE$4+1)-MAX($B20,AE$4))</f>
        <v/>
      </c>
      <c r="AF20">
        <f>MAX(0,MIN($C20,AF$4+1)-MAX($B20,AF$4))</f>
        <v/>
      </c>
      <c r="AG20">
        <f>MAX(0,MIN($C20,AG$4+1)-MAX($B20,AG$4))</f>
        <v/>
      </c>
      <c r="AH20">
        <f>MAX(0,MIN($C20,AH$4+1)-MAX($B20,AH$4))</f>
        <v/>
      </c>
      <c r="AI20">
        <f>MAX(0,MIN($C20,AI$4+1)-MAX($B20,AI$4))</f>
        <v/>
      </c>
      <c r="AJ20">
        <f>MAX(0,MIN($C20,AJ$4+1)-MAX($B20,AJ$4))</f>
        <v/>
      </c>
      <c r="AK20">
        <f>MAX(0,MIN($C20,AK$4+1)-MAX($B20,AK$4))</f>
        <v/>
      </c>
      <c r="AL20">
        <f>MAX(0,MIN($C20,AL$4+1)-MAX($B20,AL$4))</f>
        <v/>
      </c>
      <c r="AM20">
        <f>MAX(0,MIN($C20,AM$4+1)-MAX($B20,AM$4))</f>
        <v/>
      </c>
      <c r="AO20" t="n">
        <v>0</v>
      </c>
      <c r="AP20" t="n">
        <v>0</v>
      </c>
    </row>
    <row r="21">
      <c r="A21" t="inlineStr"/>
      <c r="B21" s="3" t="n">
        <v>0</v>
      </c>
      <c r="C21" s="3" t="n">
        <v>0</v>
      </c>
      <c r="D21" t="inlineStr"/>
      <c r="E21" t="n">
        <v>0</v>
      </c>
      <c r="F21" t="n">
        <v>0</v>
      </c>
      <c r="G21" s="3" t="n">
        <v>0</v>
      </c>
      <c r="H21" s="3" t="n">
        <v>0</v>
      </c>
      <c r="I21" s="3" t="n">
        <v>0</v>
      </c>
      <c r="J21" s="3" t="n">
        <v>0</v>
      </c>
      <c r="K21" s="3" t="n">
        <v>0</v>
      </c>
      <c r="L21" s="3" t="n">
        <v>0</v>
      </c>
      <c r="M21" s="3" t="n">
        <v>0</v>
      </c>
      <c r="N21" s="3" t="n">
        <v>0</v>
      </c>
      <c r="O21" s="3" t="n">
        <v>0</v>
      </c>
      <c r="P21" s="3" t="n">
        <v>0</v>
      </c>
      <c r="Q21" s="3" t="n">
        <v>0</v>
      </c>
      <c r="R21" s="3" t="n">
        <v>0</v>
      </c>
      <c r="T21">
        <f>MAX(0,MIN($C21,T$4+1)-MAX($B21,T$4))</f>
        <v/>
      </c>
      <c r="U21">
        <f>MAX(0,MIN($C21,U$4+1)-MAX($B21,U$4))</f>
        <v/>
      </c>
      <c r="V21">
        <f>MAX(0,MIN($C21,V$4+1)-MAX($B21,V$4))</f>
        <v/>
      </c>
      <c r="W21">
        <f>MAX(0,MIN($C21,W$4+1)-MAX($B21,W$4))</f>
        <v/>
      </c>
      <c r="X21">
        <f>MAX(0,MIN($C21,X$4+1)-MAX($B21,X$4))</f>
        <v/>
      </c>
      <c r="Y21">
        <f>MAX(0,MIN($C21,Y$4+1)-MAX($B21,Y$4))</f>
        <v/>
      </c>
      <c r="Z21">
        <f>MAX(0,MIN($C21,Z$4+1)-MAX($B21,Z$4))</f>
        <v/>
      </c>
      <c r="AA21">
        <f>MAX(0,MIN($C21,AA$4+1)-MAX($B21,AA$4))</f>
        <v/>
      </c>
      <c r="AB21">
        <f>MAX(0,MIN($C21,AB$4+1)-MAX($B21,AB$4))</f>
        <v/>
      </c>
      <c r="AC21">
        <f>MAX(0,MIN($C21,AC$4+1)-MAX($B21,AC$4))</f>
        <v/>
      </c>
      <c r="AD21">
        <f>MAX(0,MIN($C21,AD$4+1)-MAX($B21,AD$4))</f>
        <v/>
      </c>
      <c r="AE21">
        <f>MAX(0,MIN($C21,AE$4+1)-MAX($B21,AE$4))</f>
        <v/>
      </c>
      <c r="AF21">
        <f>MAX(0,MIN($C21,AF$4+1)-MAX($B21,AF$4))</f>
        <v/>
      </c>
      <c r="AG21">
        <f>MAX(0,MIN($C21,AG$4+1)-MAX($B21,AG$4))</f>
        <v/>
      </c>
      <c r="AH21">
        <f>MAX(0,MIN($C21,AH$4+1)-MAX($B21,AH$4))</f>
        <v/>
      </c>
      <c r="AI21">
        <f>MAX(0,MIN($C21,AI$4+1)-MAX($B21,AI$4))</f>
        <v/>
      </c>
      <c r="AJ21">
        <f>MAX(0,MIN($C21,AJ$4+1)-MAX($B21,AJ$4))</f>
        <v/>
      </c>
      <c r="AK21">
        <f>MAX(0,MIN($C21,AK$4+1)-MAX($B21,AK$4))</f>
        <v/>
      </c>
      <c r="AL21">
        <f>MAX(0,MIN($C21,AL$4+1)-MAX($B21,AL$4))</f>
        <v/>
      </c>
      <c r="AM21">
        <f>MAX(0,MIN($C21,AM$4+1)-MAX($B21,AM$4))</f>
        <v/>
      </c>
      <c r="AO21" t="n">
        <v>0</v>
      </c>
      <c r="AP21" t="n">
        <v>0</v>
      </c>
    </row>
    <row r="22">
      <c r="A22" t="inlineStr"/>
      <c r="B22" s="3" t="n">
        <v>0</v>
      </c>
      <c r="C22" s="3" t="n">
        <v>0</v>
      </c>
      <c r="D22" t="inlineStr"/>
      <c r="E22" t="n">
        <v>0</v>
      </c>
      <c r="F22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T22">
        <f>MAX(0,MIN($C22,T$4+1)-MAX($B22,T$4))</f>
        <v/>
      </c>
      <c r="U22">
        <f>MAX(0,MIN($C22,U$4+1)-MAX($B22,U$4))</f>
        <v/>
      </c>
      <c r="V22">
        <f>MAX(0,MIN($C22,V$4+1)-MAX($B22,V$4))</f>
        <v/>
      </c>
      <c r="W22">
        <f>MAX(0,MIN($C22,W$4+1)-MAX($B22,W$4))</f>
        <v/>
      </c>
      <c r="X22">
        <f>MAX(0,MIN($C22,X$4+1)-MAX($B22,X$4))</f>
        <v/>
      </c>
      <c r="Y22">
        <f>MAX(0,MIN($C22,Y$4+1)-MAX($B22,Y$4))</f>
        <v/>
      </c>
      <c r="Z22">
        <f>MAX(0,MIN($C22,Z$4+1)-MAX($B22,Z$4))</f>
        <v/>
      </c>
      <c r="AA22">
        <f>MAX(0,MIN($C22,AA$4+1)-MAX($B22,AA$4))</f>
        <v/>
      </c>
      <c r="AB22">
        <f>MAX(0,MIN($C22,AB$4+1)-MAX($B22,AB$4))</f>
        <v/>
      </c>
      <c r="AC22">
        <f>MAX(0,MIN($C22,AC$4+1)-MAX($B22,AC$4))</f>
        <v/>
      </c>
      <c r="AD22">
        <f>MAX(0,MIN($C22,AD$4+1)-MAX($B22,AD$4))</f>
        <v/>
      </c>
      <c r="AE22">
        <f>MAX(0,MIN($C22,AE$4+1)-MAX($B22,AE$4))</f>
        <v/>
      </c>
      <c r="AF22">
        <f>MAX(0,MIN($C22,AF$4+1)-MAX($B22,AF$4))</f>
        <v/>
      </c>
      <c r="AG22">
        <f>MAX(0,MIN($C22,AG$4+1)-MAX($B22,AG$4))</f>
        <v/>
      </c>
      <c r="AH22">
        <f>MAX(0,MIN($C22,AH$4+1)-MAX($B22,AH$4))</f>
        <v/>
      </c>
      <c r="AI22">
        <f>MAX(0,MIN($C22,AI$4+1)-MAX($B22,AI$4))</f>
        <v/>
      </c>
      <c r="AJ22">
        <f>MAX(0,MIN($C22,AJ$4+1)-MAX($B22,AJ$4))</f>
        <v/>
      </c>
      <c r="AK22">
        <f>MAX(0,MIN($C22,AK$4+1)-MAX($B22,AK$4))</f>
        <v/>
      </c>
      <c r="AL22">
        <f>MAX(0,MIN($C22,AL$4+1)-MAX($B22,AL$4))</f>
        <v/>
      </c>
      <c r="AM22">
        <f>MAX(0,MIN($C22,AM$4+1)-MAX($B22,AM$4))</f>
        <v/>
      </c>
      <c r="AO22" t="n">
        <v>0</v>
      </c>
      <c r="AP22" t="n">
        <v>0</v>
      </c>
    </row>
    <row r="23">
      <c r="A23" t="inlineStr"/>
      <c r="B23" s="3" t="n">
        <v>0</v>
      </c>
      <c r="C23" s="3" t="n">
        <v>0</v>
      </c>
      <c r="D23" t="inlineStr"/>
      <c r="E23" t="n">
        <v>0</v>
      </c>
      <c r="F2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T23">
        <f>MAX(0,MIN($C23,T$4+1)-MAX($B23,T$4))</f>
        <v/>
      </c>
      <c r="U23">
        <f>MAX(0,MIN($C23,U$4+1)-MAX($B23,U$4))</f>
        <v/>
      </c>
      <c r="V23">
        <f>MAX(0,MIN($C23,V$4+1)-MAX($B23,V$4))</f>
        <v/>
      </c>
      <c r="W23">
        <f>MAX(0,MIN($C23,W$4+1)-MAX($B23,W$4))</f>
        <v/>
      </c>
      <c r="X23">
        <f>MAX(0,MIN($C23,X$4+1)-MAX($B23,X$4))</f>
        <v/>
      </c>
      <c r="Y23">
        <f>MAX(0,MIN($C23,Y$4+1)-MAX($B23,Y$4))</f>
        <v/>
      </c>
      <c r="Z23">
        <f>MAX(0,MIN($C23,Z$4+1)-MAX($B23,Z$4))</f>
        <v/>
      </c>
      <c r="AA23">
        <f>MAX(0,MIN($C23,AA$4+1)-MAX($B23,AA$4))</f>
        <v/>
      </c>
      <c r="AB23">
        <f>MAX(0,MIN($C23,AB$4+1)-MAX($B23,AB$4))</f>
        <v/>
      </c>
      <c r="AC23">
        <f>MAX(0,MIN($C23,AC$4+1)-MAX($B23,AC$4))</f>
        <v/>
      </c>
      <c r="AD23">
        <f>MAX(0,MIN($C23,AD$4+1)-MAX($B23,AD$4))</f>
        <v/>
      </c>
      <c r="AE23">
        <f>MAX(0,MIN($C23,AE$4+1)-MAX($B23,AE$4))</f>
        <v/>
      </c>
      <c r="AF23">
        <f>MAX(0,MIN($C23,AF$4+1)-MAX($B23,AF$4))</f>
        <v/>
      </c>
      <c r="AG23">
        <f>MAX(0,MIN($C23,AG$4+1)-MAX($B23,AG$4))</f>
        <v/>
      </c>
      <c r="AH23">
        <f>MAX(0,MIN($C23,AH$4+1)-MAX($B23,AH$4))</f>
        <v/>
      </c>
      <c r="AI23">
        <f>MAX(0,MIN($C23,AI$4+1)-MAX($B23,AI$4))</f>
        <v/>
      </c>
      <c r="AJ23">
        <f>MAX(0,MIN($C23,AJ$4+1)-MAX($B23,AJ$4))</f>
        <v/>
      </c>
      <c r="AK23">
        <f>MAX(0,MIN($C23,AK$4+1)-MAX($B23,AK$4))</f>
        <v/>
      </c>
      <c r="AL23">
        <f>MAX(0,MIN($C23,AL$4+1)-MAX($B23,AL$4))</f>
        <v/>
      </c>
      <c r="AM23">
        <f>MAX(0,MIN($C23,AM$4+1)-MAX($B23,AM$4))</f>
        <v/>
      </c>
      <c r="AO23" t="n">
        <v>0</v>
      </c>
      <c r="AP23" t="n">
        <v>0</v>
      </c>
    </row>
    <row r="24">
      <c r="A24" t="inlineStr"/>
      <c r="B24" s="3" t="n">
        <v>0</v>
      </c>
      <c r="C24" s="3" t="n">
        <v>0</v>
      </c>
      <c r="D24" t="inlineStr"/>
      <c r="E24" t="n">
        <v>0</v>
      </c>
      <c r="F24" t="n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  <c r="P24" s="3" t="n">
        <v>0</v>
      </c>
      <c r="Q24" s="3" t="n">
        <v>0</v>
      </c>
      <c r="R24" s="3" t="n">
        <v>0</v>
      </c>
      <c r="T24">
        <f>MAX(0,MIN($C24,T$4+1)-MAX($B24,T$4))</f>
        <v/>
      </c>
      <c r="U24">
        <f>MAX(0,MIN($C24,U$4+1)-MAX($B24,U$4))</f>
        <v/>
      </c>
      <c r="V24">
        <f>MAX(0,MIN($C24,V$4+1)-MAX($B24,V$4))</f>
        <v/>
      </c>
      <c r="W24">
        <f>MAX(0,MIN($C24,W$4+1)-MAX($B24,W$4))</f>
        <v/>
      </c>
      <c r="X24">
        <f>MAX(0,MIN($C24,X$4+1)-MAX($B24,X$4))</f>
        <v/>
      </c>
      <c r="Y24">
        <f>MAX(0,MIN($C24,Y$4+1)-MAX($B24,Y$4))</f>
        <v/>
      </c>
      <c r="Z24">
        <f>MAX(0,MIN($C24,Z$4+1)-MAX($B24,Z$4))</f>
        <v/>
      </c>
      <c r="AA24">
        <f>MAX(0,MIN($C24,AA$4+1)-MAX($B24,AA$4))</f>
        <v/>
      </c>
      <c r="AB24">
        <f>MAX(0,MIN($C24,AB$4+1)-MAX($B24,AB$4))</f>
        <v/>
      </c>
      <c r="AC24">
        <f>MAX(0,MIN($C24,AC$4+1)-MAX($B24,AC$4))</f>
        <v/>
      </c>
      <c r="AD24">
        <f>MAX(0,MIN($C24,AD$4+1)-MAX($B24,AD$4))</f>
        <v/>
      </c>
      <c r="AE24">
        <f>MAX(0,MIN($C24,AE$4+1)-MAX($B24,AE$4))</f>
        <v/>
      </c>
      <c r="AF24">
        <f>MAX(0,MIN($C24,AF$4+1)-MAX($B24,AF$4))</f>
        <v/>
      </c>
      <c r="AG24">
        <f>MAX(0,MIN($C24,AG$4+1)-MAX($B24,AG$4))</f>
        <v/>
      </c>
      <c r="AH24">
        <f>MAX(0,MIN($C24,AH$4+1)-MAX($B24,AH$4))</f>
        <v/>
      </c>
      <c r="AI24">
        <f>MAX(0,MIN($C24,AI$4+1)-MAX($B24,AI$4))</f>
        <v/>
      </c>
      <c r="AJ24">
        <f>MAX(0,MIN($C24,AJ$4+1)-MAX($B24,AJ$4))</f>
        <v/>
      </c>
      <c r="AK24">
        <f>MAX(0,MIN($C24,AK$4+1)-MAX($B24,AK$4))</f>
        <v/>
      </c>
      <c r="AL24">
        <f>MAX(0,MIN($C24,AL$4+1)-MAX($B24,AL$4))</f>
        <v/>
      </c>
      <c r="AM24">
        <f>MAX(0,MIN($C24,AM$4+1)-MAX($B24,AM$4))</f>
        <v/>
      </c>
      <c r="AO24" t="n">
        <v>0</v>
      </c>
      <c r="AP24" t="n">
        <v>0</v>
      </c>
    </row>
    <row r="25">
      <c r="A25" t="inlineStr"/>
      <c r="B25" s="3" t="n">
        <v>0</v>
      </c>
      <c r="C25" s="3" t="n">
        <v>0</v>
      </c>
      <c r="D25" t="inlineStr"/>
      <c r="E25" t="n">
        <v>0</v>
      </c>
      <c r="F25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T25">
        <f>MAX(0,MIN($C25,T$4+1)-MAX($B25,T$4))</f>
        <v/>
      </c>
      <c r="U25">
        <f>MAX(0,MIN($C25,U$4+1)-MAX($B25,U$4))</f>
        <v/>
      </c>
      <c r="V25">
        <f>MAX(0,MIN($C25,V$4+1)-MAX($B25,V$4))</f>
        <v/>
      </c>
      <c r="W25">
        <f>MAX(0,MIN($C25,W$4+1)-MAX($B25,W$4))</f>
        <v/>
      </c>
      <c r="X25">
        <f>MAX(0,MIN($C25,X$4+1)-MAX($B25,X$4))</f>
        <v/>
      </c>
      <c r="Y25">
        <f>MAX(0,MIN($C25,Y$4+1)-MAX($B25,Y$4))</f>
        <v/>
      </c>
      <c r="Z25">
        <f>MAX(0,MIN($C25,Z$4+1)-MAX($B25,Z$4))</f>
        <v/>
      </c>
      <c r="AA25">
        <f>MAX(0,MIN($C25,AA$4+1)-MAX($B25,AA$4))</f>
        <v/>
      </c>
      <c r="AB25">
        <f>MAX(0,MIN($C25,AB$4+1)-MAX($B25,AB$4))</f>
        <v/>
      </c>
      <c r="AC25">
        <f>MAX(0,MIN($C25,AC$4+1)-MAX($B25,AC$4))</f>
        <v/>
      </c>
      <c r="AD25">
        <f>MAX(0,MIN($C25,AD$4+1)-MAX($B25,AD$4))</f>
        <v/>
      </c>
      <c r="AE25">
        <f>MAX(0,MIN($C25,AE$4+1)-MAX($B25,AE$4))</f>
        <v/>
      </c>
      <c r="AF25">
        <f>MAX(0,MIN($C25,AF$4+1)-MAX($B25,AF$4))</f>
        <v/>
      </c>
      <c r="AG25">
        <f>MAX(0,MIN($C25,AG$4+1)-MAX($B25,AG$4))</f>
        <v/>
      </c>
      <c r="AH25">
        <f>MAX(0,MIN($C25,AH$4+1)-MAX($B25,AH$4))</f>
        <v/>
      </c>
      <c r="AI25">
        <f>MAX(0,MIN($C25,AI$4+1)-MAX($B25,AI$4))</f>
        <v/>
      </c>
      <c r="AJ25">
        <f>MAX(0,MIN($C25,AJ$4+1)-MAX($B25,AJ$4))</f>
        <v/>
      </c>
      <c r="AK25">
        <f>MAX(0,MIN($C25,AK$4+1)-MAX($B25,AK$4))</f>
        <v/>
      </c>
      <c r="AL25">
        <f>MAX(0,MIN($C25,AL$4+1)-MAX($B25,AL$4))</f>
        <v/>
      </c>
      <c r="AM25">
        <f>MAX(0,MIN($C25,AM$4+1)-MAX($B25,AM$4))</f>
        <v/>
      </c>
    </row>
    <row r="26">
      <c r="A26" t="inlineStr"/>
      <c r="B26" s="3" t="n">
        <v>0</v>
      </c>
      <c r="C26" s="3" t="n">
        <v>0</v>
      </c>
      <c r="D26" t="inlineStr"/>
      <c r="E26" t="n">
        <v>0</v>
      </c>
      <c r="F26" t="n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  <c r="T26">
        <f>MAX(0,MIN($C26,T$4+1)-MAX($B26,T$4))</f>
        <v/>
      </c>
      <c r="U26">
        <f>MAX(0,MIN($C26,U$4+1)-MAX($B26,U$4))</f>
        <v/>
      </c>
      <c r="V26">
        <f>MAX(0,MIN($C26,V$4+1)-MAX($B26,V$4))</f>
        <v/>
      </c>
      <c r="W26">
        <f>MAX(0,MIN($C26,W$4+1)-MAX($B26,W$4))</f>
        <v/>
      </c>
      <c r="X26">
        <f>MAX(0,MIN($C26,X$4+1)-MAX($B26,X$4))</f>
        <v/>
      </c>
      <c r="Y26">
        <f>MAX(0,MIN($C26,Y$4+1)-MAX($B26,Y$4))</f>
        <v/>
      </c>
      <c r="Z26">
        <f>MAX(0,MIN($C26,Z$4+1)-MAX($B26,Z$4))</f>
        <v/>
      </c>
      <c r="AA26">
        <f>MAX(0,MIN($C26,AA$4+1)-MAX($B26,AA$4))</f>
        <v/>
      </c>
      <c r="AB26">
        <f>MAX(0,MIN($C26,AB$4+1)-MAX($B26,AB$4))</f>
        <v/>
      </c>
      <c r="AC26">
        <f>MAX(0,MIN($C26,AC$4+1)-MAX($B26,AC$4))</f>
        <v/>
      </c>
      <c r="AD26">
        <f>MAX(0,MIN($C26,AD$4+1)-MAX($B26,AD$4))</f>
        <v/>
      </c>
      <c r="AE26">
        <f>MAX(0,MIN($C26,AE$4+1)-MAX($B26,AE$4))</f>
        <v/>
      </c>
      <c r="AF26">
        <f>MAX(0,MIN($C26,AF$4+1)-MAX($B26,AF$4))</f>
        <v/>
      </c>
      <c r="AG26">
        <f>MAX(0,MIN($C26,AG$4+1)-MAX($B26,AG$4))</f>
        <v/>
      </c>
      <c r="AH26">
        <f>MAX(0,MIN($C26,AH$4+1)-MAX($B26,AH$4))</f>
        <v/>
      </c>
      <c r="AI26">
        <f>MAX(0,MIN($C26,AI$4+1)-MAX($B26,AI$4))</f>
        <v/>
      </c>
      <c r="AJ26">
        <f>MAX(0,MIN($C26,AJ$4+1)-MAX($B26,AJ$4))</f>
        <v/>
      </c>
      <c r="AK26">
        <f>MAX(0,MIN($C26,AK$4+1)-MAX($B26,AK$4))</f>
        <v/>
      </c>
      <c r="AL26">
        <f>MAX(0,MIN($C26,AL$4+1)-MAX($B26,AL$4))</f>
        <v/>
      </c>
      <c r="AM26">
        <f>MAX(0,MIN($C26,AM$4+1)-MAX($B26,AM$4))</f>
        <v/>
      </c>
    </row>
    <row r="27">
      <c r="A27" t="inlineStr"/>
      <c r="B27" s="3" t="n">
        <v>0</v>
      </c>
      <c r="C27" s="3" t="n">
        <v>0</v>
      </c>
      <c r="D27" t="inlineStr"/>
      <c r="E27" t="n">
        <v>0</v>
      </c>
      <c r="F27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T27">
        <f>MAX(0,MIN($C27,T$4+1)-MAX($B27,T$4))</f>
        <v/>
      </c>
      <c r="U27">
        <f>MAX(0,MIN($C27,U$4+1)-MAX($B27,U$4))</f>
        <v/>
      </c>
      <c r="V27">
        <f>MAX(0,MIN($C27,V$4+1)-MAX($B27,V$4))</f>
        <v/>
      </c>
      <c r="W27">
        <f>MAX(0,MIN($C27,W$4+1)-MAX($B27,W$4))</f>
        <v/>
      </c>
      <c r="X27">
        <f>MAX(0,MIN($C27,X$4+1)-MAX($B27,X$4))</f>
        <v/>
      </c>
      <c r="Y27">
        <f>MAX(0,MIN($C27,Y$4+1)-MAX($B27,Y$4))</f>
        <v/>
      </c>
      <c r="Z27">
        <f>MAX(0,MIN($C27,Z$4+1)-MAX($B27,Z$4))</f>
        <v/>
      </c>
      <c r="AA27">
        <f>MAX(0,MIN($C27,AA$4+1)-MAX($B27,AA$4))</f>
        <v/>
      </c>
      <c r="AB27">
        <f>MAX(0,MIN($C27,AB$4+1)-MAX($B27,AB$4))</f>
        <v/>
      </c>
      <c r="AC27">
        <f>MAX(0,MIN($C27,AC$4+1)-MAX($B27,AC$4))</f>
        <v/>
      </c>
      <c r="AD27">
        <f>MAX(0,MIN($C27,AD$4+1)-MAX($B27,AD$4))</f>
        <v/>
      </c>
      <c r="AE27">
        <f>MAX(0,MIN($C27,AE$4+1)-MAX($B27,AE$4))</f>
        <v/>
      </c>
      <c r="AF27">
        <f>MAX(0,MIN($C27,AF$4+1)-MAX($B27,AF$4))</f>
        <v/>
      </c>
      <c r="AG27">
        <f>MAX(0,MIN($C27,AG$4+1)-MAX($B27,AG$4))</f>
        <v/>
      </c>
      <c r="AH27">
        <f>MAX(0,MIN($C27,AH$4+1)-MAX($B27,AH$4))</f>
        <v/>
      </c>
      <c r="AI27">
        <f>MAX(0,MIN($C27,AI$4+1)-MAX($B27,AI$4))</f>
        <v/>
      </c>
      <c r="AJ27">
        <f>MAX(0,MIN($C27,AJ$4+1)-MAX($B27,AJ$4))</f>
        <v/>
      </c>
      <c r="AK27">
        <f>MAX(0,MIN($C27,AK$4+1)-MAX($B27,AK$4))</f>
        <v/>
      </c>
      <c r="AL27">
        <f>MAX(0,MIN($C27,AL$4+1)-MAX($B27,AL$4))</f>
        <v/>
      </c>
      <c r="AM27">
        <f>MAX(0,MIN($C27,AM$4+1)-MAX($B27,AM$4))</f>
        <v/>
      </c>
    </row>
    <row r="28">
      <c r="A28" t="inlineStr"/>
      <c r="B28" s="3" t="n">
        <v>0</v>
      </c>
      <c r="C28" s="3" t="n">
        <v>0</v>
      </c>
      <c r="D28" t="inlineStr"/>
      <c r="E28" t="n">
        <v>0</v>
      </c>
      <c r="F28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T28">
        <f>MAX(0,MIN($C28,T$4+1)-MAX($B28,T$4))</f>
        <v/>
      </c>
      <c r="U28">
        <f>MAX(0,MIN($C28,U$4+1)-MAX($B28,U$4))</f>
        <v/>
      </c>
      <c r="V28">
        <f>MAX(0,MIN($C28,V$4+1)-MAX($B28,V$4))</f>
        <v/>
      </c>
      <c r="W28">
        <f>MAX(0,MIN($C28,W$4+1)-MAX($B28,W$4))</f>
        <v/>
      </c>
      <c r="X28">
        <f>MAX(0,MIN($C28,X$4+1)-MAX($B28,X$4))</f>
        <v/>
      </c>
      <c r="Y28">
        <f>MAX(0,MIN($C28,Y$4+1)-MAX($B28,Y$4))</f>
        <v/>
      </c>
      <c r="Z28">
        <f>MAX(0,MIN($C28,Z$4+1)-MAX($B28,Z$4))</f>
        <v/>
      </c>
      <c r="AA28">
        <f>MAX(0,MIN($C28,AA$4+1)-MAX($B28,AA$4))</f>
        <v/>
      </c>
      <c r="AB28">
        <f>MAX(0,MIN($C28,AB$4+1)-MAX($B28,AB$4))</f>
        <v/>
      </c>
      <c r="AC28">
        <f>MAX(0,MIN($C28,AC$4+1)-MAX($B28,AC$4))</f>
        <v/>
      </c>
      <c r="AD28">
        <f>MAX(0,MIN($C28,AD$4+1)-MAX($B28,AD$4))</f>
        <v/>
      </c>
      <c r="AE28">
        <f>MAX(0,MIN($C28,AE$4+1)-MAX($B28,AE$4))</f>
        <v/>
      </c>
      <c r="AF28">
        <f>MAX(0,MIN($C28,AF$4+1)-MAX($B28,AF$4))</f>
        <v/>
      </c>
      <c r="AG28">
        <f>MAX(0,MIN($C28,AG$4+1)-MAX($B28,AG$4))</f>
        <v/>
      </c>
      <c r="AH28">
        <f>MAX(0,MIN($C28,AH$4+1)-MAX($B28,AH$4))</f>
        <v/>
      </c>
      <c r="AI28">
        <f>MAX(0,MIN($C28,AI$4+1)-MAX($B28,AI$4))</f>
        <v/>
      </c>
      <c r="AJ28">
        <f>MAX(0,MIN($C28,AJ$4+1)-MAX($B28,AJ$4))</f>
        <v/>
      </c>
      <c r="AK28">
        <f>MAX(0,MIN($C28,AK$4+1)-MAX($B28,AK$4))</f>
        <v/>
      </c>
      <c r="AL28">
        <f>MAX(0,MIN($C28,AL$4+1)-MAX($B28,AL$4))</f>
        <v/>
      </c>
      <c r="AM28">
        <f>MAX(0,MIN($C28,AM$4+1)-MAX($B28,AM$4))</f>
        <v/>
      </c>
    </row>
    <row r="29">
      <c r="A29" t="inlineStr"/>
      <c r="B29" s="3" t="n">
        <v>0</v>
      </c>
      <c r="C29" s="3" t="n">
        <v>0</v>
      </c>
      <c r="D29" t="inlineStr"/>
      <c r="E29" t="n">
        <v>0</v>
      </c>
      <c r="F29" t="n">
        <v>0</v>
      </c>
      <c r="G29" s="3" t="n">
        <v>0</v>
      </c>
      <c r="H29" s="3" t="n">
        <v>0</v>
      </c>
      <c r="I29" s="3" t="n">
        <v>0</v>
      </c>
      <c r="J29" s="3" t="n">
        <v>0</v>
      </c>
      <c r="K29" s="3" t="n">
        <v>0</v>
      </c>
      <c r="L29" s="3" t="n">
        <v>0</v>
      </c>
      <c r="M29" s="3" t="n">
        <v>0</v>
      </c>
      <c r="N29" s="3" t="n">
        <v>0</v>
      </c>
      <c r="O29" s="3" t="n">
        <v>0</v>
      </c>
      <c r="P29" s="3" t="n">
        <v>0</v>
      </c>
      <c r="Q29" s="3" t="n">
        <v>0</v>
      </c>
      <c r="R29" s="3" t="n">
        <v>0</v>
      </c>
      <c r="T29">
        <f>MAX(0,MIN($C29,T$4+1)-MAX($B29,T$4))</f>
        <v/>
      </c>
      <c r="U29">
        <f>MAX(0,MIN($C29,U$4+1)-MAX($B29,U$4))</f>
        <v/>
      </c>
      <c r="V29">
        <f>MAX(0,MIN($C29,V$4+1)-MAX($B29,V$4))</f>
        <v/>
      </c>
      <c r="W29">
        <f>MAX(0,MIN($C29,W$4+1)-MAX($B29,W$4))</f>
        <v/>
      </c>
      <c r="X29">
        <f>MAX(0,MIN($C29,X$4+1)-MAX($B29,X$4))</f>
        <v/>
      </c>
      <c r="Y29">
        <f>MAX(0,MIN($C29,Y$4+1)-MAX($B29,Y$4))</f>
        <v/>
      </c>
      <c r="Z29">
        <f>MAX(0,MIN($C29,Z$4+1)-MAX($B29,Z$4))</f>
        <v/>
      </c>
      <c r="AA29">
        <f>MAX(0,MIN($C29,AA$4+1)-MAX($B29,AA$4))</f>
        <v/>
      </c>
      <c r="AB29">
        <f>MAX(0,MIN($C29,AB$4+1)-MAX($B29,AB$4))</f>
        <v/>
      </c>
      <c r="AC29">
        <f>MAX(0,MIN($C29,AC$4+1)-MAX($B29,AC$4))</f>
        <v/>
      </c>
      <c r="AD29">
        <f>MAX(0,MIN($C29,AD$4+1)-MAX($B29,AD$4))</f>
        <v/>
      </c>
      <c r="AE29">
        <f>MAX(0,MIN($C29,AE$4+1)-MAX($B29,AE$4))</f>
        <v/>
      </c>
      <c r="AF29">
        <f>MAX(0,MIN($C29,AF$4+1)-MAX($B29,AF$4))</f>
        <v/>
      </c>
      <c r="AG29">
        <f>MAX(0,MIN($C29,AG$4+1)-MAX($B29,AG$4))</f>
        <v/>
      </c>
      <c r="AH29">
        <f>MAX(0,MIN($C29,AH$4+1)-MAX($B29,AH$4))</f>
        <v/>
      </c>
      <c r="AI29">
        <f>MAX(0,MIN($C29,AI$4+1)-MAX($B29,AI$4))</f>
        <v/>
      </c>
      <c r="AJ29">
        <f>MAX(0,MIN($C29,AJ$4+1)-MAX($B29,AJ$4))</f>
        <v/>
      </c>
      <c r="AK29">
        <f>MAX(0,MIN($C29,AK$4+1)-MAX($B29,AK$4))</f>
        <v/>
      </c>
      <c r="AL29">
        <f>MAX(0,MIN($C29,AL$4+1)-MAX($B29,AL$4))</f>
        <v/>
      </c>
      <c r="AM29">
        <f>MAX(0,MIN($C29,AM$4+1)-MAX($B29,AM$4))</f>
        <v/>
      </c>
    </row>
    <row r="31">
      <c r="A31" s="1" t="inlineStr">
        <is>
          <t>Simulación anual (todas las celdas son fórmulas)</t>
        </is>
      </c>
    </row>
    <row r="32">
      <c r="A32" s="5" t="inlineStr">
        <is>
          <t>Año</t>
        </is>
      </c>
      <c r="B32" s="5" t="inlineStr">
        <is>
          <t>k</t>
        </is>
      </c>
      <c r="C32" s="5" t="inlineStr">
        <is>
          <t>Índice inflación</t>
        </is>
      </c>
      <c r="D32" s="5" t="inlineStr">
        <is>
          <t>Salarios W-2</t>
        </is>
      </c>
      <c r="E32" s="5" t="inlineStr">
        <is>
          <t>W-2 con match</t>
        </is>
      </c>
      <c r="F32" s="5" t="inlineStr">
        <is>
          <t>Stipends libres</t>
        </is>
      </c>
      <c r="G32" s="5" t="inlineStr">
        <is>
          <t>Ingreso S-corp</t>
        </is>
      </c>
      <c r="H32" s="5" t="inlineStr">
        <is>
          <t>Autoempleo (LLC/tutoría)</t>
        </is>
      </c>
      <c r="I32" s="5" t="inlineStr">
        <is>
          <t>Matrícula</t>
        </is>
      </c>
      <c r="J32" s="5" t="inlineStr">
        <is>
          <t>Fracción estudio</t>
        </is>
      </c>
      <c r="K32" s="5" t="inlineStr">
        <is>
          <t>Fracción PSLF</t>
        </is>
      </c>
      <c r="L32" s="5" t="inlineStr">
        <is>
          <t>Fracción travel</t>
        </is>
      </c>
      <c r="M32" s="5" t="inlineStr">
        <is>
          <t>Attending</t>
        </is>
      </c>
      <c r="N32" s="5" t="inlineStr">
        <is>
          <t>Hitos (costos)</t>
        </is>
      </c>
      <c r="O32" s="5" t="inlineStr">
        <is>
          <t>Aporte 403b</t>
        </is>
      </c>
      <c r="P32" s="5" t="inlineStr">
        <is>
          <t>Match empleador</t>
        </is>
      </c>
      <c r="Q32" s="5" t="inlineStr">
        <is>
          <t>S-corp neto</t>
        </is>
      </c>
      <c r="R32" s="5" t="inlineStr">
        <is>
          <t>Salario S-corp</t>
        </is>
      </c>
      <c r="S32" s="5" t="inlineStr">
        <is>
          <t>FICA patronal S-corp</t>
        </is>
      </c>
      <c r="T32" s="5" t="inlineStr">
        <is>
          <t>Distribución S-corp</t>
        </is>
      </c>
      <c r="U32" s="5" t="inlineStr">
        <is>
          <t>Salarios totales</t>
        </is>
      </c>
      <c r="V32" s="5" t="inlineStr">
        <is>
          <t>Base autoempleo</t>
        </is>
      </c>
      <c r="W32" s="5" t="inlineStr">
        <is>
          <t>Impuesto autoempleo</t>
        </is>
      </c>
      <c r="X32" s="5" t="inlineStr">
        <is>
          <t>FICA empleado</t>
        </is>
      </c>
      <c r="Y32" s="5" t="inlineStr">
        <is>
          <t>AGI</t>
        </is>
      </c>
      <c r="Z32" s="5" t="inlineStr">
        <is>
          <t>Ingreso gravable antes QBI</t>
        </is>
      </c>
      <c r="AA32" s="5" t="inlineStr">
        <is>
          <t>Deducción QBI</t>
        </is>
      </c>
      <c r="AB32" s="5" t="inlineStr">
        <is>
          <t>Ingreso gravable</t>
        </is>
      </c>
      <c r="AC32" s="5" t="inlineStr">
        <is>
          <t>Impuesto federal</t>
        </is>
      </c>
      <c r="AD32" s="5" t="inlineStr">
        <is>
          <t>Gravable NY</t>
        </is>
      </c>
      <c r="AE32" s="5" t="inlineStr">
        <is>
          <t>Impuesto estatal/local</t>
        </is>
      </c>
      <c r="AF32" s="5" t="inlineStr">
        <is>
          <t>Impuestos totales</t>
        </is>
      </c>
      <c r="AG32" s="5" t="inlineStr">
        <is>
          <t>Ingreso personal bruto en efectivo</t>
        </is>
      </c>
      <c r="AH32" s="5" t="inlineStr">
        <is>
          <t>Efectivo neto (tras impuestos y 403b)</t>
        </is>
      </c>
      <c r="AI32" s="5" t="inlineStr">
        <is>
          <t>Ingreso bruto</t>
        </is>
      </c>
      <c r="AJ32" s="5" t="inlineStr">
        <is>
          <t>Gastos de vida</t>
        </is>
      </c>
      <c r="AK32" s="5" t="inlineStr">
        <is>
          <t>Ahorro líquido inicio</t>
        </is>
      </c>
      <c r="AL32" s="5" t="inlineStr">
        <is>
          <t>Ya era dueño</t>
        </is>
      </c>
      <c r="AM32" s="5" t="inlineStr">
        <is>
          <t>Precio base 2026</t>
        </is>
      </c>
      <c r="AN32" s="5" t="inlineStr">
        <is>
          <t>Precio en el año</t>
        </is>
      </c>
      <c r="AO32" s="5" t="inlineStr">
        <is>
          <t>Physician loan</t>
        </is>
      </c>
      <c r="AP32" s="5" t="inlineStr">
        <is>
          <t>% enganche</t>
        </is>
      </c>
      <c r="AQ32" s="5" t="inlineStr">
        <is>
          <t>Préstamo</t>
        </is>
      </c>
      <c r="AR32" s="5" t="inlineStr">
        <is>
          <t>Cuota P&amp;I mensual</t>
        </is>
      </c>
      <c r="AS32" s="5" t="inlineStr">
        <is>
          <t>Unidades rentadas</t>
        </is>
      </c>
      <c r="AT32" s="5" t="inlineStr">
        <is>
          <t>Renta mensual (cotización)</t>
        </is>
      </c>
      <c r="AU32" s="5" t="inlineStr">
        <is>
          <t>PITI mensual</t>
        </is>
      </c>
      <c r="AV32" s="5" t="inlineStr">
        <is>
          <t>Efectivo requerido</t>
        </is>
      </c>
      <c r="AW32" s="5" t="inlineStr">
        <is>
          <t>Otras deudas mensuales</t>
        </is>
      </c>
      <c r="AX32" s="5" t="inlineStr">
        <is>
          <t>Crédito aporte familiar</t>
        </is>
      </c>
      <c r="AY32" s="5" t="inlineStr">
        <is>
          <t>Carga mensual para DTI</t>
        </is>
      </c>
      <c r="AZ32" s="5" t="inlineStr">
        <is>
          <t>Ingreso mensual para DTI</t>
        </is>
      </c>
      <c r="BA32" s="5" t="inlineStr">
        <is>
          <t>Compra este año</t>
        </is>
      </c>
      <c r="BB32" s="5" t="inlineStr">
        <is>
          <t>Dueño</t>
        </is>
      </c>
      <c r="BC32" s="5" t="inlineStr">
        <is>
          <t>Año de compra</t>
        </is>
      </c>
      <c r="BD32" s="5" t="inlineStr">
        <is>
          <t>Ahorro tras enganche</t>
        </is>
      </c>
      <c r="BE32" s="5" t="inlineStr">
        <is>
          <t>Precio de compra</t>
        </is>
      </c>
      <c r="BF32" s="5" t="inlineStr">
        <is>
          <t>Cuota hipoteca</t>
        </is>
      </c>
      <c r="BG32" s="5" t="inlineStr">
        <is>
          <t>PMI activo (antes)</t>
        </is>
      </c>
      <c r="BH32" s="5" t="inlineStr">
        <is>
          <t>Config. con ADU</t>
        </is>
      </c>
      <c r="BI32" s="5" t="inlineStr">
        <is>
          <t>Construye ADU</t>
        </is>
      </c>
      <c r="BJ32" s="5" t="inlineStr">
        <is>
          <t>ADU construido</t>
        </is>
      </c>
      <c r="BK32" s="5" t="inlineStr">
        <is>
          <t>Cuota ADU</t>
        </is>
      </c>
      <c r="BL32" s="5" t="inlineStr">
        <is>
          <t>Valor vivienda inicio</t>
        </is>
      </c>
      <c r="BM32" s="5" t="inlineStr">
        <is>
          <t>Hipoteca inicio</t>
        </is>
      </c>
      <c r="BN32" s="5" t="inlineStr">
        <is>
          <t>Hipoteca tras 12 pagos</t>
        </is>
      </c>
      <c r="BO32" s="5" t="inlineStr">
        <is>
          <t>Pagado hipoteca</t>
        </is>
      </c>
      <c r="BP32" s="5" t="inlineStr">
        <is>
          <t>Hipoteca tras pagos</t>
        </is>
      </c>
      <c r="BQ32" s="5" t="inlineStr">
        <is>
          <t>ADU inicio</t>
        </is>
      </c>
      <c r="BR32" s="5" t="inlineStr">
        <is>
          <t>ADU tras 12 pagos</t>
        </is>
      </c>
      <c r="BS32" s="5" t="inlineStr">
        <is>
          <t>Pagado ADU</t>
        </is>
      </c>
      <c r="BT32" s="5" t="inlineStr">
        <is>
          <t>ADU tras pagos</t>
        </is>
      </c>
      <c r="BU32" s="5" t="inlineStr">
        <is>
          <t>Seguro</t>
        </is>
      </c>
      <c r="BV32" s="5" t="inlineStr">
        <is>
          <t>Impuesto predial</t>
        </is>
      </c>
      <c r="BW32" s="5" t="inlineStr">
        <is>
          <t>Mantenimiento</t>
        </is>
      </c>
      <c r="BX32" s="5" t="inlineStr">
        <is>
          <t>PMI</t>
        </is>
      </c>
      <c r="BY32" s="5" t="inlineStr">
        <is>
          <t>PMI activo (después)</t>
        </is>
      </c>
      <c r="BZ32" s="5" t="inlineStr">
        <is>
          <t>Renta recibida</t>
        </is>
      </c>
      <c r="CA32" s="5" t="inlineStr">
        <is>
          <t>Costo de vivienda</t>
        </is>
      </c>
      <c r="CB32" s="5" t="inlineStr">
        <is>
          <t>Aporte familiar</t>
        </is>
      </c>
      <c r="CC32" s="5" t="inlineStr">
        <is>
          <t>IRS pagado</t>
        </is>
      </c>
      <c r="CD32" s="5" t="inlineStr">
        <is>
          <t>IRS saldo</t>
        </is>
      </c>
      <c r="CE32" s="5" t="inlineStr">
        <is>
          <t>Federal inicio</t>
        </is>
      </c>
      <c r="CF32" s="5" t="inlineStr">
        <is>
          <t>Tasa federal</t>
        </is>
      </c>
      <c r="CG32" s="5" t="inlineStr">
        <is>
          <t>Años repago fed.</t>
        </is>
      </c>
      <c r="CH32" s="5" t="inlineStr">
        <is>
          <t>En estudios (≥50%)</t>
        </is>
      </c>
      <c r="CI32" s="5" t="inlineStr">
        <is>
          <t>Usa RAP/PSLF</t>
        </is>
      </c>
      <c r="CJ32" s="5" t="inlineStr">
        <is>
          <t>Interés federal</t>
        </is>
      </c>
      <c r="CK32" s="5" t="inlineStr">
        <is>
          <t>Pago RAP</t>
        </is>
      </c>
      <c r="CL32" s="5" t="inlineStr">
        <is>
          <t>Pago federal</t>
        </is>
      </c>
      <c r="CM32" s="5" t="inlineStr">
        <is>
          <t>Federal tras pago</t>
        </is>
      </c>
      <c r="CN32" s="5" t="inlineStr">
        <is>
          <t>Meses PSLF</t>
        </is>
      </c>
      <c r="CO32" s="5" t="inlineStr">
        <is>
          <t>Condonado PSLF</t>
        </is>
      </c>
      <c r="CP32" s="5" t="inlineStr">
        <is>
          <t>Federal tras PSLF</t>
        </is>
      </c>
      <c r="CQ32" s="5" t="inlineStr">
        <is>
          <t>Años repago (tras pago)</t>
        </is>
      </c>
      <c r="CR32" s="5" t="inlineStr">
        <is>
          <t>Privado inicio</t>
        </is>
      </c>
      <c r="CS32" s="5" t="inlineStr">
        <is>
          <t>Tasa privada</t>
        </is>
      </c>
      <c r="CT32" s="5" t="inlineStr">
        <is>
          <t>Años repago priv.</t>
        </is>
      </c>
      <c r="CU32" s="5" t="inlineStr">
        <is>
          <t>Pago privado</t>
        </is>
      </c>
      <c r="CV32" s="5" t="inlineStr">
        <is>
          <t>Privado tras pago</t>
        </is>
      </c>
      <c r="CW32" s="5" t="inlineStr">
        <is>
          <t>Años repago priv. (tras)</t>
        </is>
      </c>
      <c r="CX32" s="5" t="inlineStr">
        <is>
          <t>Consumo tras interés</t>
        </is>
      </c>
      <c r="CY32" s="5" t="inlineStr">
        <is>
          <t>Gasto extra travel</t>
        </is>
      </c>
      <c r="CZ32" s="5" t="inlineStr">
        <is>
          <t>Salidas</t>
        </is>
      </c>
      <c r="DA32" s="5" t="inlineStr">
        <is>
          <t>Excedente (déficit)</t>
        </is>
      </c>
      <c r="DB32" s="5" t="inlineStr">
        <is>
          <t>Flujo acumulado</t>
        </is>
      </c>
      <c r="DC32" s="5" t="inlineStr">
        <is>
          <t>Meta enganche</t>
        </is>
      </c>
      <c r="DD32" s="5" t="inlineStr">
        <is>
          <t>Retorno del ahorro líquido</t>
        </is>
      </c>
      <c r="DE32" s="5" t="inlineStr">
        <is>
          <t>Pago deuda consumo</t>
        </is>
      </c>
      <c r="DF32" s="5" t="inlineStr">
        <is>
          <t>Gasto discrecional</t>
        </is>
      </c>
      <c r="DG32" s="5" t="inlineStr">
        <is>
          <t>Ahorro</t>
        </is>
      </c>
      <c r="DH32" s="5" t="inlineStr">
        <is>
          <t>Roth</t>
        </is>
      </c>
      <c r="DI32" s="5" t="inlineStr">
        <is>
          <t>Prepago</t>
        </is>
      </c>
      <c r="DJ32" s="5" t="inlineStr">
        <is>
          <t>Prepago a hipoteca</t>
        </is>
      </c>
      <c r="DK32" s="5" t="inlineStr">
        <is>
          <t>Retiro del ahorro</t>
        </is>
      </c>
      <c r="DL32" s="5" t="inlineStr">
        <is>
          <t>Déficit por financiar</t>
        </is>
      </c>
      <c r="DM32" s="5" t="inlineStr">
        <is>
          <t>Federal acumulado (antes)</t>
        </is>
      </c>
      <c r="DN32" s="5" t="inlineStr">
        <is>
          <t>Nuevo préstamo federal</t>
        </is>
      </c>
      <c r="DO32" s="5" t="inlineStr">
        <is>
          <t>Nuevo préstamo privado</t>
        </is>
      </c>
      <c r="DP32" s="5" t="inlineStr">
        <is>
          <t>Nueva deuda consumo</t>
        </is>
      </c>
      <c r="DQ32" s="5" t="inlineStr">
        <is>
          <t>Flujo al ahorro líquido</t>
        </is>
      </c>
      <c r="DR32" s="5" t="inlineStr">
        <is>
          <t>Ahorro líquido fin</t>
        </is>
      </c>
      <c r="DS32" s="5" t="inlineStr">
        <is>
          <t>Retiro fin</t>
        </is>
      </c>
      <c r="DT32" s="5" t="inlineStr">
        <is>
          <t>Valor vivienda fin</t>
        </is>
      </c>
      <c r="DU32" s="5" t="inlineStr">
        <is>
          <t>Hipoteca fin</t>
        </is>
      </c>
      <c r="DV32" s="5" t="inlineStr">
        <is>
          <t>ADU fin</t>
        </is>
      </c>
      <c r="DW32" s="5" t="inlineStr">
        <is>
          <t>Federal fin</t>
        </is>
      </c>
      <c r="DX32" s="5" t="inlineStr">
        <is>
          <t>Tasa federal fin</t>
        </is>
      </c>
      <c r="DY32" s="5" t="inlineStr">
        <is>
          <t>Años repago fed. fin</t>
        </is>
      </c>
      <c r="DZ32" s="5" t="inlineStr">
        <is>
          <t>Federal acumulado</t>
        </is>
      </c>
      <c r="EA32" s="5" t="inlineStr">
        <is>
          <t>Privado fin</t>
        </is>
      </c>
      <c r="EB32" s="5" t="inlineStr">
        <is>
          <t>Tasa privada fin</t>
        </is>
      </c>
      <c r="EC32" s="5" t="inlineStr">
        <is>
          <t>Años repago priv. fin</t>
        </is>
      </c>
      <c r="ED32" s="5" t="inlineStr">
        <is>
          <t>Deuda consumo fin</t>
        </is>
      </c>
      <c r="EE32" s="5" t="inlineStr">
        <is>
          <t>Año vivienda pagada</t>
        </is>
      </c>
      <c r="EF32" s="5" t="inlineStr">
        <is>
          <t>Deuda total</t>
        </is>
      </c>
      <c r="EG32" s="9" t="inlineStr">
        <is>
          <t>PATRIMONIO NETO</t>
        </is>
      </c>
      <c r="EH32" s="5" t="inlineStr">
        <is>
          <t>Patrimonio (dólares 2026)</t>
        </is>
      </c>
    </row>
    <row r="33">
      <c r="A33" t="n">
        <v>2027</v>
      </c>
      <c r="B33" t="n">
        <v>0</v>
      </c>
      <c r="C33" s="7">
        <f>(1+g_inf)^(A33-2026)</f>
        <v/>
      </c>
      <c r="D33" s="7">
        <f>SUMPRODUCT($T$5:$T$29,$E$5:$E$29*(1+$F$5:$F$29)^(A33-2026)*$G$5:$G$29*$H$5:$H$29*(1-$N$5:$N$29*$O$5:$O$29))*g_salMult+SUMPRODUCT(($B$5:$B$29&gt;=A33)*($B$5:$B$29&lt;A33+1)*$I$5:$I$29)*g_salMult</f>
        <v/>
      </c>
      <c r="E33" s="7">
        <f>SUMPRODUCT($T$5:$T$29,$E$5:$E$29*(1+$F$5:$F$29)^(A33-2026)*$G$5:$G$29*$H$5:$H$29*$M$5:$M$29)*g_salMult</f>
        <v/>
      </c>
      <c r="F33" s="7">
        <f>SUMPRODUCT($T$5:$T$29,$E$5:$E$29*(1+$F$5:$F$29)^(A33-2026)*$G$5:$G$29*$H$5:$H$29*$N$5:$N$29*$O$5:$O$29)*g_salMult</f>
        <v/>
      </c>
      <c r="G33" s="7">
        <f>SUMPRODUCT($T$5:$T$29,$P$5:$P$29*(1+$F$5:$F$29)^(A33-2026))</f>
        <v/>
      </c>
      <c r="H33" s="7">
        <f>SUMPRODUCT($T$5:$T$29,$Q$5:$Q$29*(1+$F$5:$F$29)^(A33-2026))+IF(personal_llcActivo=1,personal_llcNeto*(1+personal_llcCrecimiento)^0,0)</f>
        <v/>
      </c>
      <c r="I33" s="7">
        <f>SUMPRODUCT($T$5:$T$29,$J$5:$J$29/($C$5:$C$29-$B$5:$B$29+($C$5:$C$29=$B$5:$B$29)))*C33</f>
        <v/>
      </c>
      <c r="J33" s="7">
        <f>SUMPRODUCT($T$5:$T$29,$K$5:$K$29)</f>
        <v/>
      </c>
      <c r="K33" s="7">
        <f>SUMPRODUCT($T$5:$T$29,$L$5:$L$29)</f>
        <v/>
      </c>
      <c r="L33" s="7">
        <f>SUMPRODUCT($T$5:$T$29,$N$5:$N$29)</f>
        <v/>
      </c>
      <c r="M33" s="7">
        <f>IF(SUMPRODUCT($T$5:$T$29,$R$5:$R$29)&gt;0,1,0)</f>
        <v/>
      </c>
      <c r="N33" s="7">
        <f>SUMPRODUCT(($AO$5:$AO$24&gt;=A33)*($AO$5:$AO$24&lt;A33+1)*$AP$5:$AP$24)*C33+IF(0=0,IF(sel_loc&lt;&gt;"miami",personal_costoMudanzaInicial,0),0)</f>
        <v/>
      </c>
      <c r="O33" s="7">
        <f>MIN(personal_aporte403bPct*D33,retiro_limite403b*C33)</f>
        <v/>
      </c>
      <c r="P33" s="7">
        <f>MIN(personal_aporte403bPct,personal_match403bPct)*E33</f>
        <v/>
      </c>
      <c r="Q33" s="7">
        <f>IF(G33&gt;0,MAX(0,G33-impuestos_scorpCostoAnual*C33),0)</f>
        <v/>
      </c>
      <c r="R33" s="7">
        <f>Q33*impuestos_scorpSalarioPct/(1+impuestos_ssTasa+impuestos_medicareTasa)</f>
        <v/>
      </c>
      <c r="S33" s="7">
        <f>impuestos_ssTasa*MIN(R33,MAX(0,impuestos_ssTope*C33-D33))+impuestos_medicareTasa*R33</f>
        <v/>
      </c>
      <c r="T33" s="7">
        <f>Q33-R33-S33</f>
        <v/>
      </c>
      <c r="U33" s="7">
        <f>D33+R33</f>
        <v/>
      </c>
      <c r="V33" s="7">
        <f>H33*0.9235</f>
        <v/>
      </c>
      <c r="W33" s="7">
        <f>IF(H33&gt;0,2*impuestos_ssTasa*MIN(V33,MAX(0,impuestos_ssTope*C33-U33))+2*impuestos_medicareTasa*V33,0)</f>
        <v/>
      </c>
      <c r="X33" s="7">
        <f>impuestos_ssTasa*MIN(U33,impuestos_ssTope*C33)+impuestos_medicareTasa*U33+impuestos_medicareAdicional*MAX(0,U33+H33*0.9235-impuestos_medicareUmbral)</f>
        <v/>
      </c>
      <c r="Y33" s="7">
        <f>MAX(0,D33-O33+R33+T33+H33-W33/2)</f>
        <v/>
      </c>
      <c r="Z33" s="7">
        <f>MAX(0,Y33-impuestos_deduccionEstandar*C33)</f>
        <v/>
      </c>
      <c r="AA33" s="7">
        <f>MIN(0.2*MAX(0,T33+H33-W33/2)*MAX(0,MIN(1,1-(Z33-impuestos_qbiUmbral*C33)/(impuestos_qbiRango*C33))),0.2*Z33)</f>
        <v/>
      </c>
      <c r="AB33" s="7">
        <f>MAX(0,Z33-AA33)</f>
        <v/>
      </c>
      <c r="AC33" s="7">
        <f>SUMPRODUCT((AB33&gt;tb_federalBrackets_lo*C33)*(AB33-tb_federalBrackets_lo*C33)*tb_federalBrackets_dr)</f>
        <v/>
      </c>
      <c r="AD33" s="7">
        <f>MAX(0,Y33-impuestos_nyDeduccion*C33)</f>
        <v/>
      </c>
      <c r="AE33" s="7">
        <f>CHOOSE(loc_taxcode,0,impuestos_ohTasa*MAX(0,Y33-impuestos_ohExento*C33)+impuestos_ohMunicipal*U33,SUMPRODUCT((AD33&gt;tb_nyBrackets_lo*C33)*(AD33-tb_nyBrackets_lo*C33)*tb_nyBrackets_dr)+loc_nyc*SUMPRODUCT((AD33&gt;tb_nycBrackets_lo*C33)*(AD33-tb_nycBrackets_lo*C33)*tb_nycBrackets_dr))</f>
        <v/>
      </c>
      <c r="AF33" s="7">
        <f>AC33+AE33+X33+W33</f>
        <v/>
      </c>
      <c r="AG33" s="7">
        <f>D33+F33+R33+T33+H33</f>
        <v/>
      </c>
      <c r="AH33" s="7">
        <f>AG33-AF33-O33</f>
        <v/>
      </c>
      <c r="AI33" s="7">
        <f>D33+F33+G33+H33</f>
        <v/>
      </c>
      <c r="AJ33" s="7">
        <f>loc_gastosVida*C33*g_gastos</f>
        <v/>
      </c>
      <c r="AK33" s="7">
        <f>IF(0=0,personal_liquidoInicial,DR32)</f>
        <v/>
      </c>
      <c r="AL33" s="7">
        <f>IF(0=0,0,BB32)</f>
        <v/>
      </c>
      <c r="AM33" s="7">
        <f>CHOOSE(sel_cfgIdx,loc_precio_duplex,loc_precio_inlaw,loc_precio_dosCasas,loc_precio_casaAdu,loc_precio_multi)</f>
        <v/>
      </c>
      <c r="AN33" s="7">
        <f>AM33*(1+g_appr)^(A33-2026)</f>
        <v/>
      </c>
      <c r="AO33" s="7">
        <f>IF(AND(M33=1,vivienda_prestamoMedico=1),1,0)</f>
        <v/>
      </c>
      <c r="AP33" s="7">
        <f>IF(AO33=1,0.05,vivienda_enganchePct)</f>
        <v/>
      </c>
      <c r="AQ33" s="7">
        <f>AN33*(1-AP33)</f>
        <v/>
      </c>
      <c r="AR33" s="7">
        <f>PMT(g_mortRate/12,vivienda_plazoHipoteca*12,-AQ33)</f>
        <v/>
      </c>
      <c r="AS33" s="7">
        <f>INDEX(cfg_units,sel_cfgIdx)</f>
        <v/>
      </c>
      <c r="AT33" s="7">
        <f>AS33*loc_rentaUnidad*(1+g_inf)^(A33-2026)*(1-vivienda_vacancia)</f>
        <v/>
      </c>
      <c r="AU33" s="7">
        <f>AR33+AN33*loc_impuestoPropPct/12+AM33*loc_seguroPct*(1+vivienda_inflacionSeguro)^(A33-2026)/12+IF(AND(AO33=0,AP33&lt;0.2),AQ33*vivienda_pmiTasa/12,0)</f>
        <v/>
      </c>
      <c r="AV33" s="7">
        <f>AN33*AP33+AN33*vivienda_cierrePct+general_reservaMeses/12*AJ33</f>
        <v/>
      </c>
      <c r="AW33" s="7">
        <f>(IF(0=0,MIN(personal_irsSaldo,personal_irsPagoMensual*12),MIN(CD32,personal_irsPagoMensual*12))+IF(CE33&gt;0,PMT(CF33,MAX(1,prestamos_plazoAnios-CG33),-CE33),0)+IF(CR33&gt;0,PMT(CS33,MAX(1,prestamos_plazoAnios-CT33),-CR33),0))/12</f>
        <v/>
      </c>
      <c r="AX33" s="7">
        <f>IF(OR(sel_cfg="duplex",sel_cfg="multi",sel_cfg="dosCasas"),0.75*personal_aporteFamiliaMensual,0)</f>
        <v/>
      </c>
      <c r="AY33" s="7">
        <f>AU33-0.75*AT33-AX33+AW33</f>
        <v/>
      </c>
      <c r="AZ33" s="7">
        <f>(D33+G33+H33+0.5*F33)/12</f>
        <v/>
      </c>
      <c r="BA33" s="7">
        <f>IF(AND(AL33=0,A33&gt;=vivienda_anioMinCompra,J33&lt;0.5,AI33&gt;0,AK33&gt;=AV33,AY33&lt;=vivienda_dtiMax*AZ33),1,0)</f>
        <v/>
      </c>
      <c r="BB33" s="7">
        <f>MAX(AL33,BA33)</f>
        <v/>
      </c>
      <c r="BC33" s="7">
        <f>IF(BA33=1,A33,IF(0=0,"",BC32))</f>
        <v/>
      </c>
      <c r="BD33" s="7">
        <f>AK33-IF(BA33=1,AN33*AP33+AN33*vivienda_cierrePct,0)</f>
        <v/>
      </c>
      <c r="BE33" s="7">
        <f>IF(BA33=1,AN33,IF(0=0,0,BE32))</f>
        <v/>
      </c>
      <c r="BF33" s="7">
        <f>IF(BA33=1,AR33,IF(0=0,0,BF32))</f>
        <v/>
      </c>
      <c r="BG33" s="7">
        <f>IF(BA33=1,IF(AND(AO33=0,AP33&lt;0.2),1,0),IF(0=0,0,BY32))</f>
        <v/>
      </c>
      <c r="BH33" s="7">
        <f>IF(sel_cfg="casaAdu",1,0)</f>
        <v/>
      </c>
      <c r="BI33" s="7">
        <f>IF(AND(BB33=1,BH33=1,IF(0=0,0,BJ32)=0,A33&gt;=IF(BC33="",9999,BC33)+vivienda_aduRetrasoAnios),1,0)</f>
        <v/>
      </c>
      <c r="BJ33" s="7">
        <f>MAX(IF(0=0,0,BJ32),BI33)</f>
        <v/>
      </c>
      <c r="BK33" s="7">
        <f>IF(BI33=1,PMT((g_mortRate+0.005)/12,180,-loc_precio_aduCosto*C33),IF(0=0,0,BK32))</f>
        <v/>
      </c>
      <c r="BL33" s="7">
        <f>IF(BA33=1,AN33,IF(0=0,0,DT32))+IF(BI33=1,loc_precio_aduCosto*C33,0)</f>
        <v/>
      </c>
      <c r="BM33" s="7">
        <f>IF(BA33=1,AQ33,IF(0=0,0,DU32))</f>
        <v/>
      </c>
      <c r="BN33" s="7">
        <f>IF(BM33&lt;=0,0,FV(g_mortRate/12,12,BF33,-BM33))</f>
        <v/>
      </c>
      <c r="BO33" s="7">
        <f>IF(BM33&lt;=0,0,12*BF33+MIN(0,BN33))</f>
        <v/>
      </c>
      <c r="BP33" s="7">
        <f>MAX(0,BN33)</f>
        <v/>
      </c>
      <c r="BQ33" s="7">
        <f>IF(BI33=1,loc_precio_aduCosto*C33,IF(0=0,0,DV32))</f>
        <v/>
      </c>
      <c r="BR33" s="7">
        <f>IF(BQ33&lt;=0,0,FV((g_mortRate+0.005)/12,12,BK33,-BQ33))</f>
        <v/>
      </c>
      <c r="BS33" s="7">
        <f>IF(BQ33&lt;=0,0,12*BK33+MIN(0,BR33))</f>
        <v/>
      </c>
      <c r="BT33" s="7">
        <f>MAX(0,BR33)</f>
        <v/>
      </c>
      <c r="BU33" s="7">
        <f>IF(BB33=1,AM33*loc_seguroPct*(1+vivienda_inflacionSeguro)^(A33-2026)*IF(BJ33=1,1+loc_precio_aduCosto/AM33,1),0)</f>
        <v/>
      </c>
      <c r="BV33" s="7">
        <f>BL33*loc_impuestoPropPct</f>
        <v/>
      </c>
      <c r="BW33" s="7">
        <f>BL33*vivienda_mantenimientoPct</f>
        <v/>
      </c>
      <c r="BX33" s="7">
        <f>IF(AND(BG33=1,BP33&gt;0.8*BE33),BE33*(1-vivienda_enganchePct)*vivienda_pmiTasa,0)</f>
        <v/>
      </c>
      <c r="BY33" s="7">
        <f>IF(AND(BG33=1,BP33&gt;0.8*BE33),1,0)</f>
        <v/>
      </c>
      <c r="BZ33" s="7">
        <f>IF(BB33=1,AS33*loc_rentaUnidad*12*C33*(1-vivienda_vacancia)*(1-vivienda_gestionPct),0)</f>
        <v/>
      </c>
      <c r="CA33" s="7">
        <f>IF(BB33=1,BO33+BS33+BU33+BV33+BW33+BX33,loc_rentaMensual*12*C33)</f>
        <v/>
      </c>
      <c r="CB33" s="7">
        <f>IF(BB33=1,personal_aporteFamiliaMensual*12,0)</f>
        <v/>
      </c>
      <c r="CC33" s="7">
        <f>MIN(IF(0=0,personal_irsSaldo,CD32),personal_irsPagoMensual*12)</f>
        <v/>
      </c>
      <c r="CD33" s="7">
        <f>IF(0=0,personal_irsSaldo,CD32)-CC33</f>
        <v/>
      </c>
      <c r="CE33" s="7">
        <f>IF(0=0,IF(personal_deudaEsFederal=1,personal_deudaEstudiantil,0),DW32)</f>
        <v/>
      </c>
      <c r="CF33" s="7">
        <f>IF(0=0,personal_tasaDeudaEstudiantil,DX32)</f>
        <v/>
      </c>
      <c r="CG33" s="7">
        <f>IF(0=0,0,DY32)</f>
        <v/>
      </c>
      <c r="CH33" s="7">
        <f>IF(J33&gt;=0.5,1,0)</f>
        <v/>
      </c>
      <c r="CI33" s="7">
        <f>IF(AND(CH33=0,prestamos_pslfActivo=1,K33&gt;=0.5,CE33&gt;0),1,0)</f>
        <v/>
      </c>
      <c r="CJ33" s="7">
        <f>CE33*CF33</f>
        <v/>
      </c>
      <c r="CK33" s="7">
        <f>MAX(prestamos_rapPagoMinimoAnual,IF(Y33&lt;10000,0,MIN(0.1,INT(Y33/10000)/100))*Y33)</f>
        <v/>
      </c>
      <c r="CL33" s="7">
        <f>IF(CE33&lt;=0,0,IF(CH33=1,0,IF(CI33=1,MIN(CE33+CJ33,CK33),PMT(CF33,MAX(1,prestamos_plazoAnios-CG33),-CE33))))</f>
        <v/>
      </c>
      <c r="CM33" s="7">
        <f>IF(CE33&lt;=0,0,IF(CH33=1,CE33+CJ33,IF(CI33=1,MAX(0,CE33-MAX(CL33-CJ33,MIN(600,CL33))),MAX(0,CE33*(1+CF33)-CL33))))</f>
        <v/>
      </c>
      <c r="CN33" s="7">
        <f>IF(0=0,0,CN32)+IF(CI33=1,12*MIN(1,K33),0)</f>
        <v/>
      </c>
      <c r="CO33" s="7">
        <f>IF(AND(CI33=1,CN33&gt;=prestamos_pslfPagos,CM33&gt;0),CM33,0)</f>
        <v/>
      </c>
      <c r="CP33" s="7">
        <f>CM33-CO33</f>
        <v/>
      </c>
      <c r="CQ33" s="7">
        <f>IF(AND(CE33&gt;0,CH33=0,CI33=0),CG33+1,CG33)</f>
        <v/>
      </c>
      <c r="CR33" s="7">
        <f>IF(0=0,IF(personal_deudaEsFederal=1,0,personal_deudaEstudiantil),EA32)</f>
        <v/>
      </c>
      <c r="CS33" s="7">
        <f>IF(0=0,IF(personal_deudaEsFederal=1,prestamos_tasaPrivada,personal_tasaDeudaEstudiantil),EB32)</f>
        <v/>
      </c>
      <c r="CT33" s="7">
        <f>IF(0=0,0,EC32)</f>
        <v/>
      </c>
      <c r="CU33" s="7">
        <f>IF(OR(CR33&lt;=0,CH33=1),0,PMT(CS33,MAX(1,prestamos_plazoAnios-CT33),-CR33))</f>
        <v/>
      </c>
      <c r="CV33" s="7">
        <f>IF(CR33&lt;=0,0,IF(CH33=1,CR33*(1+CS33),MAX(0,CR33*(1+CS33)-CU33)))</f>
        <v/>
      </c>
      <c r="CW33" s="7">
        <f>IF(AND(CR33&gt;0,CH33=0),CT33+1,CT33)</f>
        <v/>
      </c>
      <c r="CX33" s="7">
        <f>IF(0=0,0,ED32)*(1+general_tasaDeudaConsumo)</f>
        <v/>
      </c>
      <c r="CY33" s="7">
        <f>L33*12*tiempos_travelGastoExtraMes*C33</f>
        <v/>
      </c>
      <c r="CZ33" s="7">
        <f>AJ33+CY33+CA33+CC33+CL33+CU33+I33+N33-BZ33-CB33</f>
        <v/>
      </c>
      <c r="DA33" s="7">
        <f>AH33-CZ33</f>
        <v/>
      </c>
      <c r="DB33" s="7">
        <f>IF(0=0,0,DB32)+DA33</f>
        <v/>
      </c>
      <c r="DC33" s="7">
        <f>AN33*vivienda_enganchePct+AN33*vivienda_cierrePct+general_reservaMeses/12*AJ33</f>
        <v/>
      </c>
      <c r="DD33" s="7">
        <f>IF(BB33=1,g_ret,IF(BD33&gt;0,MIN(1,DC33/BD33),1)*g_cash+(1-IF(BD33&gt;0,MIN(1,DC33/BD33),1))*g_ret)</f>
        <v/>
      </c>
      <c r="DE33" s="7">
        <f>IF(DA33&gt;=0,MIN(CX33,DA33),0)</f>
        <v/>
      </c>
      <c r="DF33" s="7">
        <f>IF(DA33&gt;=0,(1-general_tasaAhorro)*(DA33-DE33),0)</f>
        <v/>
      </c>
      <c r="DG33" s="7">
        <f>IF(DA33&gt;=0,DA33-DE33-DF33,0)</f>
        <v/>
      </c>
      <c r="DH33" s="7">
        <f>MIN(personal_rothAnual,DG33)</f>
        <v/>
      </c>
      <c r="DI33" s="7">
        <f>IF(AND(DA33&gt;=0,BB33=1,BP33+BT33&gt;0),MIN(vivienda_prepagoPct*(DG33-DH33),BP33+BT33),0)</f>
        <v/>
      </c>
      <c r="DJ33" s="7">
        <f>MIN(DI33,BP33)</f>
        <v/>
      </c>
      <c r="DK33" s="7">
        <f>IF(DA33&lt;0,MIN(MAX(0,BD33),-DA33),0)</f>
        <v/>
      </c>
      <c r="DL33" s="7">
        <f>IF(DA33&lt;0,-DA33-DK33,0)</f>
        <v/>
      </c>
      <c r="DM33" s="7">
        <f>IF(0=0,0,DZ32)</f>
        <v/>
      </c>
      <c r="DN33" s="7">
        <f>IF(AND(DL33&gt;0,J33&gt;0),MIN(DL33,MIN(prestamos_topeAnualPosgrado*MIN(1,J33),MAX(0,prestamos_topeTotalPosgrado-DM33))),0)</f>
        <v/>
      </c>
      <c r="DO33" s="7">
        <f>IF(AND(DL33&gt;0,J33&gt;0),DL33-DN33,0)</f>
        <v/>
      </c>
      <c r="DP33" s="7">
        <f>IF(AND(DL33&gt;0,J33&lt;=0),DL33,0)</f>
        <v/>
      </c>
      <c r="DQ33" s="7">
        <f>IF(DA33&gt;=0,DG33-DH33-DI33,-DK33)</f>
        <v/>
      </c>
      <c r="DR33" s="7">
        <f>BD33*(1+DD33)+DQ33*(1+DD33/2)</f>
        <v/>
      </c>
      <c r="DS33" s="7">
        <f>IF(0=0,personal_retiroInicial,DS32)*(1+g_ret)+(O33+P33+DH33)*(1+g_ret/2)</f>
        <v/>
      </c>
      <c r="DT33" s="7">
        <f>IF(BB33=1,BL33*(1+g_appr),0)</f>
        <v/>
      </c>
      <c r="DU33" s="7">
        <f>BP33-DJ33</f>
        <v/>
      </c>
      <c r="DV33" s="7">
        <f>BT33-(DI33-DJ33)</f>
        <v/>
      </c>
      <c r="DW33" s="7">
        <f>CP33+DN33</f>
        <v/>
      </c>
      <c r="DX33" s="7">
        <f>IF(DN33&gt;0,(CP33*CF33+DN33*prestamos_tasaFederalPosgrado)/(CP33+DN33),CF33)</f>
        <v/>
      </c>
      <c r="DY33" s="7">
        <f>IF(DN33&gt;0,0,CQ33)</f>
        <v/>
      </c>
      <c r="DZ33" s="7">
        <f>DM33+DN33</f>
        <v/>
      </c>
      <c r="EA33" s="7">
        <f>CV33+DO33</f>
        <v/>
      </c>
      <c r="EB33" s="7">
        <f>IF(DO33&gt;0,(CV33*CS33+DO33*prestamos_tasaPrivada)/(CV33+DO33),CS33)</f>
        <v/>
      </c>
      <c r="EC33" s="7">
        <f>IF(DO33&gt;0,0,CW33)</f>
        <v/>
      </c>
      <c r="ED33" s="7">
        <f>CX33-DE33+DP33</f>
        <v/>
      </c>
      <c r="EE33" s="7">
        <f>IF(IF(0=0,"",EE32)&lt;&gt;"",EE32,IF(AND(BB33=1,DU33&lt;=0.5,DV33&lt;=0.5,OR(BH33=0,BJ33=1)),A33,""))</f>
        <v/>
      </c>
      <c r="EF33" s="7">
        <f>DU33+DV33+DW33+EA33+ED33+CD33</f>
        <v/>
      </c>
      <c r="EG33" s="7">
        <f>DR33+DS33+DT33-EF33</f>
        <v/>
      </c>
      <c r="EH33" s="7">
        <f>EG33/(1+g_inf)^(A33+1-2026)</f>
        <v/>
      </c>
    </row>
    <row r="34">
      <c r="A34" t="n">
        <v>2028</v>
      </c>
      <c r="B34" t="n">
        <v>1</v>
      </c>
      <c r="C34" s="7">
        <f>(1+g_inf)^(A34-2026)</f>
        <v/>
      </c>
      <c r="D34" s="7">
        <f>SUMPRODUCT($U$5:$U$29,$E$5:$E$29*(1+$F$5:$F$29)^(A34-2026)*$G$5:$G$29*$H$5:$H$29*(1-$N$5:$N$29*$O$5:$O$29))*g_salMult+SUMPRODUCT(($B$5:$B$29&gt;=A34)*($B$5:$B$29&lt;A34+1)*$I$5:$I$29)*g_salMult</f>
        <v/>
      </c>
      <c r="E34" s="7">
        <f>SUMPRODUCT($U$5:$U$29,$E$5:$E$29*(1+$F$5:$F$29)^(A34-2026)*$G$5:$G$29*$H$5:$H$29*$M$5:$M$29)*g_salMult</f>
        <v/>
      </c>
      <c r="F34" s="7">
        <f>SUMPRODUCT($U$5:$U$29,$E$5:$E$29*(1+$F$5:$F$29)^(A34-2026)*$G$5:$G$29*$H$5:$H$29*$N$5:$N$29*$O$5:$O$29)*g_salMult</f>
        <v/>
      </c>
      <c r="G34" s="7">
        <f>SUMPRODUCT($U$5:$U$29,$P$5:$P$29*(1+$F$5:$F$29)^(A34-2026))</f>
        <v/>
      </c>
      <c r="H34" s="7">
        <f>SUMPRODUCT($U$5:$U$29,$Q$5:$Q$29*(1+$F$5:$F$29)^(A34-2026))+IF(personal_llcActivo=1,personal_llcNeto*(1+personal_llcCrecimiento)^1,0)</f>
        <v/>
      </c>
      <c r="I34" s="7">
        <f>SUMPRODUCT($U$5:$U$29,$J$5:$J$29/($C$5:$C$29-$B$5:$B$29+($C$5:$C$29=$B$5:$B$29)))*C34</f>
        <v/>
      </c>
      <c r="J34" s="7">
        <f>SUMPRODUCT($U$5:$U$29,$K$5:$K$29)</f>
        <v/>
      </c>
      <c r="K34" s="7">
        <f>SUMPRODUCT($U$5:$U$29,$L$5:$L$29)</f>
        <v/>
      </c>
      <c r="L34" s="7">
        <f>SUMPRODUCT($U$5:$U$29,$N$5:$N$29)</f>
        <v/>
      </c>
      <c r="M34" s="7">
        <f>IF(SUMPRODUCT($U$5:$U$29,$R$5:$R$29)&gt;0,1,0)</f>
        <v/>
      </c>
      <c r="N34" s="7">
        <f>SUMPRODUCT(($AO$5:$AO$24&gt;=A34)*($AO$5:$AO$24&lt;A34+1)*$AP$5:$AP$24)*C34+IF(1=0,IF(sel_loc&lt;&gt;"miami",personal_costoMudanzaInicial,0),0)</f>
        <v/>
      </c>
      <c r="O34" s="7">
        <f>MIN(personal_aporte403bPct*D34,retiro_limite403b*C34)</f>
        <v/>
      </c>
      <c r="P34" s="7">
        <f>MIN(personal_aporte403bPct,personal_match403bPct)*E34</f>
        <v/>
      </c>
      <c r="Q34" s="7">
        <f>IF(G34&gt;0,MAX(0,G34-impuestos_scorpCostoAnual*C34),0)</f>
        <v/>
      </c>
      <c r="R34" s="7">
        <f>Q34*impuestos_scorpSalarioPct/(1+impuestos_ssTasa+impuestos_medicareTasa)</f>
        <v/>
      </c>
      <c r="S34" s="7">
        <f>impuestos_ssTasa*MIN(R34,MAX(0,impuestos_ssTope*C34-D34))+impuestos_medicareTasa*R34</f>
        <v/>
      </c>
      <c r="T34" s="7">
        <f>Q34-R34-S34</f>
        <v/>
      </c>
      <c r="U34" s="7">
        <f>D34+R34</f>
        <v/>
      </c>
      <c r="V34" s="7">
        <f>H34*0.9235</f>
        <v/>
      </c>
      <c r="W34" s="7">
        <f>IF(H34&gt;0,2*impuestos_ssTasa*MIN(V34,MAX(0,impuestos_ssTope*C34-U34))+2*impuestos_medicareTasa*V34,0)</f>
        <v/>
      </c>
      <c r="X34" s="7">
        <f>impuestos_ssTasa*MIN(U34,impuestos_ssTope*C34)+impuestos_medicareTasa*U34+impuestos_medicareAdicional*MAX(0,U34+H34*0.9235-impuestos_medicareUmbral)</f>
        <v/>
      </c>
      <c r="Y34" s="7">
        <f>MAX(0,D34-O34+R34+T34+H34-W34/2)</f>
        <v/>
      </c>
      <c r="Z34" s="7">
        <f>MAX(0,Y34-impuestos_deduccionEstandar*C34)</f>
        <v/>
      </c>
      <c r="AA34" s="7">
        <f>MIN(0.2*MAX(0,T34+H34-W34/2)*MAX(0,MIN(1,1-(Z34-impuestos_qbiUmbral*C34)/(impuestos_qbiRango*C34))),0.2*Z34)</f>
        <v/>
      </c>
      <c r="AB34" s="7">
        <f>MAX(0,Z34-AA34)</f>
        <v/>
      </c>
      <c r="AC34" s="7">
        <f>SUMPRODUCT((AB34&gt;tb_federalBrackets_lo*C34)*(AB34-tb_federalBrackets_lo*C34)*tb_federalBrackets_dr)</f>
        <v/>
      </c>
      <c r="AD34" s="7">
        <f>MAX(0,Y34-impuestos_nyDeduccion*C34)</f>
        <v/>
      </c>
      <c r="AE34" s="7">
        <f>CHOOSE(loc_taxcode,0,impuestos_ohTasa*MAX(0,Y34-impuestos_ohExento*C34)+impuestos_ohMunicipal*U34,SUMPRODUCT((AD34&gt;tb_nyBrackets_lo*C34)*(AD34-tb_nyBrackets_lo*C34)*tb_nyBrackets_dr)+loc_nyc*SUMPRODUCT((AD34&gt;tb_nycBrackets_lo*C34)*(AD34-tb_nycBrackets_lo*C34)*tb_nycBrackets_dr))</f>
        <v/>
      </c>
      <c r="AF34" s="7">
        <f>AC34+AE34+X34+W34</f>
        <v/>
      </c>
      <c r="AG34" s="7">
        <f>D34+F34+R34+T34+H34</f>
        <v/>
      </c>
      <c r="AH34" s="7">
        <f>AG34-AF34-O34</f>
        <v/>
      </c>
      <c r="AI34" s="7">
        <f>D34+F34+G34+H34</f>
        <v/>
      </c>
      <c r="AJ34" s="7">
        <f>loc_gastosVida*C34*g_gastos</f>
        <v/>
      </c>
      <c r="AK34" s="7">
        <f>IF(1=0,personal_liquidoInicial,DR33)</f>
        <v/>
      </c>
      <c r="AL34" s="7">
        <f>IF(1=0,0,BB33)</f>
        <v/>
      </c>
      <c r="AM34" s="7">
        <f>CHOOSE(sel_cfgIdx,loc_precio_duplex,loc_precio_inlaw,loc_precio_dosCasas,loc_precio_casaAdu,loc_precio_multi)</f>
        <v/>
      </c>
      <c r="AN34" s="7">
        <f>AM34*(1+g_appr)^(A34-2026)</f>
        <v/>
      </c>
      <c r="AO34" s="7">
        <f>IF(AND(M34=1,vivienda_prestamoMedico=1),1,0)</f>
        <v/>
      </c>
      <c r="AP34" s="7">
        <f>IF(AO34=1,0.05,vivienda_enganchePct)</f>
        <v/>
      </c>
      <c r="AQ34" s="7">
        <f>AN34*(1-AP34)</f>
        <v/>
      </c>
      <c r="AR34" s="7">
        <f>PMT(g_mortRate/12,vivienda_plazoHipoteca*12,-AQ34)</f>
        <v/>
      </c>
      <c r="AS34" s="7">
        <f>INDEX(cfg_units,sel_cfgIdx)</f>
        <v/>
      </c>
      <c r="AT34" s="7">
        <f>AS34*loc_rentaUnidad*(1+g_inf)^(A34-2026)*(1-vivienda_vacancia)</f>
        <v/>
      </c>
      <c r="AU34" s="7">
        <f>AR34+AN34*loc_impuestoPropPct/12+AM34*loc_seguroPct*(1+vivienda_inflacionSeguro)^(A34-2026)/12+IF(AND(AO34=0,AP34&lt;0.2),AQ34*vivienda_pmiTasa/12,0)</f>
        <v/>
      </c>
      <c r="AV34" s="7">
        <f>AN34*AP34+AN34*vivienda_cierrePct+general_reservaMeses/12*AJ34</f>
        <v/>
      </c>
      <c r="AW34" s="7">
        <f>(IF(1=0,MIN(personal_irsSaldo,personal_irsPagoMensual*12),MIN(CD33,personal_irsPagoMensual*12))+IF(CE34&gt;0,PMT(CF34,MAX(1,prestamos_plazoAnios-CG34),-CE34),0)+IF(CR34&gt;0,PMT(CS34,MAX(1,prestamos_plazoAnios-CT34),-CR34),0))/12</f>
        <v/>
      </c>
      <c r="AX34" s="7">
        <f>IF(OR(sel_cfg="duplex",sel_cfg="multi",sel_cfg="dosCasas"),0.75*personal_aporteFamiliaMensual,0)</f>
        <v/>
      </c>
      <c r="AY34" s="7">
        <f>AU34-0.75*AT34-AX34+AW34</f>
        <v/>
      </c>
      <c r="AZ34" s="7">
        <f>(D34+G34+H34+0.5*F34)/12</f>
        <v/>
      </c>
      <c r="BA34" s="7">
        <f>IF(AND(AL34=0,A34&gt;=vivienda_anioMinCompra,J34&lt;0.5,AI34&gt;0,AK34&gt;=AV34,AY34&lt;=vivienda_dtiMax*AZ34),1,0)</f>
        <v/>
      </c>
      <c r="BB34" s="7">
        <f>MAX(AL34,BA34)</f>
        <v/>
      </c>
      <c r="BC34" s="7">
        <f>IF(BA34=1,A34,IF(1=0,"",BC33))</f>
        <v/>
      </c>
      <c r="BD34" s="7">
        <f>AK34-IF(BA34=1,AN34*AP34+AN34*vivienda_cierrePct,0)</f>
        <v/>
      </c>
      <c r="BE34" s="7">
        <f>IF(BA34=1,AN34,IF(1=0,0,BE33))</f>
        <v/>
      </c>
      <c r="BF34" s="7">
        <f>IF(BA34=1,AR34,IF(1=0,0,BF33))</f>
        <v/>
      </c>
      <c r="BG34" s="7">
        <f>IF(BA34=1,IF(AND(AO34=0,AP34&lt;0.2),1,0),IF(1=0,0,BY33))</f>
        <v/>
      </c>
      <c r="BH34" s="7">
        <f>IF(sel_cfg="casaAdu",1,0)</f>
        <v/>
      </c>
      <c r="BI34" s="7">
        <f>IF(AND(BB34=1,BH34=1,IF(1=0,0,BJ33)=0,A34&gt;=IF(BC34="",9999,BC34)+vivienda_aduRetrasoAnios),1,0)</f>
        <v/>
      </c>
      <c r="BJ34" s="7">
        <f>MAX(IF(1=0,0,BJ33),BI34)</f>
        <v/>
      </c>
      <c r="BK34" s="7">
        <f>IF(BI34=1,PMT((g_mortRate+0.005)/12,180,-loc_precio_aduCosto*C34),IF(1=0,0,BK33))</f>
        <v/>
      </c>
      <c r="BL34" s="7">
        <f>IF(BA34=1,AN34,IF(1=0,0,DT33))+IF(BI34=1,loc_precio_aduCosto*C34,0)</f>
        <v/>
      </c>
      <c r="BM34" s="7">
        <f>IF(BA34=1,AQ34,IF(1=0,0,DU33))</f>
        <v/>
      </c>
      <c r="BN34" s="7">
        <f>IF(BM34&lt;=0,0,FV(g_mortRate/12,12,BF34,-BM34))</f>
        <v/>
      </c>
      <c r="BO34" s="7">
        <f>IF(BM34&lt;=0,0,12*BF34+MIN(0,BN34))</f>
        <v/>
      </c>
      <c r="BP34" s="7">
        <f>MAX(0,BN34)</f>
        <v/>
      </c>
      <c r="BQ34" s="7">
        <f>IF(BI34=1,loc_precio_aduCosto*C34,IF(1=0,0,DV33))</f>
        <v/>
      </c>
      <c r="BR34" s="7">
        <f>IF(BQ34&lt;=0,0,FV((g_mortRate+0.005)/12,12,BK34,-BQ34))</f>
        <v/>
      </c>
      <c r="BS34" s="7">
        <f>IF(BQ34&lt;=0,0,12*BK34+MIN(0,BR34))</f>
        <v/>
      </c>
      <c r="BT34" s="7">
        <f>MAX(0,BR34)</f>
        <v/>
      </c>
      <c r="BU34" s="7">
        <f>IF(BB34=1,AM34*loc_seguroPct*(1+vivienda_inflacionSeguro)^(A34-2026)*IF(BJ34=1,1+loc_precio_aduCosto/AM34,1),0)</f>
        <v/>
      </c>
      <c r="BV34" s="7">
        <f>BL34*loc_impuestoPropPct</f>
        <v/>
      </c>
      <c r="BW34" s="7">
        <f>BL34*vivienda_mantenimientoPct</f>
        <v/>
      </c>
      <c r="BX34" s="7">
        <f>IF(AND(BG34=1,BP34&gt;0.8*BE34),BE34*(1-vivienda_enganchePct)*vivienda_pmiTasa,0)</f>
        <v/>
      </c>
      <c r="BY34" s="7">
        <f>IF(AND(BG34=1,BP34&gt;0.8*BE34),1,0)</f>
        <v/>
      </c>
      <c r="BZ34" s="7">
        <f>IF(BB34=1,AS34*loc_rentaUnidad*12*C34*(1-vivienda_vacancia)*(1-vivienda_gestionPct),0)</f>
        <v/>
      </c>
      <c r="CA34" s="7">
        <f>IF(BB34=1,BO34+BS34+BU34+BV34+BW34+BX34,loc_rentaMensual*12*C34)</f>
        <v/>
      </c>
      <c r="CB34" s="7">
        <f>IF(BB34=1,personal_aporteFamiliaMensual*12,0)</f>
        <v/>
      </c>
      <c r="CC34" s="7">
        <f>MIN(IF(1=0,personal_irsSaldo,CD33),personal_irsPagoMensual*12)</f>
        <v/>
      </c>
      <c r="CD34" s="7">
        <f>IF(1=0,personal_irsSaldo,CD33)-CC34</f>
        <v/>
      </c>
      <c r="CE34" s="7">
        <f>IF(1=0,IF(personal_deudaEsFederal=1,personal_deudaEstudiantil,0),DW33)</f>
        <v/>
      </c>
      <c r="CF34" s="7">
        <f>IF(1=0,personal_tasaDeudaEstudiantil,DX33)</f>
        <v/>
      </c>
      <c r="CG34" s="7">
        <f>IF(1=0,0,DY33)</f>
        <v/>
      </c>
      <c r="CH34" s="7">
        <f>IF(J34&gt;=0.5,1,0)</f>
        <v/>
      </c>
      <c r="CI34" s="7">
        <f>IF(AND(CH34=0,prestamos_pslfActivo=1,K34&gt;=0.5,CE34&gt;0),1,0)</f>
        <v/>
      </c>
      <c r="CJ34" s="7">
        <f>CE34*CF34</f>
        <v/>
      </c>
      <c r="CK34" s="7">
        <f>MAX(prestamos_rapPagoMinimoAnual,IF(Y34&lt;10000,0,MIN(0.1,INT(Y34/10000)/100))*Y34)</f>
        <v/>
      </c>
      <c r="CL34" s="7">
        <f>IF(CE34&lt;=0,0,IF(CH34=1,0,IF(CI34=1,MIN(CE34+CJ34,CK34),PMT(CF34,MAX(1,prestamos_plazoAnios-CG34),-CE34))))</f>
        <v/>
      </c>
      <c r="CM34" s="7">
        <f>IF(CE34&lt;=0,0,IF(CH34=1,CE34+CJ34,IF(CI34=1,MAX(0,CE34-MAX(CL34-CJ34,MIN(600,CL34))),MAX(0,CE34*(1+CF34)-CL34))))</f>
        <v/>
      </c>
      <c r="CN34" s="7">
        <f>IF(1=0,0,CN33)+IF(CI34=1,12*MIN(1,K34),0)</f>
        <v/>
      </c>
      <c r="CO34" s="7">
        <f>IF(AND(CI34=1,CN34&gt;=prestamos_pslfPagos,CM34&gt;0),CM34,0)</f>
        <v/>
      </c>
      <c r="CP34" s="7">
        <f>CM34-CO34</f>
        <v/>
      </c>
      <c r="CQ34" s="7">
        <f>IF(AND(CE34&gt;0,CH34=0,CI34=0),CG34+1,CG34)</f>
        <v/>
      </c>
      <c r="CR34" s="7">
        <f>IF(1=0,IF(personal_deudaEsFederal=1,0,personal_deudaEstudiantil),EA33)</f>
        <v/>
      </c>
      <c r="CS34" s="7">
        <f>IF(1=0,IF(personal_deudaEsFederal=1,prestamos_tasaPrivada,personal_tasaDeudaEstudiantil),EB33)</f>
        <v/>
      </c>
      <c r="CT34" s="7">
        <f>IF(1=0,0,EC33)</f>
        <v/>
      </c>
      <c r="CU34" s="7">
        <f>IF(OR(CR34&lt;=0,CH34=1),0,PMT(CS34,MAX(1,prestamos_plazoAnios-CT34),-CR34))</f>
        <v/>
      </c>
      <c r="CV34" s="7">
        <f>IF(CR34&lt;=0,0,IF(CH34=1,CR34*(1+CS34),MAX(0,CR34*(1+CS34)-CU34)))</f>
        <v/>
      </c>
      <c r="CW34" s="7">
        <f>IF(AND(CR34&gt;0,CH34=0),CT34+1,CT34)</f>
        <v/>
      </c>
      <c r="CX34" s="7">
        <f>IF(1=0,0,ED33)*(1+general_tasaDeudaConsumo)</f>
        <v/>
      </c>
      <c r="CY34" s="7">
        <f>L34*12*tiempos_travelGastoExtraMes*C34</f>
        <v/>
      </c>
      <c r="CZ34" s="7">
        <f>AJ34+CY34+CA34+CC34+CL34+CU34+I34+N34-BZ34-CB34</f>
        <v/>
      </c>
      <c r="DA34" s="7">
        <f>AH34-CZ34</f>
        <v/>
      </c>
      <c r="DB34" s="7">
        <f>IF(1=0,0,DB33)+DA34</f>
        <v/>
      </c>
      <c r="DC34" s="7">
        <f>AN34*vivienda_enganchePct+AN34*vivienda_cierrePct+general_reservaMeses/12*AJ34</f>
        <v/>
      </c>
      <c r="DD34" s="7">
        <f>IF(BB34=1,g_ret,IF(BD34&gt;0,MIN(1,DC34/BD34),1)*g_cash+(1-IF(BD34&gt;0,MIN(1,DC34/BD34),1))*g_ret)</f>
        <v/>
      </c>
      <c r="DE34" s="7">
        <f>IF(DA34&gt;=0,MIN(CX34,DA34),0)</f>
        <v/>
      </c>
      <c r="DF34" s="7">
        <f>IF(DA34&gt;=0,(1-general_tasaAhorro)*(DA34-DE34),0)</f>
        <v/>
      </c>
      <c r="DG34" s="7">
        <f>IF(DA34&gt;=0,DA34-DE34-DF34,0)</f>
        <v/>
      </c>
      <c r="DH34" s="7">
        <f>MIN(personal_rothAnual,DG34)</f>
        <v/>
      </c>
      <c r="DI34" s="7">
        <f>IF(AND(DA34&gt;=0,BB34=1,BP34+BT34&gt;0),MIN(vivienda_prepagoPct*(DG34-DH34),BP34+BT34),0)</f>
        <v/>
      </c>
      <c r="DJ34" s="7">
        <f>MIN(DI34,BP34)</f>
        <v/>
      </c>
      <c r="DK34" s="7">
        <f>IF(DA34&lt;0,MIN(MAX(0,BD34),-DA34),0)</f>
        <v/>
      </c>
      <c r="DL34" s="7">
        <f>IF(DA34&lt;0,-DA34-DK34,0)</f>
        <v/>
      </c>
      <c r="DM34" s="7">
        <f>IF(1=0,0,DZ33)</f>
        <v/>
      </c>
      <c r="DN34" s="7">
        <f>IF(AND(DL34&gt;0,J34&gt;0),MIN(DL34,MIN(prestamos_topeAnualPosgrado*MIN(1,J34),MAX(0,prestamos_topeTotalPosgrado-DM34))),0)</f>
        <v/>
      </c>
      <c r="DO34" s="7">
        <f>IF(AND(DL34&gt;0,J34&gt;0),DL34-DN34,0)</f>
        <v/>
      </c>
      <c r="DP34" s="7">
        <f>IF(AND(DL34&gt;0,J34&lt;=0),DL34,0)</f>
        <v/>
      </c>
      <c r="DQ34" s="7">
        <f>IF(DA34&gt;=0,DG34-DH34-DI34,-DK34)</f>
        <v/>
      </c>
      <c r="DR34" s="7">
        <f>BD34*(1+DD34)+DQ34*(1+DD34/2)</f>
        <v/>
      </c>
      <c r="DS34" s="7">
        <f>IF(1=0,personal_retiroInicial,DS33)*(1+g_ret)+(O34+P34+DH34)*(1+g_ret/2)</f>
        <v/>
      </c>
      <c r="DT34" s="7">
        <f>IF(BB34=1,BL34*(1+g_appr),0)</f>
        <v/>
      </c>
      <c r="DU34" s="7">
        <f>BP34-DJ34</f>
        <v/>
      </c>
      <c r="DV34" s="7">
        <f>BT34-(DI34-DJ34)</f>
        <v/>
      </c>
      <c r="DW34" s="7">
        <f>CP34+DN34</f>
        <v/>
      </c>
      <c r="DX34" s="7">
        <f>IF(DN34&gt;0,(CP34*CF34+DN34*prestamos_tasaFederalPosgrado)/(CP34+DN34),CF34)</f>
        <v/>
      </c>
      <c r="DY34" s="7">
        <f>IF(DN34&gt;0,0,CQ34)</f>
        <v/>
      </c>
      <c r="DZ34" s="7">
        <f>DM34+DN34</f>
        <v/>
      </c>
      <c r="EA34" s="7">
        <f>CV34+DO34</f>
        <v/>
      </c>
      <c r="EB34" s="7">
        <f>IF(DO34&gt;0,(CV34*CS34+DO34*prestamos_tasaPrivada)/(CV34+DO34),CS34)</f>
        <v/>
      </c>
      <c r="EC34" s="7">
        <f>IF(DO34&gt;0,0,CW34)</f>
        <v/>
      </c>
      <c r="ED34" s="7">
        <f>CX34-DE34+DP34</f>
        <v/>
      </c>
      <c r="EE34" s="7">
        <f>IF(IF(1=0,"",EE33)&lt;&gt;"",EE33,IF(AND(BB34=1,DU34&lt;=0.5,DV34&lt;=0.5,OR(BH34=0,BJ34=1)),A34,""))</f>
        <v/>
      </c>
      <c r="EF34" s="7">
        <f>DU34+DV34+DW34+EA34+ED34+CD34</f>
        <v/>
      </c>
      <c r="EG34" s="7">
        <f>DR34+DS34+DT34-EF34</f>
        <v/>
      </c>
      <c r="EH34" s="7">
        <f>EG34/(1+g_inf)^(A34+1-2026)</f>
        <v/>
      </c>
    </row>
    <row r="35">
      <c r="A35" t="n">
        <v>2029</v>
      </c>
      <c r="B35" t="n">
        <v>2</v>
      </c>
      <c r="C35" s="7">
        <f>(1+g_inf)^(A35-2026)</f>
        <v/>
      </c>
      <c r="D35" s="7">
        <f>SUMPRODUCT($V$5:$V$29,$E$5:$E$29*(1+$F$5:$F$29)^(A35-2026)*$G$5:$G$29*$H$5:$H$29*(1-$N$5:$N$29*$O$5:$O$29))*g_salMult+SUMPRODUCT(($B$5:$B$29&gt;=A35)*($B$5:$B$29&lt;A35+1)*$I$5:$I$29)*g_salMult</f>
        <v/>
      </c>
      <c r="E35" s="7">
        <f>SUMPRODUCT($V$5:$V$29,$E$5:$E$29*(1+$F$5:$F$29)^(A35-2026)*$G$5:$G$29*$H$5:$H$29*$M$5:$M$29)*g_salMult</f>
        <v/>
      </c>
      <c r="F35" s="7">
        <f>SUMPRODUCT($V$5:$V$29,$E$5:$E$29*(1+$F$5:$F$29)^(A35-2026)*$G$5:$G$29*$H$5:$H$29*$N$5:$N$29*$O$5:$O$29)*g_salMult</f>
        <v/>
      </c>
      <c r="G35" s="7">
        <f>SUMPRODUCT($V$5:$V$29,$P$5:$P$29*(1+$F$5:$F$29)^(A35-2026))</f>
        <v/>
      </c>
      <c r="H35" s="7">
        <f>SUMPRODUCT($V$5:$V$29,$Q$5:$Q$29*(1+$F$5:$F$29)^(A35-2026))+IF(personal_llcActivo=1,personal_llcNeto*(1+personal_llcCrecimiento)^2,0)</f>
        <v/>
      </c>
      <c r="I35" s="7">
        <f>SUMPRODUCT($V$5:$V$29,$J$5:$J$29/($C$5:$C$29-$B$5:$B$29+($C$5:$C$29=$B$5:$B$29)))*C35</f>
        <v/>
      </c>
      <c r="J35" s="7">
        <f>SUMPRODUCT($V$5:$V$29,$K$5:$K$29)</f>
        <v/>
      </c>
      <c r="K35" s="7">
        <f>SUMPRODUCT($V$5:$V$29,$L$5:$L$29)</f>
        <v/>
      </c>
      <c r="L35" s="7">
        <f>SUMPRODUCT($V$5:$V$29,$N$5:$N$29)</f>
        <v/>
      </c>
      <c r="M35" s="7">
        <f>IF(SUMPRODUCT($V$5:$V$29,$R$5:$R$29)&gt;0,1,0)</f>
        <v/>
      </c>
      <c r="N35" s="7">
        <f>SUMPRODUCT(($AO$5:$AO$24&gt;=A35)*($AO$5:$AO$24&lt;A35+1)*$AP$5:$AP$24)*C35+IF(2=0,IF(sel_loc&lt;&gt;"miami",personal_costoMudanzaInicial,0),0)</f>
        <v/>
      </c>
      <c r="O35" s="7">
        <f>MIN(personal_aporte403bPct*D35,retiro_limite403b*C35)</f>
        <v/>
      </c>
      <c r="P35" s="7">
        <f>MIN(personal_aporte403bPct,personal_match403bPct)*E35</f>
        <v/>
      </c>
      <c r="Q35" s="7">
        <f>IF(G35&gt;0,MAX(0,G35-impuestos_scorpCostoAnual*C35),0)</f>
        <v/>
      </c>
      <c r="R35" s="7">
        <f>Q35*impuestos_scorpSalarioPct/(1+impuestos_ssTasa+impuestos_medicareTasa)</f>
        <v/>
      </c>
      <c r="S35" s="7">
        <f>impuestos_ssTasa*MIN(R35,MAX(0,impuestos_ssTope*C35-D35))+impuestos_medicareTasa*R35</f>
        <v/>
      </c>
      <c r="T35" s="7">
        <f>Q35-R35-S35</f>
        <v/>
      </c>
      <c r="U35" s="7">
        <f>D35+R35</f>
        <v/>
      </c>
      <c r="V35" s="7">
        <f>H35*0.9235</f>
        <v/>
      </c>
      <c r="W35" s="7">
        <f>IF(H35&gt;0,2*impuestos_ssTasa*MIN(V35,MAX(0,impuestos_ssTope*C35-U35))+2*impuestos_medicareTasa*V35,0)</f>
        <v/>
      </c>
      <c r="X35" s="7">
        <f>impuestos_ssTasa*MIN(U35,impuestos_ssTope*C35)+impuestos_medicareTasa*U35+impuestos_medicareAdicional*MAX(0,U35+H35*0.9235-impuestos_medicareUmbral)</f>
        <v/>
      </c>
      <c r="Y35" s="7">
        <f>MAX(0,D35-O35+R35+T35+H35-W35/2)</f>
        <v/>
      </c>
      <c r="Z35" s="7">
        <f>MAX(0,Y35-impuestos_deduccionEstandar*C35)</f>
        <v/>
      </c>
      <c r="AA35" s="7">
        <f>MIN(0.2*MAX(0,T35+H35-W35/2)*MAX(0,MIN(1,1-(Z35-impuestos_qbiUmbral*C35)/(impuestos_qbiRango*C35))),0.2*Z35)</f>
        <v/>
      </c>
      <c r="AB35" s="7">
        <f>MAX(0,Z35-AA35)</f>
        <v/>
      </c>
      <c r="AC35" s="7">
        <f>SUMPRODUCT((AB35&gt;tb_federalBrackets_lo*C35)*(AB35-tb_federalBrackets_lo*C35)*tb_federalBrackets_dr)</f>
        <v/>
      </c>
      <c r="AD35" s="7">
        <f>MAX(0,Y35-impuestos_nyDeduccion*C35)</f>
        <v/>
      </c>
      <c r="AE35" s="7">
        <f>CHOOSE(loc_taxcode,0,impuestos_ohTasa*MAX(0,Y35-impuestos_ohExento*C35)+impuestos_ohMunicipal*U35,SUMPRODUCT((AD35&gt;tb_nyBrackets_lo*C35)*(AD35-tb_nyBrackets_lo*C35)*tb_nyBrackets_dr)+loc_nyc*SUMPRODUCT((AD35&gt;tb_nycBrackets_lo*C35)*(AD35-tb_nycBrackets_lo*C35)*tb_nycBrackets_dr))</f>
        <v/>
      </c>
      <c r="AF35" s="7">
        <f>AC35+AE35+X35+W35</f>
        <v/>
      </c>
      <c r="AG35" s="7">
        <f>D35+F35+R35+T35+H35</f>
        <v/>
      </c>
      <c r="AH35" s="7">
        <f>AG35-AF35-O35</f>
        <v/>
      </c>
      <c r="AI35" s="7">
        <f>D35+F35+G35+H35</f>
        <v/>
      </c>
      <c r="AJ35" s="7">
        <f>loc_gastosVida*C35*g_gastos</f>
        <v/>
      </c>
      <c r="AK35" s="7">
        <f>IF(2=0,personal_liquidoInicial,DR34)</f>
        <v/>
      </c>
      <c r="AL35" s="7">
        <f>IF(2=0,0,BB34)</f>
        <v/>
      </c>
      <c r="AM35" s="7">
        <f>CHOOSE(sel_cfgIdx,loc_precio_duplex,loc_precio_inlaw,loc_precio_dosCasas,loc_precio_casaAdu,loc_precio_multi)</f>
        <v/>
      </c>
      <c r="AN35" s="7">
        <f>AM35*(1+g_appr)^(A35-2026)</f>
        <v/>
      </c>
      <c r="AO35" s="7">
        <f>IF(AND(M35=1,vivienda_prestamoMedico=1),1,0)</f>
        <v/>
      </c>
      <c r="AP35" s="7">
        <f>IF(AO35=1,0.05,vivienda_enganchePct)</f>
        <v/>
      </c>
      <c r="AQ35" s="7">
        <f>AN35*(1-AP35)</f>
        <v/>
      </c>
      <c r="AR35" s="7">
        <f>PMT(g_mortRate/12,vivienda_plazoHipoteca*12,-AQ35)</f>
        <v/>
      </c>
      <c r="AS35" s="7">
        <f>INDEX(cfg_units,sel_cfgIdx)</f>
        <v/>
      </c>
      <c r="AT35" s="7">
        <f>AS35*loc_rentaUnidad*(1+g_inf)^(A35-2026)*(1-vivienda_vacancia)</f>
        <v/>
      </c>
      <c r="AU35" s="7">
        <f>AR35+AN35*loc_impuestoPropPct/12+AM35*loc_seguroPct*(1+vivienda_inflacionSeguro)^(A35-2026)/12+IF(AND(AO35=0,AP35&lt;0.2),AQ35*vivienda_pmiTasa/12,0)</f>
        <v/>
      </c>
      <c r="AV35" s="7">
        <f>AN35*AP35+AN35*vivienda_cierrePct+general_reservaMeses/12*AJ35</f>
        <v/>
      </c>
      <c r="AW35" s="7">
        <f>(IF(2=0,MIN(personal_irsSaldo,personal_irsPagoMensual*12),MIN(CD34,personal_irsPagoMensual*12))+IF(CE35&gt;0,PMT(CF35,MAX(1,prestamos_plazoAnios-CG35),-CE35),0)+IF(CR35&gt;0,PMT(CS35,MAX(1,prestamos_plazoAnios-CT35),-CR35),0))/12</f>
        <v/>
      </c>
      <c r="AX35" s="7">
        <f>IF(OR(sel_cfg="duplex",sel_cfg="multi",sel_cfg="dosCasas"),0.75*personal_aporteFamiliaMensual,0)</f>
        <v/>
      </c>
      <c r="AY35" s="7">
        <f>AU35-0.75*AT35-AX35+AW35</f>
        <v/>
      </c>
      <c r="AZ35" s="7">
        <f>(D35+G35+H35+0.5*F35)/12</f>
        <v/>
      </c>
      <c r="BA35" s="7">
        <f>IF(AND(AL35=0,A35&gt;=vivienda_anioMinCompra,J35&lt;0.5,AI35&gt;0,AK35&gt;=AV35,AY35&lt;=vivienda_dtiMax*AZ35),1,0)</f>
        <v/>
      </c>
      <c r="BB35" s="7">
        <f>MAX(AL35,BA35)</f>
        <v/>
      </c>
      <c r="BC35" s="7">
        <f>IF(BA35=1,A35,IF(2=0,"",BC34))</f>
        <v/>
      </c>
      <c r="BD35" s="7">
        <f>AK35-IF(BA35=1,AN35*AP35+AN35*vivienda_cierrePct,0)</f>
        <v/>
      </c>
      <c r="BE35" s="7">
        <f>IF(BA35=1,AN35,IF(2=0,0,BE34))</f>
        <v/>
      </c>
      <c r="BF35" s="7">
        <f>IF(BA35=1,AR35,IF(2=0,0,BF34))</f>
        <v/>
      </c>
      <c r="BG35" s="7">
        <f>IF(BA35=1,IF(AND(AO35=0,AP35&lt;0.2),1,0),IF(2=0,0,BY34))</f>
        <v/>
      </c>
      <c r="BH35" s="7">
        <f>IF(sel_cfg="casaAdu",1,0)</f>
        <v/>
      </c>
      <c r="BI35" s="7">
        <f>IF(AND(BB35=1,BH35=1,IF(2=0,0,BJ34)=0,A35&gt;=IF(BC35="",9999,BC35)+vivienda_aduRetrasoAnios),1,0)</f>
        <v/>
      </c>
      <c r="BJ35" s="7">
        <f>MAX(IF(2=0,0,BJ34),BI35)</f>
        <v/>
      </c>
      <c r="BK35" s="7">
        <f>IF(BI35=1,PMT((g_mortRate+0.005)/12,180,-loc_precio_aduCosto*C35),IF(2=0,0,BK34))</f>
        <v/>
      </c>
      <c r="BL35" s="7">
        <f>IF(BA35=1,AN35,IF(2=0,0,DT34))+IF(BI35=1,loc_precio_aduCosto*C35,0)</f>
        <v/>
      </c>
      <c r="BM35" s="7">
        <f>IF(BA35=1,AQ35,IF(2=0,0,DU34))</f>
        <v/>
      </c>
      <c r="BN35" s="7">
        <f>IF(BM35&lt;=0,0,FV(g_mortRate/12,12,BF35,-BM35))</f>
        <v/>
      </c>
      <c r="BO35" s="7">
        <f>IF(BM35&lt;=0,0,12*BF35+MIN(0,BN35))</f>
        <v/>
      </c>
      <c r="BP35" s="7">
        <f>MAX(0,BN35)</f>
        <v/>
      </c>
      <c r="BQ35" s="7">
        <f>IF(BI35=1,loc_precio_aduCosto*C35,IF(2=0,0,DV34))</f>
        <v/>
      </c>
      <c r="BR35" s="7">
        <f>IF(BQ35&lt;=0,0,FV((g_mortRate+0.005)/12,12,BK35,-BQ35))</f>
        <v/>
      </c>
      <c r="BS35" s="7">
        <f>IF(BQ35&lt;=0,0,12*BK35+MIN(0,BR35))</f>
        <v/>
      </c>
      <c r="BT35" s="7">
        <f>MAX(0,BR35)</f>
        <v/>
      </c>
      <c r="BU35" s="7">
        <f>IF(BB35=1,AM35*loc_seguroPct*(1+vivienda_inflacionSeguro)^(A35-2026)*IF(BJ35=1,1+loc_precio_aduCosto/AM35,1),0)</f>
        <v/>
      </c>
      <c r="BV35" s="7">
        <f>BL35*loc_impuestoPropPct</f>
        <v/>
      </c>
      <c r="BW35" s="7">
        <f>BL35*vivienda_mantenimientoPct</f>
        <v/>
      </c>
      <c r="BX35" s="7">
        <f>IF(AND(BG35=1,BP35&gt;0.8*BE35),BE35*(1-vivienda_enganchePct)*vivienda_pmiTasa,0)</f>
        <v/>
      </c>
      <c r="BY35" s="7">
        <f>IF(AND(BG35=1,BP35&gt;0.8*BE35),1,0)</f>
        <v/>
      </c>
      <c r="BZ35" s="7">
        <f>IF(BB35=1,AS35*loc_rentaUnidad*12*C35*(1-vivienda_vacancia)*(1-vivienda_gestionPct),0)</f>
        <v/>
      </c>
      <c r="CA35" s="7">
        <f>IF(BB35=1,BO35+BS35+BU35+BV35+BW35+BX35,loc_rentaMensual*12*C35)</f>
        <v/>
      </c>
      <c r="CB35" s="7">
        <f>IF(BB35=1,personal_aporteFamiliaMensual*12,0)</f>
        <v/>
      </c>
      <c r="CC35" s="7">
        <f>MIN(IF(2=0,personal_irsSaldo,CD34),personal_irsPagoMensual*12)</f>
        <v/>
      </c>
      <c r="CD35" s="7">
        <f>IF(2=0,personal_irsSaldo,CD34)-CC35</f>
        <v/>
      </c>
      <c r="CE35" s="7">
        <f>IF(2=0,IF(personal_deudaEsFederal=1,personal_deudaEstudiantil,0),DW34)</f>
        <v/>
      </c>
      <c r="CF35" s="7">
        <f>IF(2=0,personal_tasaDeudaEstudiantil,DX34)</f>
        <v/>
      </c>
      <c r="CG35" s="7">
        <f>IF(2=0,0,DY34)</f>
        <v/>
      </c>
      <c r="CH35" s="7">
        <f>IF(J35&gt;=0.5,1,0)</f>
        <v/>
      </c>
      <c r="CI35" s="7">
        <f>IF(AND(CH35=0,prestamos_pslfActivo=1,K35&gt;=0.5,CE35&gt;0),1,0)</f>
        <v/>
      </c>
      <c r="CJ35" s="7">
        <f>CE35*CF35</f>
        <v/>
      </c>
      <c r="CK35" s="7">
        <f>MAX(prestamos_rapPagoMinimoAnual,IF(Y35&lt;10000,0,MIN(0.1,INT(Y35/10000)/100))*Y35)</f>
        <v/>
      </c>
      <c r="CL35" s="7">
        <f>IF(CE35&lt;=0,0,IF(CH35=1,0,IF(CI35=1,MIN(CE35+CJ35,CK35),PMT(CF35,MAX(1,prestamos_plazoAnios-CG35),-CE35))))</f>
        <v/>
      </c>
      <c r="CM35" s="7">
        <f>IF(CE35&lt;=0,0,IF(CH35=1,CE35+CJ35,IF(CI35=1,MAX(0,CE35-MAX(CL35-CJ35,MIN(600,CL35))),MAX(0,CE35*(1+CF35)-CL35))))</f>
        <v/>
      </c>
      <c r="CN35" s="7">
        <f>IF(2=0,0,CN34)+IF(CI35=1,12*MIN(1,K35),0)</f>
        <v/>
      </c>
      <c r="CO35" s="7">
        <f>IF(AND(CI35=1,CN35&gt;=prestamos_pslfPagos,CM35&gt;0),CM35,0)</f>
        <v/>
      </c>
      <c r="CP35" s="7">
        <f>CM35-CO35</f>
        <v/>
      </c>
      <c r="CQ35" s="7">
        <f>IF(AND(CE35&gt;0,CH35=0,CI35=0),CG35+1,CG35)</f>
        <v/>
      </c>
      <c r="CR35" s="7">
        <f>IF(2=0,IF(personal_deudaEsFederal=1,0,personal_deudaEstudiantil),EA34)</f>
        <v/>
      </c>
      <c r="CS35" s="7">
        <f>IF(2=0,IF(personal_deudaEsFederal=1,prestamos_tasaPrivada,personal_tasaDeudaEstudiantil),EB34)</f>
        <v/>
      </c>
      <c r="CT35" s="7">
        <f>IF(2=0,0,EC34)</f>
        <v/>
      </c>
      <c r="CU35" s="7">
        <f>IF(OR(CR35&lt;=0,CH35=1),0,PMT(CS35,MAX(1,prestamos_plazoAnios-CT35),-CR35))</f>
        <v/>
      </c>
      <c r="CV35" s="7">
        <f>IF(CR35&lt;=0,0,IF(CH35=1,CR35*(1+CS35),MAX(0,CR35*(1+CS35)-CU35)))</f>
        <v/>
      </c>
      <c r="CW35" s="7">
        <f>IF(AND(CR35&gt;0,CH35=0),CT35+1,CT35)</f>
        <v/>
      </c>
      <c r="CX35" s="7">
        <f>IF(2=0,0,ED34)*(1+general_tasaDeudaConsumo)</f>
        <v/>
      </c>
      <c r="CY35" s="7">
        <f>L35*12*tiempos_travelGastoExtraMes*C35</f>
        <v/>
      </c>
      <c r="CZ35" s="7">
        <f>AJ35+CY35+CA35+CC35+CL35+CU35+I35+N35-BZ35-CB35</f>
        <v/>
      </c>
      <c r="DA35" s="7">
        <f>AH35-CZ35</f>
        <v/>
      </c>
      <c r="DB35" s="7">
        <f>IF(2=0,0,DB34)+DA35</f>
        <v/>
      </c>
      <c r="DC35" s="7">
        <f>AN35*vivienda_enganchePct+AN35*vivienda_cierrePct+general_reservaMeses/12*AJ35</f>
        <v/>
      </c>
      <c r="DD35" s="7">
        <f>IF(BB35=1,g_ret,IF(BD35&gt;0,MIN(1,DC35/BD35),1)*g_cash+(1-IF(BD35&gt;0,MIN(1,DC35/BD35),1))*g_ret)</f>
        <v/>
      </c>
      <c r="DE35" s="7">
        <f>IF(DA35&gt;=0,MIN(CX35,DA35),0)</f>
        <v/>
      </c>
      <c r="DF35" s="7">
        <f>IF(DA35&gt;=0,(1-general_tasaAhorro)*(DA35-DE35),0)</f>
        <v/>
      </c>
      <c r="DG35" s="7">
        <f>IF(DA35&gt;=0,DA35-DE35-DF35,0)</f>
        <v/>
      </c>
      <c r="DH35" s="7">
        <f>MIN(personal_rothAnual,DG35)</f>
        <v/>
      </c>
      <c r="DI35" s="7">
        <f>IF(AND(DA35&gt;=0,BB35=1,BP35+BT35&gt;0),MIN(vivienda_prepagoPct*(DG35-DH35),BP35+BT35),0)</f>
        <v/>
      </c>
      <c r="DJ35" s="7">
        <f>MIN(DI35,BP35)</f>
        <v/>
      </c>
      <c r="DK35" s="7">
        <f>IF(DA35&lt;0,MIN(MAX(0,BD35),-DA35),0)</f>
        <v/>
      </c>
      <c r="DL35" s="7">
        <f>IF(DA35&lt;0,-DA35-DK35,0)</f>
        <v/>
      </c>
      <c r="DM35" s="7">
        <f>IF(2=0,0,DZ34)</f>
        <v/>
      </c>
      <c r="DN35" s="7">
        <f>IF(AND(DL35&gt;0,J35&gt;0),MIN(DL35,MIN(prestamos_topeAnualPosgrado*MIN(1,J35),MAX(0,prestamos_topeTotalPosgrado-DM35))),0)</f>
        <v/>
      </c>
      <c r="DO35" s="7">
        <f>IF(AND(DL35&gt;0,J35&gt;0),DL35-DN35,0)</f>
        <v/>
      </c>
      <c r="DP35" s="7">
        <f>IF(AND(DL35&gt;0,J35&lt;=0),DL35,0)</f>
        <v/>
      </c>
      <c r="DQ35" s="7">
        <f>IF(DA35&gt;=0,DG35-DH35-DI35,-DK35)</f>
        <v/>
      </c>
      <c r="DR35" s="7">
        <f>BD35*(1+DD35)+DQ35*(1+DD35/2)</f>
        <v/>
      </c>
      <c r="DS35" s="7">
        <f>IF(2=0,personal_retiroInicial,DS34)*(1+g_ret)+(O35+P35+DH35)*(1+g_ret/2)</f>
        <v/>
      </c>
      <c r="DT35" s="7">
        <f>IF(BB35=1,BL35*(1+g_appr),0)</f>
        <v/>
      </c>
      <c r="DU35" s="7">
        <f>BP35-DJ35</f>
        <v/>
      </c>
      <c r="DV35" s="7">
        <f>BT35-(DI35-DJ35)</f>
        <v/>
      </c>
      <c r="DW35" s="7">
        <f>CP35+DN35</f>
        <v/>
      </c>
      <c r="DX35" s="7">
        <f>IF(DN35&gt;0,(CP35*CF35+DN35*prestamos_tasaFederalPosgrado)/(CP35+DN35),CF35)</f>
        <v/>
      </c>
      <c r="DY35" s="7">
        <f>IF(DN35&gt;0,0,CQ35)</f>
        <v/>
      </c>
      <c r="DZ35" s="7">
        <f>DM35+DN35</f>
        <v/>
      </c>
      <c r="EA35" s="7">
        <f>CV35+DO35</f>
        <v/>
      </c>
      <c r="EB35" s="7">
        <f>IF(DO35&gt;0,(CV35*CS35+DO35*prestamos_tasaPrivada)/(CV35+DO35),CS35)</f>
        <v/>
      </c>
      <c r="EC35" s="7">
        <f>IF(DO35&gt;0,0,CW35)</f>
        <v/>
      </c>
      <c r="ED35" s="7">
        <f>CX35-DE35+DP35</f>
        <v/>
      </c>
      <c r="EE35" s="7">
        <f>IF(IF(2=0,"",EE34)&lt;&gt;"",EE34,IF(AND(BB35=1,DU35&lt;=0.5,DV35&lt;=0.5,OR(BH35=0,BJ35=1)),A35,""))</f>
        <v/>
      </c>
      <c r="EF35" s="7">
        <f>DU35+DV35+DW35+EA35+ED35+CD35</f>
        <v/>
      </c>
      <c r="EG35" s="7">
        <f>DR35+DS35+DT35-EF35</f>
        <v/>
      </c>
      <c r="EH35" s="7">
        <f>EG35/(1+g_inf)^(A35+1-2026)</f>
        <v/>
      </c>
    </row>
    <row r="36">
      <c r="A36" t="n">
        <v>2030</v>
      </c>
      <c r="B36" t="n">
        <v>3</v>
      </c>
      <c r="C36" s="7">
        <f>(1+g_inf)^(A36-2026)</f>
        <v/>
      </c>
      <c r="D36" s="7">
        <f>SUMPRODUCT($W$5:$W$29,$E$5:$E$29*(1+$F$5:$F$29)^(A36-2026)*$G$5:$G$29*$H$5:$H$29*(1-$N$5:$N$29*$O$5:$O$29))*g_salMult+SUMPRODUCT(($B$5:$B$29&gt;=A36)*($B$5:$B$29&lt;A36+1)*$I$5:$I$29)*g_salMult</f>
        <v/>
      </c>
      <c r="E36" s="7">
        <f>SUMPRODUCT($W$5:$W$29,$E$5:$E$29*(1+$F$5:$F$29)^(A36-2026)*$G$5:$G$29*$H$5:$H$29*$M$5:$M$29)*g_salMult</f>
        <v/>
      </c>
      <c r="F36" s="7">
        <f>SUMPRODUCT($W$5:$W$29,$E$5:$E$29*(1+$F$5:$F$29)^(A36-2026)*$G$5:$G$29*$H$5:$H$29*$N$5:$N$29*$O$5:$O$29)*g_salMult</f>
        <v/>
      </c>
      <c r="G36" s="7">
        <f>SUMPRODUCT($W$5:$W$29,$P$5:$P$29*(1+$F$5:$F$29)^(A36-2026))</f>
        <v/>
      </c>
      <c r="H36" s="7">
        <f>SUMPRODUCT($W$5:$W$29,$Q$5:$Q$29*(1+$F$5:$F$29)^(A36-2026))+IF(personal_llcActivo=1,personal_llcNeto*(1+personal_llcCrecimiento)^3,0)</f>
        <v/>
      </c>
      <c r="I36" s="7">
        <f>SUMPRODUCT($W$5:$W$29,$J$5:$J$29/($C$5:$C$29-$B$5:$B$29+($C$5:$C$29=$B$5:$B$29)))*C36</f>
        <v/>
      </c>
      <c r="J36" s="7">
        <f>SUMPRODUCT($W$5:$W$29,$K$5:$K$29)</f>
        <v/>
      </c>
      <c r="K36" s="7">
        <f>SUMPRODUCT($W$5:$W$29,$L$5:$L$29)</f>
        <v/>
      </c>
      <c r="L36" s="7">
        <f>SUMPRODUCT($W$5:$W$29,$N$5:$N$29)</f>
        <v/>
      </c>
      <c r="M36" s="7">
        <f>IF(SUMPRODUCT($W$5:$W$29,$R$5:$R$29)&gt;0,1,0)</f>
        <v/>
      </c>
      <c r="N36" s="7">
        <f>SUMPRODUCT(($AO$5:$AO$24&gt;=A36)*($AO$5:$AO$24&lt;A36+1)*$AP$5:$AP$24)*C36+IF(3=0,IF(sel_loc&lt;&gt;"miami",personal_costoMudanzaInicial,0),0)</f>
        <v/>
      </c>
      <c r="O36" s="7">
        <f>MIN(personal_aporte403bPct*D36,retiro_limite403b*C36)</f>
        <v/>
      </c>
      <c r="P36" s="7">
        <f>MIN(personal_aporte403bPct,personal_match403bPct)*E36</f>
        <v/>
      </c>
      <c r="Q36" s="7">
        <f>IF(G36&gt;0,MAX(0,G36-impuestos_scorpCostoAnual*C36),0)</f>
        <v/>
      </c>
      <c r="R36" s="7">
        <f>Q36*impuestos_scorpSalarioPct/(1+impuestos_ssTasa+impuestos_medicareTasa)</f>
        <v/>
      </c>
      <c r="S36" s="7">
        <f>impuestos_ssTasa*MIN(R36,MAX(0,impuestos_ssTope*C36-D36))+impuestos_medicareTasa*R36</f>
        <v/>
      </c>
      <c r="T36" s="7">
        <f>Q36-R36-S36</f>
        <v/>
      </c>
      <c r="U36" s="7">
        <f>D36+R36</f>
        <v/>
      </c>
      <c r="V36" s="7">
        <f>H36*0.9235</f>
        <v/>
      </c>
      <c r="W36" s="7">
        <f>IF(H36&gt;0,2*impuestos_ssTasa*MIN(V36,MAX(0,impuestos_ssTope*C36-U36))+2*impuestos_medicareTasa*V36,0)</f>
        <v/>
      </c>
      <c r="X36" s="7">
        <f>impuestos_ssTasa*MIN(U36,impuestos_ssTope*C36)+impuestos_medicareTasa*U36+impuestos_medicareAdicional*MAX(0,U36+H36*0.9235-impuestos_medicareUmbral)</f>
        <v/>
      </c>
      <c r="Y36" s="7">
        <f>MAX(0,D36-O36+R36+T36+H36-W36/2)</f>
        <v/>
      </c>
      <c r="Z36" s="7">
        <f>MAX(0,Y36-impuestos_deduccionEstandar*C36)</f>
        <v/>
      </c>
      <c r="AA36" s="7">
        <f>MIN(0.2*MAX(0,T36+H36-W36/2)*MAX(0,MIN(1,1-(Z36-impuestos_qbiUmbral*C36)/(impuestos_qbiRango*C36))),0.2*Z36)</f>
        <v/>
      </c>
      <c r="AB36" s="7">
        <f>MAX(0,Z36-AA36)</f>
        <v/>
      </c>
      <c r="AC36" s="7">
        <f>SUMPRODUCT((AB36&gt;tb_federalBrackets_lo*C36)*(AB36-tb_federalBrackets_lo*C36)*tb_federalBrackets_dr)</f>
        <v/>
      </c>
      <c r="AD36" s="7">
        <f>MAX(0,Y36-impuestos_nyDeduccion*C36)</f>
        <v/>
      </c>
      <c r="AE36" s="7">
        <f>CHOOSE(loc_taxcode,0,impuestos_ohTasa*MAX(0,Y36-impuestos_ohExento*C36)+impuestos_ohMunicipal*U36,SUMPRODUCT((AD36&gt;tb_nyBrackets_lo*C36)*(AD36-tb_nyBrackets_lo*C36)*tb_nyBrackets_dr)+loc_nyc*SUMPRODUCT((AD36&gt;tb_nycBrackets_lo*C36)*(AD36-tb_nycBrackets_lo*C36)*tb_nycBrackets_dr))</f>
        <v/>
      </c>
      <c r="AF36" s="7">
        <f>AC36+AE36+X36+W36</f>
        <v/>
      </c>
      <c r="AG36" s="7">
        <f>D36+F36+R36+T36+H36</f>
        <v/>
      </c>
      <c r="AH36" s="7">
        <f>AG36-AF36-O36</f>
        <v/>
      </c>
      <c r="AI36" s="7">
        <f>D36+F36+G36+H36</f>
        <v/>
      </c>
      <c r="AJ36" s="7">
        <f>loc_gastosVida*C36*g_gastos</f>
        <v/>
      </c>
      <c r="AK36" s="7">
        <f>IF(3=0,personal_liquidoInicial,DR35)</f>
        <v/>
      </c>
      <c r="AL36" s="7">
        <f>IF(3=0,0,BB35)</f>
        <v/>
      </c>
      <c r="AM36" s="7">
        <f>CHOOSE(sel_cfgIdx,loc_precio_duplex,loc_precio_inlaw,loc_precio_dosCasas,loc_precio_casaAdu,loc_precio_multi)</f>
        <v/>
      </c>
      <c r="AN36" s="7">
        <f>AM36*(1+g_appr)^(A36-2026)</f>
        <v/>
      </c>
      <c r="AO36" s="7">
        <f>IF(AND(M36=1,vivienda_prestamoMedico=1),1,0)</f>
        <v/>
      </c>
      <c r="AP36" s="7">
        <f>IF(AO36=1,0.05,vivienda_enganchePct)</f>
        <v/>
      </c>
      <c r="AQ36" s="7">
        <f>AN36*(1-AP36)</f>
        <v/>
      </c>
      <c r="AR36" s="7">
        <f>PMT(g_mortRate/12,vivienda_plazoHipoteca*12,-AQ36)</f>
        <v/>
      </c>
      <c r="AS36" s="7">
        <f>INDEX(cfg_units,sel_cfgIdx)</f>
        <v/>
      </c>
      <c r="AT36" s="7">
        <f>AS36*loc_rentaUnidad*(1+g_inf)^(A36-2026)*(1-vivienda_vacancia)</f>
        <v/>
      </c>
      <c r="AU36" s="7">
        <f>AR36+AN36*loc_impuestoPropPct/12+AM36*loc_seguroPct*(1+vivienda_inflacionSeguro)^(A36-2026)/12+IF(AND(AO36=0,AP36&lt;0.2),AQ36*vivienda_pmiTasa/12,0)</f>
        <v/>
      </c>
      <c r="AV36" s="7">
        <f>AN36*AP36+AN36*vivienda_cierrePct+general_reservaMeses/12*AJ36</f>
        <v/>
      </c>
      <c r="AW36" s="7">
        <f>(IF(3=0,MIN(personal_irsSaldo,personal_irsPagoMensual*12),MIN(CD35,personal_irsPagoMensual*12))+IF(CE36&gt;0,PMT(CF36,MAX(1,prestamos_plazoAnios-CG36),-CE36),0)+IF(CR36&gt;0,PMT(CS36,MAX(1,prestamos_plazoAnios-CT36),-CR36),0))/12</f>
        <v/>
      </c>
      <c r="AX36" s="7">
        <f>IF(OR(sel_cfg="duplex",sel_cfg="multi",sel_cfg="dosCasas"),0.75*personal_aporteFamiliaMensual,0)</f>
        <v/>
      </c>
      <c r="AY36" s="7">
        <f>AU36-0.75*AT36-AX36+AW36</f>
        <v/>
      </c>
      <c r="AZ36" s="7">
        <f>(D36+G36+H36+0.5*F36)/12</f>
        <v/>
      </c>
      <c r="BA36" s="7">
        <f>IF(AND(AL36=0,A36&gt;=vivienda_anioMinCompra,J36&lt;0.5,AI36&gt;0,AK36&gt;=AV36,AY36&lt;=vivienda_dtiMax*AZ36),1,0)</f>
        <v/>
      </c>
      <c r="BB36" s="7">
        <f>MAX(AL36,BA36)</f>
        <v/>
      </c>
      <c r="BC36" s="7">
        <f>IF(BA36=1,A36,IF(3=0,"",BC35))</f>
        <v/>
      </c>
      <c r="BD36" s="7">
        <f>AK36-IF(BA36=1,AN36*AP36+AN36*vivienda_cierrePct,0)</f>
        <v/>
      </c>
      <c r="BE36" s="7">
        <f>IF(BA36=1,AN36,IF(3=0,0,BE35))</f>
        <v/>
      </c>
      <c r="BF36" s="7">
        <f>IF(BA36=1,AR36,IF(3=0,0,BF35))</f>
        <v/>
      </c>
      <c r="BG36" s="7">
        <f>IF(BA36=1,IF(AND(AO36=0,AP36&lt;0.2),1,0),IF(3=0,0,BY35))</f>
        <v/>
      </c>
      <c r="BH36" s="7">
        <f>IF(sel_cfg="casaAdu",1,0)</f>
        <v/>
      </c>
      <c r="BI36" s="7">
        <f>IF(AND(BB36=1,BH36=1,IF(3=0,0,BJ35)=0,A36&gt;=IF(BC36="",9999,BC36)+vivienda_aduRetrasoAnios),1,0)</f>
        <v/>
      </c>
      <c r="BJ36" s="7">
        <f>MAX(IF(3=0,0,BJ35),BI36)</f>
        <v/>
      </c>
      <c r="BK36" s="7">
        <f>IF(BI36=1,PMT((g_mortRate+0.005)/12,180,-loc_precio_aduCosto*C36),IF(3=0,0,BK35))</f>
        <v/>
      </c>
      <c r="BL36" s="7">
        <f>IF(BA36=1,AN36,IF(3=0,0,DT35))+IF(BI36=1,loc_precio_aduCosto*C36,0)</f>
        <v/>
      </c>
      <c r="BM36" s="7">
        <f>IF(BA36=1,AQ36,IF(3=0,0,DU35))</f>
        <v/>
      </c>
      <c r="BN36" s="7">
        <f>IF(BM36&lt;=0,0,FV(g_mortRate/12,12,BF36,-BM36))</f>
        <v/>
      </c>
      <c r="BO36" s="7">
        <f>IF(BM36&lt;=0,0,12*BF36+MIN(0,BN36))</f>
        <v/>
      </c>
      <c r="BP36" s="7">
        <f>MAX(0,BN36)</f>
        <v/>
      </c>
      <c r="BQ36" s="7">
        <f>IF(BI36=1,loc_precio_aduCosto*C36,IF(3=0,0,DV35))</f>
        <v/>
      </c>
      <c r="BR36" s="7">
        <f>IF(BQ36&lt;=0,0,FV((g_mortRate+0.005)/12,12,BK36,-BQ36))</f>
        <v/>
      </c>
      <c r="BS36" s="7">
        <f>IF(BQ36&lt;=0,0,12*BK36+MIN(0,BR36))</f>
        <v/>
      </c>
      <c r="BT36" s="7">
        <f>MAX(0,BR36)</f>
        <v/>
      </c>
      <c r="BU36" s="7">
        <f>IF(BB36=1,AM36*loc_seguroPct*(1+vivienda_inflacionSeguro)^(A36-2026)*IF(BJ36=1,1+loc_precio_aduCosto/AM36,1),0)</f>
        <v/>
      </c>
      <c r="BV36" s="7">
        <f>BL36*loc_impuestoPropPct</f>
        <v/>
      </c>
      <c r="BW36" s="7">
        <f>BL36*vivienda_mantenimientoPct</f>
        <v/>
      </c>
      <c r="BX36" s="7">
        <f>IF(AND(BG36=1,BP36&gt;0.8*BE36),BE36*(1-vivienda_enganchePct)*vivienda_pmiTasa,0)</f>
        <v/>
      </c>
      <c r="BY36" s="7">
        <f>IF(AND(BG36=1,BP36&gt;0.8*BE36),1,0)</f>
        <v/>
      </c>
      <c r="BZ36" s="7">
        <f>IF(BB36=1,AS36*loc_rentaUnidad*12*C36*(1-vivienda_vacancia)*(1-vivienda_gestionPct),0)</f>
        <v/>
      </c>
      <c r="CA36" s="7">
        <f>IF(BB36=1,BO36+BS36+BU36+BV36+BW36+BX36,loc_rentaMensual*12*C36)</f>
        <v/>
      </c>
      <c r="CB36" s="7">
        <f>IF(BB36=1,personal_aporteFamiliaMensual*12,0)</f>
        <v/>
      </c>
      <c r="CC36" s="7">
        <f>MIN(IF(3=0,personal_irsSaldo,CD35),personal_irsPagoMensual*12)</f>
        <v/>
      </c>
      <c r="CD36" s="7">
        <f>IF(3=0,personal_irsSaldo,CD35)-CC36</f>
        <v/>
      </c>
      <c r="CE36" s="7">
        <f>IF(3=0,IF(personal_deudaEsFederal=1,personal_deudaEstudiantil,0),DW35)</f>
        <v/>
      </c>
      <c r="CF36" s="7">
        <f>IF(3=0,personal_tasaDeudaEstudiantil,DX35)</f>
        <v/>
      </c>
      <c r="CG36" s="7">
        <f>IF(3=0,0,DY35)</f>
        <v/>
      </c>
      <c r="CH36" s="7">
        <f>IF(J36&gt;=0.5,1,0)</f>
        <v/>
      </c>
      <c r="CI36" s="7">
        <f>IF(AND(CH36=0,prestamos_pslfActivo=1,K36&gt;=0.5,CE36&gt;0),1,0)</f>
        <v/>
      </c>
      <c r="CJ36" s="7">
        <f>CE36*CF36</f>
        <v/>
      </c>
      <c r="CK36" s="7">
        <f>MAX(prestamos_rapPagoMinimoAnual,IF(Y36&lt;10000,0,MIN(0.1,INT(Y36/10000)/100))*Y36)</f>
        <v/>
      </c>
      <c r="CL36" s="7">
        <f>IF(CE36&lt;=0,0,IF(CH36=1,0,IF(CI36=1,MIN(CE36+CJ36,CK36),PMT(CF36,MAX(1,prestamos_plazoAnios-CG36),-CE36))))</f>
        <v/>
      </c>
      <c r="CM36" s="7">
        <f>IF(CE36&lt;=0,0,IF(CH36=1,CE36+CJ36,IF(CI36=1,MAX(0,CE36-MAX(CL36-CJ36,MIN(600,CL36))),MAX(0,CE36*(1+CF36)-CL36))))</f>
        <v/>
      </c>
      <c r="CN36" s="7">
        <f>IF(3=0,0,CN35)+IF(CI36=1,12*MIN(1,K36),0)</f>
        <v/>
      </c>
      <c r="CO36" s="7">
        <f>IF(AND(CI36=1,CN36&gt;=prestamos_pslfPagos,CM36&gt;0),CM36,0)</f>
        <v/>
      </c>
      <c r="CP36" s="7">
        <f>CM36-CO36</f>
        <v/>
      </c>
      <c r="CQ36" s="7">
        <f>IF(AND(CE36&gt;0,CH36=0,CI36=0),CG36+1,CG36)</f>
        <v/>
      </c>
      <c r="CR36" s="7">
        <f>IF(3=0,IF(personal_deudaEsFederal=1,0,personal_deudaEstudiantil),EA35)</f>
        <v/>
      </c>
      <c r="CS36" s="7">
        <f>IF(3=0,IF(personal_deudaEsFederal=1,prestamos_tasaPrivada,personal_tasaDeudaEstudiantil),EB35)</f>
        <v/>
      </c>
      <c r="CT36" s="7">
        <f>IF(3=0,0,EC35)</f>
        <v/>
      </c>
      <c r="CU36" s="7">
        <f>IF(OR(CR36&lt;=0,CH36=1),0,PMT(CS36,MAX(1,prestamos_plazoAnios-CT36),-CR36))</f>
        <v/>
      </c>
      <c r="CV36" s="7">
        <f>IF(CR36&lt;=0,0,IF(CH36=1,CR36*(1+CS36),MAX(0,CR36*(1+CS36)-CU36)))</f>
        <v/>
      </c>
      <c r="CW36" s="7">
        <f>IF(AND(CR36&gt;0,CH36=0),CT36+1,CT36)</f>
        <v/>
      </c>
      <c r="CX36" s="7">
        <f>IF(3=0,0,ED35)*(1+general_tasaDeudaConsumo)</f>
        <v/>
      </c>
      <c r="CY36" s="7">
        <f>L36*12*tiempos_travelGastoExtraMes*C36</f>
        <v/>
      </c>
      <c r="CZ36" s="7">
        <f>AJ36+CY36+CA36+CC36+CL36+CU36+I36+N36-BZ36-CB36</f>
        <v/>
      </c>
      <c r="DA36" s="7">
        <f>AH36-CZ36</f>
        <v/>
      </c>
      <c r="DB36" s="7">
        <f>IF(3=0,0,DB35)+DA36</f>
        <v/>
      </c>
      <c r="DC36" s="7">
        <f>AN36*vivienda_enganchePct+AN36*vivienda_cierrePct+general_reservaMeses/12*AJ36</f>
        <v/>
      </c>
      <c r="DD36" s="7">
        <f>IF(BB36=1,g_ret,IF(BD36&gt;0,MIN(1,DC36/BD36),1)*g_cash+(1-IF(BD36&gt;0,MIN(1,DC36/BD36),1))*g_ret)</f>
        <v/>
      </c>
      <c r="DE36" s="7">
        <f>IF(DA36&gt;=0,MIN(CX36,DA36),0)</f>
        <v/>
      </c>
      <c r="DF36" s="7">
        <f>IF(DA36&gt;=0,(1-general_tasaAhorro)*(DA36-DE36),0)</f>
        <v/>
      </c>
      <c r="DG36" s="7">
        <f>IF(DA36&gt;=0,DA36-DE36-DF36,0)</f>
        <v/>
      </c>
      <c r="DH36" s="7">
        <f>MIN(personal_rothAnual,DG36)</f>
        <v/>
      </c>
      <c r="DI36" s="7">
        <f>IF(AND(DA36&gt;=0,BB36=1,BP36+BT36&gt;0),MIN(vivienda_prepagoPct*(DG36-DH36),BP36+BT36),0)</f>
        <v/>
      </c>
      <c r="DJ36" s="7">
        <f>MIN(DI36,BP36)</f>
        <v/>
      </c>
      <c r="DK36" s="7">
        <f>IF(DA36&lt;0,MIN(MAX(0,BD36),-DA36),0)</f>
        <v/>
      </c>
      <c r="DL36" s="7">
        <f>IF(DA36&lt;0,-DA36-DK36,0)</f>
        <v/>
      </c>
      <c r="DM36" s="7">
        <f>IF(3=0,0,DZ35)</f>
        <v/>
      </c>
      <c r="DN36" s="7">
        <f>IF(AND(DL36&gt;0,J36&gt;0),MIN(DL36,MIN(prestamos_topeAnualPosgrado*MIN(1,J36),MAX(0,prestamos_topeTotalPosgrado-DM36))),0)</f>
        <v/>
      </c>
      <c r="DO36" s="7">
        <f>IF(AND(DL36&gt;0,J36&gt;0),DL36-DN36,0)</f>
        <v/>
      </c>
      <c r="DP36" s="7">
        <f>IF(AND(DL36&gt;0,J36&lt;=0),DL36,0)</f>
        <v/>
      </c>
      <c r="DQ36" s="7">
        <f>IF(DA36&gt;=0,DG36-DH36-DI36,-DK36)</f>
        <v/>
      </c>
      <c r="DR36" s="7">
        <f>BD36*(1+DD36)+DQ36*(1+DD36/2)</f>
        <v/>
      </c>
      <c r="DS36" s="7">
        <f>IF(3=0,personal_retiroInicial,DS35)*(1+g_ret)+(O36+P36+DH36)*(1+g_ret/2)</f>
        <v/>
      </c>
      <c r="DT36" s="7">
        <f>IF(BB36=1,BL36*(1+g_appr),0)</f>
        <v/>
      </c>
      <c r="DU36" s="7">
        <f>BP36-DJ36</f>
        <v/>
      </c>
      <c r="DV36" s="7">
        <f>BT36-(DI36-DJ36)</f>
        <v/>
      </c>
      <c r="DW36" s="7">
        <f>CP36+DN36</f>
        <v/>
      </c>
      <c r="DX36" s="7">
        <f>IF(DN36&gt;0,(CP36*CF36+DN36*prestamos_tasaFederalPosgrado)/(CP36+DN36),CF36)</f>
        <v/>
      </c>
      <c r="DY36" s="7">
        <f>IF(DN36&gt;0,0,CQ36)</f>
        <v/>
      </c>
      <c r="DZ36" s="7">
        <f>DM36+DN36</f>
        <v/>
      </c>
      <c r="EA36" s="7">
        <f>CV36+DO36</f>
        <v/>
      </c>
      <c r="EB36" s="7">
        <f>IF(DO36&gt;0,(CV36*CS36+DO36*prestamos_tasaPrivada)/(CV36+DO36),CS36)</f>
        <v/>
      </c>
      <c r="EC36" s="7">
        <f>IF(DO36&gt;0,0,CW36)</f>
        <v/>
      </c>
      <c r="ED36" s="7">
        <f>CX36-DE36+DP36</f>
        <v/>
      </c>
      <c r="EE36" s="7">
        <f>IF(IF(3=0,"",EE35)&lt;&gt;"",EE35,IF(AND(BB36=1,DU36&lt;=0.5,DV36&lt;=0.5,OR(BH36=0,BJ36=1)),A36,""))</f>
        <v/>
      </c>
      <c r="EF36" s="7">
        <f>DU36+DV36+DW36+EA36+ED36+CD36</f>
        <v/>
      </c>
      <c r="EG36" s="7">
        <f>DR36+DS36+DT36-EF36</f>
        <v/>
      </c>
      <c r="EH36" s="7">
        <f>EG36/(1+g_inf)^(A36+1-2026)</f>
        <v/>
      </c>
    </row>
    <row r="37">
      <c r="A37" t="n">
        <v>2031</v>
      </c>
      <c r="B37" t="n">
        <v>4</v>
      </c>
      <c r="C37" s="7">
        <f>(1+g_inf)^(A37-2026)</f>
        <v/>
      </c>
      <c r="D37" s="7">
        <f>SUMPRODUCT($X$5:$X$29,$E$5:$E$29*(1+$F$5:$F$29)^(A37-2026)*$G$5:$G$29*$H$5:$H$29*(1-$N$5:$N$29*$O$5:$O$29))*g_salMult+SUMPRODUCT(($B$5:$B$29&gt;=A37)*($B$5:$B$29&lt;A37+1)*$I$5:$I$29)*g_salMult</f>
        <v/>
      </c>
      <c r="E37" s="7">
        <f>SUMPRODUCT($X$5:$X$29,$E$5:$E$29*(1+$F$5:$F$29)^(A37-2026)*$G$5:$G$29*$H$5:$H$29*$M$5:$M$29)*g_salMult</f>
        <v/>
      </c>
      <c r="F37" s="7">
        <f>SUMPRODUCT($X$5:$X$29,$E$5:$E$29*(1+$F$5:$F$29)^(A37-2026)*$G$5:$G$29*$H$5:$H$29*$N$5:$N$29*$O$5:$O$29)*g_salMult</f>
        <v/>
      </c>
      <c r="G37" s="7">
        <f>SUMPRODUCT($X$5:$X$29,$P$5:$P$29*(1+$F$5:$F$29)^(A37-2026))</f>
        <v/>
      </c>
      <c r="H37" s="7">
        <f>SUMPRODUCT($X$5:$X$29,$Q$5:$Q$29*(1+$F$5:$F$29)^(A37-2026))+IF(personal_llcActivo=1,personal_llcNeto*(1+personal_llcCrecimiento)^4,0)</f>
        <v/>
      </c>
      <c r="I37" s="7">
        <f>SUMPRODUCT($X$5:$X$29,$J$5:$J$29/($C$5:$C$29-$B$5:$B$29+($C$5:$C$29=$B$5:$B$29)))*C37</f>
        <v/>
      </c>
      <c r="J37" s="7">
        <f>SUMPRODUCT($X$5:$X$29,$K$5:$K$29)</f>
        <v/>
      </c>
      <c r="K37" s="7">
        <f>SUMPRODUCT($X$5:$X$29,$L$5:$L$29)</f>
        <v/>
      </c>
      <c r="L37" s="7">
        <f>SUMPRODUCT($X$5:$X$29,$N$5:$N$29)</f>
        <v/>
      </c>
      <c r="M37" s="7">
        <f>IF(SUMPRODUCT($X$5:$X$29,$R$5:$R$29)&gt;0,1,0)</f>
        <v/>
      </c>
      <c r="N37" s="7">
        <f>SUMPRODUCT(($AO$5:$AO$24&gt;=A37)*($AO$5:$AO$24&lt;A37+1)*$AP$5:$AP$24)*C37+IF(4=0,IF(sel_loc&lt;&gt;"miami",personal_costoMudanzaInicial,0),0)</f>
        <v/>
      </c>
      <c r="O37" s="7">
        <f>MIN(personal_aporte403bPct*D37,retiro_limite403b*C37)</f>
        <v/>
      </c>
      <c r="P37" s="7">
        <f>MIN(personal_aporte403bPct,personal_match403bPct)*E37</f>
        <v/>
      </c>
      <c r="Q37" s="7">
        <f>IF(G37&gt;0,MAX(0,G37-impuestos_scorpCostoAnual*C37),0)</f>
        <v/>
      </c>
      <c r="R37" s="7">
        <f>Q37*impuestos_scorpSalarioPct/(1+impuestos_ssTasa+impuestos_medicareTasa)</f>
        <v/>
      </c>
      <c r="S37" s="7">
        <f>impuestos_ssTasa*MIN(R37,MAX(0,impuestos_ssTope*C37-D37))+impuestos_medicareTasa*R37</f>
        <v/>
      </c>
      <c r="T37" s="7">
        <f>Q37-R37-S37</f>
        <v/>
      </c>
      <c r="U37" s="7">
        <f>D37+R37</f>
        <v/>
      </c>
      <c r="V37" s="7">
        <f>H37*0.9235</f>
        <v/>
      </c>
      <c r="W37" s="7">
        <f>IF(H37&gt;0,2*impuestos_ssTasa*MIN(V37,MAX(0,impuestos_ssTope*C37-U37))+2*impuestos_medicareTasa*V37,0)</f>
        <v/>
      </c>
      <c r="X37" s="7">
        <f>impuestos_ssTasa*MIN(U37,impuestos_ssTope*C37)+impuestos_medicareTasa*U37+impuestos_medicareAdicional*MAX(0,U37+H37*0.9235-impuestos_medicareUmbral)</f>
        <v/>
      </c>
      <c r="Y37" s="7">
        <f>MAX(0,D37-O37+R37+T37+H37-W37/2)</f>
        <v/>
      </c>
      <c r="Z37" s="7">
        <f>MAX(0,Y37-impuestos_deduccionEstandar*C37)</f>
        <v/>
      </c>
      <c r="AA37" s="7">
        <f>MIN(0.2*MAX(0,T37+H37-W37/2)*MAX(0,MIN(1,1-(Z37-impuestos_qbiUmbral*C37)/(impuestos_qbiRango*C37))),0.2*Z37)</f>
        <v/>
      </c>
      <c r="AB37" s="7">
        <f>MAX(0,Z37-AA37)</f>
        <v/>
      </c>
      <c r="AC37" s="7">
        <f>SUMPRODUCT((AB37&gt;tb_federalBrackets_lo*C37)*(AB37-tb_federalBrackets_lo*C37)*tb_federalBrackets_dr)</f>
        <v/>
      </c>
      <c r="AD37" s="7">
        <f>MAX(0,Y37-impuestos_nyDeduccion*C37)</f>
        <v/>
      </c>
      <c r="AE37" s="7">
        <f>CHOOSE(loc_taxcode,0,impuestos_ohTasa*MAX(0,Y37-impuestos_ohExento*C37)+impuestos_ohMunicipal*U37,SUMPRODUCT((AD37&gt;tb_nyBrackets_lo*C37)*(AD37-tb_nyBrackets_lo*C37)*tb_nyBrackets_dr)+loc_nyc*SUMPRODUCT((AD37&gt;tb_nycBrackets_lo*C37)*(AD37-tb_nycBrackets_lo*C37)*tb_nycBrackets_dr))</f>
        <v/>
      </c>
      <c r="AF37" s="7">
        <f>AC37+AE37+X37+W37</f>
        <v/>
      </c>
      <c r="AG37" s="7">
        <f>D37+F37+R37+T37+H37</f>
        <v/>
      </c>
      <c r="AH37" s="7">
        <f>AG37-AF37-O37</f>
        <v/>
      </c>
      <c r="AI37" s="7">
        <f>D37+F37+G37+H37</f>
        <v/>
      </c>
      <c r="AJ37" s="7">
        <f>loc_gastosVida*C37*g_gastos</f>
        <v/>
      </c>
      <c r="AK37" s="7">
        <f>IF(4=0,personal_liquidoInicial,DR36)</f>
        <v/>
      </c>
      <c r="AL37" s="7">
        <f>IF(4=0,0,BB36)</f>
        <v/>
      </c>
      <c r="AM37" s="7">
        <f>CHOOSE(sel_cfgIdx,loc_precio_duplex,loc_precio_inlaw,loc_precio_dosCasas,loc_precio_casaAdu,loc_precio_multi)</f>
        <v/>
      </c>
      <c r="AN37" s="7">
        <f>AM37*(1+g_appr)^(A37-2026)</f>
        <v/>
      </c>
      <c r="AO37" s="7">
        <f>IF(AND(M37=1,vivienda_prestamoMedico=1),1,0)</f>
        <v/>
      </c>
      <c r="AP37" s="7">
        <f>IF(AO37=1,0.05,vivienda_enganchePct)</f>
        <v/>
      </c>
      <c r="AQ37" s="7">
        <f>AN37*(1-AP37)</f>
        <v/>
      </c>
      <c r="AR37" s="7">
        <f>PMT(g_mortRate/12,vivienda_plazoHipoteca*12,-AQ37)</f>
        <v/>
      </c>
      <c r="AS37" s="7">
        <f>INDEX(cfg_units,sel_cfgIdx)</f>
        <v/>
      </c>
      <c r="AT37" s="7">
        <f>AS37*loc_rentaUnidad*(1+g_inf)^(A37-2026)*(1-vivienda_vacancia)</f>
        <v/>
      </c>
      <c r="AU37" s="7">
        <f>AR37+AN37*loc_impuestoPropPct/12+AM37*loc_seguroPct*(1+vivienda_inflacionSeguro)^(A37-2026)/12+IF(AND(AO37=0,AP37&lt;0.2),AQ37*vivienda_pmiTasa/12,0)</f>
        <v/>
      </c>
      <c r="AV37" s="7">
        <f>AN37*AP37+AN37*vivienda_cierrePct+general_reservaMeses/12*AJ37</f>
        <v/>
      </c>
      <c r="AW37" s="7">
        <f>(IF(4=0,MIN(personal_irsSaldo,personal_irsPagoMensual*12),MIN(CD36,personal_irsPagoMensual*12))+IF(CE37&gt;0,PMT(CF37,MAX(1,prestamos_plazoAnios-CG37),-CE37),0)+IF(CR37&gt;0,PMT(CS37,MAX(1,prestamos_plazoAnios-CT37),-CR37),0))/12</f>
        <v/>
      </c>
      <c r="AX37" s="7">
        <f>IF(OR(sel_cfg="duplex",sel_cfg="multi",sel_cfg="dosCasas"),0.75*personal_aporteFamiliaMensual,0)</f>
        <v/>
      </c>
      <c r="AY37" s="7">
        <f>AU37-0.75*AT37-AX37+AW37</f>
        <v/>
      </c>
      <c r="AZ37" s="7">
        <f>(D37+G37+H37+0.5*F37)/12</f>
        <v/>
      </c>
      <c r="BA37" s="7">
        <f>IF(AND(AL37=0,A37&gt;=vivienda_anioMinCompra,J37&lt;0.5,AI37&gt;0,AK37&gt;=AV37,AY37&lt;=vivienda_dtiMax*AZ37),1,0)</f>
        <v/>
      </c>
      <c r="BB37" s="7">
        <f>MAX(AL37,BA37)</f>
        <v/>
      </c>
      <c r="BC37" s="7">
        <f>IF(BA37=1,A37,IF(4=0,"",BC36))</f>
        <v/>
      </c>
      <c r="BD37" s="7">
        <f>AK37-IF(BA37=1,AN37*AP37+AN37*vivienda_cierrePct,0)</f>
        <v/>
      </c>
      <c r="BE37" s="7">
        <f>IF(BA37=1,AN37,IF(4=0,0,BE36))</f>
        <v/>
      </c>
      <c r="BF37" s="7">
        <f>IF(BA37=1,AR37,IF(4=0,0,BF36))</f>
        <v/>
      </c>
      <c r="BG37" s="7">
        <f>IF(BA37=1,IF(AND(AO37=0,AP37&lt;0.2),1,0),IF(4=0,0,BY36))</f>
        <v/>
      </c>
      <c r="BH37" s="7">
        <f>IF(sel_cfg="casaAdu",1,0)</f>
        <v/>
      </c>
      <c r="BI37" s="7">
        <f>IF(AND(BB37=1,BH37=1,IF(4=0,0,BJ36)=0,A37&gt;=IF(BC37="",9999,BC37)+vivienda_aduRetrasoAnios),1,0)</f>
        <v/>
      </c>
      <c r="BJ37" s="7">
        <f>MAX(IF(4=0,0,BJ36),BI37)</f>
        <v/>
      </c>
      <c r="BK37" s="7">
        <f>IF(BI37=1,PMT((g_mortRate+0.005)/12,180,-loc_precio_aduCosto*C37),IF(4=0,0,BK36))</f>
        <v/>
      </c>
      <c r="BL37" s="7">
        <f>IF(BA37=1,AN37,IF(4=0,0,DT36))+IF(BI37=1,loc_precio_aduCosto*C37,0)</f>
        <v/>
      </c>
      <c r="BM37" s="7">
        <f>IF(BA37=1,AQ37,IF(4=0,0,DU36))</f>
        <v/>
      </c>
      <c r="BN37" s="7">
        <f>IF(BM37&lt;=0,0,FV(g_mortRate/12,12,BF37,-BM37))</f>
        <v/>
      </c>
      <c r="BO37" s="7">
        <f>IF(BM37&lt;=0,0,12*BF37+MIN(0,BN37))</f>
        <v/>
      </c>
      <c r="BP37" s="7">
        <f>MAX(0,BN37)</f>
        <v/>
      </c>
      <c r="BQ37" s="7">
        <f>IF(BI37=1,loc_precio_aduCosto*C37,IF(4=0,0,DV36))</f>
        <v/>
      </c>
      <c r="BR37" s="7">
        <f>IF(BQ37&lt;=0,0,FV((g_mortRate+0.005)/12,12,BK37,-BQ37))</f>
        <v/>
      </c>
      <c r="BS37" s="7">
        <f>IF(BQ37&lt;=0,0,12*BK37+MIN(0,BR37))</f>
        <v/>
      </c>
      <c r="BT37" s="7">
        <f>MAX(0,BR37)</f>
        <v/>
      </c>
      <c r="BU37" s="7">
        <f>IF(BB37=1,AM37*loc_seguroPct*(1+vivienda_inflacionSeguro)^(A37-2026)*IF(BJ37=1,1+loc_precio_aduCosto/AM37,1),0)</f>
        <v/>
      </c>
      <c r="BV37" s="7">
        <f>BL37*loc_impuestoPropPct</f>
        <v/>
      </c>
      <c r="BW37" s="7">
        <f>BL37*vivienda_mantenimientoPct</f>
        <v/>
      </c>
      <c r="BX37" s="7">
        <f>IF(AND(BG37=1,BP37&gt;0.8*BE37),BE37*(1-vivienda_enganchePct)*vivienda_pmiTasa,0)</f>
        <v/>
      </c>
      <c r="BY37" s="7">
        <f>IF(AND(BG37=1,BP37&gt;0.8*BE37),1,0)</f>
        <v/>
      </c>
      <c r="BZ37" s="7">
        <f>IF(BB37=1,AS37*loc_rentaUnidad*12*C37*(1-vivienda_vacancia)*(1-vivienda_gestionPct),0)</f>
        <v/>
      </c>
      <c r="CA37" s="7">
        <f>IF(BB37=1,BO37+BS37+BU37+BV37+BW37+BX37,loc_rentaMensual*12*C37)</f>
        <v/>
      </c>
      <c r="CB37" s="7">
        <f>IF(BB37=1,personal_aporteFamiliaMensual*12,0)</f>
        <v/>
      </c>
      <c r="CC37" s="7">
        <f>MIN(IF(4=0,personal_irsSaldo,CD36),personal_irsPagoMensual*12)</f>
        <v/>
      </c>
      <c r="CD37" s="7">
        <f>IF(4=0,personal_irsSaldo,CD36)-CC37</f>
        <v/>
      </c>
      <c r="CE37" s="7">
        <f>IF(4=0,IF(personal_deudaEsFederal=1,personal_deudaEstudiantil,0),DW36)</f>
        <v/>
      </c>
      <c r="CF37" s="7">
        <f>IF(4=0,personal_tasaDeudaEstudiantil,DX36)</f>
        <v/>
      </c>
      <c r="CG37" s="7">
        <f>IF(4=0,0,DY36)</f>
        <v/>
      </c>
      <c r="CH37" s="7">
        <f>IF(J37&gt;=0.5,1,0)</f>
        <v/>
      </c>
      <c r="CI37" s="7">
        <f>IF(AND(CH37=0,prestamos_pslfActivo=1,K37&gt;=0.5,CE37&gt;0),1,0)</f>
        <v/>
      </c>
      <c r="CJ37" s="7">
        <f>CE37*CF37</f>
        <v/>
      </c>
      <c r="CK37" s="7">
        <f>MAX(prestamos_rapPagoMinimoAnual,IF(Y37&lt;10000,0,MIN(0.1,INT(Y37/10000)/100))*Y37)</f>
        <v/>
      </c>
      <c r="CL37" s="7">
        <f>IF(CE37&lt;=0,0,IF(CH37=1,0,IF(CI37=1,MIN(CE37+CJ37,CK37),PMT(CF37,MAX(1,prestamos_plazoAnios-CG37),-CE37))))</f>
        <v/>
      </c>
      <c r="CM37" s="7">
        <f>IF(CE37&lt;=0,0,IF(CH37=1,CE37+CJ37,IF(CI37=1,MAX(0,CE37-MAX(CL37-CJ37,MIN(600,CL37))),MAX(0,CE37*(1+CF37)-CL37))))</f>
        <v/>
      </c>
      <c r="CN37" s="7">
        <f>IF(4=0,0,CN36)+IF(CI37=1,12*MIN(1,K37),0)</f>
        <v/>
      </c>
      <c r="CO37" s="7">
        <f>IF(AND(CI37=1,CN37&gt;=prestamos_pslfPagos,CM37&gt;0),CM37,0)</f>
        <v/>
      </c>
      <c r="CP37" s="7">
        <f>CM37-CO37</f>
        <v/>
      </c>
      <c r="CQ37" s="7">
        <f>IF(AND(CE37&gt;0,CH37=0,CI37=0),CG37+1,CG37)</f>
        <v/>
      </c>
      <c r="CR37" s="7">
        <f>IF(4=0,IF(personal_deudaEsFederal=1,0,personal_deudaEstudiantil),EA36)</f>
        <v/>
      </c>
      <c r="CS37" s="7">
        <f>IF(4=0,IF(personal_deudaEsFederal=1,prestamos_tasaPrivada,personal_tasaDeudaEstudiantil),EB36)</f>
        <v/>
      </c>
      <c r="CT37" s="7">
        <f>IF(4=0,0,EC36)</f>
        <v/>
      </c>
      <c r="CU37" s="7">
        <f>IF(OR(CR37&lt;=0,CH37=1),0,PMT(CS37,MAX(1,prestamos_plazoAnios-CT37),-CR37))</f>
        <v/>
      </c>
      <c r="CV37" s="7">
        <f>IF(CR37&lt;=0,0,IF(CH37=1,CR37*(1+CS37),MAX(0,CR37*(1+CS37)-CU37)))</f>
        <v/>
      </c>
      <c r="CW37" s="7">
        <f>IF(AND(CR37&gt;0,CH37=0),CT37+1,CT37)</f>
        <v/>
      </c>
      <c r="CX37" s="7">
        <f>IF(4=0,0,ED36)*(1+general_tasaDeudaConsumo)</f>
        <v/>
      </c>
      <c r="CY37" s="7">
        <f>L37*12*tiempos_travelGastoExtraMes*C37</f>
        <v/>
      </c>
      <c r="CZ37" s="7">
        <f>AJ37+CY37+CA37+CC37+CL37+CU37+I37+N37-BZ37-CB37</f>
        <v/>
      </c>
      <c r="DA37" s="7">
        <f>AH37-CZ37</f>
        <v/>
      </c>
      <c r="DB37" s="7">
        <f>IF(4=0,0,DB36)+DA37</f>
        <v/>
      </c>
      <c r="DC37" s="7">
        <f>AN37*vivienda_enganchePct+AN37*vivienda_cierrePct+general_reservaMeses/12*AJ37</f>
        <v/>
      </c>
      <c r="DD37" s="7">
        <f>IF(BB37=1,g_ret,IF(BD37&gt;0,MIN(1,DC37/BD37),1)*g_cash+(1-IF(BD37&gt;0,MIN(1,DC37/BD37),1))*g_ret)</f>
        <v/>
      </c>
      <c r="DE37" s="7">
        <f>IF(DA37&gt;=0,MIN(CX37,DA37),0)</f>
        <v/>
      </c>
      <c r="DF37" s="7">
        <f>IF(DA37&gt;=0,(1-general_tasaAhorro)*(DA37-DE37),0)</f>
        <v/>
      </c>
      <c r="DG37" s="7">
        <f>IF(DA37&gt;=0,DA37-DE37-DF37,0)</f>
        <v/>
      </c>
      <c r="DH37" s="7">
        <f>MIN(personal_rothAnual,DG37)</f>
        <v/>
      </c>
      <c r="DI37" s="7">
        <f>IF(AND(DA37&gt;=0,BB37=1,BP37+BT37&gt;0),MIN(vivienda_prepagoPct*(DG37-DH37),BP37+BT37),0)</f>
        <v/>
      </c>
      <c r="DJ37" s="7">
        <f>MIN(DI37,BP37)</f>
        <v/>
      </c>
      <c r="DK37" s="7">
        <f>IF(DA37&lt;0,MIN(MAX(0,BD37),-DA37),0)</f>
        <v/>
      </c>
      <c r="DL37" s="7">
        <f>IF(DA37&lt;0,-DA37-DK37,0)</f>
        <v/>
      </c>
      <c r="DM37" s="7">
        <f>IF(4=0,0,DZ36)</f>
        <v/>
      </c>
      <c r="DN37" s="7">
        <f>IF(AND(DL37&gt;0,J37&gt;0),MIN(DL37,MIN(prestamos_topeAnualPosgrado*MIN(1,J37),MAX(0,prestamos_topeTotalPosgrado-DM37))),0)</f>
        <v/>
      </c>
      <c r="DO37" s="7">
        <f>IF(AND(DL37&gt;0,J37&gt;0),DL37-DN37,0)</f>
        <v/>
      </c>
      <c r="DP37" s="7">
        <f>IF(AND(DL37&gt;0,J37&lt;=0),DL37,0)</f>
        <v/>
      </c>
      <c r="DQ37" s="7">
        <f>IF(DA37&gt;=0,DG37-DH37-DI37,-DK37)</f>
        <v/>
      </c>
      <c r="DR37" s="7">
        <f>BD37*(1+DD37)+DQ37*(1+DD37/2)</f>
        <v/>
      </c>
      <c r="DS37" s="7">
        <f>IF(4=0,personal_retiroInicial,DS36)*(1+g_ret)+(O37+P37+DH37)*(1+g_ret/2)</f>
        <v/>
      </c>
      <c r="DT37" s="7">
        <f>IF(BB37=1,BL37*(1+g_appr),0)</f>
        <v/>
      </c>
      <c r="DU37" s="7">
        <f>BP37-DJ37</f>
        <v/>
      </c>
      <c r="DV37" s="7">
        <f>BT37-(DI37-DJ37)</f>
        <v/>
      </c>
      <c r="DW37" s="7">
        <f>CP37+DN37</f>
        <v/>
      </c>
      <c r="DX37" s="7">
        <f>IF(DN37&gt;0,(CP37*CF37+DN37*prestamos_tasaFederalPosgrado)/(CP37+DN37),CF37)</f>
        <v/>
      </c>
      <c r="DY37" s="7">
        <f>IF(DN37&gt;0,0,CQ37)</f>
        <v/>
      </c>
      <c r="DZ37" s="7">
        <f>DM37+DN37</f>
        <v/>
      </c>
      <c r="EA37" s="7">
        <f>CV37+DO37</f>
        <v/>
      </c>
      <c r="EB37" s="7">
        <f>IF(DO37&gt;0,(CV37*CS37+DO37*prestamos_tasaPrivada)/(CV37+DO37),CS37)</f>
        <v/>
      </c>
      <c r="EC37" s="7">
        <f>IF(DO37&gt;0,0,CW37)</f>
        <v/>
      </c>
      <c r="ED37" s="7">
        <f>CX37-DE37+DP37</f>
        <v/>
      </c>
      <c r="EE37" s="7">
        <f>IF(IF(4=0,"",EE36)&lt;&gt;"",EE36,IF(AND(BB37=1,DU37&lt;=0.5,DV37&lt;=0.5,OR(BH37=0,BJ37=1)),A37,""))</f>
        <v/>
      </c>
      <c r="EF37" s="7">
        <f>DU37+DV37+DW37+EA37+ED37+CD37</f>
        <v/>
      </c>
      <c r="EG37" s="7">
        <f>DR37+DS37+DT37-EF37</f>
        <v/>
      </c>
      <c r="EH37" s="7">
        <f>EG37/(1+g_inf)^(A37+1-2026)</f>
        <v/>
      </c>
    </row>
    <row r="38">
      <c r="A38" t="n">
        <v>2032</v>
      </c>
      <c r="B38" t="n">
        <v>5</v>
      </c>
      <c r="C38" s="7">
        <f>(1+g_inf)^(A38-2026)</f>
        <v/>
      </c>
      <c r="D38" s="7">
        <f>SUMPRODUCT($Y$5:$Y$29,$E$5:$E$29*(1+$F$5:$F$29)^(A38-2026)*$G$5:$G$29*$H$5:$H$29*(1-$N$5:$N$29*$O$5:$O$29))*g_salMult+SUMPRODUCT(($B$5:$B$29&gt;=A38)*($B$5:$B$29&lt;A38+1)*$I$5:$I$29)*g_salMult</f>
        <v/>
      </c>
      <c r="E38" s="7">
        <f>SUMPRODUCT($Y$5:$Y$29,$E$5:$E$29*(1+$F$5:$F$29)^(A38-2026)*$G$5:$G$29*$H$5:$H$29*$M$5:$M$29)*g_salMult</f>
        <v/>
      </c>
      <c r="F38" s="7">
        <f>SUMPRODUCT($Y$5:$Y$29,$E$5:$E$29*(1+$F$5:$F$29)^(A38-2026)*$G$5:$G$29*$H$5:$H$29*$N$5:$N$29*$O$5:$O$29)*g_salMult</f>
        <v/>
      </c>
      <c r="G38" s="7">
        <f>SUMPRODUCT($Y$5:$Y$29,$P$5:$P$29*(1+$F$5:$F$29)^(A38-2026))</f>
        <v/>
      </c>
      <c r="H38" s="7">
        <f>SUMPRODUCT($Y$5:$Y$29,$Q$5:$Q$29*(1+$F$5:$F$29)^(A38-2026))+IF(personal_llcActivo=1,personal_llcNeto*(1+personal_llcCrecimiento)^5,0)</f>
        <v/>
      </c>
      <c r="I38" s="7">
        <f>SUMPRODUCT($Y$5:$Y$29,$J$5:$J$29/($C$5:$C$29-$B$5:$B$29+($C$5:$C$29=$B$5:$B$29)))*C38</f>
        <v/>
      </c>
      <c r="J38" s="7">
        <f>SUMPRODUCT($Y$5:$Y$29,$K$5:$K$29)</f>
        <v/>
      </c>
      <c r="K38" s="7">
        <f>SUMPRODUCT($Y$5:$Y$29,$L$5:$L$29)</f>
        <v/>
      </c>
      <c r="L38" s="7">
        <f>SUMPRODUCT($Y$5:$Y$29,$N$5:$N$29)</f>
        <v/>
      </c>
      <c r="M38" s="7">
        <f>IF(SUMPRODUCT($Y$5:$Y$29,$R$5:$R$29)&gt;0,1,0)</f>
        <v/>
      </c>
      <c r="N38" s="7">
        <f>SUMPRODUCT(($AO$5:$AO$24&gt;=A38)*($AO$5:$AO$24&lt;A38+1)*$AP$5:$AP$24)*C38+IF(5=0,IF(sel_loc&lt;&gt;"miami",personal_costoMudanzaInicial,0),0)</f>
        <v/>
      </c>
      <c r="O38" s="7">
        <f>MIN(personal_aporte403bPct*D38,retiro_limite403b*C38)</f>
        <v/>
      </c>
      <c r="P38" s="7">
        <f>MIN(personal_aporte403bPct,personal_match403bPct)*E38</f>
        <v/>
      </c>
      <c r="Q38" s="7">
        <f>IF(G38&gt;0,MAX(0,G38-impuestos_scorpCostoAnual*C38),0)</f>
        <v/>
      </c>
      <c r="R38" s="7">
        <f>Q38*impuestos_scorpSalarioPct/(1+impuestos_ssTasa+impuestos_medicareTasa)</f>
        <v/>
      </c>
      <c r="S38" s="7">
        <f>impuestos_ssTasa*MIN(R38,MAX(0,impuestos_ssTope*C38-D38))+impuestos_medicareTasa*R38</f>
        <v/>
      </c>
      <c r="T38" s="7">
        <f>Q38-R38-S38</f>
        <v/>
      </c>
      <c r="U38" s="7">
        <f>D38+R38</f>
        <v/>
      </c>
      <c r="V38" s="7">
        <f>H38*0.9235</f>
        <v/>
      </c>
      <c r="W38" s="7">
        <f>IF(H38&gt;0,2*impuestos_ssTasa*MIN(V38,MAX(0,impuestos_ssTope*C38-U38))+2*impuestos_medicareTasa*V38,0)</f>
        <v/>
      </c>
      <c r="X38" s="7">
        <f>impuestos_ssTasa*MIN(U38,impuestos_ssTope*C38)+impuestos_medicareTasa*U38+impuestos_medicareAdicional*MAX(0,U38+H38*0.9235-impuestos_medicareUmbral)</f>
        <v/>
      </c>
      <c r="Y38" s="7">
        <f>MAX(0,D38-O38+R38+T38+H38-W38/2)</f>
        <v/>
      </c>
      <c r="Z38" s="7">
        <f>MAX(0,Y38-impuestos_deduccionEstandar*C38)</f>
        <v/>
      </c>
      <c r="AA38" s="7">
        <f>MIN(0.2*MAX(0,T38+H38-W38/2)*MAX(0,MIN(1,1-(Z38-impuestos_qbiUmbral*C38)/(impuestos_qbiRango*C38))),0.2*Z38)</f>
        <v/>
      </c>
      <c r="AB38" s="7">
        <f>MAX(0,Z38-AA38)</f>
        <v/>
      </c>
      <c r="AC38" s="7">
        <f>SUMPRODUCT((AB38&gt;tb_federalBrackets_lo*C38)*(AB38-tb_federalBrackets_lo*C38)*tb_federalBrackets_dr)</f>
        <v/>
      </c>
      <c r="AD38" s="7">
        <f>MAX(0,Y38-impuestos_nyDeduccion*C38)</f>
        <v/>
      </c>
      <c r="AE38" s="7">
        <f>CHOOSE(loc_taxcode,0,impuestos_ohTasa*MAX(0,Y38-impuestos_ohExento*C38)+impuestos_ohMunicipal*U38,SUMPRODUCT((AD38&gt;tb_nyBrackets_lo*C38)*(AD38-tb_nyBrackets_lo*C38)*tb_nyBrackets_dr)+loc_nyc*SUMPRODUCT((AD38&gt;tb_nycBrackets_lo*C38)*(AD38-tb_nycBrackets_lo*C38)*tb_nycBrackets_dr))</f>
        <v/>
      </c>
      <c r="AF38" s="7">
        <f>AC38+AE38+X38+W38</f>
        <v/>
      </c>
      <c r="AG38" s="7">
        <f>D38+F38+R38+T38+H38</f>
        <v/>
      </c>
      <c r="AH38" s="7">
        <f>AG38-AF38-O38</f>
        <v/>
      </c>
      <c r="AI38" s="7">
        <f>D38+F38+G38+H38</f>
        <v/>
      </c>
      <c r="AJ38" s="7">
        <f>loc_gastosVida*C38*g_gastos</f>
        <v/>
      </c>
      <c r="AK38" s="7">
        <f>IF(5=0,personal_liquidoInicial,DR37)</f>
        <v/>
      </c>
      <c r="AL38" s="7">
        <f>IF(5=0,0,BB37)</f>
        <v/>
      </c>
      <c r="AM38" s="7">
        <f>CHOOSE(sel_cfgIdx,loc_precio_duplex,loc_precio_inlaw,loc_precio_dosCasas,loc_precio_casaAdu,loc_precio_multi)</f>
        <v/>
      </c>
      <c r="AN38" s="7">
        <f>AM38*(1+g_appr)^(A38-2026)</f>
        <v/>
      </c>
      <c r="AO38" s="7">
        <f>IF(AND(M38=1,vivienda_prestamoMedico=1),1,0)</f>
        <v/>
      </c>
      <c r="AP38" s="7">
        <f>IF(AO38=1,0.05,vivienda_enganchePct)</f>
        <v/>
      </c>
      <c r="AQ38" s="7">
        <f>AN38*(1-AP38)</f>
        <v/>
      </c>
      <c r="AR38" s="7">
        <f>PMT(g_mortRate/12,vivienda_plazoHipoteca*12,-AQ38)</f>
        <v/>
      </c>
      <c r="AS38" s="7">
        <f>INDEX(cfg_units,sel_cfgIdx)</f>
        <v/>
      </c>
      <c r="AT38" s="7">
        <f>AS38*loc_rentaUnidad*(1+g_inf)^(A38-2026)*(1-vivienda_vacancia)</f>
        <v/>
      </c>
      <c r="AU38" s="7">
        <f>AR38+AN38*loc_impuestoPropPct/12+AM38*loc_seguroPct*(1+vivienda_inflacionSeguro)^(A38-2026)/12+IF(AND(AO38=0,AP38&lt;0.2),AQ38*vivienda_pmiTasa/12,0)</f>
        <v/>
      </c>
      <c r="AV38" s="7">
        <f>AN38*AP38+AN38*vivienda_cierrePct+general_reservaMeses/12*AJ38</f>
        <v/>
      </c>
      <c r="AW38" s="7">
        <f>(IF(5=0,MIN(personal_irsSaldo,personal_irsPagoMensual*12),MIN(CD37,personal_irsPagoMensual*12))+IF(CE38&gt;0,PMT(CF38,MAX(1,prestamos_plazoAnios-CG38),-CE38),0)+IF(CR38&gt;0,PMT(CS38,MAX(1,prestamos_plazoAnios-CT38),-CR38),0))/12</f>
        <v/>
      </c>
      <c r="AX38" s="7">
        <f>IF(OR(sel_cfg="duplex",sel_cfg="multi",sel_cfg="dosCasas"),0.75*personal_aporteFamiliaMensual,0)</f>
        <v/>
      </c>
      <c r="AY38" s="7">
        <f>AU38-0.75*AT38-AX38+AW38</f>
        <v/>
      </c>
      <c r="AZ38" s="7">
        <f>(D38+G38+H38+0.5*F38)/12</f>
        <v/>
      </c>
      <c r="BA38" s="7">
        <f>IF(AND(AL38=0,A38&gt;=vivienda_anioMinCompra,J38&lt;0.5,AI38&gt;0,AK38&gt;=AV38,AY38&lt;=vivienda_dtiMax*AZ38),1,0)</f>
        <v/>
      </c>
      <c r="BB38" s="7">
        <f>MAX(AL38,BA38)</f>
        <v/>
      </c>
      <c r="BC38" s="7">
        <f>IF(BA38=1,A38,IF(5=0,"",BC37))</f>
        <v/>
      </c>
      <c r="BD38" s="7">
        <f>AK38-IF(BA38=1,AN38*AP38+AN38*vivienda_cierrePct,0)</f>
        <v/>
      </c>
      <c r="BE38" s="7">
        <f>IF(BA38=1,AN38,IF(5=0,0,BE37))</f>
        <v/>
      </c>
      <c r="BF38" s="7">
        <f>IF(BA38=1,AR38,IF(5=0,0,BF37))</f>
        <v/>
      </c>
      <c r="BG38" s="7">
        <f>IF(BA38=1,IF(AND(AO38=0,AP38&lt;0.2),1,0),IF(5=0,0,BY37))</f>
        <v/>
      </c>
      <c r="BH38" s="7">
        <f>IF(sel_cfg="casaAdu",1,0)</f>
        <v/>
      </c>
      <c r="BI38" s="7">
        <f>IF(AND(BB38=1,BH38=1,IF(5=0,0,BJ37)=0,A38&gt;=IF(BC38="",9999,BC38)+vivienda_aduRetrasoAnios),1,0)</f>
        <v/>
      </c>
      <c r="BJ38" s="7">
        <f>MAX(IF(5=0,0,BJ37),BI38)</f>
        <v/>
      </c>
      <c r="BK38" s="7">
        <f>IF(BI38=1,PMT((g_mortRate+0.005)/12,180,-loc_precio_aduCosto*C38),IF(5=0,0,BK37))</f>
        <v/>
      </c>
      <c r="BL38" s="7">
        <f>IF(BA38=1,AN38,IF(5=0,0,DT37))+IF(BI38=1,loc_precio_aduCosto*C38,0)</f>
        <v/>
      </c>
      <c r="BM38" s="7">
        <f>IF(BA38=1,AQ38,IF(5=0,0,DU37))</f>
        <v/>
      </c>
      <c r="BN38" s="7">
        <f>IF(BM38&lt;=0,0,FV(g_mortRate/12,12,BF38,-BM38))</f>
        <v/>
      </c>
      <c r="BO38" s="7">
        <f>IF(BM38&lt;=0,0,12*BF38+MIN(0,BN38))</f>
        <v/>
      </c>
      <c r="BP38" s="7">
        <f>MAX(0,BN38)</f>
        <v/>
      </c>
      <c r="BQ38" s="7">
        <f>IF(BI38=1,loc_precio_aduCosto*C38,IF(5=0,0,DV37))</f>
        <v/>
      </c>
      <c r="BR38" s="7">
        <f>IF(BQ38&lt;=0,0,FV((g_mortRate+0.005)/12,12,BK38,-BQ38))</f>
        <v/>
      </c>
      <c r="BS38" s="7">
        <f>IF(BQ38&lt;=0,0,12*BK38+MIN(0,BR38))</f>
        <v/>
      </c>
      <c r="BT38" s="7">
        <f>MAX(0,BR38)</f>
        <v/>
      </c>
      <c r="BU38" s="7">
        <f>IF(BB38=1,AM38*loc_seguroPct*(1+vivienda_inflacionSeguro)^(A38-2026)*IF(BJ38=1,1+loc_precio_aduCosto/AM38,1),0)</f>
        <v/>
      </c>
      <c r="BV38" s="7">
        <f>BL38*loc_impuestoPropPct</f>
        <v/>
      </c>
      <c r="BW38" s="7">
        <f>BL38*vivienda_mantenimientoPct</f>
        <v/>
      </c>
      <c r="BX38" s="7">
        <f>IF(AND(BG38=1,BP38&gt;0.8*BE38),BE38*(1-vivienda_enganchePct)*vivienda_pmiTasa,0)</f>
        <v/>
      </c>
      <c r="BY38" s="7">
        <f>IF(AND(BG38=1,BP38&gt;0.8*BE38),1,0)</f>
        <v/>
      </c>
      <c r="BZ38" s="7">
        <f>IF(BB38=1,AS38*loc_rentaUnidad*12*C38*(1-vivienda_vacancia)*(1-vivienda_gestionPct),0)</f>
        <v/>
      </c>
      <c r="CA38" s="7">
        <f>IF(BB38=1,BO38+BS38+BU38+BV38+BW38+BX38,loc_rentaMensual*12*C38)</f>
        <v/>
      </c>
      <c r="CB38" s="7">
        <f>IF(BB38=1,personal_aporteFamiliaMensual*12,0)</f>
        <v/>
      </c>
      <c r="CC38" s="7">
        <f>MIN(IF(5=0,personal_irsSaldo,CD37),personal_irsPagoMensual*12)</f>
        <v/>
      </c>
      <c r="CD38" s="7">
        <f>IF(5=0,personal_irsSaldo,CD37)-CC38</f>
        <v/>
      </c>
      <c r="CE38" s="7">
        <f>IF(5=0,IF(personal_deudaEsFederal=1,personal_deudaEstudiantil,0),DW37)</f>
        <v/>
      </c>
      <c r="CF38" s="7">
        <f>IF(5=0,personal_tasaDeudaEstudiantil,DX37)</f>
        <v/>
      </c>
      <c r="CG38" s="7">
        <f>IF(5=0,0,DY37)</f>
        <v/>
      </c>
      <c r="CH38" s="7">
        <f>IF(J38&gt;=0.5,1,0)</f>
        <v/>
      </c>
      <c r="CI38" s="7">
        <f>IF(AND(CH38=0,prestamos_pslfActivo=1,K38&gt;=0.5,CE38&gt;0),1,0)</f>
        <v/>
      </c>
      <c r="CJ38" s="7">
        <f>CE38*CF38</f>
        <v/>
      </c>
      <c r="CK38" s="7">
        <f>MAX(prestamos_rapPagoMinimoAnual,IF(Y38&lt;10000,0,MIN(0.1,INT(Y38/10000)/100))*Y38)</f>
        <v/>
      </c>
      <c r="CL38" s="7">
        <f>IF(CE38&lt;=0,0,IF(CH38=1,0,IF(CI38=1,MIN(CE38+CJ38,CK38),PMT(CF38,MAX(1,prestamos_plazoAnios-CG38),-CE38))))</f>
        <v/>
      </c>
      <c r="CM38" s="7">
        <f>IF(CE38&lt;=0,0,IF(CH38=1,CE38+CJ38,IF(CI38=1,MAX(0,CE38-MAX(CL38-CJ38,MIN(600,CL38))),MAX(0,CE38*(1+CF38)-CL38))))</f>
        <v/>
      </c>
      <c r="CN38" s="7">
        <f>IF(5=0,0,CN37)+IF(CI38=1,12*MIN(1,K38),0)</f>
        <v/>
      </c>
      <c r="CO38" s="7">
        <f>IF(AND(CI38=1,CN38&gt;=prestamos_pslfPagos,CM38&gt;0),CM38,0)</f>
        <v/>
      </c>
      <c r="CP38" s="7">
        <f>CM38-CO38</f>
        <v/>
      </c>
      <c r="CQ38" s="7">
        <f>IF(AND(CE38&gt;0,CH38=0,CI38=0),CG38+1,CG38)</f>
        <v/>
      </c>
      <c r="CR38" s="7">
        <f>IF(5=0,IF(personal_deudaEsFederal=1,0,personal_deudaEstudiantil),EA37)</f>
        <v/>
      </c>
      <c r="CS38" s="7">
        <f>IF(5=0,IF(personal_deudaEsFederal=1,prestamos_tasaPrivada,personal_tasaDeudaEstudiantil),EB37)</f>
        <v/>
      </c>
      <c r="CT38" s="7">
        <f>IF(5=0,0,EC37)</f>
        <v/>
      </c>
      <c r="CU38" s="7">
        <f>IF(OR(CR38&lt;=0,CH38=1),0,PMT(CS38,MAX(1,prestamos_plazoAnios-CT38),-CR38))</f>
        <v/>
      </c>
      <c r="CV38" s="7">
        <f>IF(CR38&lt;=0,0,IF(CH38=1,CR38*(1+CS38),MAX(0,CR38*(1+CS38)-CU38)))</f>
        <v/>
      </c>
      <c r="CW38" s="7">
        <f>IF(AND(CR38&gt;0,CH38=0),CT38+1,CT38)</f>
        <v/>
      </c>
      <c r="CX38" s="7">
        <f>IF(5=0,0,ED37)*(1+general_tasaDeudaConsumo)</f>
        <v/>
      </c>
      <c r="CY38" s="7">
        <f>L38*12*tiempos_travelGastoExtraMes*C38</f>
        <v/>
      </c>
      <c r="CZ38" s="7">
        <f>AJ38+CY38+CA38+CC38+CL38+CU38+I38+N38-BZ38-CB38</f>
        <v/>
      </c>
      <c r="DA38" s="7">
        <f>AH38-CZ38</f>
        <v/>
      </c>
      <c r="DB38" s="7">
        <f>IF(5=0,0,DB37)+DA38</f>
        <v/>
      </c>
      <c r="DC38" s="7">
        <f>AN38*vivienda_enganchePct+AN38*vivienda_cierrePct+general_reservaMeses/12*AJ38</f>
        <v/>
      </c>
      <c r="DD38" s="7">
        <f>IF(BB38=1,g_ret,IF(BD38&gt;0,MIN(1,DC38/BD38),1)*g_cash+(1-IF(BD38&gt;0,MIN(1,DC38/BD38),1))*g_ret)</f>
        <v/>
      </c>
      <c r="DE38" s="7">
        <f>IF(DA38&gt;=0,MIN(CX38,DA38),0)</f>
        <v/>
      </c>
      <c r="DF38" s="7">
        <f>IF(DA38&gt;=0,(1-general_tasaAhorro)*(DA38-DE38),0)</f>
        <v/>
      </c>
      <c r="DG38" s="7">
        <f>IF(DA38&gt;=0,DA38-DE38-DF38,0)</f>
        <v/>
      </c>
      <c r="DH38" s="7">
        <f>MIN(personal_rothAnual,DG38)</f>
        <v/>
      </c>
      <c r="DI38" s="7">
        <f>IF(AND(DA38&gt;=0,BB38=1,BP38+BT38&gt;0),MIN(vivienda_prepagoPct*(DG38-DH38),BP38+BT38),0)</f>
        <v/>
      </c>
      <c r="DJ38" s="7">
        <f>MIN(DI38,BP38)</f>
        <v/>
      </c>
      <c r="DK38" s="7">
        <f>IF(DA38&lt;0,MIN(MAX(0,BD38),-DA38),0)</f>
        <v/>
      </c>
      <c r="DL38" s="7">
        <f>IF(DA38&lt;0,-DA38-DK38,0)</f>
        <v/>
      </c>
      <c r="DM38" s="7">
        <f>IF(5=0,0,DZ37)</f>
        <v/>
      </c>
      <c r="DN38" s="7">
        <f>IF(AND(DL38&gt;0,J38&gt;0),MIN(DL38,MIN(prestamos_topeAnualPosgrado*MIN(1,J38),MAX(0,prestamos_topeTotalPosgrado-DM38))),0)</f>
        <v/>
      </c>
      <c r="DO38" s="7">
        <f>IF(AND(DL38&gt;0,J38&gt;0),DL38-DN38,0)</f>
        <v/>
      </c>
      <c r="DP38" s="7">
        <f>IF(AND(DL38&gt;0,J38&lt;=0),DL38,0)</f>
        <v/>
      </c>
      <c r="DQ38" s="7">
        <f>IF(DA38&gt;=0,DG38-DH38-DI38,-DK38)</f>
        <v/>
      </c>
      <c r="DR38" s="7">
        <f>BD38*(1+DD38)+DQ38*(1+DD38/2)</f>
        <v/>
      </c>
      <c r="DS38" s="7">
        <f>IF(5=0,personal_retiroInicial,DS37)*(1+g_ret)+(O38+P38+DH38)*(1+g_ret/2)</f>
        <v/>
      </c>
      <c r="DT38" s="7">
        <f>IF(BB38=1,BL38*(1+g_appr),0)</f>
        <v/>
      </c>
      <c r="DU38" s="7">
        <f>BP38-DJ38</f>
        <v/>
      </c>
      <c r="DV38" s="7">
        <f>BT38-(DI38-DJ38)</f>
        <v/>
      </c>
      <c r="DW38" s="7">
        <f>CP38+DN38</f>
        <v/>
      </c>
      <c r="DX38" s="7">
        <f>IF(DN38&gt;0,(CP38*CF38+DN38*prestamos_tasaFederalPosgrado)/(CP38+DN38),CF38)</f>
        <v/>
      </c>
      <c r="DY38" s="7">
        <f>IF(DN38&gt;0,0,CQ38)</f>
        <v/>
      </c>
      <c r="DZ38" s="7">
        <f>DM38+DN38</f>
        <v/>
      </c>
      <c r="EA38" s="7">
        <f>CV38+DO38</f>
        <v/>
      </c>
      <c r="EB38" s="7">
        <f>IF(DO38&gt;0,(CV38*CS38+DO38*prestamos_tasaPrivada)/(CV38+DO38),CS38)</f>
        <v/>
      </c>
      <c r="EC38" s="7">
        <f>IF(DO38&gt;0,0,CW38)</f>
        <v/>
      </c>
      <c r="ED38" s="7">
        <f>CX38-DE38+DP38</f>
        <v/>
      </c>
      <c r="EE38" s="7">
        <f>IF(IF(5=0,"",EE37)&lt;&gt;"",EE37,IF(AND(BB38=1,DU38&lt;=0.5,DV38&lt;=0.5,OR(BH38=0,BJ38=1)),A38,""))</f>
        <v/>
      </c>
      <c r="EF38" s="7">
        <f>DU38+DV38+DW38+EA38+ED38+CD38</f>
        <v/>
      </c>
      <c r="EG38" s="7">
        <f>DR38+DS38+DT38-EF38</f>
        <v/>
      </c>
      <c r="EH38" s="7">
        <f>EG38/(1+g_inf)^(A38+1-2026)</f>
        <v/>
      </c>
    </row>
    <row r="39">
      <c r="A39" t="n">
        <v>2033</v>
      </c>
      <c r="B39" t="n">
        <v>6</v>
      </c>
      <c r="C39" s="7">
        <f>(1+g_inf)^(A39-2026)</f>
        <v/>
      </c>
      <c r="D39" s="7">
        <f>SUMPRODUCT($Z$5:$Z$29,$E$5:$E$29*(1+$F$5:$F$29)^(A39-2026)*$G$5:$G$29*$H$5:$H$29*(1-$N$5:$N$29*$O$5:$O$29))*g_salMult+SUMPRODUCT(($B$5:$B$29&gt;=A39)*($B$5:$B$29&lt;A39+1)*$I$5:$I$29)*g_salMult</f>
        <v/>
      </c>
      <c r="E39" s="7">
        <f>SUMPRODUCT($Z$5:$Z$29,$E$5:$E$29*(1+$F$5:$F$29)^(A39-2026)*$G$5:$G$29*$H$5:$H$29*$M$5:$M$29)*g_salMult</f>
        <v/>
      </c>
      <c r="F39" s="7">
        <f>SUMPRODUCT($Z$5:$Z$29,$E$5:$E$29*(1+$F$5:$F$29)^(A39-2026)*$G$5:$G$29*$H$5:$H$29*$N$5:$N$29*$O$5:$O$29)*g_salMult</f>
        <v/>
      </c>
      <c r="G39" s="7">
        <f>SUMPRODUCT($Z$5:$Z$29,$P$5:$P$29*(1+$F$5:$F$29)^(A39-2026))</f>
        <v/>
      </c>
      <c r="H39" s="7">
        <f>SUMPRODUCT($Z$5:$Z$29,$Q$5:$Q$29*(1+$F$5:$F$29)^(A39-2026))+IF(personal_llcActivo=1,personal_llcNeto*(1+personal_llcCrecimiento)^6,0)</f>
        <v/>
      </c>
      <c r="I39" s="7">
        <f>SUMPRODUCT($Z$5:$Z$29,$J$5:$J$29/($C$5:$C$29-$B$5:$B$29+($C$5:$C$29=$B$5:$B$29)))*C39</f>
        <v/>
      </c>
      <c r="J39" s="7">
        <f>SUMPRODUCT($Z$5:$Z$29,$K$5:$K$29)</f>
        <v/>
      </c>
      <c r="K39" s="7">
        <f>SUMPRODUCT($Z$5:$Z$29,$L$5:$L$29)</f>
        <v/>
      </c>
      <c r="L39" s="7">
        <f>SUMPRODUCT($Z$5:$Z$29,$N$5:$N$29)</f>
        <v/>
      </c>
      <c r="M39" s="7">
        <f>IF(SUMPRODUCT($Z$5:$Z$29,$R$5:$R$29)&gt;0,1,0)</f>
        <v/>
      </c>
      <c r="N39" s="7">
        <f>SUMPRODUCT(($AO$5:$AO$24&gt;=A39)*($AO$5:$AO$24&lt;A39+1)*$AP$5:$AP$24)*C39+IF(6=0,IF(sel_loc&lt;&gt;"miami",personal_costoMudanzaInicial,0),0)</f>
        <v/>
      </c>
      <c r="O39" s="7">
        <f>MIN(personal_aporte403bPct*D39,retiro_limite403b*C39)</f>
        <v/>
      </c>
      <c r="P39" s="7">
        <f>MIN(personal_aporte403bPct,personal_match403bPct)*E39</f>
        <v/>
      </c>
      <c r="Q39" s="7">
        <f>IF(G39&gt;0,MAX(0,G39-impuestos_scorpCostoAnual*C39),0)</f>
        <v/>
      </c>
      <c r="R39" s="7">
        <f>Q39*impuestos_scorpSalarioPct/(1+impuestos_ssTasa+impuestos_medicareTasa)</f>
        <v/>
      </c>
      <c r="S39" s="7">
        <f>impuestos_ssTasa*MIN(R39,MAX(0,impuestos_ssTope*C39-D39))+impuestos_medicareTasa*R39</f>
        <v/>
      </c>
      <c r="T39" s="7">
        <f>Q39-R39-S39</f>
        <v/>
      </c>
      <c r="U39" s="7">
        <f>D39+R39</f>
        <v/>
      </c>
      <c r="V39" s="7">
        <f>H39*0.9235</f>
        <v/>
      </c>
      <c r="W39" s="7">
        <f>IF(H39&gt;0,2*impuestos_ssTasa*MIN(V39,MAX(0,impuestos_ssTope*C39-U39))+2*impuestos_medicareTasa*V39,0)</f>
        <v/>
      </c>
      <c r="X39" s="7">
        <f>impuestos_ssTasa*MIN(U39,impuestos_ssTope*C39)+impuestos_medicareTasa*U39+impuestos_medicareAdicional*MAX(0,U39+H39*0.9235-impuestos_medicareUmbral)</f>
        <v/>
      </c>
      <c r="Y39" s="7">
        <f>MAX(0,D39-O39+R39+T39+H39-W39/2)</f>
        <v/>
      </c>
      <c r="Z39" s="7">
        <f>MAX(0,Y39-impuestos_deduccionEstandar*C39)</f>
        <v/>
      </c>
      <c r="AA39" s="7">
        <f>MIN(0.2*MAX(0,T39+H39-W39/2)*MAX(0,MIN(1,1-(Z39-impuestos_qbiUmbral*C39)/(impuestos_qbiRango*C39))),0.2*Z39)</f>
        <v/>
      </c>
      <c r="AB39" s="7">
        <f>MAX(0,Z39-AA39)</f>
        <v/>
      </c>
      <c r="AC39" s="7">
        <f>SUMPRODUCT((AB39&gt;tb_federalBrackets_lo*C39)*(AB39-tb_federalBrackets_lo*C39)*tb_federalBrackets_dr)</f>
        <v/>
      </c>
      <c r="AD39" s="7">
        <f>MAX(0,Y39-impuestos_nyDeduccion*C39)</f>
        <v/>
      </c>
      <c r="AE39" s="7">
        <f>CHOOSE(loc_taxcode,0,impuestos_ohTasa*MAX(0,Y39-impuestos_ohExento*C39)+impuestos_ohMunicipal*U39,SUMPRODUCT((AD39&gt;tb_nyBrackets_lo*C39)*(AD39-tb_nyBrackets_lo*C39)*tb_nyBrackets_dr)+loc_nyc*SUMPRODUCT((AD39&gt;tb_nycBrackets_lo*C39)*(AD39-tb_nycBrackets_lo*C39)*tb_nycBrackets_dr))</f>
        <v/>
      </c>
      <c r="AF39" s="7">
        <f>AC39+AE39+X39+W39</f>
        <v/>
      </c>
      <c r="AG39" s="7">
        <f>D39+F39+R39+T39+H39</f>
        <v/>
      </c>
      <c r="AH39" s="7">
        <f>AG39-AF39-O39</f>
        <v/>
      </c>
      <c r="AI39" s="7">
        <f>D39+F39+G39+H39</f>
        <v/>
      </c>
      <c r="AJ39" s="7">
        <f>loc_gastosVida*C39*g_gastos</f>
        <v/>
      </c>
      <c r="AK39" s="7">
        <f>IF(6=0,personal_liquidoInicial,DR38)</f>
        <v/>
      </c>
      <c r="AL39" s="7">
        <f>IF(6=0,0,BB38)</f>
        <v/>
      </c>
      <c r="AM39" s="7">
        <f>CHOOSE(sel_cfgIdx,loc_precio_duplex,loc_precio_inlaw,loc_precio_dosCasas,loc_precio_casaAdu,loc_precio_multi)</f>
        <v/>
      </c>
      <c r="AN39" s="7">
        <f>AM39*(1+g_appr)^(A39-2026)</f>
        <v/>
      </c>
      <c r="AO39" s="7">
        <f>IF(AND(M39=1,vivienda_prestamoMedico=1),1,0)</f>
        <v/>
      </c>
      <c r="AP39" s="7">
        <f>IF(AO39=1,0.05,vivienda_enganchePct)</f>
        <v/>
      </c>
      <c r="AQ39" s="7">
        <f>AN39*(1-AP39)</f>
        <v/>
      </c>
      <c r="AR39" s="7">
        <f>PMT(g_mortRate/12,vivienda_plazoHipoteca*12,-AQ39)</f>
        <v/>
      </c>
      <c r="AS39" s="7">
        <f>INDEX(cfg_units,sel_cfgIdx)</f>
        <v/>
      </c>
      <c r="AT39" s="7">
        <f>AS39*loc_rentaUnidad*(1+g_inf)^(A39-2026)*(1-vivienda_vacancia)</f>
        <v/>
      </c>
      <c r="AU39" s="7">
        <f>AR39+AN39*loc_impuestoPropPct/12+AM39*loc_seguroPct*(1+vivienda_inflacionSeguro)^(A39-2026)/12+IF(AND(AO39=0,AP39&lt;0.2),AQ39*vivienda_pmiTasa/12,0)</f>
        <v/>
      </c>
      <c r="AV39" s="7">
        <f>AN39*AP39+AN39*vivienda_cierrePct+general_reservaMeses/12*AJ39</f>
        <v/>
      </c>
      <c r="AW39" s="7">
        <f>(IF(6=0,MIN(personal_irsSaldo,personal_irsPagoMensual*12),MIN(CD38,personal_irsPagoMensual*12))+IF(CE39&gt;0,PMT(CF39,MAX(1,prestamos_plazoAnios-CG39),-CE39),0)+IF(CR39&gt;0,PMT(CS39,MAX(1,prestamos_plazoAnios-CT39),-CR39),0))/12</f>
        <v/>
      </c>
      <c r="AX39" s="7">
        <f>IF(OR(sel_cfg="duplex",sel_cfg="multi",sel_cfg="dosCasas"),0.75*personal_aporteFamiliaMensual,0)</f>
        <v/>
      </c>
      <c r="AY39" s="7">
        <f>AU39-0.75*AT39-AX39+AW39</f>
        <v/>
      </c>
      <c r="AZ39" s="7">
        <f>(D39+G39+H39+0.5*F39)/12</f>
        <v/>
      </c>
      <c r="BA39" s="7">
        <f>IF(AND(AL39=0,A39&gt;=vivienda_anioMinCompra,J39&lt;0.5,AI39&gt;0,AK39&gt;=AV39,AY39&lt;=vivienda_dtiMax*AZ39),1,0)</f>
        <v/>
      </c>
      <c r="BB39" s="7">
        <f>MAX(AL39,BA39)</f>
        <v/>
      </c>
      <c r="BC39" s="7">
        <f>IF(BA39=1,A39,IF(6=0,"",BC38))</f>
        <v/>
      </c>
      <c r="BD39" s="7">
        <f>AK39-IF(BA39=1,AN39*AP39+AN39*vivienda_cierrePct,0)</f>
        <v/>
      </c>
      <c r="BE39" s="7">
        <f>IF(BA39=1,AN39,IF(6=0,0,BE38))</f>
        <v/>
      </c>
      <c r="BF39" s="7">
        <f>IF(BA39=1,AR39,IF(6=0,0,BF38))</f>
        <v/>
      </c>
      <c r="BG39" s="7">
        <f>IF(BA39=1,IF(AND(AO39=0,AP39&lt;0.2),1,0),IF(6=0,0,BY38))</f>
        <v/>
      </c>
      <c r="BH39" s="7">
        <f>IF(sel_cfg="casaAdu",1,0)</f>
        <v/>
      </c>
      <c r="BI39" s="7">
        <f>IF(AND(BB39=1,BH39=1,IF(6=0,0,BJ38)=0,A39&gt;=IF(BC39="",9999,BC39)+vivienda_aduRetrasoAnios),1,0)</f>
        <v/>
      </c>
      <c r="BJ39" s="7">
        <f>MAX(IF(6=0,0,BJ38),BI39)</f>
        <v/>
      </c>
      <c r="BK39" s="7">
        <f>IF(BI39=1,PMT((g_mortRate+0.005)/12,180,-loc_precio_aduCosto*C39),IF(6=0,0,BK38))</f>
        <v/>
      </c>
      <c r="BL39" s="7">
        <f>IF(BA39=1,AN39,IF(6=0,0,DT38))+IF(BI39=1,loc_precio_aduCosto*C39,0)</f>
        <v/>
      </c>
      <c r="BM39" s="7">
        <f>IF(BA39=1,AQ39,IF(6=0,0,DU38))</f>
        <v/>
      </c>
      <c r="BN39" s="7">
        <f>IF(BM39&lt;=0,0,FV(g_mortRate/12,12,BF39,-BM39))</f>
        <v/>
      </c>
      <c r="BO39" s="7">
        <f>IF(BM39&lt;=0,0,12*BF39+MIN(0,BN39))</f>
        <v/>
      </c>
      <c r="BP39" s="7">
        <f>MAX(0,BN39)</f>
        <v/>
      </c>
      <c r="BQ39" s="7">
        <f>IF(BI39=1,loc_precio_aduCosto*C39,IF(6=0,0,DV38))</f>
        <v/>
      </c>
      <c r="BR39" s="7">
        <f>IF(BQ39&lt;=0,0,FV((g_mortRate+0.005)/12,12,BK39,-BQ39))</f>
        <v/>
      </c>
      <c r="BS39" s="7">
        <f>IF(BQ39&lt;=0,0,12*BK39+MIN(0,BR39))</f>
        <v/>
      </c>
      <c r="BT39" s="7">
        <f>MAX(0,BR39)</f>
        <v/>
      </c>
      <c r="BU39" s="7">
        <f>IF(BB39=1,AM39*loc_seguroPct*(1+vivienda_inflacionSeguro)^(A39-2026)*IF(BJ39=1,1+loc_precio_aduCosto/AM39,1),0)</f>
        <v/>
      </c>
      <c r="BV39" s="7">
        <f>BL39*loc_impuestoPropPct</f>
        <v/>
      </c>
      <c r="BW39" s="7">
        <f>BL39*vivienda_mantenimientoPct</f>
        <v/>
      </c>
      <c r="BX39" s="7">
        <f>IF(AND(BG39=1,BP39&gt;0.8*BE39),BE39*(1-vivienda_enganchePct)*vivienda_pmiTasa,0)</f>
        <v/>
      </c>
      <c r="BY39" s="7">
        <f>IF(AND(BG39=1,BP39&gt;0.8*BE39),1,0)</f>
        <v/>
      </c>
      <c r="BZ39" s="7">
        <f>IF(BB39=1,AS39*loc_rentaUnidad*12*C39*(1-vivienda_vacancia)*(1-vivienda_gestionPct),0)</f>
        <v/>
      </c>
      <c r="CA39" s="7">
        <f>IF(BB39=1,BO39+BS39+BU39+BV39+BW39+BX39,loc_rentaMensual*12*C39)</f>
        <v/>
      </c>
      <c r="CB39" s="7">
        <f>IF(BB39=1,personal_aporteFamiliaMensual*12,0)</f>
        <v/>
      </c>
      <c r="CC39" s="7">
        <f>MIN(IF(6=0,personal_irsSaldo,CD38),personal_irsPagoMensual*12)</f>
        <v/>
      </c>
      <c r="CD39" s="7">
        <f>IF(6=0,personal_irsSaldo,CD38)-CC39</f>
        <v/>
      </c>
      <c r="CE39" s="7">
        <f>IF(6=0,IF(personal_deudaEsFederal=1,personal_deudaEstudiantil,0),DW38)</f>
        <v/>
      </c>
      <c r="CF39" s="7">
        <f>IF(6=0,personal_tasaDeudaEstudiantil,DX38)</f>
        <v/>
      </c>
      <c r="CG39" s="7">
        <f>IF(6=0,0,DY38)</f>
        <v/>
      </c>
      <c r="CH39" s="7">
        <f>IF(J39&gt;=0.5,1,0)</f>
        <v/>
      </c>
      <c r="CI39" s="7">
        <f>IF(AND(CH39=0,prestamos_pslfActivo=1,K39&gt;=0.5,CE39&gt;0),1,0)</f>
        <v/>
      </c>
      <c r="CJ39" s="7">
        <f>CE39*CF39</f>
        <v/>
      </c>
      <c r="CK39" s="7">
        <f>MAX(prestamos_rapPagoMinimoAnual,IF(Y39&lt;10000,0,MIN(0.1,INT(Y39/10000)/100))*Y39)</f>
        <v/>
      </c>
      <c r="CL39" s="7">
        <f>IF(CE39&lt;=0,0,IF(CH39=1,0,IF(CI39=1,MIN(CE39+CJ39,CK39),PMT(CF39,MAX(1,prestamos_plazoAnios-CG39),-CE39))))</f>
        <v/>
      </c>
      <c r="CM39" s="7">
        <f>IF(CE39&lt;=0,0,IF(CH39=1,CE39+CJ39,IF(CI39=1,MAX(0,CE39-MAX(CL39-CJ39,MIN(600,CL39))),MAX(0,CE39*(1+CF39)-CL39))))</f>
        <v/>
      </c>
      <c r="CN39" s="7">
        <f>IF(6=0,0,CN38)+IF(CI39=1,12*MIN(1,K39),0)</f>
        <v/>
      </c>
      <c r="CO39" s="7">
        <f>IF(AND(CI39=1,CN39&gt;=prestamos_pslfPagos,CM39&gt;0),CM39,0)</f>
        <v/>
      </c>
      <c r="CP39" s="7">
        <f>CM39-CO39</f>
        <v/>
      </c>
      <c r="CQ39" s="7">
        <f>IF(AND(CE39&gt;0,CH39=0,CI39=0),CG39+1,CG39)</f>
        <v/>
      </c>
      <c r="CR39" s="7">
        <f>IF(6=0,IF(personal_deudaEsFederal=1,0,personal_deudaEstudiantil),EA38)</f>
        <v/>
      </c>
      <c r="CS39" s="7">
        <f>IF(6=0,IF(personal_deudaEsFederal=1,prestamos_tasaPrivada,personal_tasaDeudaEstudiantil),EB38)</f>
        <v/>
      </c>
      <c r="CT39" s="7">
        <f>IF(6=0,0,EC38)</f>
        <v/>
      </c>
      <c r="CU39" s="7">
        <f>IF(OR(CR39&lt;=0,CH39=1),0,PMT(CS39,MAX(1,prestamos_plazoAnios-CT39),-CR39))</f>
        <v/>
      </c>
      <c r="CV39" s="7">
        <f>IF(CR39&lt;=0,0,IF(CH39=1,CR39*(1+CS39),MAX(0,CR39*(1+CS39)-CU39)))</f>
        <v/>
      </c>
      <c r="CW39" s="7">
        <f>IF(AND(CR39&gt;0,CH39=0),CT39+1,CT39)</f>
        <v/>
      </c>
      <c r="CX39" s="7">
        <f>IF(6=0,0,ED38)*(1+general_tasaDeudaConsumo)</f>
        <v/>
      </c>
      <c r="CY39" s="7">
        <f>L39*12*tiempos_travelGastoExtraMes*C39</f>
        <v/>
      </c>
      <c r="CZ39" s="7">
        <f>AJ39+CY39+CA39+CC39+CL39+CU39+I39+N39-BZ39-CB39</f>
        <v/>
      </c>
      <c r="DA39" s="7">
        <f>AH39-CZ39</f>
        <v/>
      </c>
      <c r="DB39" s="7">
        <f>IF(6=0,0,DB38)+DA39</f>
        <v/>
      </c>
      <c r="DC39" s="7">
        <f>AN39*vivienda_enganchePct+AN39*vivienda_cierrePct+general_reservaMeses/12*AJ39</f>
        <v/>
      </c>
      <c r="DD39" s="7">
        <f>IF(BB39=1,g_ret,IF(BD39&gt;0,MIN(1,DC39/BD39),1)*g_cash+(1-IF(BD39&gt;0,MIN(1,DC39/BD39),1))*g_ret)</f>
        <v/>
      </c>
      <c r="DE39" s="7">
        <f>IF(DA39&gt;=0,MIN(CX39,DA39),0)</f>
        <v/>
      </c>
      <c r="DF39" s="7">
        <f>IF(DA39&gt;=0,(1-general_tasaAhorro)*(DA39-DE39),0)</f>
        <v/>
      </c>
      <c r="DG39" s="7">
        <f>IF(DA39&gt;=0,DA39-DE39-DF39,0)</f>
        <v/>
      </c>
      <c r="DH39" s="7">
        <f>MIN(personal_rothAnual,DG39)</f>
        <v/>
      </c>
      <c r="DI39" s="7">
        <f>IF(AND(DA39&gt;=0,BB39=1,BP39+BT39&gt;0),MIN(vivienda_prepagoPct*(DG39-DH39),BP39+BT39),0)</f>
        <v/>
      </c>
      <c r="DJ39" s="7">
        <f>MIN(DI39,BP39)</f>
        <v/>
      </c>
      <c r="DK39" s="7">
        <f>IF(DA39&lt;0,MIN(MAX(0,BD39),-DA39),0)</f>
        <v/>
      </c>
      <c r="DL39" s="7">
        <f>IF(DA39&lt;0,-DA39-DK39,0)</f>
        <v/>
      </c>
      <c r="DM39" s="7">
        <f>IF(6=0,0,DZ38)</f>
        <v/>
      </c>
      <c r="DN39" s="7">
        <f>IF(AND(DL39&gt;0,J39&gt;0),MIN(DL39,MIN(prestamos_topeAnualPosgrado*MIN(1,J39),MAX(0,prestamos_topeTotalPosgrado-DM39))),0)</f>
        <v/>
      </c>
      <c r="DO39" s="7">
        <f>IF(AND(DL39&gt;0,J39&gt;0),DL39-DN39,0)</f>
        <v/>
      </c>
      <c r="DP39" s="7">
        <f>IF(AND(DL39&gt;0,J39&lt;=0),DL39,0)</f>
        <v/>
      </c>
      <c r="DQ39" s="7">
        <f>IF(DA39&gt;=0,DG39-DH39-DI39,-DK39)</f>
        <v/>
      </c>
      <c r="DR39" s="7">
        <f>BD39*(1+DD39)+DQ39*(1+DD39/2)</f>
        <v/>
      </c>
      <c r="DS39" s="7">
        <f>IF(6=0,personal_retiroInicial,DS38)*(1+g_ret)+(O39+P39+DH39)*(1+g_ret/2)</f>
        <v/>
      </c>
      <c r="DT39" s="7">
        <f>IF(BB39=1,BL39*(1+g_appr),0)</f>
        <v/>
      </c>
      <c r="DU39" s="7">
        <f>BP39-DJ39</f>
        <v/>
      </c>
      <c r="DV39" s="7">
        <f>BT39-(DI39-DJ39)</f>
        <v/>
      </c>
      <c r="DW39" s="7">
        <f>CP39+DN39</f>
        <v/>
      </c>
      <c r="DX39" s="7">
        <f>IF(DN39&gt;0,(CP39*CF39+DN39*prestamos_tasaFederalPosgrado)/(CP39+DN39),CF39)</f>
        <v/>
      </c>
      <c r="DY39" s="7">
        <f>IF(DN39&gt;0,0,CQ39)</f>
        <v/>
      </c>
      <c r="DZ39" s="7">
        <f>DM39+DN39</f>
        <v/>
      </c>
      <c r="EA39" s="7">
        <f>CV39+DO39</f>
        <v/>
      </c>
      <c r="EB39" s="7">
        <f>IF(DO39&gt;0,(CV39*CS39+DO39*prestamos_tasaPrivada)/(CV39+DO39),CS39)</f>
        <v/>
      </c>
      <c r="EC39" s="7">
        <f>IF(DO39&gt;0,0,CW39)</f>
        <v/>
      </c>
      <c r="ED39" s="7">
        <f>CX39-DE39+DP39</f>
        <v/>
      </c>
      <c r="EE39" s="7">
        <f>IF(IF(6=0,"",EE38)&lt;&gt;"",EE38,IF(AND(BB39=1,DU39&lt;=0.5,DV39&lt;=0.5,OR(BH39=0,BJ39=1)),A39,""))</f>
        <v/>
      </c>
      <c r="EF39" s="7">
        <f>DU39+DV39+DW39+EA39+ED39+CD39</f>
        <v/>
      </c>
      <c r="EG39" s="7">
        <f>DR39+DS39+DT39-EF39</f>
        <v/>
      </c>
      <c r="EH39" s="7">
        <f>EG39/(1+g_inf)^(A39+1-2026)</f>
        <v/>
      </c>
    </row>
    <row r="40">
      <c r="A40" t="n">
        <v>2034</v>
      </c>
      <c r="B40" t="n">
        <v>7</v>
      </c>
      <c r="C40" s="7">
        <f>(1+g_inf)^(A40-2026)</f>
        <v/>
      </c>
      <c r="D40" s="7">
        <f>SUMPRODUCT($AA$5:$AA$29,$E$5:$E$29*(1+$F$5:$F$29)^(A40-2026)*$G$5:$G$29*$H$5:$H$29*(1-$N$5:$N$29*$O$5:$O$29))*g_salMult+SUMPRODUCT(($B$5:$B$29&gt;=A40)*($B$5:$B$29&lt;A40+1)*$I$5:$I$29)*g_salMult</f>
        <v/>
      </c>
      <c r="E40" s="7">
        <f>SUMPRODUCT($AA$5:$AA$29,$E$5:$E$29*(1+$F$5:$F$29)^(A40-2026)*$G$5:$G$29*$H$5:$H$29*$M$5:$M$29)*g_salMult</f>
        <v/>
      </c>
      <c r="F40" s="7">
        <f>SUMPRODUCT($AA$5:$AA$29,$E$5:$E$29*(1+$F$5:$F$29)^(A40-2026)*$G$5:$G$29*$H$5:$H$29*$N$5:$N$29*$O$5:$O$29)*g_salMult</f>
        <v/>
      </c>
      <c r="G40" s="7">
        <f>SUMPRODUCT($AA$5:$AA$29,$P$5:$P$29*(1+$F$5:$F$29)^(A40-2026))</f>
        <v/>
      </c>
      <c r="H40" s="7">
        <f>SUMPRODUCT($AA$5:$AA$29,$Q$5:$Q$29*(1+$F$5:$F$29)^(A40-2026))+IF(personal_llcActivo=1,personal_llcNeto*(1+personal_llcCrecimiento)^7,0)</f>
        <v/>
      </c>
      <c r="I40" s="7">
        <f>SUMPRODUCT($AA$5:$AA$29,$J$5:$J$29/($C$5:$C$29-$B$5:$B$29+($C$5:$C$29=$B$5:$B$29)))*C40</f>
        <v/>
      </c>
      <c r="J40" s="7">
        <f>SUMPRODUCT($AA$5:$AA$29,$K$5:$K$29)</f>
        <v/>
      </c>
      <c r="K40" s="7">
        <f>SUMPRODUCT($AA$5:$AA$29,$L$5:$L$29)</f>
        <v/>
      </c>
      <c r="L40" s="7">
        <f>SUMPRODUCT($AA$5:$AA$29,$N$5:$N$29)</f>
        <v/>
      </c>
      <c r="M40" s="7">
        <f>IF(SUMPRODUCT($AA$5:$AA$29,$R$5:$R$29)&gt;0,1,0)</f>
        <v/>
      </c>
      <c r="N40" s="7">
        <f>SUMPRODUCT(($AO$5:$AO$24&gt;=A40)*($AO$5:$AO$24&lt;A40+1)*$AP$5:$AP$24)*C40+IF(7=0,IF(sel_loc&lt;&gt;"miami",personal_costoMudanzaInicial,0),0)</f>
        <v/>
      </c>
      <c r="O40" s="7">
        <f>MIN(personal_aporte403bPct*D40,retiro_limite403b*C40)</f>
        <v/>
      </c>
      <c r="P40" s="7">
        <f>MIN(personal_aporte403bPct,personal_match403bPct)*E40</f>
        <v/>
      </c>
      <c r="Q40" s="7">
        <f>IF(G40&gt;0,MAX(0,G40-impuestos_scorpCostoAnual*C40),0)</f>
        <v/>
      </c>
      <c r="R40" s="7">
        <f>Q40*impuestos_scorpSalarioPct/(1+impuestos_ssTasa+impuestos_medicareTasa)</f>
        <v/>
      </c>
      <c r="S40" s="7">
        <f>impuestos_ssTasa*MIN(R40,MAX(0,impuestos_ssTope*C40-D40))+impuestos_medicareTasa*R40</f>
        <v/>
      </c>
      <c r="T40" s="7">
        <f>Q40-R40-S40</f>
        <v/>
      </c>
      <c r="U40" s="7">
        <f>D40+R40</f>
        <v/>
      </c>
      <c r="V40" s="7">
        <f>H40*0.9235</f>
        <v/>
      </c>
      <c r="W40" s="7">
        <f>IF(H40&gt;0,2*impuestos_ssTasa*MIN(V40,MAX(0,impuestos_ssTope*C40-U40))+2*impuestos_medicareTasa*V40,0)</f>
        <v/>
      </c>
      <c r="X40" s="7">
        <f>impuestos_ssTasa*MIN(U40,impuestos_ssTope*C40)+impuestos_medicareTasa*U40+impuestos_medicareAdicional*MAX(0,U40+H40*0.9235-impuestos_medicareUmbral)</f>
        <v/>
      </c>
      <c r="Y40" s="7">
        <f>MAX(0,D40-O40+R40+T40+H40-W40/2)</f>
        <v/>
      </c>
      <c r="Z40" s="7">
        <f>MAX(0,Y40-impuestos_deduccionEstandar*C40)</f>
        <v/>
      </c>
      <c r="AA40" s="7">
        <f>MIN(0.2*MAX(0,T40+H40-W40/2)*MAX(0,MIN(1,1-(Z40-impuestos_qbiUmbral*C40)/(impuestos_qbiRango*C40))),0.2*Z40)</f>
        <v/>
      </c>
      <c r="AB40" s="7">
        <f>MAX(0,Z40-AA40)</f>
        <v/>
      </c>
      <c r="AC40" s="7">
        <f>SUMPRODUCT((AB40&gt;tb_federalBrackets_lo*C40)*(AB40-tb_federalBrackets_lo*C40)*tb_federalBrackets_dr)</f>
        <v/>
      </c>
      <c r="AD40" s="7">
        <f>MAX(0,Y40-impuestos_nyDeduccion*C40)</f>
        <v/>
      </c>
      <c r="AE40" s="7">
        <f>CHOOSE(loc_taxcode,0,impuestos_ohTasa*MAX(0,Y40-impuestos_ohExento*C40)+impuestos_ohMunicipal*U40,SUMPRODUCT((AD40&gt;tb_nyBrackets_lo*C40)*(AD40-tb_nyBrackets_lo*C40)*tb_nyBrackets_dr)+loc_nyc*SUMPRODUCT((AD40&gt;tb_nycBrackets_lo*C40)*(AD40-tb_nycBrackets_lo*C40)*tb_nycBrackets_dr))</f>
        <v/>
      </c>
      <c r="AF40" s="7">
        <f>AC40+AE40+X40+W40</f>
        <v/>
      </c>
      <c r="AG40" s="7">
        <f>D40+F40+R40+T40+H40</f>
        <v/>
      </c>
      <c r="AH40" s="7">
        <f>AG40-AF40-O40</f>
        <v/>
      </c>
      <c r="AI40" s="7">
        <f>D40+F40+G40+H40</f>
        <v/>
      </c>
      <c r="AJ40" s="7">
        <f>loc_gastosVida*C40*g_gastos</f>
        <v/>
      </c>
      <c r="AK40" s="7">
        <f>IF(7=0,personal_liquidoInicial,DR39)</f>
        <v/>
      </c>
      <c r="AL40" s="7">
        <f>IF(7=0,0,BB39)</f>
        <v/>
      </c>
      <c r="AM40" s="7">
        <f>CHOOSE(sel_cfgIdx,loc_precio_duplex,loc_precio_inlaw,loc_precio_dosCasas,loc_precio_casaAdu,loc_precio_multi)</f>
        <v/>
      </c>
      <c r="AN40" s="7">
        <f>AM40*(1+g_appr)^(A40-2026)</f>
        <v/>
      </c>
      <c r="AO40" s="7">
        <f>IF(AND(M40=1,vivienda_prestamoMedico=1),1,0)</f>
        <v/>
      </c>
      <c r="AP40" s="7">
        <f>IF(AO40=1,0.05,vivienda_enganchePct)</f>
        <v/>
      </c>
      <c r="AQ40" s="7">
        <f>AN40*(1-AP40)</f>
        <v/>
      </c>
      <c r="AR40" s="7">
        <f>PMT(g_mortRate/12,vivienda_plazoHipoteca*12,-AQ40)</f>
        <v/>
      </c>
      <c r="AS40" s="7">
        <f>INDEX(cfg_units,sel_cfgIdx)</f>
        <v/>
      </c>
      <c r="AT40" s="7">
        <f>AS40*loc_rentaUnidad*(1+g_inf)^(A40-2026)*(1-vivienda_vacancia)</f>
        <v/>
      </c>
      <c r="AU40" s="7">
        <f>AR40+AN40*loc_impuestoPropPct/12+AM40*loc_seguroPct*(1+vivienda_inflacionSeguro)^(A40-2026)/12+IF(AND(AO40=0,AP40&lt;0.2),AQ40*vivienda_pmiTasa/12,0)</f>
        <v/>
      </c>
      <c r="AV40" s="7">
        <f>AN40*AP40+AN40*vivienda_cierrePct+general_reservaMeses/12*AJ40</f>
        <v/>
      </c>
      <c r="AW40" s="7">
        <f>(IF(7=0,MIN(personal_irsSaldo,personal_irsPagoMensual*12),MIN(CD39,personal_irsPagoMensual*12))+IF(CE40&gt;0,PMT(CF40,MAX(1,prestamos_plazoAnios-CG40),-CE40),0)+IF(CR40&gt;0,PMT(CS40,MAX(1,prestamos_plazoAnios-CT40),-CR40),0))/12</f>
        <v/>
      </c>
      <c r="AX40" s="7">
        <f>IF(OR(sel_cfg="duplex",sel_cfg="multi",sel_cfg="dosCasas"),0.75*personal_aporteFamiliaMensual,0)</f>
        <v/>
      </c>
      <c r="AY40" s="7">
        <f>AU40-0.75*AT40-AX40+AW40</f>
        <v/>
      </c>
      <c r="AZ40" s="7">
        <f>(D40+G40+H40+0.5*F40)/12</f>
        <v/>
      </c>
      <c r="BA40" s="7">
        <f>IF(AND(AL40=0,A40&gt;=vivienda_anioMinCompra,J40&lt;0.5,AI40&gt;0,AK40&gt;=AV40,AY40&lt;=vivienda_dtiMax*AZ40),1,0)</f>
        <v/>
      </c>
      <c r="BB40" s="7">
        <f>MAX(AL40,BA40)</f>
        <v/>
      </c>
      <c r="BC40" s="7">
        <f>IF(BA40=1,A40,IF(7=0,"",BC39))</f>
        <v/>
      </c>
      <c r="BD40" s="7">
        <f>AK40-IF(BA40=1,AN40*AP40+AN40*vivienda_cierrePct,0)</f>
        <v/>
      </c>
      <c r="BE40" s="7">
        <f>IF(BA40=1,AN40,IF(7=0,0,BE39))</f>
        <v/>
      </c>
      <c r="BF40" s="7">
        <f>IF(BA40=1,AR40,IF(7=0,0,BF39))</f>
        <v/>
      </c>
      <c r="BG40" s="7">
        <f>IF(BA40=1,IF(AND(AO40=0,AP40&lt;0.2),1,0),IF(7=0,0,BY39))</f>
        <v/>
      </c>
      <c r="BH40" s="7">
        <f>IF(sel_cfg="casaAdu",1,0)</f>
        <v/>
      </c>
      <c r="BI40" s="7">
        <f>IF(AND(BB40=1,BH40=1,IF(7=0,0,BJ39)=0,A40&gt;=IF(BC40="",9999,BC40)+vivienda_aduRetrasoAnios),1,0)</f>
        <v/>
      </c>
      <c r="BJ40" s="7">
        <f>MAX(IF(7=0,0,BJ39),BI40)</f>
        <v/>
      </c>
      <c r="BK40" s="7">
        <f>IF(BI40=1,PMT((g_mortRate+0.005)/12,180,-loc_precio_aduCosto*C40),IF(7=0,0,BK39))</f>
        <v/>
      </c>
      <c r="BL40" s="7">
        <f>IF(BA40=1,AN40,IF(7=0,0,DT39))+IF(BI40=1,loc_precio_aduCosto*C40,0)</f>
        <v/>
      </c>
      <c r="BM40" s="7">
        <f>IF(BA40=1,AQ40,IF(7=0,0,DU39))</f>
        <v/>
      </c>
      <c r="BN40" s="7">
        <f>IF(BM40&lt;=0,0,FV(g_mortRate/12,12,BF40,-BM40))</f>
        <v/>
      </c>
      <c r="BO40" s="7">
        <f>IF(BM40&lt;=0,0,12*BF40+MIN(0,BN40))</f>
        <v/>
      </c>
      <c r="BP40" s="7">
        <f>MAX(0,BN40)</f>
        <v/>
      </c>
      <c r="BQ40" s="7">
        <f>IF(BI40=1,loc_precio_aduCosto*C40,IF(7=0,0,DV39))</f>
        <v/>
      </c>
      <c r="BR40" s="7">
        <f>IF(BQ40&lt;=0,0,FV((g_mortRate+0.005)/12,12,BK40,-BQ40))</f>
        <v/>
      </c>
      <c r="BS40" s="7">
        <f>IF(BQ40&lt;=0,0,12*BK40+MIN(0,BR40))</f>
        <v/>
      </c>
      <c r="BT40" s="7">
        <f>MAX(0,BR40)</f>
        <v/>
      </c>
      <c r="BU40" s="7">
        <f>IF(BB40=1,AM40*loc_seguroPct*(1+vivienda_inflacionSeguro)^(A40-2026)*IF(BJ40=1,1+loc_precio_aduCosto/AM40,1),0)</f>
        <v/>
      </c>
      <c r="BV40" s="7">
        <f>BL40*loc_impuestoPropPct</f>
        <v/>
      </c>
      <c r="BW40" s="7">
        <f>BL40*vivienda_mantenimientoPct</f>
        <v/>
      </c>
      <c r="BX40" s="7">
        <f>IF(AND(BG40=1,BP40&gt;0.8*BE40),BE40*(1-vivienda_enganchePct)*vivienda_pmiTasa,0)</f>
        <v/>
      </c>
      <c r="BY40" s="7">
        <f>IF(AND(BG40=1,BP40&gt;0.8*BE40),1,0)</f>
        <v/>
      </c>
      <c r="BZ40" s="7">
        <f>IF(BB40=1,AS40*loc_rentaUnidad*12*C40*(1-vivienda_vacancia)*(1-vivienda_gestionPct),0)</f>
        <v/>
      </c>
      <c r="CA40" s="7">
        <f>IF(BB40=1,BO40+BS40+BU40+BV40+BW40+BX40,loc_rentaMensual*12*C40)</f>
        <v/>
      </c>
      <c r="CB40" s="7">
        <f>IF(BB40=1,personal_aporteFamiliaMensual*12,0)</f>
        <v/>
      </c>
      <c r="CC40" s="7">
        <f>MIN(IF(7=0,personal_irsSaldo,CD39),personal_irsPagoMensual*12)</f>
        <v/>
      </c>
      <c r="CD40" s="7">
        <f>IF(7=0,personal_irsSaldo,CD39)-CC40</f>
        <v/>
      </c>
      <c r="CE40" s="7">
        <f>IF(7=0,IF(personal_deudaEsFederal=1,personal_deudaEstudiantil,0),DW39)</f>
        <v/>
      </c>
      <c r="CF40" s="7">
        <f>IF(7=0,personal_tasaDeudaEstudiantil,DX39)</f>
        <v/>
      </c>
      <c r="CG40" s="7">
        <f>IF(7=0,0,DY39)</f>
        <v/>
      </c>
      <c r="CH40" s="7">
        <f>IF(J40&gt;=0.5,1,0)</f>
        <v/>
      </c>
      <c r="CI40" s="7">
        <f>IF(AND(CH40=0,prestamos_pslfActivo=1,K40&gt;=0.5,CE40&gt;0),1,0)</f>
        <v/>
      </c>
      <c r="CJ40" s="7">
        <f>CE40*CF40</f>
        <v/>
      </c>
      <c r="CK40" s="7">
        <f>MAX(prestamos_rapPagoMinimoAnual,IF(Y40&lt;10000,0,MIN(0.1,INT(Y40/10000)/100))*Y40)</f>
        <v/>
      </c>
      <c r="CL40" s="7">
        <f>IF(CE40&lt;=0,0,IF(CH40=1,0,IF(CI40=1,MIN(CE40+CJ40,CK40),PMT(CF40,MAX(1,prestamos_plazoAnios-CG40),-CE40))))</f>
        <v/>
      </c>
      <c r="CM40" s="7">
        <f>IF(CE40&lt;=0,0,IF(CH40=1,CE40+CJ40,IF(CI40=1,MAX(0,CE40-MAX(CL40-CJ40,MIN(600,CL40))),MAX(0,CE40*(1+CF40)-CL40))))</f>
        <v/>
      </c>
      <c r="CN40" s="7">
        <f>IF(7=0,0,CN39)+IF(CI40=1,12*MIN(1,K40),0)</f>
        <v/>
      </c>
      <c r="CO40" s="7">
        <f>IF(AND(CI40=1,CN40&gt;=prestamos_pslfPagos,CM40&gt;0),CM40,0)</f>
        <v/>
      </c>
      <c r="CP40" s="7">
        <f>CM40-CO40</f>
        <v/>
      </c>
      <c r="CQ40" s="7">
        <f>IF(AND(CE40&gt;0,CH40=0,CI40=0),CG40+1,CG40)</f>
        <v/>
      </c>
      <c r="CR40" s="7">
        <f>IF(7=0,IF(personal_deudaEsFederal=1,0,personal_deudaEstudiantil),EA39)</f>
        <v/>
      </c>
      <c r="CS40" s="7">
        <f>IF(7=0,IF(personal_deudaEsFederal=1,prestamos_tasaPrivada,personal_tasaDeudaEstudiantil),EB39)</f>
        <v/>
      </c>
      <c r="CT40" s="7">
        <f>IF(7=0,0,EC39)</f>
        <v/>
      </c>
      <c r="CU40" s="7">
        <f>IF(OR(CR40&lt;=0,CH40=1),0,PMT(CS40,MAX(1,prestamos_plazoAnios-CT40),-CR40))</f>
        <v/>
      </c>
      <c r="CV40" s="7">
        <f>IF(CR40&lt;=0,0,IF(CH40=1,CR40*(1+CS40),MAX(0,CR40*(1+CS40)-CU40)))</f>
        <v/>
      </c>
      <c r="CW40" s="7">
        <f>IF(AND(CR40&gt;0,CH40=0),CT40+1,CT40)</f>
        <v/>
      </c>
      <c r="CX40" s="7">
        <f>IF(7=0,0,ED39)*(1+general_tasaDeudaConsumo)</f>
        <v/>
      </c>
      <c r="CY40" s="7">
        <f>L40*12*tiempos_travelGastoExtraMes*C40</f>
        <v/>
      </c>
      <c r="CZ40" s="7">
        <f>AJ40+CY40+CA40+CC40+CL40+CU40+I40+N40-BZ40-CB40</f>
        <v/>
      </c>
      <c r="DA40" s="7">
        <f>AH40-CZ40</f>
        <v/>
      </c>
      <c r="DB40" s="7">
        <f>IF(7=0,0,DB39)+DA40</f>
        <v/>
      </c>
      <c r="DC40" s="7">
        <f>AN40*vivienda_enganchePct+AN40*vivienda_cierrePct+general_reservaMeses/12*AJ40</f>
        <v/>
      </c>
      <c r="DD40" s="7">
        <f>IF(BB40=1,g_ret,IF(BD40&gt;0,MIN(1,DC40/BD40),1)*g_cash+(1-IF(BD40&gt;0,MIN(1,DC40/BD40),1))*g_ret)</f>
        <v/>
      </c>
      <c r="DE40" s="7">
        <f>IF(DA40&gt;=0,MIN(CX40,DA40),0)</f>
        <v/>
      </c>
      <c r="DF40" s="7">
        <f>IF(DA40&gt;=0,(1-general_tasaAhorro)*(DA40-DE40),0)</f>
        <v/>
      </c>
      <c r="DG40" s="7">
        <f>IF(DA40&gt;=0,DA40-DE40-DF40,0)</f>
        <v/>
      </c>
      <c r="DH40" s="7">
        <f>MIN(personal_rothAnual,DG40)</f>
        <v/>
      </c>
      <c r="DI40" s="7">
        <f>IF(AND(DA40&gt;=0,BB40=1,BP40+BT40&gt;0),MIN(vivienda_prepagoPct*(DG40-DH40),BP40+BT40),0)</f>
        <v/>
      </c>
      <c r="DJ40" s="7">
        <f>MIN(DI40,BP40)</f>
        <v/>
      </c>
      <c r="DK40" s="7">
        <f>IF(DA40&lt;0,MIN(MAX(0,BD40),-DA40),0)</f>
        <v/>
      </c>
      <c r="DL40" s="7">
        <f>IF(DA40&lt;0,-DA40-DK40,0)</f>
        <v/>
      </c>
      <c r="DM40" s="7">
        <f>IF(7=0,0,DZ39)</f>
        <v/>
      </c>
      <c r="DN40" s="7">
        <f>IF(AND(DL40&gt;0,J40&gt;0),MIN(DL40,MIN(prestamos_topeAnualPosgrado*MIN(1,J40),MAX(0,prestamos_topeTotalPosgrado-DM40))),0)</f>
        <v/>
      </c>
      <c r="DO40" s="7">
        <f>IF(AND(DL40&gt;0,J40&gt;0),DL40-DN40,0)</f>
        <v/>
      </c>
      <c r="DP40" s="7">
        <f>IF(AND(DL40&gt;0,J40&lt;=0),DL40,0)</f>
        <v/>
      </c>
      <c r="DQ40" s="7">
        <f>IF(DA40&gt;=0,DG40-DH40-DI40,-DK40)</f>
        <v/>
      </c>
      <c r="DR40" s="7">
        <f>BD40*(1+DD40)+DQ40*(1+DD40/2)</f>
        <v/>
      </c>
      <c r="DS40" s="7">
        <f>IF(7=0,personal_retiroInicial,DS39)*(1+g_ret)+(O40+P40+DH40)*(1+g_ret/2)</f>
        <v/>
      </c>
      <c r="DT40" s="7">
        <f>IF(BB40=1,BL40*(1+g_appr),0)</f>
        <v/>
      </c>
      <c r="DU40" s="7">
        <f>BP40-DJ40</f>
        <v/>
      </c>
      <c r="DV40" s="7">
        <f>BT40-(DI40-DJ40)</f>
        <v/>
      </c>
      <c r="DW40" s="7">
        <f>CP40+DN40</f>
        <v/>
      </c>
      <c r="DX40" s="7">
        <f>IF(DN40&gt;0,(CP40*CF40+DN40*prestamos_tasaFederalPosgrado)/(CP40+DN40),CF40)</f>
        <v/>
      </c>
      <c r="DY40" s="7">
        <f>IF(DN40&gt;0,0,CQ40)</f>
        <v/>
      </c>
      <c r="DZ40" s="7">
        <f>DM40+DN40</f>
        <v/>
      </c>
      <c r="EA40" s="7">
        <f>CV40+DO40</f>
        <v/>
      </c>
      <c r="EB40" s="7">
        <f>IF(DO40&gt;0,(CV40*CS40+DO40*prestamos_tasaPrivada)/(CV40+DO40),CS40)</f>
        <v/>
      </c>
      <c r="EC40" s="7">
        <f>IF(DO40&gt;0,0,CW40)</f>
        <v/>
      </c>
      <c r="ED40" s="7">
        <f>CX40-DE40+DP40</f>
        <v/>
      </c>
      <c r="EE40" s="7">
        <f>IF(IF(7=0,"",EE39)&lt;&gt;"",EE39,IF(AND(BB40=1,DU40&lt;=0.5,DV40&lt;=0.5,OR(BH40=0,BJ40=1)),A40,""))</f>
        <v/>
      </c>
      <c r="EF40" s="7">
        <f>DU40+DV40+DW40+EA40+ED40+CD40</f>
        <v/>
      </c>
      <c r="EG40" s="7">
        <f>DR40+DS40+DT40-EF40</f>
        <v/>
      </c>
      <c r="EH40" s="7">
        <f>EG40/(1+g_inf)^(A40+1-2026)</f>
        <v/>
      </c>
    </row>
    <row r="41">
      <c r="A41" t="n">
        <v>2035</v>
      </c>
      <c r="B41" t="n">
        <v>8</v>
      </c>
      <c r="C41" s="7">
        <f>(1+g_inf)^(A41-2026)</f>
        <v/>
      </c>
      <c r="D41" s="7">
        <f>SUMPRODUCT($AB$5:$AB$29,$E$5:$E$29*(1+$F$5:$F$29)^(A41-2026)*$G$5:$G$29*$H$5:$H$29*(1-$N$5:$N$29*$O$5:$O$29))*g_salMult+SUMPRODUCT(($B$5:$B$29&gt;=A41)*($B$5:$B$29&lt;A41+1)*$I$5:$I$29)*g_salMult</f>
        <v/>
      </c>
      <c r="E41" s="7">
        <f>SUMPRODUCT($AB$5:$AB$29,$E$5:$E$29*(1+$F$5:$F$29)^(A41-2026)*$G$5:$G$29*$H$5:$H$29*$M$5:$M$29)*g_salMult</f>
        <v/>
      </c>
      <c r="F41" s="7">
        <f>SUMPRODUCT($AB$5:$AB$29,$E$5:$E$29*(1+$F$5:$F$29)^(A41-2026)*$G$5:$G$29*$H$5:$H$29*$N$5:$N$29*$O$5:$O$29)*g_salMult</f>
        <v/>
      </c>
      <c r="G41" s="7">
        <f>SUMPRODUCT($AB$5:$AB$29,$P$5:$P$29*(1+$F$5:$F$29)^(A41-2026))</f>
        <v/>
      </c>
      <c r="H41" s="7">
        <f>SUMPRODUCT($AB$5:$AB$29,$Q$5:$Q$29*(1+$F$5:$F$29)^(A41-2026))+IF(personal_llcActivo=1,personal_llcNeto*(1+personal_llcCrecimiento)^8,0)</f>
        <v/>
      </c>
      <c r="I41" s="7">
        <f>SUMPRODUCT($AB$5:$AB$29,$J$5:$J$29/($C$5:$C$29-$B$5:$B$29+($C$5:$C$29=$B$5:$B$29)))*C41</f>
        <v/>
      </c>
      <c r="J41" s="7">
        <f>SUMPRODUCT($AB$5:$AB$29,$K$5:$K$29)</f>
        <v/>
      </c>
      <c r="K41" s="7">
        <f>SUMPRODUCT($AB$5:$AB$29,$L$5:$L$29)</f>
        <v/>
      </c>
      <c r="L41" s="7">
        <f>SUMPRODUCT($AB$5:$AB$29,$N$5:$N$29)</f>
        <v/>
      </c>
      <c r="M41" s="7">
        <f>IF(SUMPRODUCT($AB$5:$AB$29,$R$5:$R$29)&gt;0,1,0)</f>
        <v/>
      </c>
      <c r="N41" s="7">
        <f>SUMPRODUCT(($AO$5:$AO$24&gt;=A41)*($AO$5:$AO$24&lt;A41+1)*$AP$5:$AP$24)*C41+IF(8=0,IF(sel_loc&lt;&gt;"miami",personal_costoMudanzaInicial,0),0)</f>
        <v/>
      </c>
      <c r="O41" s="7">
        <f>MIN(personal_aporte403bPct*D41,retiro_limite403b*C41)</f>
        <v/>
      </c>
      <c r="P41" s="7">
        <f>MIN(personal_aporte403bPct,personal_match403bPct)*E41</f>
        <v/>
      </c>
      <c r="Q41" s="7">
        <f>IF(G41&gt;0,MAX(0,G41-impuestos_scorpCostoAnual*C41),0)</f>
        <v/>
      </c>
      <c r="R41" s="7">
        <f>Q41*impuestos_scorpSalarioPct/(1+impuestos_ssTasa+impuestos_medicareTasa)</f>
        <v/>
      </c>
      <c r="S41" s="7">
        <f>impuestos_ssTasa*MIN(R41,MAX(0,impuestos_ssTope*C41-D41))+impuestos_medicareTasa*R41</f>
        <v/>
      </c>
      <c r="T41" s="7">
        <f>Q41-R41-S41</f>
        <v/>
      </c>
      <c r="U41" s="7">
        <f>D41+R41</f>
        <v/>
      </c>
      <c r="V41" s="7">
        <f>H41*0.9235</f>
        <v/>
      </c>
      <c r="W41" s="7">
        <f>IF(H41&gt;0,2*impuestos_ssTasa*MIN(V41,MAX(0,impuestos_ssTope*C41-U41))+2*impuestos_medicareTasa*V41,0)</f>
        <v/>
      </c>
      <c r="X41" s="7">
        <f>impuestos_ssTasa*MIN(U41,impuestos_ssTope*C41)+impuestos_medicareTasa*U41+impuestos_medicareAdicional*MAX(0,U41+H41*0.9235-impuestos_medicareUmbral)</f>
        <v/>
      </c>
      <c r="Y41" s="7">
        <f>MAX(0,D41-O41+R41+T41+H41-W41/2)</f>
        <v/>
      </c>
      <c r="Z41" s="7">
        <f>MAX(0,Y41-impuestos_deduccionEstandar*C41)</f>
        <v/>
      </c>
      <c r="AA41" s="7">
        <f>MIN(0.2*MAX(0,T41+H41-W41/2)*MAX(0,MIN(1,1-(Z41-impuestos_qbiUmbral*C41)/(impuestos_qbiRango*C41))),0.2*Z41)</f>
        <v/>
      </c>
      <c r="AB41" s="7">
        <f>MAX(0,Z41-AA41)</f>
        <v/>
      </c>
      <c r="AC41" s="7">
        <f>SUMPRODUCT((AB41&gt;tb_federalBrackets_lo*C41)*(AB41-tb_federalBrackets_lo*C41)*tb_federalBrackets_dr)</f>
        <v/>
      </c>
      <c r="AD41" s="7">
        <f>MAX(0,Y41-impuestos_nyDeduccion*C41)</f>
        <v/>
      </c>
      <c r="AE41" s="7">
        <f>CHOOSE(loc_taxcode,0,impuestos_ohTasa*MAX(0,Y41-impuestos_ohExento*C41)+impuestos_ohMunicipal*U41,SUMPRODUCT((AD41&gt;tb_nyBrackets_lo*C41)*(AD41-tb_nyBrackets_lo*C41)*tb_nyBrackets_dr)+loc_nyc*SUMPRODUCT((AD41&gt;tb_nycBrackets_lo*C41)*(AD41-tb_nycBrackets_lo*C41)*tb_nycBrackets_dr))</f>
        <v/>
      </c>
      <c r="AF41" s="7">
        <f>AC41+AE41+X41+W41</f>
        <v/>
      </c>
      <c r="AG41" s="7">
        <f>D41+F41+R41+T41+H41</f>
        <v/>
      </c>
      <c r="AH41" s="7">
        <f>AG41-AF41-O41</f>
        <v/>
      </c>
      <c r="AI41" s="7">
        <f>D41+F41+G41+H41</f>
        <v/>
      </c>
      <c r="AJ41" s="7">
        <f>loc_gastosVida*C41*g_gastos</f>
        <v/>
      </c>
      <c r="AK41" s="7">
        <f>IF(8=0,personal_liquidoInicial,DR40)</f>
        <v/>
      </c>
      <c r="AL41" s="7">
        <f>IF(8=0,0,BB40)</f>
        <v/>
      </c>
      <c r="AM41" s="7">
        <f>CHOOSE(sel_cfgIdx,loc_precio_duplex,loc_precio_inlaw,loc_precio_dosCasas,loc_precio_casaAdu,loc_precio_multi)</f>
        <v/>
      </c>
      <c r="AN41" s="7">
        <f>AM41*(1+g_appr)^(A41-2026)</f>
        <v/>
      </c>
      <c r="AO41" s="7">
        <f>IF(AND(M41=1,vivienda_prestamoMedico=1),1,0)</f>
        <v/>
      </c>
      <c r="AP41" s="7">
        <f>IF(AO41=1,0.05,vivienda_enganchePct)</f>
        <v/>
      </c>
      <c r="AQ41" s="7">
        <f>AN41*(1-AP41)</f>
        <v/>
      </c>
      <c r="AR41" s="7">
        <f>PMT(g_mortRate/12,vivienda_plazoHipoteca*12,-AQ41)</f>
        <v/>
      </c>
      <c r="AS41" s="7">
        <f>INDEX(cfg_units,sel_cfgIdx)</f>
        <v/>
      </c>
      <c r="AT41" s="7">
        <f>AS41*loc_rentaUnidad*(1+g_inf)^(A41-2026)*(1-vivienda_vacancia)</f>
        <v/>
      </c>
      <c r="AU41" s="7">
        <f>AR41+AN41*loc_impuestoPropPct/12+AM41*loc_seguroPct*(1+vivienda_inflacionSeguro)^(A41-2026)/12+IF(AND(AO41=0,AP41&lt;0.2),AQ41*vivienda_pmiTasa/12,0)</f>
        <v/>
      </c>
      <c r="AV41" s="7">
        <f>AN41*AP41+AN41*vivienda_cierrePct+general_reservaMeses/12*AJ41</f>
        <v/>
      </c>
      <c r="AW41" s="7">
        <f>(IF(8=0,MIN(personal_irsSaldo,personal_irsPagoMensual*12),MIN(CD40,personal_irsPagoMensual*12))+IF(CE41&gt;0,PMT(CF41,MAX(1,prestamos_plazoAnios-CG41),-CE41),0)+IF(CR41&gt;0,PMT(CS41,MAX(1,prestamos_plazoAnios-CT41),-CR41),0))/12</f>
        <v/>
      </c>
      <c r="AX41" s="7">
        <f>IF(OR(sel_cfg="duplex",sel_cfg="multi",sel_cfg="dosCasas"),0.75*personal_aporteFamiliaMensual,0)</f>
        <v/>
      </c>
      <c r="AY41" s="7">
        <f>AU41-0.75*AT41-AX41+AW41</f>
        <v/>
      </c>
      <c r="AZ41" s="7">
        <f>(D41+G41+H41+0.5*F41)/12</f>
        <v/>
      </c>
      <c r="BA41" s="7">
        <f>IF(AND(AL41=0,A41&gt;=vivienda_anioMinCompra,J41&lt;0.5,AI41&gt;0,AK41&gt;=AV41,AY41&lt;=vivienda_dtiMax*AZ41),1,0)</f>
        <v/>
      </c>
      <c r="BB41" s="7">
        <f>MAX(AL41,BA41)</f>
        <v/>
      </c>
      <c r="BC41" s="7">
        <f>IF(BA41=1,A41,IF(8=0,"",BC40))</f>
        <v/>
      </c>
      <c r="BD41" s="7">
        <f>AK41-IF(BA41=1,AN41*AP41+AN41*vivienda_cierrePct,0)</f>
        <v/>
      </c>
      <c r="BE41" s="7">
        <f>IF(BA41=1,AN41,IF(8=0,0,BE40))</f>
        <v/>
      </c>
      <c r="BF41" s="7">
        <f>IF(BA41=1,AR41,IF(8=0,0,BF40))</f>
        <v/>
      </c>
      <c r="BG41" s="7">
        <f>IF(BA41=1,IF(AND(AO41=0,AP41&lt;0.2),1,0),IF(8=0,0,BY40))</f>
        <v/>
      </c>
      <c r="BH41" s="7">
        <f>IF(sel_cfg="casaAdu",1,0)</f>
        <v/>
      </c>
      <c r="BI41" s="7">
        <f>IF(AND(BB41=1,BH41=1,IF(8=0,0,BJ40)=0,A41&gt;=IF(BC41="",9999,BC41)+vivienda_aduRetrasoAnios),1,0)</f>
        <v/>
      </c>
      <c r="BJ41" s="7">
        <f>MAX(IF(8=0,0,BJ40),BI41)</f>
        <v/>
      </c>
      <c r="BK41" s="7">
        <f>IF(BI41=1,PMT((g_mortRate+0.005)/12,180,-loc_precio_aduCosto*C41),IF(8=0,0,BK40))</f>
        <v/>
      </c>
      <c r="BL41" s="7">
        <f>IF(BA41=1,AN41,IF(8=0,0,DT40))+IF(BI41=1,loc_precio_aduCosto*C41,0)</f>
        <v/>
      </c>
      <c r="BM41" s="7">
        <f>IF(BA41=1,AQ41,IF(8=0,0,DU40))</f>
        <v/>
      </c>
      <c r="BN41" s="7">
        <f>IF(BM41&lt;=0,0,FV(g_mortRate/12,12,BF41,-BM41))</f>
        <v/>
      </c>
      <c r="BO41" s="7">
        <f>IF(BM41&lt;=0,0,12*BF41+MIN(0,BN41))</f>
        <v/>
      </c>
      <c r="BP41" s="7">
        <f>MAX(0,BN41)</f>
        <v/>
      </c>
      <c r="BQ41" s="7">
        <f>IF(BI41=1,loc_precio_aduCosto*C41,IF(8=0,0,DV40))</f>
        <v/>
      </c>
      <c r="BR41" s="7">
        <f>IF(BQ41&lt;=0,0,FV((g_mortRate+0.005)/12,12,BK41,-BQ41))</f>
        <v/>
      </c>
      <c r="BS41" s="7">
        <f>IF(BQ41&lt;=0,0,12*BK41+MIN(0,BR41))</f>
        <v/>
      </c>
      <c r="BT41" s="7">
        <f>MAX(0,BR41)</f>
        <v/>
      </c>
      <c r="BU41" s="7">
        <f>IF(BB41=1,AM41*loc_seguroPct*(1+vivienda_inflacionSeguro)^(A41-2026)*IF(BJ41=1,1+loc_precio_aduCosto/AM41,1),0)</f>
        <v/>
      </c>
      <c r="BV41" s="7">
        <f>BL41*loc_impuestoPropPct</f>
        <v/>
      </c>
      <c r="BW41" s="7">
        <f>BL41*vivienda_mantenimientoPct</f>
        <v/>
      </c>
      <c r="BX41" s="7">
        <f>IF(AND(BG41=1,BP41&gt;0.8*BE41),BE41*(1-vivienda_enganchePct)*vivienda_pmiTasa,0)</f>
        <v/>
      </c>
      <c r="BY41" s="7">
        <f>IF(AND(BG41=1,BP41&gt;0.8*BE41),1,0)</f>
        <v/>
      </c>
      <c r="BZ41" s="7">
        <f>IF(BB41=1,AS41*loc_rentaUnidad*12*C41*(1-vivienda_vacancia)*(1-vivienda_gestionPct),0)</f>
        <v/>
      </c>
      <c r="CA41" s="7">
        <f>IF(BB41=1,BO41+BS41+BU41+BV41+BW41+BX41,loc_rentaMensual*12*C41)</f>
        <v/>
      </c>
      <c r="CB41" s="7">
        <f>IF(BB41=1,personal_aporteFamiliaMensual*12,0)</f>
        <v/>
      </c>
      <c r="CC41" s="7">
        <f>MIN(IF(8=0,personal_irsSaldo,CD40),personal_irsPagoMensual*12)</f>
        <v/>
      </c>
      <c r="CD41" s="7">
        <f>IF(8=0,personal_irsSaldo,CD40)-CC41</f>
        <v/>
      </c>
      <c r="CE41" s="7">
        <f>IF(8=0,IF(personal_deudaEsFederal=1,personal_deudaEstudiantil,0),DW40)</f>
        <v/>
      </c>
      <c r="CF41" s="7">
        <f>IF(8=0,personal_tasaDeudaEstudiantil,DX40)</f>
        <v/>
      </c>
      <c r="CG41" s="7">
        <f>IF(8=0,0,DY40)</f>
        <v/>
      </c>
      <c r="CH41" s="7">
        <f>IF(J41&gt;=0.5,1,0)</f>
        <v/>
      </c>
      <c r="CI41" s="7">
        <f>IF(AND(CH41=0,prestamos_pslfActivo=1,K41&gt;=0.5,CE41&gt;0),1,0)</f>
        <v/>
      </c>
      <c r="CJ41" s="7">
        <f>CE41*CF41</f>
        <v/>
      </c>
      <c r="CK41" s="7">
        <f>MAX(prestamos_rapPagoMinimoAnual,IF(Y41&lt;10000,0,MIN(0.1,INT(Y41/10000)/100))*Y41)</f>
        <v/>
      </c>
      <c r="CL41" s="7">
        <f>IF(CE41&lt;=0,0,IF(CH41=1,0,IF(CI41=1,MIN(CE41+CJ41,CK41),PMT(CF41,MAX(1,prestamos_plazoAnios-CG41),-CE41))))</f>
        <v/>
      </c>
      <c r="CM41" s="7">
        <f>IF(CE41&lt;=0,0,IF(CH41=1,CE41+CJ41,IF(CI41=1,MAX(0,CE41-MAX(CL41-CJ41,MIN(600,CL41))),MAX(0,CE41*(1+CF41)-CL41))))</f>
        <v/>
      </c>
      <c r="CN41" s="7">
        <f>IF(8=0,0,CN40)+IF(CI41=1,12*MIN(1,K41),0)</f>
        <v/>
      </c>
      <c r="CO41" s="7">
        <f>IF(AND(CI41=1,CN41&gt;=prestamos_pslfPagos,CM41&gt;0),CM41,0)</f>
        <v/>
      </c>
      <c r="CP41" s="7">
        <f>CM41-CO41</f>
        <v/>
      </c>
      <c r="CQ41" s="7">
        <f>IF(AND(CE41&gt;0,CH41=0,CI41=0),CG41+1,CG41)</f>
        <v/>
      </c>
      <c r="CR41" s="7">
        <f>IF(8=0,IF(personal_deudaEsFederal=1,0,personal_deudaEstudiantil),EA40)</f>
        <v/>
      </c>
      <c r="CS41" s="7">
        <f>IF(8=0,IF(personal_deudaEsFederal=1,prestamos_tasaPrivada,personal_tasaDeudaEstudiantil),EB40)</f>
        <v/>
      </c>
      <c r="CT41" s="7">
        <f>IF(8=0,0,EC40)</f>
        <v/>
      </c>
      <c r="CU41" s="7">
        <f>IF(OR(CR41&lt;=0,CH41=1),0,PMT(CS41,MAX(1,prestamos_plazoAnios-CT41),-CR41))</f>
        <v/>
      </c>
      <c r="CV41" s="7">
        <f>IF(CR41&lt;=0,0,IF(CH41=1,CR41*(1+CS41),MAX(0,CR41*(1+CS41)-CU41)))</f>
        <v/>
      </c>
      <c r="CW41" s="7">
        <f>IF(AND(CR41&gt;0,CH41=0),CT41+1,CT41)</f>
        <v/>
      </c>
      <c r="CX41" s="7">
        <f>IF(8=0,0,ED40)*(1+general_tasaDeudaConsumo)</f>
        <v/>
      </c>
      <c r="CY41" s="7">
        <f>L41*12*tiempos_travelGastoExtraMes*C41</f>
        <v/>
      </c>
      <c r="CZ41" s="7">
        <f>AJ41+CY41+CA41+CC41+CL41+CU41+I41+N41-BZ41-CB41</f>
        <v/>
      </c>
      <c r="DA41" s="7">
        <f>AH41-CZ41</f>
        <v/>
      </c>
      <c r="DB41" s="7">
        <f>IF(8=0,0,DB40)+DA41</f>
        <v/>
      </c>
      <c r="DC41" s="7">
        <f>AN41*vivienda_enganchePct+AN41*vivienda_cierrePct+general_reservaMeses/12*AJ41</f>
        <v/>
      </c>
      <c r="DD41" s="7">
        <f>IF(BB41=1,g_ret,IF(BD41&gt;0,MIN(1,DC41/BD41),1)*g_cash+(1-IF(BD41&gt;0,MIN(1,DC41/BD41),1))*g_ret)</f>
        <v/>
      </c>
      <c r="DE41" s="7">
        <f>IF(DA41&gt;=0,MIN(CX41,DA41),0)</f>
        <v/>
      </c>
      <c r="DF41" s="7">
        <f>IF(DA41&gt;=0,(1-general_tasaAhorro)*(DA41-DE41),0)</f>
        <v/>
      </c>
      <c r="DG41" s="7">
        <f>IF(DA41&gt;=0,DA41-DE41-DF41,0)</f>
        <v/>
      </c>
      <c r="DH41" s="7">
        <f>MIN(personal_rothAnual,DG41)</f>
        <v/>
      </c>
      <c r="DI41" s="7">
        <f>IF(AND(DA41&gt;=0,BB41=1,BP41+BT41&gt;0),MIN(vivienda_prepagoPct*(DG41-DH41),BP41+BT41),0)</f>
        <v/>
      </c>
      <c r="DJ41" s="7">
        <f>MIN(DI41,BP41)</f>
        <v/>
      </c>
      <c r="DK41" s="7">
        <f>IF(DA41&lt;0,MIN(MAX(0,BD41),-DA41),0)</f>
        <v/>
      </c>
      <c r="DL41" s="7">
        <f>IF(DA41&lt;0,-DA41-DK41,0)</f>
        <v/>
      </c>
      <c r="DM41" s="7">
        <f>IF(8=0,0,DZ40)</f>
        <v/>
      </c>
      <c r="DN41" s="7">
        <f>IF(AND(DL41&gt;0,J41&gt;0),MIN(DL41,MIN(prestamos_topeAnualPosgrado*MIN(1,J41),MAX(0,prestamos_topeTotalPosgrado-DM41))),0)</f>
        <v/>
      </c>
      <c r="DO41" s="7">
        <f>IF(AND(DL41&gt;0,J41&gt;0),DL41-DN41,0)</f>
        <v/>
      </c>
      <c r="DP41" s="7">
        <f>IF(AND(DL41&gt;0,J41&lt;=0),DL41,0)</f>
        <v/>
      </c>
      <c r="DQ41" s="7">
        <f>IF(DA41&gt;=0,DG41-DH41-DI41,-DK41)</f>
        <v/>
      </c>
      <c r="DR41" s="7">
        <f>BD41*(1+DD41)+DQ41*(1+DD41/2)</f>
        <v/>
      </c>
      <c r="DS41" s="7">
        <f>IF(8=0,personal_retiroInicial,DS40)*(1+g_ret)+(O41+P41+DH41)*(1+g_ret/2)</f>
        <v/>
      </c>
      <c r="DT41" s="7">
        <f>IF(BB41=1,BL41*(1+g_appr),0)</f>
        <v/>
      </c>
      <c r="DU41" s="7">
        <f>BP41-DJ41</f>
        <v/>
      </c>
      <c r="DV41" s="7">
        <f>BT41-(DI41-DJ41)</f>
        <v/>
      </c>
      <c r="DW41" s="7">
        <f>CP41+DN41</f>
        <v/>
      </c>
      <c r="DX41" s="7">
        <f>IF(DN41&gt;0,(CP41*CF41+DN41*prestamos_tasaFederalPosgrado)/(CP41+DN41),CF41)</f>
        <v/>
      </c>
      <c r="DY41" s="7">
        <f>IF(DN41&gt;0,0,CQ41)</f>
        <v/>
      </c>
      <c r="DZ41" s="7">
        <f>DM41+DN41</f>
        <v/>
      </c>
      <c r="EA41" s="7">
        <f>CV41+DO41</f>
        <v/>
      </c>
      <c r="EB41" s="7">
        <f>IF(DO41&gt;0,(CV41*CS41+DO41*prestamos_tasaPrivada)/(CV41+DO41),CS41)</f>
        <v/>
      </c>
      <c r="EC41" s="7">
        <f>IF(DO41&gt;0,0,CW41)</f>
        <v/>
      </c>
      <c r="ED41" s="7">
        <f>CX41-DE41+DP41</f>
        <v/>
      </c>
      <c r="EE41" s="7">
        <f>IF(IF(8=0,"",EE40)&lt;&gt;"",EE40,IF(AND(BB41=1,DU41&lt;=0.5,DV41&lt;=0.5,OR(BH41=0,BJ41=1)),A41,""))</f>
        <v/>
      </c>
      <c r="EF41" s="7">
        <f>DU41+DV41+DW41+EA41+ED41+CD41</f>
        <v/>
      </c>
      <c r="EG41" s="7">
        <f>DR41+DS41+DT41-EF41</f>
        <v/>
      </c>
      <c r="EH41" s="7">
        <f>EG41/(1+g_inf)^(A41+1-2026)</f>
        <v/>
      </c>
    </row>
    <row r="42">
      <c r="A42" t="n">
        <v>2036</v>
      </c>
      <c r="B42" t="n">
        <v>9</v>
      </c>
      <c r="C42" s="7">
        <f>(1+g_inf)^(A42-2026)</f>
        <v/>
      </c>
      <c r="D42" s="7">
        <f>SUMPRODUCT($AC$5:$AC$29,$E$5:$E$29*(1+$F$5:$F$29)^(A42-2026)*$G$5:$G$29*$H$5:$H$29*(1-$N$5:$N$29*$O$5:$O$29))*g_salMult+SUMPRODUCT(($B$5:$B$29&gt;=A42)*($B$5:$B$29&lt;A42+1)*$I$5:$I$29)*g_salMult</f>
        <v/>
      </c>
      <c r="E42" s="7">
        <f>SUMPRODUCT($AC$5:$AC$29,$E$5:$E$29*(1+$F$5:$F$29)^(A42-2026)*$G$5:$G$29*$H$5:$H$29*$M$5:$M$29)*g_salMult</f>
        <v/>
      </c>
      <c r="F42" s="7">
        <f>SUMPRODUCT($AC$5:$AC$29,$E$5:$E$29*(1+$F$5:$F$29)^(A42-2026)*$G$5:$G$29*$H$5:$H$29*$N$5:$N$29*$O$5:$O$29)*g_salMult</f>
        <v/>
      </c>
      <c r="G42" s="7">
        <f>SUMPRODUCT($AC$5:$AC$29,$P$5:$P$29*(1+$F$5:$F$29)^(A42-2026))</f>
        <v/>
      </c>
      <c r="H42" s="7">
        <f>SUMPRODUCT($AC$5:$AC$29,$Q$5:$Q$29*(1+$F$5:$F$29)^(A42-2026))+IF(personal_llcActivo=1,personal_llcNeto*(1+personal_llcCrecimiento)^9,0)</f>
        <v/>
      </c>
      <c r="I42" s="7">
        <f>SUMPRODUCT($AC$5:$AC$29,$J$5:$J$29/($C$5:$C$29-$B$5:$B$29+($C$5:$C$29=$B$5:$B$29)))*C42</f>
        <v/>
      </c>
      <c r="J42" s="7">
        <f>SUMPRODUCT($AC$5:$AC$29,$K$5:$K$29)</f>
        <v/>
      </c>
      <c r="K42" s="7">
        <f>SUMPRODUCT($AC$5:$AC$29,$L$5:$L$29)</f>
        <v/>
      </c>
      <c r="L42" s="7">
        <f>SUMPRODUCT($AC$5:$AC$29,$N$5:$N$29)</f>
        <v/>
      </c>
      <c r="M42" s="7">
        <f>IF(SUMPRODUCT($AC$5:$AC$29,$R$5:$R$29)&gt;0,1,0)</f>
        <v/>
      </c>
      <c r="N42" s="7">
        <f>SUMPRODUCT(($AO$5:$AO$24&gt;=A42)*($AO$5:$AO$24&lt;A42+1)*$AP$5:$AP$24)*C42+IF(9=0,IF(sel_loc&lt;&gt;"miami",personal_costoMudanzaInicial,0),0)</f>
        <v/>
      </c>
      <c r="O42" s="7">
        <f>MIN(personal_aporte403bPct*D42,retiro_limite403b*C42)</f>
        <v/>
      </c>
      <c r="P42" s="7">
        <f>MIN(personal_aporte403bPct,personal_match403bPct)*E42</f>
        <v/>
      </c>
      <c r="Q42" s="7">
        <f>IF(G42&gt;0,MAX(0,G42-impuestos_scorpCostoAnual*C42),0)</f>
        <v/>
      </c>
      <c r="R42" s="7">
        <f>Q42*impuestos_scorpSalarioPct/(1+impuestos_ssTasa+impuestos_medicareTasa)</f>
        <v/>
      </c>
      <c r="S42" s="7">
        <f>impuestos_ssTasa*MIN(R42,MAX(0,impuestos_ssTope*C42-D42))+impuestos_medicareTasa*R42</f>
        <v/>
      </c>
      <c r="T42" s="7">
        <f>Q42-R42-S42</f>
        <v/>
      </c>
      <c r="U42" s="7">
        <f>D42+R42</f>
        <v/>
      </c>
      <c r="V42" s="7">
        <f>H42*0.9235</f>
        <v/>
      </c>
      <c r="W42" s="7">
        <f>IF(H42&gt;0,2*impuestos_ssTasa*MIN(V42,MAX(0,impuestos_ssTope*C42-U42))+2*impuestos_medicareTasa*V42,0)</f>
        <v/>
      </c>
      <c r="X42" s="7">
        <f>impuestos_ssTasa*MIN(U42,impuestos_ssTope*C42)+impuestos_medicareTasa*U42+impuestos_medicareAdicional*MAX(0,U42+H42*0.9235-impuestos_medicareUmbral)</f>
        <v/>
      </c>
      <c r="Y42" s="7">
        <f>MAX(0,D42-O42+R42+T42+H42-W42/2)</f>
        <v/>
      </c>
      <c r="Z42" s="7">
        <f>MAX(0,Y42-impuestos_deduccionEstandar*C42)</f>
        <v/>
      </c>
      <c r="AA42" s="7">
        <f>MIN(0.2*MAX(0,T42+H42-W42/2)*MAX(0,MIN(1,1-(Z42-impuestos_qbiUmbral*C42)/(impuestos_qbiRango*C42))),0.2*Z42)</f>
        <v/>
      </c>
      <c r="AB42" s="7">
        <f>MAX(0,Z42-AA42)</f>
        <v/>
      </c>
      <c r="AC42" s="7">
        <f>SUMPRODUCT((AB42&gt;tb_federalBrackets_lo*C42)*(AB42-tb_federalBrackets_lo*C42)*tb_federalBrackets_dr)</f>
        <v/>
      </c>
      <c r="AD42" s="7">
        <f>MAX(0,Y42-impuestos_nyDeduccion*C42)</f>
        <v/>
      </c>
      <c r="AE42" s="7">
        <f>CHOOSE(loc_taxcode,0,impuestos_ohTasa*MAX(0,Y42-impuestos_ohExento*C42)+impuestos_ohMunicipal*U42,SUMPRODUCT((AD42&gt;tb_nyBrackets_lo*C42)*(AD42-tb_nyBrackets_lo*C42)*tb_nyBrackets_dr)+loc_nyc*SUMPRODUCT((AD42&gt;tb_nycBrackets_lo*C42)*(AD42-tb_nycBrackets_lo*C42)*tb_nycBrackets_dr))</f>
        <v/>
      </c>
      <c r="AF42" s="7">
        <f>AC42+AE42+X42+W42</f>
        <v/>
      </c>
      <c r="AG42" s="7">
        <f>D42+F42+R42+T42+H42</f>
        <v/>
      </c>
      <c r="AH42" s="7">
        <f>AG42-AF42-O42</f>
        <v/>
      </c>
      <c r="AI42" s="7">
        <f>D42+F42+G42+H42</f>
        <v/>
      </c>
      <c r="AJ42" s="7">
        <f>loc_gastosVida*C42*g_gastos</f>
        <v/>
      </c>
      <c r="AK42" s="7">
        <f>IF(9=0,personal_liquidoInicial,DR41)</f>
        <v/>
      </c>
      <c r="AL42" s="7">
        <f>IF(9=0,0,BB41)</f>
        <v/>
      </c>
      <c r="AM42" s="7">
        <f>CHOOSE(sel_cfgIdx,loc_precio_duplex,loc_precio_inlaw,loc_precio_dosCasas,loc_precio_casaAdu,loc_precio_multi)</f>
        <v/>
      </c>
      <c r="AN42" s="7">
        <f>AM42*(1+g_appr)^(A42-2026)</f>
        <v/>
      </c>
      <c r="AO42" s="7">
        <f>IF(AND(M42=1,vivienda_prestamoMedico=1),1,0)</f>
        <v/>
      </c>
      <c r="AP42" s="7">
        <f>IF(AO42=1,0.05,vivienda_enganchePct)</f>
        <v/>
      </c>
      <c r="AQ42" s="7">
        <f>AN42*(1-AP42)</f>
        <v/>
      </c>
      <c r="AR42" s="7">
        <f>PMT(g_mortRate/12,vivienda_plazoHipoteca*12,-AQ42)</f>
        <v/>
      </c>
      <c r="AS42" s="7">
        <f>INDEX(cfg_units,sel_cfgIdx)</f>
        <v/>
      </c>
      <c r="AT42" s="7">
        <f>AS42*loc_rentaUnidad*(1+g_inf)^(A42-2026)*(1-vivienda_vacancia)</f>
        <v/>
      </c>
      <c r="AU42" s="7">
        <f>AR42+AN42*loc_impuestoPropPct/12+AM42*loc_seguroPct*(1+vivienda_inflacionSeguro)^(A42-2026)/12+IF(AND(AO42=0,AP42&lt;0.2),AQ42*vivienda_pmiTasa/12,0)</f>
        <v/>
      </c>
      <c r="AV42" s="7">
        <f>AN42*AP42+AN42*vivienda_cierrePct+general_reservaMeses/12*AJ42</f>
        <v/>
      </c>
      <c r="AW42" s="7">
        <f>(IF(9=0,MIN(personal_irsSaldo,personal_irsPagoMensual*12),MIN(CD41,personal_irsPagoMensual*12))+IF(CE42&gt;0,PMT(CF42,MAX(1,prestamos_plazoAnios-CG42),-CE42),0)+IF(CR42&gt;0,PMT(CS42,MAX(1,prestamos_plazoAnios-CT42),-CR42),0))/12</f>
        <v/>
      </c>
      <c r="AX42" s="7">
        <f>IF(OR(sel_cfg="duplex",sel_cfg="multi",sel_cfg="dosCasas"),0.75*personal_aporteFamiliaMensual,0)</f>
        <v/>
      </c>
      <c r="AY42" s="7">
        <f>AU42-0.75*AT42-AX42+AW42</f>
        <v/>
      </c>
      <c r="AZ42" s="7">
        <f>(D42+G42+H42+0.5*F42)/12</f>
        <v/>
      </c>
      <c r="BA42" s="7">
        <f>IF(AND(AL42=0,A42&gt;=vivienda_anioMinCompra,J42&lt;0.5,AI42&gt;0,AK42&gt;=AV42,AY42&lt;=vivienda_dtiMax*AZ42),1,0)</f>
        <v/>
      </c>
      <c r="BB42" s="7">
        <f>MAX(AL42,BA42)</f>
        <v/>
      </c>
      <c r="BC42" s="7">
        <f>IF(BA42=1,A42,IF(9=0,"",BC41))</f>
        <v/>
      </c>
      <c r="BD42" s="7">
        <f>AK42-IF(BA42=1,AN42*AP42+AN42*vivienda_cierrePct,0)</f>
        <v/>
      </c>
      <c r="BE42" s="7">
        <f>IF(BA42=1,AN42,IF(9=0,0,BE41))</f>
        <v/>
      </c>
      <c r="BF42" s="7">
        <f>IF(BA42=1,AR42,IF(9=0,0,BF41))</f>
        <v/>
      </c>
      <c r="BG42" s="7">
        <f>IF(BA42=1,IF(AND(AO42=0,AP42&lt;0.2),1,0),IF(9=0,0,BY41))</f>
        <v/>
      </c>
      <c r="BH42" s="7">
        <f>IF(sel_cfg="casaAdu",1,0)</f>
        <v/>
      </c>
      <c r="BI42" s="7">
        <f>IF(AND(BB42=1,BH42=1,IF(9=0,0,BJ41)=0,A42&gt;=IF(BC42="",9999,BC42)+vivienda_aduRetrasoAnios),1,0)</f>
        <v/>
      </c>
      <c r="BJ42" s="7">
        <f>MAX(IF(9=0,0,BJ41),BI42)</f>
        <v/>
      </c>
      <c r="BK42" s="7">
        <f>IF(BI42=1,PMT((g_mortRate+0.005)/12,180,-loc_precio_aduCosto*C42),IF(9=0,0,BK41))</f>
        <v/>
      </c>
      <c r="BL42" s="7">
        <f>IF(BA42=1,AN42,IF(9=0,0,DT41))+IF(BI42=1,loc_precio_aduCosto*C42,0)</f>
        <v/>
      </c>
      <c r="BM42" s="7">
        <f>IF(BA42=1,AQ42,IF(9=0,0,DU41))</f>
        <v/>
      </c>
      <c r="BN42" s="7">
        <f>IF(BM42&lt;=0,0,FV(g_mortRate/12,12,BF42,-BM42))</f>
        <v/>
      </c>
      <c r="BO42" s="7">
        <f>IF(BM42&lt;=0,0,12*BF42+MIN(0,BN42))</f>
        <v/>
      </c>
      <c r="BP42" s="7">
        <f>MAX(0,BN42)</f>
        <v/>
      </c>
      <c r="BQ42" s="7">
        <f>IF(BI42=1,loc_precio_aduCosto*C42,IF(9=0,0,DV41))</f>
        <v/>
      </c>
      <c r="BR42" s="7">
        <f>IF(BQ42&lt;=0,0,FV((g_mortRate+0.005)/12,12,BK42,-BQ42))</f>
        <v/>
      </c>
      <c r="BS42" s="7">
        <f>IF(BQ42&lt;=0,0,12*BK42+MIN(0,BR42))</f>
        <v/>
      </c>
      <c r="BT42" s="7">
        <f>MAX(0,BR42)</f>
        <v/>
      </c>
      <c r="BU42" s="7">
        <f>IF(BB42=1,AM42*loc_seguroPct*(1+vivienda_inflacionSeguro)^(A42-2026)*IF(BJ42=1,1+loc_precio_aduCosto/AM42,1),0)</f>
        <v/>
      </c>
      <c r="BV42" s="7">
        <f>BL42*loc_impuestoPropPct</f>
        <v/>
      </c>
      <c r="BW42" s="7">
        <f>BL42*vivienda_mantenimientoPct</f>
        <v/>
      </c>
      <c r="BX42" s="7">
        <f>IF(AND(BG42=1,BP42&gt;0.8*BE42),BE42*(1-vivienda_enganchePct)*vivienda_pmiTasa,0)</f>
        <v/>
      </c>
      <c r="BY42" s="7">
        <f>IF(AND(BG42=1,BP42&gt;0.8*BE42),1,0)</f>
        <v/>
      </c>
      <c r="BZ42" s="7">
        <f>IF(BB42=1,AS42*loc_rentaUnidad*12*C42*(1-vivienda_vacancia)*(1-vivienda_gestionPct),0)</f>
        <v/>
      </c>
      <c r="CA42" s="7">
        <f>IF(BB42=1,BO42+BS42+BU42+BV42+BW42+BX42,loc_rentaMensual*12*C42)</f>
        <v/>
      </c>
      <c r="CB42" s="7">
        <f>IF(BB42=1,personal_aporteFamiliaMensual*12,0)</f>
        <v/>
      </c>
      <c r="CC42" s="7">
        <f>MIN(IF(9=0,personal_irsSaldo,CD41),personal_irsPagoMensual*12)</f>
        <v/>
      </c>
      <c r="CD42" s="7">
        <f>IF(9=0,personal_irsSaldo,CD41)-CC42</f>
        <v/>
      </c>
      <c r="CE42" s="7">
        <f>IF(9=0,IF(personal_deudaEsFederal=1,personal_deudaEstudiantil,0),DW41)</f>
        <v/>
      </c>
      <c r="CF42" s="7">
        <f>IF(9=0,personal_tasaDeudaEstudiantil,DX41)</f>
        <v/>
      </c>
      <c r="CG42" s="7">
        <f>IF(9=0,0,DY41)</f>
        <v/>
      </c>
      <c r="CH42" s="7">
        <f>IF(J42&gt;=0.5,1,0)</f>
        <v/>
      </c>
      <c r="CI42" s="7">
        <f>IF(AND(CH42=0,prestamos_pslfActivo=1,K42&gt;=0.5,CE42&gt;0),1,0)</f>
        <v/>
      </c>
      <c r="CJ42" s="7">
        <f>CE42*CF42</f>
        <v/>
      </c>
      <c r="CK42" s="7">
        <f>MAX(prestamos_rapPagoMinimoAnual,IF(Y42&lt;10000,0,MIN(0.1,INT(Y42/10000)/100))*Y42)</f>
        <v/>
      </c>
      <c r="CL42" s="7">
        <f>IF(CE42&lt;=0,0,IF(CH42=1,0,IF(CI42=1,MIN(CE42+CJ42,CK42),PMT(CF42,MAX(1,prestamos_plazoAnios-CG42),-CE42))))</f>
        <v/>
      </c>
      <c r="CM42" s="7">
        <f>IF(CE42&lt;=0,0,IF(CH42=1,CE42+CJ42,IF(CI42=1,MAX(0,CE42-MAX(CL42-CJ42,MIN(600,CL42))),MAX(0,CE42*(1+CF42)-CL42))))</f>
        <v/>
      </c>
      <c r="CN42" s="7">
        <f>IF(9=0,0,CN41)+IF(CI42=1,12*MIN(1,K42),0)</f>
        <v/>
      </c>
      <c r="CO42" s="7">
        <f>IF(AND(CI42=1,CN42&gt;=prestamos_pslfPagos,CM42&gt;0),CM42,0)</f>
        <v/>
      </c>
      <c r="CP42" s="7">
        <f>CM42-CO42</f>
        <v/>
      </c>
      <c r="CQ42" s="7">
        <f>IF(AND(CE42&gt;0,CH42=0,CI42=0),CG42+1,CG42)</f>
        <v/>
      </c>
      <c r="CR42" s="7">
        <f>IF(9=0,IF(personal_deudaEsFederal=1,0,personal_deudaEstudiantil),EA41)</f>
        <v/>
      </c>
      <c r="CS42" s="7">
        <f>IF(9=0,IF(personal_deudaEsFederal=1,prestamos_tasaPrivada,personal_tasaDeudaEstudiantil),EB41)</f>
        <v/>
      </c>
      <c r="CT42" s="7">
        <f>IF(9=0,0,EC41)</f>
        <v/>
      </c>
      <c r="CU42" s="7">
        <f>IF(OR(CR42&lt;=0,CH42=1),0,PMT(CS42,MAX(1,prestamos_plazoAnios-CT42),-CR42))</f>
        <v/>
      </c>
      <c r="CV42" s="7">
        <f>IF(CR42&lt;=0,0,IF(CH42=1,CR42*(1+CS42),MAX(0,CR42*(1+CS42)-CU42)))</f>
        <v/>
      </c>
      <c r="CW42" s="7">
        <f>IF(AND(CR42&gt;0,CH42=0),CT42+1,CT42)</f>
        <v/>
      </c>
      <c r="CX42" s="7">
        <f>IF(9=0,0,ED41)*(1+general_tasaDeudaConsumo)</f>
        <v/>
      </c>
      <c r="CY42" s="7">
        <f>L42*12*tiempos_travelGastoExtraMes*C42</f>
        <v/>
      </c>
      <c r="CZ42" s="7">
        <f>AJ42+CY42+CA42+CC42+CL42+CU42+I42+N42-BZ42-CB42</f>
        <v/>
      </c>
      <c r="DA42" s="7">
        <f>AH42-CZ42</f>
        <v/>
      </c>
      <c r="DB42" s="7">
        <f>IF(9=0,0,DB41)+DA42</f>
        <v/>
      </c>
      <c r="DC42" s="7">
        <f>AN42*vivienda_enganchePct+AN42*vivienda_cierrePct+general_reservaMeses/12*AJ42</f>
        <v/>
      </c>
      <c r="DD42" s="7">
        <f>IF(BB42=1,g_ret,IF(BD42&gt;0,MIN(1,DC42/BD42),1)*g_cash+(1-IF(BD42&gt;0,MIN(1,DC42/BD42),1))*g_ret)</f>
        <v/>
      </c>
      <c r="DE42" s="7">
        <f>IF(DA42&gt;=0,MIN(CX42,DA42),0)</f>
        <v/>
      </c>
      <c r="DF42" s="7">
        <f>IF(DA42&gt;=0,(1-general_tasaAhorro)*(DA42-DE42),0)</f>
        <v/>
      </c>
      <c r="DG42" s="7">
        <f>IF(DA42&gt;=0,DA42-DE42-DF42,0)</f>
        <v/>
      </c>
      <c r="DH42" s="7">
        <f>MIN(personal_rothAnual,DG42)</f>
        <v/>
      </c>
      <c r="DI42" s="7">
        <f>IF(AND(DA42&gt;=0,BB42=1,BP42+BT42&gt;0),MIN(vivienda_prepagoPct*(DG42-DH42),BP42+BT42),0)</f>
        <v/>
      </c>
      <c r="DJ42" s="7">
        <f>MIN(DI42,BP42)</f>
        <v/>
      </c>
      <c r="DK42" s="7">
        <f>IF(DA42&lt;0,MIN(MAX(0,BD42),-DA42),0)</f>
        <v/>
      </c>
      <c r="DL42" s="7">
        <f>IF(DA42&lt;0,-DA42-DK42,0)</f>
        <v/>
      </c>
      <c r="DM42" s="7">
        <f>IF(9=0,0,DZ41)</f>
        <v/>
      </c>
      <c r="DN42" s="7">
        <f>IF(AND(DL42&gt;0,J42&gt;0),MIN(DL42,MIN(prestamos_topeAnualPosgrado*MIN(1,J42),MAX(0,prestamos_topeTotalPosgrado-DM42))),0)</f>
        <v/>
      </c>
      <c r="DO42" s="7">
        <f>IF(AND(DL42&gt;0,J42&gt;0),DL42-DN42,0)</f>
        <v/>
      </c>
      <c r="DP42" s="7">
        <f>IF(AND(DL42&gt;0,J42&lt;=0),DL42,0)</f>
        <v/>
      </c>
      <c r="DQ42" s="7">
        <f>IF(DA42&gt;=0,DG42-DH42-DI42,-DK42)</f>
        <v/>
      </c>
      <c r="DR42" s="7">
        <f>BD42*(1+DD42)+DQ42*(1+DD42/2)</f>
        <v/>
      </c>
      <c r="DS42" s="7">
        <f>IF(9=0,personal_retiroInicial,DS41)*(1+g_ret)+(O42+P42+DH42)*(1+g_ret/2)</f>
        <v/>
      </c>
      <c r="DT42" s="7">
        <f>IF(BB42=1,BL42*(1+g_appr),0)</f>
        <v/>
      </c>
      <c r="DU42" s="7">
        <f>BP42-DJ42</f>
        <v/>
      </c>
      <c r="DV42" s="7">
        <f>BT42-(DI42-DJ42)</f>
        <v/>
      </c>
      <c r="DW42" s="7">
        <f>CP42+DN42</f>
        <v/>
      </c>
      <c r="DX42" s="7">
        <f>IF(DN42&gt;0,(CP42*CF42+DN42*prestamos_tasaFederalPosgrado)/(CP42+DN42),CF42)</f>
        <v/>
      </c>
      <c r="DY42" s="7">
        <f>IF(DN42&gt;0,0,CQ42)</f>
        <v/>
      </c>
      <c r="DZ42" s="7">
        <f>DM42+DN42</f>
        <v/>
      </c>
      <c r="EA42" s="7">
        <f>CV42+DO42</f>
        <v/>
      </c>
      <c r="EB42" s="7">
        <f>IF(DO42&gt;0,(CV42*CS42+DO42*prestamos_tasaPrivada)/(CV42+DO42),CS42)</f>
        <v/>
      </c>
      <c r="EC42" s="7">
        <f>IF(DO42&gt;0,0,CW42)</f>
        <v/>
      </c>
      <c r="ED42" s="7">
        <f>CX42-DE42+DP42</f>
        <v/>
      </c>
      <c r="EE42" s="7">
        <f>IF(IF(9=0,"",EE41)&lt;&gt;"",EE41,IF(AND(BB42=1,DU42&lt;=0.5,DV42&lt;=0.5,OR(BH42=0,BJ42=1)),A42,""))</f>
        <v/>
      </c>
      <c r="EF42" s="7">
        <f>DU42+DV42+DW42+EA42+ED42+CD42</f>
        <v/>
      </c>
      <c r="EG42" s="7">
        <f>DR42+DS42+DT42-EF42</f>
        <v/>
      </c>
      <c r="EH42" s="7">
        <f>EG42/(1+g_inf)^(A42+1-2026)</f>
        <v/>
      </c>
    </row>
    <row r="43">
      <c r="A43" t="n">
        <v>2037</v>
      </c>
      <c r="B43" t="n">
        <v>10</v>
      </c>
      <c r="C43" s="7">
        <f>(1+g_inf)^(A43-2026)</f>
        <v/>
      </c>
      <c r="D43" s="7">
        <f>SUMPRODUCT($AD$5:$AD$29,$E$5:$E$29*(1+$F$5:$F$29)^(A43-2026)*$G$5:$G$29*$H$5:$H$29*(1-$N$5:$N$29*$O$5:$O$29))*g_salMult+SUMPRODUCT(($B$5:$B$29&gt;=A43)*($B$5:$B$29&lt;A43+1)*$I$5:$I$29)*g_salMult</f>
        <v/>
      </c>
      <c r="E43" s="7">
        <f>SUMPRODUCT($AD$5:$AD$29,$E$5:$E$29*(1+$F$5:$F$29)^(A43-2026)*$G$5:$G$29*$H$5:$H$29*$M$5:$M$29)*g_salMult</f>
        <v/>
      </c>
      <c r="F43" s="7">
        <f>SUMPRODUCT($AD$5:$AD$29,$E$5:$E$29*(1+$F$5:$F$29)^(A43-2026)*$G$5:$G$29*$H$5:$H$29*$N$5:$N$29*$O$5:$O$29)*g_salMult</f>
        <v/>
      </c>
      <c r="G43" s="7">
        <f>SUMPRODUCT($AD$5:$AD$29,$P$5:$P$29*(1+$F$5:$F$29)^(A43-2026))</f>
        <v/>
      </c>
      <c r="H43" s="7">
        <f>SUMPRODUCT($AD$5:$AD$29,$Q$5:$Q$29*(1+$F$5:$F$29)^(A43-2026))+IF(personal_llcActivo=1,personal_llcNeto*(1+personal_llcCrecimiento)^10,0)</f>
        <v/>
      </c>
      <c r="I43" s="7">
        <f>SUMPRODUCT($AD$5:$AD$29,$J$5:$J$29/($C$5:$C$29-$B$5:$B$29+($C$5:$C$29=$B$5:$B$29)))*C43</f>
        <v/>
      </c>
      <c r="J43" s="7">
        <f>SUMPRODUCT($AD$5:$AD$29,$K$5:$K$29)</f>
        <v/>
      </c>
      <c r="K43" s="7">
        <f>SUMPRODUCT($AD$5:$AD$29,$L$5:$L$29)</f>
        <v/>
      </c>
      <c r="L43" s="7">
        <f>SUMPRODUCT($AD$5:$AD$29,$N$5:$N$29)</f>
        <v/>
      </c>
      <c r="M43" s="7">
        <f>IF(SUMPRODUCT($AD$5:$AD$29,$R$5:$R$29)&gt;0,1,0)</f>
        <v/>
      </c>
      <c r="N43" s="7">
        <f>SUMPRODUCT(($AO$5:$AO$24&gt;=A43)*($AO$5:$AO$24&lt;A43+1)*$AP$5:$AP$24)*C43+IF(10=0,IF(sel_loc&lt;&gt;"miami",personal_costoMudanzaInicial,0),0)</f>
        <v/>
      </c>
      <c r="O43" s="7">
        <f>MIN(personal_aporte403bPct*D43,retiro_limite403b*C43)</f>
        <v/>
      </c>
      <c r="P43" s="7">
        <f>MIN(personal_aporte403bPct,personal_match403bPct)*E43</f>
        <v/>
      </c>
      <c r="Q43" s="7">
        <f>IF(G43&gt;0,MAX(0,G43-impuestos_scorpCostoAnual*C43),0)</f>
        <v/>
      </c>
      <c r="R43" s="7">
        <f>Q43*impuestos_scorpSalarioPct/(1+impuestos_ssTasa+impuestos_medicareTasa)</f>
        <v/>
      </c>
      <c r="S43" s="7">
        <f>impuestos_ssTasa*MIN(R43,MAX(0,impuestos_ssTope*C43-D43))+impuestos_medicareTasa*R43</f>
        <v/>
      </c>
      <c r="T43" s="7">
        <f>Q43-R43-S43</f>
        <v/>
      </c>
      <c r="U43" s="7">
        <f>D43+R43</f>
        <v/>
      </c>
      <c r="V43" s="7">
        <f>H43*0.9235</f>
        <v/>
      </c>
      <c r="W43" s="7">
        <f>IF(H43&gt;0,2*impuestos_ssTasa*MIN(V43,MAX(0,impuestos_ssTope*C43-U43))+2*impuestos_medicareTasa*V43,0)</f>
        <v/>
      </c>
      <c r="X43" s="7">
        <f>impuestos_ssTasa*MIN(U43,impuestos_ssTope*C43)+impuestos_medicareTasa*U43+impuestos_medicareAdicional*MAX(0,U43+H43*0.9235-impuestos_medicareUmbral)</f>
        <v/>
      </c>
      <c r="Y43" s="7">
        <f>MAX(0,D43-O43+R43+T43+H43-W43/2)</f>
        <v/>
      </c>
      <c r="Z43" s="7">
        <f>MAX(0,Y43-impuestos_deduccionEstandar*C43)</f>
        <v/>
      </c>
      <c r="AA43" s="7">
        <f>MIN(0.2*MAX(0,T43+H43-W43/2)*MAX(0,MIN(1,1-(Z43-impuestos_qbiUmbral*C43)/(impuestos_qbiRango*C43))),0.2*Z43)</f>
        <v/>
      </c>
      <c r="AB43" s="7">
        <f>MAX(0,Z43-AA43)</f>
        <v/>
      </c>
      <c r="AC43" s="7">
        <f>SUMPRODUCT((AB43&gt;tb_federalBrackets_lo*C43)*(AB43-tb_federalBrackets_lo*C43)*tb_federalBrackets_dr)</f>
        <v/>
      </c>
      <c r="AD43" s="7">
        <f>MAX(0,Y43-impuestos_nyDeduccion*C43)</f>
        <v/>
      </c>
      <c r="AE43" s="7">
        <f>CHOOSE(loc_taxcode,0,impuestos_ohTasa*MAX(0,Y43-impuestos_ohExento*C43)+impuestos_ohMunicipal*U43,SUMPRODUCT((AD43&gt;tb_nyBrackets_lo*C43)*(AD43-tb_nyBrackets_lo*C43)*tb_nyBrackets_dr)+loc_nyc*SUMPRODUCT((AD43&gt;tb_nycBrackets_lo*C43)*(AD43-tb_nycBrackets_lo*C43)*tb_nycBrackets_dr))</f>
        <v/>
      </c>
      <c r="AF43" s="7">
        <f>AC43+AE43+X43+W43</f>
        <v/>
      </c>
      <c r="AG43" s="7">
        <f>D43+F43+R43+T43+H43</f>
        <v/>
      </c>
      <c r="AH43" s="7">
        <f>AG43-AF43-O43</f>
        <v/>
      </c>
      <c r="AI43" s="7">
        <f>D43+F43+G43+H43</f>
        <v/>
      </c>
      <c r="AJ43" s="7">
        <f>loc_gastosVida*C43*g_gastos</f>
        <v/>
      </c>
      <c r="AK43" s="7">
        <f>IF(10=0,personal_liquidoInicial,DR42)</f>
        <v/>
      </c>
      <c r="AL43" s="7">
        <f>IF(10=0,0,BB42)</f>
        <v/>
      </c>
      <c r="AM43" s="7">
        <f>CHOOSE(sel_cfgIdx,loc_precio_duplex,loc_precio_inlaw,loc_precio_dosCasas,loc_precio_casaAdu,loc_precio_multi)</f>
        <v/>
      </c>
      <c r="AN43" s="7">
        <f>AM43*(1+g_appr)^(A43-2026)</f>
        <v/>
      </c>
      <c r="AO43" s="7">
        <f>IF(AND(M43=1,vivienda_prestamoMedico=1),1,0)</f>
        <v/>
      </c>
      <c r="AP43" s="7">
        <f>IF(AO43=1,0.05,vivienda_enganchePct)</f>
        <v/>
      </c>
      <c r="AQ43" s="7">
        <f>AN43*(1-AP43)</f>
        <v/>
      </c>
      <c r="AR43" s="7">
        <f>PMT(g_mortRate/12,vivienda_plazoHipoteca*12,-AQ43)</f>
        <v/>
      </c>
      <c r="AS43" s="7">
        <f>INDEX(cfg_units,sel_cfgIdx)</f>
        <v/>
      </c>
      <c r="AT43" s="7">
        <f>AS43*loc_rentaUnidad*(1+g_inf)^(A43-2026)*(1-vivienda_vacancia)</f>
        <v/>
      </c>
      <c r="AU43" s="7">
        <f>AR43+AN43*loc_impuestoPropPct/12+AM43*loc_seguroPct*(1+vivienda_inflacionSeguro)^(A43-2026)/12+IF(AND(AO43=0,AP43&lt;0.2),AQ43*vivienda_pmiTasa/12,0)</f>
        <v/>
      </c>
      <c r="AV43" s="7">
        <f>AN43*AP43+AN43*vivienda_cierrePct+general_reservaMeses/12*AJ43</f>
        <v/>
      </c>
      <c r="AW43" s="7">
        <f>(IF(10=0,MIN(personal_irsSaldo,personal_irsPagoMensual*12),MIN(CD42,personal_irsPagoMensual*12))+IF(CE43&gt;0,PMT(CF43,MAX(1,prestamos_plazoAnios-CG43),-CE43),0)+IF(CR43&gt;0,PMT(CS43,MAX(1,prestamos_plazoAnios-CT43),-CR43),0))/12</f>
        <v/>
      </c>
      <c r="AX43" s="7">
        <f>IF(OR(sel_cfg="duplex",sel_cfg="multi",sel_cfg="dosCasas"),0.75*personal_aporteFamiliaMensual,0)</f>
        <v/>
      </c>
      <c r="AY43" s="7">
        <f>AU43-0.75*AT43-AX43+AW43</f>
        <v/>
      </c>
      <c r="AZ43" s="7">
        <f>(D43+G43+H43+0.5*F43)/12</f>
        <v/>
      </c>
      <c r="BA43" s="7">
        <f>IF(AND(AL43=0,A43&gt;=vivienda_anioMinCompra,J43&lt;0.5,AI43&gt;0,AK43&gt;=AV43,AY43&lt;=vivienda_dtiMax*AZ43),1,0)</f>
        <v/>
      </c>
      <c r="BB43" s="7">
        <f>MAX(AL43,BA43)</f>
        <v/>
      </c>
      <c r="BC43" s="7">
        <f>IF(BA43=1,A43,IF(10=0,"",BC42))</f>
        <v/>
      </c>
      <c r="BD43" s="7">
        <f>AK43-IF(BA43=1,AN43*AP43+AN43*vivienda_cierrePct,0)</f>
        <v/>
      </c>
      <c r="BE43" s="7">
        <f>IF(BA43=1,AN43,IF(10=0,0,BE42))</f>
        <v/>
      </c>
      <c r="BF43" s="7">
        <f>IF(BA43=1,AR43,IF(10=0,0,BF42))</f>
        <v/>
      </c>
      <c r="BG43" s="7">
        <f>IF(BA43=1,IF(AND(AO43=0,AP43&lt;0.2),1,0),IF(10=0,0,BY42))</f>
        <v/>
      </c>
      <c r="BH43" s="7">
        <f>IF(sel_cfg="casaAdu",1,0)</f>
        <v/>
      </c>
      <c r="BI43" s="7">
        <f>IF(AND(BB43=1,BH43=1,IF(10=0,0,BJ42)=0,A43&gt;=IF(BC43="",9999,BC43)+vivienda_aduRetrasoAnios),1,0)</f>
        <v/>
      </c>
      <c r="BJ43" s="7">
        <f>MAX(IF(10=0,0,BJ42),BI43)</f>
        <v/>
      </c>
      <c r="BK43" s="7">
        <f>IF(BI43=1,PMT((g_mortRate+0.005)/12,180,-loc_precio_aduCosto*C43),IF(10=0,0,BK42))</f>
        <v/>
      </c>
      <c r="BL43" s="7">
        <f>IF(BA43=1,AN43,IF(10=0,0,DT42))+IF(BI43=1,loc_precio_aduCosto*C43,0)</f>
        <v/>
      </c>
      <c r="BM43" s="7">
        <f>IF(BA43=1,AQ43,IF(10=0,0,DU42))</f>
        <v/>
      </c>
      <c r="BN43" s="7">
        <f>IF(BM43&lt;=0,0,FV(g_mortRate/12,12,BF43,-BM43))</f>
        <v/>
      </c>
      <c r="BO43" s="7">
        <f>IF(BM43&lt;=0,0,12*BF43+MIN(0,BN43))</f>
        <v/>
      </c>
      <c r="BP43" s="7">
        <f>MAX(0,BN43)</f>
        <v/>
      </c>
      <c r="BQ43" s="7">
        <f>IF(BI43=1,loc_precio_aduCosto*C43,IF(10=0,0,DV42))</f>
        <v/>
      </c>
      <c r="BR43" s="7">
        <f>IF(BQ43&lt;=0,0,FV((g_mortRate+0.005)/12,12,BK43,-BQ43))</f>
        <v/>
      </c>
      <c r="BS43" s="7">
        <f>IF(BQ43&lt;=0,0,12*BK43+MIN(0,BR43))</f>
        <v/>
      </c>
      <c r="BT43" s="7">
        <f>MAX(0,BR43)</f>
        <v/>
      </c>
      <c r="BU43" s="7">
        <f>IF(BB43=1,AM43*loc_seguroPct*(1+vivienda_inflacionSeguro)^(A43-2026)*IF(BJ43=1,1+loc_precio_aduCosto/AM43,1),0)</f>
        <v/>
      </c>
      <c r="BV43" s="7">
        <f>BL43*loc_impuestoPropPct</f>
        <v/>
      </c>
      <c r="BW43" s="7">
        <f>BL43*vivienda_mantenimientoPct</f>
        <v/>
      </c>
      <c r="BX43" s="7">
        <f>IF(AND(BG43=1,BP43&gt;0.8*BE43),BE43*(1-vivienda_enganchePct)*vivienda_pmiTasa,0)</f>
        <v/>
      </c>
      <c r="BY43" s="7">
        <f>IF(AND(BG43=1,BP43&gt;0.8*BE43),1,0)</f>
        <v/>
      </c>
      <c r="BZ43" s="7">
        <f>IF(BB43=1,AS43*loc_rentaUnidad*12*C43*(1-vivienda_vacancia)*(1-vivienda_gestionPct),0)</f>
        <v/>
      </c>
      <c r="CA43" s="7">
        <f>IF(BB43=1,BO43+BS43+BU43+BV43+BW43+BX43,loc_rentaMensual*12*C43)</f>
        <v/>
      </c>
      <c r="CB43" s="7">
        <f>IF(BB43=1,personal_aporteFamiliaMensual*12,0)</f>
        <v/>
      </c>
      <c r="CC43" s="7">
        <f>MIN(IF(10=0,personal_irsSaldo,CD42),personal_irsPagoMensual*12)</f>
        <v/>
      </c>
      <c r="CD43" s="7">
        <f>IF(10=0,personal_irsSaldo,CD42)-CC43</f>
        <v/>
      </c>
      <c r="CE43" s="7">
        <f>IF(10=0,IF(personal_deudaEsFederal=1,personal_deudaEstudiantil,0),DW42)</f>
        <v/>
      </c>
      <c r="CF43" s="7">
        <f>IF(10=0,personal_tasaDeudaEstudiantil,DX42)</f>
        <v/>
      </c>
      <c r="CG43" s="7">
        <f>IF(10=0,0,DY42)</f>
        <v/>
      </c>
      <c r="CH43" s="7">
        <f>IF(J43&gt;=0.5,1,0)</f>
        <v/>
      </c>
      <c r="CI43" s="7">
        <f>IF(AND(CH43=0,prestamos_pslfActivo=1,K43&gt;=0.5,CE43&gt;0),1,0)</f>
        <v/>
      </c>
      <c r="CJ43" s="7">
        <f>CE43*CF43</f>
        <v/>
      </c>
      <c r="CK43" s="7">
        <f>MAX(prestamos_rapPagoMinimoAnual,IF(Y43&lt;10000,0,MIN(0.1,INT(Y43/10000)/100))*Y43)</f>
        <v/>
      </c>
      <c r="CL43" s="7">
        <f>IF(CE43&lt;=0,0,IF(CH43=1,0,IF(CI43=1,MIN(CE43+CJ43,CK43),PMT(CF43,MAX(1,prestamos_plazoAnios-CG43),-CE43))))</f>
        <v/>
      </c>
      <c r="CM43" s="7">
        <f>IF(CE43&lt;=0,0,IF(CH43=1,CE43+CJ43,IF(CI43=1,MAX(0,CE43-MAX(CL43-CJ43,MIN(600,CL43))),MAX(0,CE43*(1+CF43)-CL43))))</f>
        <v/>
      </c>
      <c r="CN43" s="7">
        <f>IF(10=0,0,CN42)+IF(CI43=1,12*MIN(1,K43),0)</f>
        <v/>
      </c>
      <c r="CO43" s="7">
        <f>IF(AND(CI43=1,CN43&gt;=prestamos_pslfPagos,CM43&gt;0),CM43,0)</f>
        <v/>
      </c>
      <c r="CP43" s="7">
        <f>CM43-CO43</f>
        <v/>
      </c>
      <c r="CQ43" s="7">
        <f>IF(AND(CE43&gt;0,CH43=0,CI43=0),CG43+1,CG43)</f>
        <v/>
      </c>
      <c r="CR43" s="7">
        <f>IF(10=0,IF(personal_deudaEsFederal=1,0,personal_deudaEstudiantil),EA42)</f>
        <v/>
      </c>
      <c r="CS43" s="7">
        <f>IF(10=0,IF(personal_deudaEsFederal=1,prestamos_tasaPrivada,personal_tasaDeudaEstudiantil),EB42)</f>
        <v/>
      </c>
      <c r="CT43" s="7">
        <f>IF(10=0,0,EC42)</f>
        <v/>
      </c>
      <c r="CU43" s="7">
        <f>IF(OR(CR43&lt;=0,CH43=1),0,PMT(CS43,MAX(1,prestamos_plazoAnios-CT43),-CR43))</f>
        <v/>
      </c>
      <c r="CV43" s="7">
        <f>IF(CR43&lt;=0,0,IF(CH43=1,CR43*(1+CS43),MAX(0,CR43*(1+CS43)-CU43)))</f>
        <v/>
      </c>
      <c r="CW43" s="7">
        <f>IF(AND(CR43&gt;0,CH43=0),CT43+1,CT43)</f>
        <v/>
      </c>
      <c r="CX43" s="7">
        <f>IF(10=0,0,ED42)*(1+general_tasaDeudaConsumo)</f>
        <v/>
      </c>
      <c r="CY43" s="7">
        <f>L43*12*tiempos_travelGastoExtraMes*C43</f>
        <v/>
      </c>
      <c r="CZ43" s="7">
        <f>AJ43+CY43+CA43+CC43+CL43+CU43+I43+N43-BZ43-CB43</f>
        <v/>
      </c>
      <c r="DA43" s="7">
        <f>AH43-CZ43</f>
        <v/>
      </c>
      <c r="DB43" s="7">
        <f>IF(10=0,0,DB42)+DA43</f>
        <v/>
      </c>
      <c r="DC43" s="7">
        <f>AN43*vivienda_enganchePct+AN43*vivienda_cierrePct+general_reservaMeses/12*AJ43</f>
        <v/>
      </c>
      <c r="DD43" s="7">
        <f>IF(BB43=1,g_ret,IF(BD43&gt;0,MIN(1,DC43/BD43),1)*g_cash+(1-IF(BD43&gt;0,MIN(1,DC43/BD43),1))*g_ret)</f>
        <v/>
      </c>
      <c r="DE43" s="7">
        <f>IF(DA43&gt;=0,MIN(CX43,DA43),0)</f>
        <v/>
      </c>
      <c r="DF43" s="7">
        <f>IF(DA43&gt;=0,(1-general_tasaAhorro)*(DA43-DE43),0)</f>
        <v/>
      </c>
      <c r="DG43" s="7">
        <f>IF(DA43&gt;=0,DA43-DE43-DF43,0)</f>
        <v/>
      </c>
      <c r="DH43" s="7">
        <f>MIN(personal_rothAnual,DG43)</f>
        <v/>
      </c>
      <c r="DI43" s="7">
        <f>IF(AND(DA43&gt;=0,BB43=1,BP43+BT43&gt;0),MIN(vivienda_prepagoPct*(DG43-DH43),BP43+BT43),0)</f>
        <v/>
      </c>
      <c r="DJ43" s="7">
        <f>MIN(DI43,BP43)</f>
        <v/>
      </c>
      <c r="DK43" s="7">
        <f>IF(DA43&lt;0,MIN(MAX(0,BD43),-DA43),0)</f>
        <v/>
      </c>
      <c r="DL43" s="7">
        <f>IF(DA43&lt;0,-DA43-DK43,0)</f>
        <v/>
      </c>
      <c r="DM43" s="7">
        <f>IF(10=0,0,DZ42)</f>
        <v/>
      </c>
      <c r="DN43" s="7">
        <f>IF(AND(DL43&gt;0,J43&gt;0),MIN(DL43,MIN(prestamos_topeAnualPosgrado*MIN(1,J43),MAX(0,prestamos_topeTotalPosgrado-DM43))),0)</f>
        <v/>
      </c>
      <c r="DO43" s="7">
        <f>IF(AND(DL43&gt;0,J43&gt;0),DL43-DN43,0)</f>
        <v/>
      </c>
      <c r="DP43" s="7">
        <f>IF(AND(DL43&gt;0,J43&lt;=0),DL43,0)</f>
        <v/>
      </c>
      <c r="DQ43" s="7">
        <f>IF(DA43&gt;=0,DG43-DH43-DI43,-DK43)</f>
        <v/>
      </c>
      <c r="DR43" s="7">
        <f>BD43*(1+DD43)+DQ43*(1+DD43/2)</f>
        <v/>
      </c>
      <c r="DS43" s="7">
        <f>IF(10=0,personal_retiroInicial,DS42)*(1+g_ret)+(O43+P43+DH43)*(1+g_ret/2)</f>
        <v/>
      </c>
      <c r="DT43" s="7">
        <f>IF(BB43=1,BL43*(1+g_appr),0)</f>
        <v/>
      </c>
      <c r="DU43" s="7">
        <f>BP43-DJ43</f>
        <v/>
      </c>
      <c r="DV43" s="7">
        <f>BT43-(DI43-DJ43)</f>
        <v/>
      </c>
      <c r="DW43" s="7">
        <f>CP43+DN43</f>
        <v/>
      </c>
      <c r="DX43" s="7">
        <f>IF(DN43&gt;0,(CP43*CF43+DN43*prestamos_tasaFederalPosgrado)/(CP43+DN43),CF43)</f>
        <v/>
      </c>
      <c r="DY43" s="7">
        <f>IF(DN43&gt;0,0,CQ43)</f>
        <v/>
      </c>
      <c r="DZ43" s="7">
        <f>DM43+DN43</f>
        <v/>
      </c>
      <c r="EA43" s="7">
        <f>CV43+DO43</f>
        <v/>
      </c>
      <c r="EB43" s="7">
        <f>IF(DO43&gt;0,(CV43*CS43+DO43*prestamos_tasaPrivada)/(CV43+DO43),CS43)</f>
        <v/>
      </c>
      <c r="EC43" s="7">
        <f>IF(DO43&gt;0,0,CW43)</f>
        <v/>
      </c>
      <c r="ED43" s="7">
        <f>CX43-DE43+DP43</f>
        <v/>
      </c>
      <c r="EE43" s="7">
        <f>IF(IF(10=0,"",EE42)&lt;&gt;"",EE42,IF(AND(BB43=1,DU43&lt;=0.5,DV43&lt;=0.5,OR(BH43=0,BJ43=1)),A43,""))</f>
        <v/>
      </c>
      <c r="EF43" s="7">
        <f>DU43+DV43+DW43+EA43+ED43+CD43</f>
        <v/>
      </c>
      <c r="EG43" s="7">
        <f>DR43+DS43+DT43-EF43</f>
        <v/>
      </c>
      <c r="EH43" s="7">
        <f>EG43/(1+g_inf)^(A43+1-2026)</f>
        <v/>
      </c>
    </row>
    <row r="44">
      <c r="A44" t="n">
        <v>2038</v>
      </c>
      <c r="B44" t="n">
        <v>11</v>
      </c>
      <c r="C44" s="7">
        <f>(1+g_inf)^(A44-2026)</f>
        <v/>
      </c>
      <c r="D44" s="7">
        <f>SUMPRODUCT($AE$5:$AE$29,$E$5:$E$29*(1+$F$5:$F$29)^(A44-2026)*$G$5:$G$29*$H$5:$H$29*(1-$N$5:$N$29*$O$5:$O$29))*g_salMult+SUMPRODUCT(($B$5:$B$29&gt;=A44)*($B$5:$B$29&lt;A44+1)*$I$5:$I$29)*g_salMult</f>
        <v/>
      </c>
      <c r="E44" s="7">
        <f>SUMPRODUCT($AE$5:$AE$29,$E$5:$E$29*(1+$F$5:$F$29)^(A44-2026)*$G$5:$G$29*$H$5:$H$29*$M$5:$M$29)*g_salMult</f>
        <v/>
      </c>
      <c r="F44" s="7">
        <f>SUMPRODUCT($AE$5:$AE$29,$E$5:$E$29*(1+$F$5:$F$29)^(A44-2026)*$G$5:$G$29*$H$5:$H$29*$N$5:$N$29*$O$5:$O$29)*g_salMult</f>
        <v/>
      </c>
      <c r="G44" s="7">
        <f>SUMPRODUCT($AE$5:$AE$29,$P$5:$P$29*(1+$F$5:$F$29)^(A44-2026))</f>
        <v/>
      </c>
      <c r="H44" s="7">
        <f>SUMPRODUCT($AE$5:$AE$29,$Q$5:$Q$29*(1+$F$5:$F$29)^(A44-2026))+IF(personal_llcActivo=1,personal_llcNeto*(1+personal_llcCrecimiento)^11,0)</f>
        <v/>
      </c>
      <c r="I44" s="7">
        <f>SUMPRODUCT($AE$5:$AE$29,$J$5:$J$29/($C$5:$C$29-$B$5:$B$29+($C$5:$C$29=$B$5:$B$29)))*C44</f>
        <v/>
      </c>
      <c r="J44" s="7">
        <f>SUMPRODUCT($AE$5:$AE$29,$K$5:$K$29)</f>
        <v/>
      </c>
      <c r="K44" s="7">
        <f>SUMPRODUCT($AE$5:$AE$29,$L$5:$L$29)</f>
        <v/>
      </c>
      <c r="L44" s="7">
        <f>SUMPRODUCT($AE$5:$AE$29,$N$5:$N$29)</f>
        <v/>
      </c>
      <c r="M44" s="7">
        <f>IF(SUMPRODUCT($AE$5:$AE$29,$R$5:$R$29)&gt;0,1,0)</f>
        <v/>
      </c>
      <c r="N44" s="7">
        <f>SUMPRODUCT(($AO$5:$AO$24&gt;=A44)*($AO$5:$AO$24&lt;A44+1)*$AP$5:$AP$24)*C44+IF(11=0,IF(sel_loc&lt;&gt;"miami",personal_costoMudanzaInicial,0),0)</f>
        <v/>
      </c>
      <c r="O44" s="7">
        <f>MIN(personal_aporte403bPct*D44,retiro_limite403b*C44)</f>
        <v/>
      </c>
      <c r="P44" s="7">
        <f>MIN(personal_aporte403bPct,personal_match403bPct)*E44</f>
        <v/>
      </c>
      <c r="Q44" s="7">
        <f>IF(G44&gt;0,MAX(0,G44-impuestos_scorpCostoAnual*C44),0)</f>
        <v/>
      </c>
      <c r="R44" s="7">
        <f>Q44*impuestos_scorpSalarioPct/(1+impuestos_ssTasa+impuestos_medicareTasa)</f>
        <v/>
      </c>
      <c r="S44" s="7">
        <f>impuestos_ssTasa*MIN(R44,MAX(0,impuestos_ssTope*C44-D44))+impuestos_medicareTasa*R44</f>
        <v/>
      </c>
      <c r="T44" s="7">
        <f>Q44-R44-S44</f>
        <v/>
      </c>
      <c r="U44" s="7">
        <f>D44+R44</f>
        <v/>
      </c>
      <c r="V44" s="7">
        <f>H44*0.9235</f>
        <v/>
      </c>
      <c r="W44" s="7">
        <f>IF(H44&gt;0,2*impuestos_ssTasa*MIN(V44,MAX(0,impuestos_ssTope*C44-U44))+2*impuestos_medicareTasa*V44,0)</f>
        <v/>
      </c>
      <c r="X44" s="7">
        <f>impuestos_ssTasa*MIN(U44,impuestos_ssTope*C44)+impuestos_medicareTasa*U44+impuestos_medicareAdicional*MAX(0,U44+H44*0.9235-impuestos_medicareUmbral)</f>
        <v/>
      </c>
      <c r="Y44" s="7">
        <f>MAX(0,D44-O44+R44+T44+H44-W44/2)</f>
        <v/>
      </c>
      <c r="Z44" s="7">
        <f>MAX(0,Y44-impuestos_deduccionEstandar*C44)</f>
        <v/>
      </c>
      <c r="AA44" s="7">
        <f>MIN(0.2*MAX(0,T44+H44-W44/2)*MAX(0,MIN(1,1-(Z44-impuestos_qbiUmbral*C44)/(impuestos_qbiRango*C44))),0.2*Z44)</f>
        <v/>
      </c>
      <c r="AB44" s="7">
        <f>MAX(0,Z44-AA44)</f>
        <v/>
      </c>
      <c r="AC44" s="7">
        <f>SUMPRODUCT((AB44&gt;tb_federalBrackets_lo*C44)*(AB44-tb_federalBrackets_lo*C44)*tb_federalBrackets_dr)</f>
        <v/>
      </c>
      <c r="AD44" s="7">
        <f>MAX(0,Y44-impuestos_nyDeduccion*C44)</f>
        <v/>
      </c>
      <c r="AE44" s="7">
        <f>CHOOSE(loc_taxcode,0,impuestos_ohTasa*MAX(0,Y44-impuestos_ohExento*C44)+impuestos_ohMunicipal*U44,SUMPRODUCT((AD44&gt;tb_nyBrackets_lo*C44)*(AD44-tb_nyBrackets_lo*C44)*tb_nyBrackets_dr)+loc_nyc*SUMPRODUCT((AD44&gt;tb_nycBrackets_lo*C44)*(AD44-tb_nycBrackets_lo*C44)*tb_nycBrackets_dr))</f>
        <v/>
      </c>
      <c r="AF44" s="7">
        <f>AC44+AE44+X44+W44</f>
        <v/>
      </c>
      <c r="AG44" s="7">
        <f>D44+F44+R44+T44+H44</f>
        <v/>
      </c>
      <c r="AH44" s="7">
        <f>AG44-AF44-O44</f>
        <v/>
      </c>
      <c r="AI44" s="7">
        <f>D44+F44+G44+H44</f>
        <v/>
      </c>
      <c r="AJ44" s="7">
        <f>loc_gastosVida*C44*g_gastos</f>
        <v/>
      </c>
      <c r="AK44" s="7">
        <f>IF(11=0,personal_liquidoInicial,DR43)</f>
        <v/>
      </c>
      <c r="AL44" s="7">
        <f>IF(11=0,0,BB43)</f>
        <v/>
      </c>
      <c r="AM44" s="7">
        <f>CHOOSE(sel_cfgIdx,loc_precio_duplex,loc_precio_inlaw,loc_precio_dosCasas,loc_precio_casaAdu,loc_precio_multi)</f>
        <v/>
      </c>
      <c r="AN44" s="7">
        <f>AM44*(1+g_appr)^(A44-2026)</f>
        <v/>
      </c>
      <c r="AO44" s="7">
        <f>IF(AND(M44=1,vivienda_prestamoMedico=1),1,0)</f>
        <v/>
      </c>
      <c r="AP44" s="7">
        <f>IF(AO44=1,0.05,vivienda_enganchePct)</f>
        <v/>
      </c>
      <c r="AQ44" s="7">
        <f>AN44*(1-AP44)</f>
        <v/>
      </c>
      <c r="AR44" s="7">
        <f>PMT(g_mortRate/12,vivienda_plazoHipoteca*12,-AQ44)</f>
        <v/>
      </c>
      <c r="AS44" s="7">
        <f>INDEX(cfg_units,sel_cfgIdx)</f>
        <v/>
      </c>
      <c r="AT44" s="7">
        <f>AS44*loc_rentaUnidad*(1+g_inf)^(A44-2026)*(1-vivienda_vacancia)</f>
        <v/>
      </c>
      <c r="AU44" s="7">
        <f>AR44+AN44*loc_impuestoPropPct/12+AM44*loc_seguroPct*(1+vivienda_inflacionSeguro)^(A44-2026)/12+IF(AND(AO44=0,AP44&lt;0.2),AQ44*vivienda_pmiTasa/12,0)</f>
        <v/>
      </c>
      <c r="AV44" s="7">
        <f>AN44*AP44+AN44*vivienda_cierrePct+general_reservaMeses/12*AJ44</f>
        <v/>
      </c>
      <c r="AW44" s="7">
        <f>(IF(11=0,MIN(personal_irsSaldo,personal_irsPagoMensual*12),MIN(CD43,personal_irsPagoMensual*12))+IF(CE44&gt;0,PMT(CF44,MAX(1,prestamos_plazoAnios-CG44),-CE44),0)+IF(CR44&gt;0,PMT(CS44,MAX(1,prestamos_plazoAnios-CT44),-CR44),0))/12</f>
        <v/>
      </c>
      <c r="AX44" s="7">
        <f>IF(OR(sel_cfg="duplex",sel_cfg="multi",sel_cfg="dosCasas"),0.75*personal_aporteFamiliaMensual,0)</f>
        <v/>
      </c>
      <c r="AY44" s="7">
        <f>AU44-0.75*AT44-AX44+AW44</f>
        <v/>
      </c>
      <c r="AZ44" s="7">
        <f>(D44+G44+H44+0.5*F44)/12</f>
        <v/>
      </c>
      <c r="BA44" s="7">
        <f>IF(AND(AL44=0,A44&gt;=vivienda_anioMinCompra,J44&lt;0.5,AI44&gt;0,AK44&gt;=AV44,AY44&lt;=vivienda_dtiMax*AZ44),1,0)</f>
        <v/>
      </c>
      <c r="BB44" s="7">
        <f>MAX(AL44,BA44)</f>
        <v/>
      </c>
      <c r="BC44" s="7">
        <f>IF(BA44=1,A44,IF(11=0,"",BC43))</f>
        <v/>
      </c>
      <c r="BD44" s="7">
        <f>AK44-IF(BA44=1,AN44*AP44+AN44*vivienda_cierrePct,0)</f>
        <v/>
      </c>
      <c r="BE44" s="7">
        <f>IF(BA44=1,AN44,IF(11=0,0,BE43))</f>
        <v/>
      </c>
      <c r="BF44" s="7">
        <f>IF(BA44=1,AR44,IF(11=0,0,BF43))</f>
        <v/>
      </c>
      <c r="BG44" s="7">
        <f>IF(BA44=1,IF(AND(AO44=0,AP44&lt;0.2),1,0),IF(11=0,0,BY43))</f>
        <v/>
      </c>
      <c r="BH44" s="7">
        <f>IF(sel_cfg="casaAdu",1,0)</f>
        <v/>
      </c>
      <c r="BI44" s="7">
        <f>IF(AND(BB44=1,BH44=1,IF(11=0,0,BJ43)=0,A44&gt;=IF(BC44="",9999,BC44)+vivienda_aduRetrasoAnios),1,0)</f>
        <v/>
      </c>
      <c r="BJ44" s="7">
        <f>MAX(IF(11=0,0,BJ43),BI44)</f>
        <v/>
      </c>
      <c r="BK44" s="7">
        <f>IF(BI44=1,PMT((g_mortRate+0.005)/12,180,-loc_precio_aduCosto*C44),IF(11=0,0,BK43))</f>
        <v/>
      </c>
      <c r="BL44" s="7">
        <f>IF(BA44=1,AN44,IF(11=0,0,DT43))+IF(BI44=1,loc_precio_aduCosto*C44,0)</f>
        <v/>
      </c>
      <c r="BM44" s="7">
        <f>IF(BA44=1,AQ44,IF(11=0,0,DU43))</f>
        <v/>
      </c>
      <c r="BN44" s="7">
        <f>IF(BM44&lt;=0,0,FV(g_mortRate/12,12,BF44,-BM44))</f>
        <v/>
      </c>
      <c r="BO44" s="7">
        <f>IF(BM44&lt;=0,0,12*BF44+MIN(0,BN44))</f>
        <v/>
      </c>
      <c r="BP44" s="7">
        <f>MAX(0,BN44)</f>
        <v/>
      </c>
      <c r="BQ44" s="7">
        <f>IF(BI44=1,loc_precio_aduCosto*C44,IF(11=0,0,DV43))</f>
        <v/>
      </c>
      <c r="BR44" s="7">
        <f>IF(BQ44&lt;=0,0,FV((g_mortRate+0.005)/12,12,BK44,-BQ44))</f>
        <v/>
      </c>
      <c r="BS44" s="7">
        <f>IF(BQ44&lt;=0,0,12*BK44+MIN(0,BR44))</f>
        <v/>
      </c>
      <c r="BT44" s="7">
        <f>MAX(0,BR44)</f>
        <v/>
      </c>
      <c r="BU44" s="7">
        <f>IF(BB44=1,AM44*loc_seguroPct*(1+vivienda_inflacionSeguro)^(A44-2026)*IF(BJ44=1,1+loc_precio_aduCosto/AM44,1),0)</f>
        <v/>
      </c>
      <c r="BV44" s="7">
        <f>BL44*loc_impuestoPropPct</f>
        <v/>
      </c>
      <c r="BW44" s="7">
        <f>BL44*vivienda_mantenimientoPct</f>
        <v/>
      </c>
      <c r="BX44" s="7">
        <f>IF(AND(BG44=1,BP44&gt;0.8*BE44),BE44*(1-vivienda_enganchePct)*vivienda_pmiTasa,0)</f>
        <v/>
      </c>
      <c r="BY44" s="7">
        <f>IF(AND(BG44=1,BP44&gt;0.8*BE44),1,0)</f>
        <v/>
      </c>
      <c r="BZ44" s="7">
        <f>IF(BB44=1,AS44*loc_rentaUnidad*12*C44*(1-vivienda_vacancia)*(1-vivienda_gestionPct),0)</f>
        <v/>
      </c>
      <c r="CA44" s="7">
        <f>IF(BB44=1,BO44+BS44+BU44+BV44+BW44+BX44,loc_rentaMensual*12*C44)</f>
        <v/>
      </c>
      <c r="CB44" s="7">
        <f>IF(BB44=1,personal_aporteFamiliaMensual*12,0)</f>
        <v/>
      </c>
      <c r="CC44" s="7">
        <f>MIN(IF(11=0,personal_irsSaldo,CD43),personal_irsPagoMensual*12)</f>
        <v/>
      </c>
      <c r="CD44" s="7">
        <f>IF(11=0,personal_irsSaldo,CD43)-CC44</f>
        <v/>
      </c>
      <c r="CE44" s="7">
        <f>IF(11=0,IF(personal_deudaEsFederal=1,personal_deudaEstudiantil,0),DW43)</f>
        <v/>
      </c>
      <c r="CF44" s="7">
        <f>IF(11=0,personal_tasaDeudaEstudiantil,DX43)</f>
        <v/>
      </c>
      <c r="CG44" s="7">
        <f>IF(11=0,0,DY43)</f>
        <v/>
      </c>
      <c r="CH44" s="7">
        <f>IF(J44&gt;=0.5,1,0)</f>
        <v/>
      </c>
      <c r="CI44" s="7">
        <f>IF(AND(CH44=0,prestamos_pslfActivo=1,K44&gt;=0.5,CE44&gt;0),1,0)</f>
        <v/>
      </c>
      <c r="CJ44" s="7">
        <f>CE44*CF44</f>
        <v/>
      </c>
      <c r="CK44" s="7">
        <f>MAX(prestamos_rapPagoMinimoAnual,IF(Y44&lt;10000,0,MIN(0.1,INT(Y44/10000)/100))*Y44)</f>
        <v/>
      </c>
      <c r="CL44" s="7">
        <f>IF(CE44&lt;=0,0,IF(CH44=1,0,IF(CI44=1,MIN(CE44+CJ44,CK44),PMT(CF44,MAX(1,prestamos_plazoAnios-CG44),-CE44))))</f>
        <v/>
      </c>
      <c r="CM44" s="7">
        <f>IF(CE44&lt;=0,0,IF(CH44=1,CE44+CJ44,IF(CI44=1,MAX(0,CE44-MAX(CL44-CJ44,MIN(600,CL44))),MAX(0,CE44*(1+CF44)-CL44))))</f>
        <v/>
      </c>
      <c r="CN44" s="7">
        <f>IF(11=0,0,CN43)+IF(CI44=1,12*MIN(1,K44),0)</f>
        <v/>
      </c>
      <c r="CO44" s="7">
        <f>IF(AND(CI44=1,CN44&gt;=prestamos_pslfPagos,CM44&gt;0),CM44,0)</f>
        <v/>
      </c>
      <c r="CP44" s="7">
        <f>CM44-CO44</f>
        <v/>
      </c>
      <c r="CQ44" s="7">
        <f>IF(AND(CE44&gt;0,CH44=0,CI44=0),CG44+1,CG44)</f>
        <v/>
      </c>
      <c r="CR44" s="7">
        <f>IF(11=0,IF(personal_deudaEsFederal=1,0,personal_deudaEstudiantil),EA43)</f>
        <v/>
      </c>
      <c r="CS44" s="7">
        <f>IF(11=0,IF(personal_deudaEsFederal=1,prestamos_tasaPrivada,personal_tasaDeudaEstudiantil),EB43)</f>
        <v/>
      </c>
      <c r="CT44" s="7">
        <f>IF(11=0,0,EC43)</f>
        <v/>
      </c>
      <c r="CU44" s="7">
        <f>IF(OR(CR44&lt;=0,CH44=1),0,PMT(CS44,MAX(1,prestamos_plazoAnios-CT44),-CR44))</f>
        <v/>
      </c>
      <c r="CV44" s="7">
        <f>IF(CR44&lt;=0,0,IF(CH44=1,CR44*(1+CS44),MAX(0,CR44*(1+CS44)-CU44)))</f>
        <v/>
      </c>
      <c r="CW44" s="7">
        <f>IF(AND(CR44&gt;0,CH44=0),CT44+1,CT44)</f>
        <v/>
      </c>
      <c r="CX44" s="7">
        <f>IF(11=0,0,ED43)*(1+general_tasaDeudaConsumo)</f>
        <v/>
      </c>
      <c r="CY44" s="7">
        <f>L44*12*tiempos_travelGastoExtraMes*C44</f>
        <v/>
      </c>
      <c r="CZ44" s="7">
        <f>AJ44+CY44+CA44+CC44+CL44+CU44+I44+N44-BZ44-CB44</f>
        <v/>
      </c>
      <c r="DA44" s="7">
        <f>AH44-CZ44</f>
        <v/>
      </c>
      <c r="DB44" s="7">
        <f>IF(11=0,0,DB43)+DA44</f>
        <v/>
      </c>
      <c r="DC44" s="7">
        <f>AN44*vivienda_enganchePct+AN44*vivienda_cierrePct+general_reservaMeses/12*AJ44</f>
        <v/>
      </c>
      <c r="DD44" s="7">
        <f>IF(BB44=1,g_ret,IF(BD44&gt;0,MIN(1,DC44/BD44),1)*g_cash+(1-IF(BD44&gt;0,MIN(1,DC44/BD44),1))*g_ret)</f>
        <v/>
      </c>
      <c r="DE44" s="7">
        <f>IF(DA44&gt;=0,MIN(CX44,DA44),0)</f>
        <v/>
      </c>
      <c r="DF44" s="7">
        <f>IF(DA44&gt;=0,(1-general_tasaAhorro)*(DA44-DE44),0)</f>
        <v/>
      </c>
      <c r="DG44" s="7">
        <f>IF(DA44&gt;=0,DA44-DE44-DF44,0)</f>
        <v/>
      </c>
      <c r="DH44" s="7">
        <f>MIN(personal_rothAnual,DG44)</f>
        <v/>
      </c>
      <c r="DI44" s="7">
        <f>IF(AND(DA44&gt;=0,BB44=1,BP44+BT44&gt;0),MIN(vivienda_prepagoPct*(DG44-DH44),BP44+BT44),0)</f>
        <v/>
      </c>
      <c r="DJ44" s="7">
        <f>MIN(DI44,BP44)</f>
        <v/>
      </c>
      <c r="DK44" s="7">
        <f>IF(DA44&lt;0,MIN(MAX(0,BD44),-DA44),0)</f>
        <v/>
      </c>
      <c r="DL44" s="7">
        <f>IF(DA44&lt;0,-DA44-DK44,0)</f>
        <v/>
      </c>
      <c r="DM44" s="7">
        <f>IF(11=0,0,DZ43)</f>
        <v/>
      </c>
      <c r="DN44" s="7">
        <f>IF(AND(DL44&gt;0,J44&gt;0),MIN(DL44,MIN(prestamos_topeAnualPosgrado*MIN(1,J44),MAX(0,prestamos_topeTotalPosgrado-DM44))),0)</f>
        <v/>
      </c>
      <c r="DO44" s="7">
        <f>IF(AND(DL44&gt;0,J44&gt;0),DL44-DN44,0)</f>
        <v/>
      </c>
      <c r="DP44" s="7">
        <f>IF(AND(DL44&gt;0,J44&lt;=0),DL44,0)</f>
        <v/>
      </c>
      <c r="DQ44" s="7">
        <f>IF(DA44&gt;=0,DG44-DH44-DI44,-DK44)</f>
        <v/>
      </c>
      <c r="DR44" s="7">
        <f>BD44*(1+DD44)+DQ44*(1+DD44/2)</f>
        <v/>
      </c>
      <c r="DS44" s="7">
        <f>IF(11=0,personal_retiroInicial,DS43)*(1+g_ret)+(O44+P44+DH44)*(1+g_ret/2)</f>
        <v/>
      </c>
      <c r="DT44" s="7">
        <f>IF(BB44=1,BL44*(1+g_appr),0)</f>
        <v/>
      </c>
      <c r="DU44" s="7">
        <f>BP44-DJ44</f>
        <v/>
      </c>
      <c r="DV44" s="7">
        <f>BT44-(DI44-DJ44)</f>
        <v/>
      </c>
      <c r="DW44" s="7">
        <f>CP44+DN44</f>
        <v/>
      </c>
      <c r="DX44" s="7">
        <f>IF(DN44&gt;0,(CP44*CF44+DN44*prestamos_tasaFederalPosgrado)/(CP44+DN44),CF44)</f>
        <v/>
      </c>
      <c r="DY44" s="7">
        <f>IF(DN44&gt;0,0,CQ44)</f>
        <v/>
      </c>
      <c r="DZ44" s="7">
        <f>DM44+DN44</f>
        <v/>
      </c>
      <c r="EA44" s="7">
        <f>CV44+DO44</f>
        <v/>
      </c>
      <c r="EB44" s="7">
        <f>IF(DO44&gt;0,(CV44*CS44+DO44*prestamos_tasaPrivada)/(CV44+DO44),CS44)</f>
        <v/>
      </c>
      <c r="EC44" s="7">
        <f>IF(DO44&gt;0,0,CW44)</f>
        <v/>
      </c>
      <c r="ED44" s="7">
        <f>CX44-DE44+DP44</f>
        <v/>
      </c>
      <c r="EE44" s="7">
        <f>IF(IF(11=0,"",EE43)&lt;&gt;"",EE43,IF(AND(BB44=1,DU44&lt;=0.5,DV44&lt;=0.5,OR(BH44=0,BJ44=1)),A44,""))</f>
        <v/>
      </c>
      <c r="EF44" s="7">
        <f>DU44+DV44+DW44+EA44+ED44+CD44</f>
        <v/>
      </c>
      <c r="EG44" s="7">
        <f>DR44+DS44+DT44-EF44</f>
        <v/>
      </c>
      <c r="EH44" s="7">
        <f>EG44/(1+g_inf)^(A44+1-2026)</f>
        <v/>
      </c>
    </row>
    <row r="45">
      <c r="A45" t="n">
        <v>2039</v>
      </c>
      <c r="B45" t="n">
        <v>12</v>
      </c>
      <c r="C45" s="7">
        <f>(1+g_inf)^(A45-2026)</f>
        <v/>
      </c>
      <c r="D45" s="7">
        <f>SUMPRODUCT($AF$5:$AF$29,$E$5:$E$29*(1+$F$5:$F$29)^(A45-2026)*$G$5:$G$29*$H$5:$H$29*(1-$N$5:$N$29*$O$5:$O$29))*g_salMult+SUMPRODUCT(($B$5:$B$29&gt;=A45)*($B$5:$B$29&lt;A45+1)*$I$5:$I$29)*g_salMult</f>
        <v/>
      </c>
      <c r="E45" s="7">
        <f>SUMPRODUCT($AF$5:$AF$29,$E$5:$E$29*(1+$F$5:$F$29)^(A45-2026)*$G$5:$G$29*$H$5:$H$29*$M$5:$M$29)*g_salMult</f>
        <v/>
      </c>
      <c r="F45" s="7">
        <f>SUMPRODUCT($AF$5:$AF$29,$E$5:$E$29*(1+$F$5:$F$29)^(A45-2026)*$G$5:$G$29*$H$5:$H$29*$N$5:$N$29*$O$5:$O$29)*g_salMult</f>
        <v/>
      </c>
      <c r="G45" s="7">
        <f>SUMPRODUCT($AF$5:$AF$29,$P$5:$P$29*(1+$F$5:$F$29)^(A45-2026))</f>
        <v/>
      </c>
      <c r="H45" s="7">
        <f>SUMPRODUCT($AF$5:$AF$29,$Q$5:$Q$29*(1+$F$5:$F$29)^(A45-2026))+IF(personal_llcActivo=1,personal_llcNeto*(1+personal_llcCrecimiento)^12,0)</f>
        <v/>
      </c>
      <c r="I45" s="7">
        <f>SUMPRODUCT($AF$5:$AF$29,$J$5:$J$29/($C$5:$C$29-$B$5:$B$29+($C$5:$C$29=$B$5:$B$29)))*C45</f>
        <v/>
      </c>
      <c r="J45" s="7">
        <f>SUMPRODUCT($AF$5:$AF$29,$K$5:$K$29)</f>
        <v/>
      </c>
      <c r="K45" s="7">
        <f>SUMPRODUCT($AF$5:$AF$29,$L$5:$L$29)</f>
        <v/>
      </c>
      <c r="L45" s="7">
        <f>SUMPRODUCT($AF$5:$AF$29,$N$5:$N$29)</f>
        <v/>
      </c>
      <c r="M45" s="7">
        <f>IF(SUMPRODUCT($AF$5:$AF$29,$R$5:$R$29)&gt;0,1,0)</f>
        <v/>
      </c>
      <c r="N45" s="7">
        <f>SUMPRODUCT(($AO$5:$AO$24&gt;=A45)*($AO$5:$AO$24&lt;A45+1)*$AP$5:$AP$24)*C45+IF(12=0,IF(sel_loc&lt;&gt;"miami",personal_costoMudanzaInicial,0),0)</f>
        <v/>
      </c>
      <c r="O45" s="7">
        <f>MIN(personal_aporte403bPct*D45,retiro_limite403b*C45)</f>
        <v/>
      </c>
      <c r="P45" s="7">
        <f>MIN(personal_aporte403bPct,personal_match403bPct)*E45</f>
        <v/>
      </c>
      <c r="Q45" s="7">
        <f>IF(G45&gt;0,MAX(0,G45-impuestos_scorpCostoAnual*C45),0)</f>
        <v/>
      </c>
      <c r="R45" s="7">
        <f>Q45*impuestos_scorpSalarioPct/(1+impuestos_ssTasa+impuestos_medicareTasa)</f>
        <v/>
      </c>
      <c r="S45" s="7">
        <f>impuestos_ssTasa*MIN(R45,MAX(0,impuestos_ssTope*C45-D45))+impuestos_medicareTasa*R45</f>
        <v/>
      </c>
      <c r="T45" s="7">
        <f>Q45-R45-S45</f>
        <v/>
      </c>
      <c r="U45" s="7">
        <f>D45+R45</f>
        <v/>
      </c>
      <c r="V45" s="7">
        <f>H45*0.9235</f>
        <v/>
      </c>
      <c r="W45" s="7">
        <f>IF(H45&gt;0,2*impuestos_ssTasa*MIN(V45,MAX(0,impuestos_ssTope*C45-U45))+2*impuestos_medicareTasa*V45,0)</f>
        <v/>
      </c>
      <c r="X45" s="7">
        <f>impuestos_ssTasa*MIN(U45,impuestos_ssTope*C45)+impuestos_medicareTasa*U45+impuestos_medicareAdicional*MAX(0,U45+H45*0.9235-impuestos_medicareUmbral)</f>
        <v/>
      </c>
      <c r="Y45" s="7">
        <f>MAX(0,D45-O45+R45+T45+H45-W45/2)</f>
        <v/>
      </c>
      <c r="Z45" s="7">
        <f>MAX(0,Y45-impuestos_deduccionEstandar*C45)</f>
        <v/>
      </c>
      <c r="AA45" s="7">
        <f>MIN(0.2*MAX(0,T45+H45-W45/2)*MAX(0,MIN(1,1-(Z45-impuestos_qbiUmbral*C45)/(impuestos_qbiRango*C45))),0.2*Z45)</f>
        <v/>
      </c>
      <c r="AB45" s="7">
        <f>MAX(0,Z45-AA45)</f>
        <v/>
      </c>
      <c r="AC45" s="7">
        <f>SUMPRODUCT((AB45&gt;tb_federalBrackets_lo*C45)*(AB45-tb_federalBrackets_lo*C45)*tb_federalBrackets_dr)</f>
        <v/>
      </c>
      <c r="AD45" s="7">
        <f>MAX(0,Y45-impuestos_nyDeduccion*C45)</f>
        <v/>
      </c>
      <c r="AE45" s="7">
        <f>CHOOSE(loc_taxcode,0,impuestos_ohTasa*MAX(0,Y45-impuestos_ohExento*C45)+impuestos_ohMunicipal*U45,SUMPRODUCT((AD45&gt;tb_nyBrackets_lo*C45)*(AD45-tb_nyBrackets_lo*C45)*tb_nyBrackets_dr)+loc_nyc*SUMPRODUCT((AD45&gt;tb_nycBrackets_lo*C45)*(AD45-tb_nycBrackets_lo*C45)*tb_nycBrackets_dr))</f>
        <v/>
      </c>
      <c r="AF45" s="7">
        <f>AC45+AE45+X45+W45</f>
        <v/>
      </c>
      <c r="AG45" s="7">
        <f>D45+F45+R45+T45+H45</f>
        <v/>
      </c>
      <c r="AH45" s="7">
        <f>AG45-AF45-O45</f>
        <v/>
      </c>
      <c r="AI45" s="7">
        <f>D45+F45+G45+H45</f>
        <v/>
      </c>
      <c r="AJ45" s="7">
        <f>loc_gastosVida*C45*g_gastos</f>
        <v/>
      </c>
      <c r="AK45" s="7">
        <f>IF(12=0,personal_liquidoInicial,DR44)</f>
        <v/>
      </c>
      <c r="AL45" s="7">
        <f>IF(12=0,0,BB44)</f>
        <v/>
      </c>
      <c r="AM45" s="7">
        <f>CHOOSE(sel_cfgIdx,loc_precio_duplex,loc_precio_inlaw,loc_precio_dosCasas,loc_precio_casaAdu,loc_precio_multi)</f>
        <v/>
      </c>
      <c r="AN45" s="7">
        <f>AM45*(1+g_appr)^(A45-2026)</f>
        <v/>
      </c>
      <c r="AO45" s="7">
        <f>IF(AND(M45=1,vivienda_prestamoMedico=1),1,0)</f>
        <v/>
      </c>
      <c r="AP45" s="7">
        <f>IF(AO45=1,0.05,vivienda_enganchePct)</f>
        <v/>
      </c>
      <c r="AQ45" s="7">
        <f>AN45*(1-AP45)</f>
        <v/>
      </c>
      <c r="AR45" s="7">
        <f>PMT(g_mortRate/12,vivienda_plazoHipoteca*12,-AQ45)</f>
        <v/>
      </c>
      <c r="AS45" s="7">
        <f>INDEX(cfg_units,sel_cfgIdx)</f>
        <v/>
      </c>
      <c r="AT45" s="7">
        <f>AS45*loc_rentaUnidad*(1+g_inf)^(A45-2026)*(1-vivienda_vacancia)</f>
        <v/>
      </c>
      <c r="AU45" s="7">
        <f>AR45+AN45*loc_impuestoPropPct/12+AM45*loc_seguroPct*(1+vivienda_inflacionSeguro)^(A45-2026)/12+IF(AND(AO45=0,AP45&lt;0.2),AQ45*vivienda_pmiTasa/12,0)</f>
        <v/>
      </c>
      <c r="AV45" s="7">
        <f>AN45*AP45+AN45*vivienda_cierrePct+general_reservaMeses/12*AJ45</f>
        <v/>
      </c>
      <c r="AW45" s="7">
        <f>(IF(12=0,MIN(personal_irsSaldo,personal_irsPagoMensual*12),MIN(CD44,personal_irsPagoMensual*12))+IF(CE45&gt;0,PMT(CF45,MAX(1,prestamos_plazoAnios-CG45),-CE45),0)+IF(CR45&gt;0,PMT(CS45,MAX(1,prestamos_plazoAnios-CT45),-CR45),0))/12</f>
        <v/>
      </c>
      <c r="AX45" s="7">
        <f>IF(OR(sel_cfg="duplex",sel_cfg="multi",sel_cfg="dosCasas"),0.75*personal_aporteFamiliaMensual,0)</f>
        <v/>
      </c>
      <c r="AY45" s="7">
        <f>AU45-0.75*AT45-AX45+AW45</f>
        <v/>
      </c>
      <c r="AZ45" s="7">
        <f>(D45+G45+H45+0.5*F45)/12</f>
        <v/>
      </c>
      <c r="BA45" s="7">
        <f>IF(AND(AL45=0,A45&gt;=vivienda_anioMinCompra,J45&lt;0.5,AI45&gt;0,AK45&gt;=AV45,AY45&lt;=vivienda_dtiMax*AZ45),1,0)</f>
        <v/>
      </c>
      <c r="BB45" s="7">
        <f>MAX(AL45,BA45)</f>
        <v/>
      </c>
      <c r="BC45" s="7">
        <f>IF(BA45=1,A45,IF(12=0,"",BC44))</f>
        <v/>
      </c>
      <c r="BD45" s="7">
        <f>AK45-IF(BA45=1,AN45*AP45+AN45*vivienda_cierrePct,0)</f>
        <v/>
      </c>
      <c r="BE45" s="7">
        <f>IF(BA45=1,AN45,IF(12=0,0,BE44))</f>
        <v/>
      </c>
      <c r="BF45" s="7">
        <f>IF(BA45=1,AR45,IF(12=0,0,BF44))</f>
        <v/>
      </c>
      <c r="BG45" s="7">
        <f>IF(BA45=1,IF(AND(AO45=0,AP45&lt;0.2),1,0),IF(12=0,0,BY44))</f>
        <v/>
      </c>
      <c r="BH45" s="7">
        <f>IF(sel_cfg="casaAdu",1,0)</f>
        <v/>
      </c>
      <c r="BI45" s="7">
        <f>IF(AND(BB45=1,BH45=1,IF(12=0,0,BJ44)=0,A45&gt;=IF(BC45="",9999,BC45)+vivienda_aduRetrasoAnios),1,0)</f>
        <v/>
      </c>
      <c r="BJ45" s="7">
        <f>MAX(IF(12=0,0,BJ44),BI45)</f>
        <v/>
      </c>
      <c r="BK45" s="7">
        <f>IF(BI45=1,PMT((g_mortRate+0.005)/12,180,-loc_precio_aduCosto*C45),IF(12=0,0,BK44))</f>
        <v/>
      </c>
      <c r="BL45" s="7">
        <f>IF(BA45=1,AN45,IF(12=0,0,DT44))+IF(BI45=1,loc_precio_aduCosto*C45,0)</f>
        <v/>
      </c>
      <c r="BM45" s="7">
        <f>IF(BA45=1,AQ45,IF(12=0,0,DU44))</f>
        <v/>
      </c>
      <c r="BN45" s="7">
        <f>IF(BM45&lt;=0,0,FV(g_mortRate/12,12,BF45,-BM45))</f>
        <v/>
      </c>
      <c r="BO45" s="7">
        <f>IF(BM45&lt;=0,0,12*BF45+MIN(0,BN45))</f>
        <v/>
      </c>
      <c r="BP45" s="7">
        <f>MAX(0,BN45)</f>
        <v/>
      </c>
      <c r="BQ45" s="7">
        <f>IF(BI45=1,loc_precio_aduCosto*C45,IF(12=0,0,DV44))</f>
        <v/>
      </c>
      <c r="BR45" s="7">
        <f>IF(BQ45&lt;=0,0,FV((g_mortRate+0.005)/12,12,BK45,-BQ45))</f>
        <v/>
      </c>
      <c r="BS45" s="7">
        <f>IF(BQ45&lt;=0,0,12*BK45+MIN(0,BR45))</f>
        <v/>
      </c>
      <c r="BT45" s="7">
        <f>MAX(0,BR45)</f>
        <v/>
      </c>
      <c r="BU45" s="7">
        <f>IF(BB45=1,AM45*loc_seguroPct*(1+vivienda_inflacionSeguro)^(A45-2026)*IF(BJ45=1,1+loc_precio_aduCosto/AM45,1),0)</f>
        <v/>
      </c>
      <c r="BV45" s="7">
        <f>BL45*loc_impuestoPropPct</f>
        <v/>
      </c>
      <c r="BW45" s="7">
        <f>BL45*vivienda_mantenimientoPct</f>
        <v/>
      </c>
      <c r="BX45" s="7">
        <f>IF(AND(BG45=1,BP45&gt;0.8*BE45),BE45*(1-vivienda_enganchePct)*vivienda_pmiTasa,0)</f>
        <v/>
      </c>
      <c r="BY45" s="7">
        <f>IF(AND(BG45=1,BP45&gt;0.8*BE45),1,0)</f>
        <v/>
      </c>
      <c r="BZ45" s="7">
        <f>IF(BB45=1,AS45*loc_rentaUnidad*12*C45*(1-vivienda_vacancia)*(1-vivienda_gestionPct),0)</f>
        <v/>
      </c>
      <c r="CA45" s="7">
        <f>IF(BB45=1,BO45+BS45+BU45+BV45+BW45+BX45,loc_rentaMensual*12*C45)</f>
        <v/>
      </c>
      <c r="CB45" s="7">
        <f>IF(BB45=1,personal_aporteFamiliaMensual*12,0)</f>
        <v/>
      </c>
      <c r="CC45" s="7">
        <f>MIN(IF(12=0,personal_irsSaldo,CD44),personal_irsPagoMensual*12)</f>
        <v/>
      </c>
      <c r="CD45" s="7">
        <f>IF(12=0,personal_irsSaldo,CD44)-CC45</f>
        <v/>
      </c>
      <c r="CE45" s="7">
        <f>IF(12=0,IF(personal_deudaEsFederal=1,personal_deudaEstudiantil,0),DW44)</f>
        <v/>
      </c>
      <c r="CF45" s="7">
        <f>IF(12=0,personal_tasaDeudaEstudiantil,DX44)</f>
        <v/>
      </c>
      <c r="CG45" s="7">
        <f>IF(12=0,0,DY44)</f>
        <v/>
      </c>
      <c r="CH45" s="7">
        <f>IF(J45&gt;=0.5,1,0)</f>
        <v/>
      </c>
      <c r="CI45" s="7">
        <f>IF(AND(CH45=0,prestamos_pslfActivo=1,K45&gt;=0.5,CE45&gt;0),1,0)</f>
        <v/>
      </c>
      <c r="CJ45" s="7">
        <f>CE45*CF45</f>
        <v/>
      </c>
      <c r="CK45" s="7">
        <f>MAX(prestamos_rapPagoMinimoAnual,IF(Y45&lt;10000,0,MIN(0.1,INT(Y45/10000)/100))*Y45)</f>
        <v/>
      </c>
      <c r="CL45" s="7">
        <f>IF(CE45&lt;=0,0,IF(CH45=1,0,IF(CI45=1,MIN(CE45+CJ45,CK45),PMT(CF45,MAX(1,prestamos_plazoAnios-CG45),-CE45))))</f>
        <v/>
      </c>
      <c r="CM45" s="7">
        <f>IF(CE45&lt;=0,0,IF(CH45=1,CE45+CJ45,IF(CI45=1,MAX(0,CE45-MAX(CL45-CJ45,MIN(600,CL45))),MAX(0,CE45*(1+CF45)-CL45))))</f>
        <v/>
      </c>
      <c r="CN45" s="7">
        <f>IF(12=0,0,CN44)+IF(CI45=1,12*MIN(1,K45),0)</f>
        <v/>
      </c>
      <c r="CO45" s="7">
        <f>IF(AND(CI45=1,CN45&gt;=prestamos_pslfPagos,CM45&gt;0),CM45,0)</f>
        <v/>
      </c>
      <c r="CP45" s="7">
        <f>CM45-CO45</f>
        <v/>
      </c>
      <c r="CQ45" s="7">
        <f>IF(AND(CE45&gt;0,CH45=0,CI45=0),CG45+1,CG45)</f>
        <v/>
      </c>
      <c r="CR45" s="7">
        <f>IF(12=0,IF(personal_deudaEsFederal=1,0,personal_deudaEstudiantil),EA44)</f>
        <v/>
      </c>
      <c r="CS45" s="7">
        <f>IF(12=0,IF(personal_deudaEsFederal=1,prestamos_tasaPrivada,personal_tasaDeudaEstudiantil),EB44)</f>
        <v/>
      </c>
      <c r="CT45" s="7">
        <f>IF(12=0,0,EC44)</f>
        <v/>
      </c>
      <c r="CU45" s="7">
        <f>IF(OR(CR45&lt;=0,CH45=1),0,PMT(CS45,MAX(1,prestamos_plazoAnios-CT45),-CR45))</f>
        <v/>
      </c>
      <c r="CV45" s="7">
        <f>IF(CR45&lt;=0,0,IF(CH45=1,CR45*(1+CS45),MAX(0,CR45*(1+CS45)-CU45)))</f>
        <v/>
      </c>
      <c r="CW45" s="7">
        <f>IF(AND(CR45&gt;0,CH45=0),CT45+1,CT45)</f>
        <v/>
      </c>
      <c r="CX45" s="7">
        <f>IF(12=0,0,ED44)*(1+general_tasaDeudaConsumo)</f>
        <v/>
      </c>
      <c r="CY45" s="7">
        <f>L45*12*tiempos_travelGastoExtraMes*C45</f>
        <v/>
      </c>
      <c r="CZ45" s="7">
        <f>AJ45+CY45+CA45+CC45+CL45+CU45+I45+N45-BZ45-CB45</f>
        <v/>
      </c>
      <c r="DA45" s="7">
        <f>AH45-CZ45</f>
        <v/>
      </c>
      <c r="DB45" s="7">
        <f>IF(12=0,0,DB44)+DA45</f>
        <v/>
      </c>
      <c r="DC45" s="7">
        <f>AN45*vivienda_enganchePct+AN45*vivienda_cierrePct+general_reservaMeses/12*AJ45</f>
        <v/>
      </c>
      <c r="DD45" s="7">
        <f>IF(BB45=1,g_ret,IF(BD45&gt;0,MIN(1,DC45/BD45),1)*g_cash+(1-IF(BD45&gt;0,MIN(1,DC45/BD45),1))*g_ret)</f>
        <v/>
      </c>
      <c r="DE45" s="7">
        <f>IF(DA45&gt;=0,MIN(CX45,DA45),0)</f>
        <v/>
      </c>
      <c r="DF45" s="7">
        <f>IF(DA45&gt;=0,(1-general_tasaAhorro)*(DA45-DE45),0)</f>
        <v/>
      </c>
      <c r="DG45" s="7">
        <f>IF(DA45&gt;=0,DA45-DE45-DF45,0)</f>
        <v/>
      </c>
      <c r="DH45" s="7">
        <f>MIN(personal_rothAnual,DG45)</f>
        <v/>
      </c>
      <c r="DI45" s="7">
        <f>IF(AND(DA45&gt;=0,BB45=1,BP45+BT45&gt;0),MIN(vivienda_prepagoPct*(DG45-DH45),BP45+BT45),0)</f>
        <v/>
      </c>
      <c r="DJ45" s="7">
        <f>MIN(DI45,BP45)</f>
        <v/>
      </c>
      <c r="DK45" s="7">
        <f>IF(DA45&lt;0,MIN(MAX(0,BD45),-DA45),0)</f>
        <v/>
      </c>
      <c r="DL45" s="7">
        <f>IF(DA45&lt;0,-DA45-DK45,0)</f>
        <v/>
      </c>
      <c r="DM45" s="7">
        <f>IF(12=0,0,DZ44)</f>
        <v/>
      </c>
      <c r="DN45" s="7">
        <f>IF(AND(DL45&gt;0,J45&gt;0),MIN(DL45,MIN(prestamos_topeAnualPosgrado*MIN(1,J45),MAX(0,prestamos_topeTotalPosgrado-DM45))),0)</f>
        <v/>
      </c>
      <c r="DO45" s="7">
        <f>IF(AND(DL45&gt;0,J45&gt;0),DL45-DN45,0)</f>
        <v/>
      </c>
      <c r="DP45" s="7">
        <f>IF(AND(DL45&gt;0,J45&lt;=0),DL45,0)</f>
        <v/>
      </c>
      <c r="DQ45" s="7">
        <f>IF(DA45&gt;=0,DG45-DH45-DI45,-DK45)</f>
        <v/>
      </c>
      <c r="DR45" s="7">
        <f>BD45*(1+DD45)+DQ45*(1+DD45/2)</f>
        <v/>
      </c>
      <c r="DS45" s="7">
        <f>IF(12=0,personal_retiroInicial,DS44)*(1+g_ret)+(O45+P45+DH45)*(1+g_ret/2)</f>
        <v/>
      </c>
      <c r="DT45" s="7">
        <f>IF(BB45=1,BL45*(1+g_appr),0)</f>
        <v/>
      </c>
      <c r="DU45" s="7">
        <f>BP45-DJ45</f>
        <v/>
      </c>
      <c r="DV45" s="7">
        <f>BT45-(DI45-DJ45)</f>
        <v/>
      </c>
      <c r="DW45" s="7">
        <f>CP45+DN45</f>
        <v/>
      </c>
      <c r="DX45" s="7">
        <f>IF(DN45&gt;0,(CP45*CF45+DN45*prestamos_tasaFederalPosgrado)/(CP45+DN45),CF45)</f>
        <v/>
      </c>
      <c r="DY45" s="7">
        <f>IF(DN45&gt;0,0,CQ45)</f>
        <v/>
      </c>
      <c r="DZ45" s="7">
        <f>DM45+DN45</f>
        <v/>
      </c>
      <c r="EA45" s="7">
        <f>CV45+DO45</f>
        <v/>
      </c>
      <c r="EB45" s="7">
        <f>IF(DO45&gt;0,(CV45*CS45+DO45*prestamos_tasaPrivada)/(CV45+DO45),CS45)</f>
        <v/>
      </c>
      <c r="EC45" s="7">
        <f>IF(DO45&gt;0,0,CW45)</f>
        <v/>
      </c>
      <c r="ED45" s="7">
        <f>CX45-DE45+DP45</f>
        <v/>
      </c>
      <c r="EE45" s="7">
        <f>IF(IF(12=0,"",EE44)&lt;&gt;"",EE44,IF(AND(BB45=1,DU45&lt;=0.5,DV45&lt;=0.5,OR(BH45=0,BJ45=1)),A45,""))</f>
        <v/>
      </c>
      <c r="EF45" s="7">
        <f>DU45+DV45+DW45+EA45+ED45+CD45</f>
        <v/>
      </c>
      <c r="EG45" s="7">
        <f>DR45+DS45+DT45-EF45</f>
        <v/>
      </c>
      <c r="EH45" s="7">
        <f>EG45/(1+g_inf)^(A45+1-2026)</f>
        <v/>
      </c>
    </row>
    <row r="46">
      <c r="A46" t="n">
        <v>2040</v>
      </c>
      <c r="B46" t="n">
        <v>13</v>
      </c>
      <c r="C46" s="7">
        <f>(1+g_inf)^(A46-2026)</f>
        <v/>
      </c>
      <c r="D46" s="7">
        <f>SUMPRODUCT($AG$5:$AG$29,$E$5:$E$29*(1+$F$5:$F$29)^(A46-2026)*$G$5:$G$29*$H$5:$H$29*(1-$N$5:$N$29*$O$5:$O$29))*g_salMult+SUMPRODUCT(($B$5:$B$29&gt;=A46)*($B$5:$B$29&lt;A46+1)*$I$5:$I$29)*g_salMult</f>
        <v/>
      </c>
      <c r="E46" s="7">
        <f>SUMPRODUCT($AG$5:$AG$29,$E$5:$E$29*(1+$F$5:$F$29)^(A46-2026)*$G$5:$G$29*$H$5:$H$29*$M$5:$M$29)*g_salMult</f>
        <v/>
      </c>
      <c r="F46" s="7">
        <f>SUMPRODUCT($AG$5:$AG$29,$E$5:$E$29*(1+$F$5:$F$29)^(A46-2026)*$G$5:$G$29*$H$5:$H$29*$N$5:$N$29*$O$5:$O$29)*g_salMult</f>
        <v/>
      </c>
      <c r="G46" s="7">
        <f>SUMPRODUCT($AG$5:$AG$29,$P$5:$P$29*(1+$F$5:$F$29)^(A46-2026))</f>
        <v/>
      </c>
      <c r="H46" s="7">
        <f>SUMPRODUCT($AG$5:$AG$29,$Q$5:$Q$29*(1+$F$5:$F$29)^(A46-2026))+IF(personal_llcActivo=1,personal_llcNeto*(1+personal_llcCrecimiento)^13,0)</f>
        <v/>
      </c>
      <c r="I46" s="7">
        <f>SUMPRODUCT($AG$5:$AG$29,$J$5:$J$29/($C$5:$C$29-$B$5:$B$29+($C$5:$C$29=$B$5:$B$29)))*C46</f>
        <v/>
      </c>
      <c r="J46" s="7">
        <f>SUMPRODUCT($AG$5:$AG$29,$K$5:$K$29)</f>
        <v/>
      </c>
      <c r="K46" s="7">
        <f>SUMPRODUCT($AG$5:$AG$29,$L$5:$L$29)</f>
        <v/>
      </c>
      <c r="L46" s="7">
        <f>SUMPRODUCT($AG$5:$AG$29,$N$5:$N$29)</f>
        <v/>
      </c>
      <c r="M46" s="7">
        <f>IF(SUMPRODUCT($AG$5:$AG$29,$R$5:$R$29)&gt;0,1,0)</f>
        <v/>
      </c>
      <c r="N46" s="7">
        <f>SUMPRODUCT(($AO$5:$AO$24&gt;=A46)*($AO$5:$AO$24&lt;A46+1)*$AP$5:$AP$24)*C46+IF(13=0,IF(sel_loc&lt;&gt;"miami",personal_costoMudanzaInicial,0),0)</f>
        <v/>
      </c>
      <c r="O46" s="7">
        <f>MIN(personal_aporte403bPct*D46,retiro_limite403b*C46)</f>
        <v/>
      </c>
      <c r="P46" s="7">
        <f>MIN(personal_aporte403bPct,personal_match403bPct)*E46</f>
        <v/>
      </c>
      <c r="Q46" s="7">
        <f>IF(G46&gt;0,MAX(0,G46-impuestos_scorpCostoAnual*C46),0)</f>
        <v/>
      </c>
      <c r="R46" s="7">
        <f>Q46*impuestos_scorpSalarioPct/(1+impuestos_ssTasa+impuestos_medicareTasa)</f>
        <v/>
      </c>
      <c r="S46" s="7">
        <f>impuestos_ssTasa*MIN(R46,MAX(0,impuestos_ssTope*C46-D46))+impuestos_medicareTasa*R46</f>
        <v/>
      </c>
      <c r="T46" s="7">
        <f>Q46-R46-S46</f>
        <v/>
      </c>
      <c r="U46" s="7">
        <f>D46+R46</f>
        <v/>
      </c>
      <c r="V46" s="7">
        <f>H46*0.9235</f>
        <v/>
      </c>
      <c r="W46" s="7">
        <f>IF(H46&gt;0,2*impuestos_ssTasa*MIN(V46,MAX(0,impuestos_ssTope*C46-U46))+2*impuestos_medicareTasa*V46,0)</f>
        <v/>
      </c>
      <c r="X46" s="7">
        <f>impuestos_ssTasa*MIN(U46,impuestos_ssTope*C46)+impuestos_medicareTasa*U46+impuestos_medicareAdicional*MAX(0,U46+H46*0.9235-impuestos_medicareUmbral)</f>
        <v/>
      </c>
      <c r="Y46" s="7">
        <f>MAX(0,D46-O46+R46+T46+H46-W46/2)</f>
        <v/>
      </c>
      <c r="Z46" s="7">
        <f>MAX(0,Y46-impuestos_deduccionEstandar*C46)</f>
        <v/>
      </c>
      <c r="AA46" s="7">
        <f>MIN(0.2*MAX(0,T46+H46-W46/2)*MAX(0,MIN(1,1-(Z46-impuestos_qbiUmbral*C46)/(impuestos_qbiRango*C46))),0.2*Z46)</f>
        <v/>
      </c>
      <c r="AB46" s="7">
        <f>MAX(0,Z46-AA46)</f>
        <v/>
      </c>
      <c r="AC46" s="7">
        <f>SUMPRODUCT((AB46&gt;tb_federalBrackets_lo*C46)*(AB46-tb_federalBrackets_lo*C46)*tb_federalBrackets_dr)</f>
        <v/>
      </c>
      <c r="AD46" s="7">
        <f>MAX(0,Y46-impuestos_nyDeduccion*C46)</f>
        <v/>
      </c>
      <c r="AE46" s="7">
        <f>CHOOSE(loc_taxcode,0,impuestos_ohTasa*MAX(0,Y46-impuestos_ohExento*C46)+impuestos_ohMunicipal*U46,SUMPRODUCT((AD46&gt;tb_nyBrackets_lo*C46)*(AD46-tb_nyBrackets_lo*C46)*tb_nyBrackets_dr)+loc_nyc*SUMPRODUCT((AD46&gt;tb_nycBrackets_lo*C46)*(AD46-tb_nycBrackets_lo*C46)*tb_nycBrackets_dr))</f>
        <v/>
      </c>
      <c r="AF46" s="7">
        <f>AC46+AE46+X46+W46</f>
        <v/>
      </c>
      <c r="AG46" s="7">
        <f>D46+F46+R46+T46+H46</f>
        <v/>
      </c>
      <c r="AH46" s="7">
        <f>AG46-AF46-O46</f>
        <v/>
      </c>
      <c r="AI46" s="7">
        <f>D46+F46+G46+H46</f>
        <v/>
      </c>
      <c r="AJ46" s="7">
        <f>loc_gastosVida*C46*g_gastos</f>
        <v/>
      </c>
      <c r="AK46" s="7">
        <f>IF(13=0,personal_liquidoInicial,DR45)</f>
        <v/>
      </c>
      <c r="AL46" s="7">
        <f>IF(13=0,0,BB45)</f>
        <v/>
      </c>
      <c r="AM46" s="7">
        <f>CHOOSE(sel_cfgIdx,loc_precio_duplex,loc_precio_inlaw,loc_precio_dosCasas,loc_precio_casaAdu,loc_precio_multi)</f>
        <v/>
      </c>
      <c r="AN46" s="7">
        <f>AM46*(1+g_appr)^(A46-2026)</f>
        <v/>
      </c>
      <c r="AO46" s="7">
        <f>IF(AND(M46=1,vivienda_prestamoMedico=1),1,0)</f>
        <v/>
      </c>
      <c r="AP46" s="7">
        <f>IF(AO46=1,0.05,vivienda_enganchePct)</f>
        <v/>
      </c>
      <c r="AQ46" s="7">
        <f>AN46*(1-AP46)</f>
        <v/>
      </c>
      <c r="AR46" s="7">
        <f>PMT(g_mortRate/12,vivienda_plazoHipoteca*12,-AQ46)</f>
        <v/>
      </c>
      <c r="AS46" s="7">
        <f>INDEX(cfg_units,sel_cfgIdx)</f>
        <v/>
      </c>
      <c r="AT46" s="7">
        <f>AS46*loc_rentaUnidad*(1+g_inf)^(A46-2026)*(1-vivienda_vacancia)</f>
        <v/>
      </c>
      <c r="AU46" s="7">
        <f>AR46+AN46*loc_impuestoPropPct/12+AM46*loc_seguroPct*(1+vivienda_inflacionSeguro)^(A46-2026)/12+IF(AND(AO46=0,AP46&lt;0.2),AQ46*vivienda_pmiTasa/12,0)</f>
        <v/>
      </c>
      <c r="AV46" s="7">
        <f>AN46*AP46+AN46*vivienda_cierrePct+general_reservaMeses/12*AJ46</f>
        <v/>
      </c>
      <c r="AW46" s="7">
        <f>(IF(13=0,MIN(personal_irsSaldo,personal_irsPagoMensual*12),MIN(CD45,personal_irsPagoMensual*12))+IF(CE46&gt;0,PMT(CF46,MAX(1,prestamos_plazoAnios-CG46),-CE46),0)+IF(CR46&gt;0,PMT(CS46,MAX(1,prestamos_plazoAnios-CT46),-CR46),0))/12</f>
        <v/>
      </c>
      <c r="AX46" s="7">
        <f>IF(OR(sel_cfg="duplex",sel_cfg="multi",sel_cfg="dosCasas"),0.75*personal_aporteFamiliaMensual,0)</f>
        <v/>
      </c>
      <c r="AY46" s="7">
        <f>AU46-0.75*AT46-AX46+AW46</f>
        <v/>
      </c>
      <c r="AZ46" s="7">
        <f>(D46+G46+H46+0.5*F46)/12</f>
        <v/>
      </c>
      <c r="BA46" s="7">
        <f>IF(AND(AL46=0,A46&gt;=vivienda_anioMinCompra,J46&lt;0.5,AI46&gt;0,AK46&gt;=AV46,AY46&lt;=vivienda_dtiMax*AZ46),1,0)</f>
        <v/>
      </c>
      <c r="BB46" s="7">
        <f>MAX(AL46,BA46)</f>
        <v/>
      </c>
      <c r="BC46" s="7">
        <f>IF(BA46=1,A46,IF(13=0,"",BC45))</f>
        <v/>
      </c>
      <c r="BD46" s="7">
        <f>AK46-IF(BA46=1,AN46*AP46+AN46*vivienda_cierrePct,0)</f>
        <v/>
      </c>
      <c r="BE46" s="7">
        <f>IF(BA46=1,AN46,IF(13=0,0,BE45))</f>
        <v/>
      </c>
      <c r="BF46" s="7">
        <f>IF(BA46=1,AR46,IF(13=0,0,BF45))</f>
        <v/>
      </c>
      <c r="BG46" s="7">
        <f>IF(BA46=1,IF(AND(AO46=0,AP46&lt;0.2),1,0),IF(13=0,0,BY45))</f>
        <v/>
      </c>
      <c r="BH46" s="7">
        <f>IF(sel_cfg="casaAdu",1,0)</f>
        <v/>
      </c>
      <c r="BI46" s="7">
        <f>IF(AND(BB46=1,BH46=1,IF(13=0,0,BJ45)=0,A46&gt;=IF(BC46="",9999,BC46)+vivienda_aduRetrasoAnios),1,0)</f>
        <v/>
      </c>
      <c r="BJ46" s="7">
        <f>MAX(IF(13=0,0,BJ45),BI46)</f>
        <v/>
      </c>
      <c r="BK46" s="7">
        <f>IF(BI46=1,PMT((g_mortRate+0.005)/12,180,-loc_precio_aduCosto*C46),IF(13=0,0,BK45))</f>
        <v/>
      </c>
      <c r="BL46" s="7">
        <f>IF(BA46=1,AN46,IF(13=0,0,DT45))+IF(BI46=1,loc_precio_aduCosto*C46,0)</f>
        <v/>
      </c>
      <c r="BM46" s="7">
        <f>IF(BA46=1,AQ46,IF(13=0,0,DU45))</f>
        <v/>
      </c>
      <c r="BN46" s="7">
        <f>IF(BM46&lt;=0,0,FV(g_mortRate/12,12,BF46,-BM46))</f>
        <v/>
      </c>
      <c r="BO46" s="7">
        <f>IF(BM46&lt;=0,0,12*BF46+MIN(0,BN46))</f>
        <v/>
      </c>
      <c r="BP46" s="7">
        <f>MAX(0,BN46)</f>
        <v/>
      </c>
      <c r="BQ46" s="7">
        <f>IF(BI46=1,loc_precio_aduCosto*C46,IF(13=0,0,DV45))</f>
        <v/>
      </c>
      <c r="BR46" s="7">
        <f>IF(BQ46&lt;=0,0,FV((g_mortRate+0.005)/12,12,BK46,-BQ46))</f>
        <v/>
      </c>
      <c r="BS46" s="7">
        <f>IF(BQ46&lt;=0,0,12*BK46+MIN(0,BR46))</f>
        <v/>
      </c>
      <c r="BT46" s="7">
        <f>MAX(0,BR46)</f>
        <v/>
      </c>
      <c r="BU46" s="7">
        <f>IF(BB46=1,AM46*loc_seguroPct*(1+vivienda_inflacionSeguro)^(A46-2026)*IF(BJ46=1,1+loc_precio_aduCosto/AM46,1),0)</f>
        <v/>
      </c>
      <c r="BV46" s="7">
        <f>BL46*loc_impuestoPropPct</f>
        <v/>
      </c>
      <c r="BW46" s="7">
        <f>BL46*vivienda_mantenimientoPct</f>
        <v/>
      </c>
      <c r="BX46" s="7">
        <f>IF(AND(BG46=1,BP46&gt;0.8*BE46),BE46*(1-vivienda_enganchePct)*vivienda_pmiTasa,0)</f>
        <v/>
      </c>
      <c r="BY46" s="7">
        <f>IF(AND(BG46=1,BP46&gt;0.8*BE46),1,0)</f>
        <v/>
      </c>
      <c r="BZ46" s="7">
        <f>IF(BB46=1,AS46*loc_rentaUnidad*12*C46*(1-vivienda_vacancia)*(1-vivienda_gestionPct),0)</f>
        <v/>
      </c>
      <c r="CA46" s="7">
        <f>IF(BB46=1,BO46+BS46+BU46+BV46+BW46+BX46,loc_rentaMensual*12*C46)</f>
        <v/>
      </c>
      <c r="CB46" s="7">
        <f>IF(BB46=1,personal_aporteFamiliaMensual*12,0)</f>
        <v/>
      </c>
      <c r="CC46" s="7">
        <f>MIN(IF(13=0,personal_irsSaldo,CD45),personal_irsPagoMensual*12)</f>
        <v/>
      </c>
      <c r="CD46" s="7">
        <f>IF(13=0,personal_irsSaldo,CD45)-CC46</f>
        <v/>
      </c>
      <c r="CE46" s="7">
        <f>IF(13=0,IF(personal_deudaEsFederal=1,personal_deudaEstudiantil,0),DW45)</f>
        <v/>
      </c>
      <c r="CF46" s="7">
        <f>IF(13=0,personal_tasaDeudaEstudiantil,DX45)</f>
        <v/>
      </c>
      <c r="CG46" s="7">
        <f>IF(13=0,0,DY45)</f>
        <v/>
      </c>
      <c r="CH46" s="7">
        <f>IF(J46&gt;=0.5,1,0)</f>
        <v/>
      </c>
      <c r="CI46" s="7">
        <f>IF(AND(CH46=0,prestamos_pslfActivo=1,K46&gt;=0.5,CE46&gt;0),1,0)</f>
        <v/>
      </c>
      <c r="CJ46" s="7">
        <f>CE46*CF46</f>
        <v/>
      </c>
      <c r="CK46" s="7">
        <f>MAX(prestamos_rapPagoMinimoAnual,IF(Y46&lt;10000,0,MIN(0.1,INT(Y46/10000)/100))*Y46)</f>
        <v/>
      </c>
      <c r="CL46" s="7">
        <f>IF(CE46&lt;=0,0,IF(CH46=1,0,IF(CI46=1,MIN(CE46+CJ46,CK46),PMT(CF46,MAX(1,prestamos_plazoAnios-CG46),-CE46))))</f>
        <v/>
      </c>
      <c r="CM46" s="7">
        <f>IF(CE46&lt;=0,0,IF(CH46=1,CE46+CJ46,IF(CI46=1,MAX(0,CE46-MAX(CL46-CJ46,MIN(600,CL46))),MAX(0,CE46*(1+CF46)-CL46))))</f>
        <v/>
      </c>
      <c r="CN46" s="7">
        <f>IF(13=0,0,CN45)+IF(CI46=1,12*MIN(1,K46),0)</f>
        <v/>
      </c>
      <c r="CO46" s="7">
        <f>IF(AND(CI46=1,CN46&gt;=prestamos_pslfPagos,CM46&gt;0),CM46,0)</f>
        <v/>
      </c>
      <c r="CP46" s="7">
        <f>CM46-CO46</f>
        <v/>
      </c>
      <c r="CQ46" s="7">
        <f>IF(AND(CE46&gt;0,CH46=0,CI46=0),CG46+1,CG46)</f>
        <v/>
      </c>
      <c r="CR46" s="7">
        <f>IF(13=0,IF(personal_deudaEsFederal=1,0,personal_deudaEstudiantil),EA45)</f>
        <v/>
      </c>
      <c r="CS46" s="7">
        <f>IF(13=0,IF(personal_deudaEsFederal=1,prestamos_tasaPrivada,personal_tasaDeudaEstudiantil),EB45)</f>
        <v/>
      </c>
      <c r="CT46" s="7">
        <f>IF(13=0,0,EC45)</f>
        <v/>
      </c>
      <c r="CU46" s="7">
        <f>IF(OR(CR46&lt;=0,CH46=1),0,PMT(CS46,MAX(1,prestamos_plazoAnios-CT46),-CR46))</f>
        <v/>
      </c>
      <c r="CV46" s="7">
        <f>IF(CR46&lt;=0,0,IF(CH46=1,CR46*(1+CS46),MAX(0,CR46*(1+CS46)-CU46)))</f>
        <v/>
      </c>
      <c r="CW46" s="7">
        <f>IF(AND(CR46&gt;0,CH46=0),CT46+1,CT46)</f>
        <v/>
      </c>
      <c r="CX46" s="7">
        <f>IF(13=0,0,ED45)*(1+general_tasaDeudaConsumo)</f>
        <v/>
      </c>
      <c r="CY46" s="7">
        <f>L46*12*tiempos_travelGastoExtraMes*C46</f>
        <v/>
      </c>
      <c r="CZ46" s="7">
        <f>AJ46+CY46+CA46+CC46+CL46+CU46+I46+N46-BZ46-CB46</f>
        <v/>
      </c>
      <c r="DA46" s="7">
        <f>AH46-CZ46</f>
        <v/>
      </c>
      <c r="DB46" s="7">
        <f>IF(13=0,0,DB45)+DA46</f>
        <v/>
      </c>
      <c r="DC46" s="7">
        <f>AN46*vivienda_enganchePct+AN46*vivienda_cierrePct+general_reservaMeses/12*AJ46</f>
        <v/>
      </c>
      <c r="DD46" s="7">
        <f>IF(BB46=1,g_ret,IF(BD46&gt;0,MIN(1,DC46/BD46),1)*g_cash+(1-IF(BD46&gt;0,MIN(1,DC46/BD46),1))*g_ret)</f>
        <v/>
      </c>
      <c r="DE46" s="7">
        <f>IF(DA46&gt;=0,MIN(CX46,DA46),0)</f>
        <v/>
      </c>
      <c r="DF46" s="7">
        <f>IF(DA46&gt;=0,(1-general_tasaAhorro)*(DA46-DE46),0)</f>
        <v/>
      </c>
      <c r="DG46" s="7">
        <f>IF(DA46&gt;=0,DA46-DE46-DF46,0)</f>
        <v/>
      </c>
      <c r="DH46" s="7">
        <f>MIN(personal_rothAnual,DG46)</f>
        <v/>
      </c>
      <c r="DI46" s="7">
        <f>IF(AND(DA46&gt;=0,BB46=1,BP46+BT46&gt;0),MIN(vivienda_prepagoPct*(DG46-DH46),BP46+BT46),0)</f>
        <v/>
      </c>
      <c r="DJ46" s="7">
        <f>MIN(DI46,BP46)</f>
        <v/>
      </c>
      <c r="DK46" s="7">
        <f>IF(DA46&lt;0,MIN(MAX(0,BD46),-DA46),0)</f>
        <v/>
      </c>
      <c r="DL46" s="7">
        <f>IF(DA46&lt;0,-DA46-DK46,0)</f>
        <v/>
      </c>
      <c r="DM46" s="7">
        <f>IF(13=0,0,DZ45)</f>
        <v/>
      </c>
      <c r="DN46" s="7">
        <f>IF(AND(DL46&gt;0,J46&gt;0),MIN(DL46,MIN(prestamos_topeAnualPosgrado*MIN(1,J46),MAX(0,prestamos_topeTotalPosgrado-DM46))),0)</f>
        <v/>
      </c>
      <c r="DO46" s="7">
        <f>IF(AND(DL46&gt;0,J46&gt;0),DL46-DN46,0)</f>
        <v/>
      </c>
      <c r="DP46" s="7">
        <f>IF(AND(DL46&gt;0,J46&lt;=0),DL46,0)</f>
        <v/>
      </c>
      <c r="DQ46" s="7">
        <f>IF(DA46&gt;=0,DG46-DH46-DI46,-DK46)</f>
        <v/>
      </c>
      <c r="DR46" s="7">
        <f>BD46*(1+DD46)+DQ46*(1+DD46/2)</f>
        <v/>
      </c>
      <c r="DS46" s="7">
        <f>IF(13=0,personal_retiroInicial,DS45)*(1+g_ret)+(O46+P46+DH46)*(1+g_ret/2)</f>
        <v/>
      </c>
      <c r="DT46" s="7">
        <f>IF(BB46=1,BL46*(1+g_appr),0)</f>
        <v/>
      </c>
      <c r="DU46" s="7">
        <f>BP46-DJ46</f>
        <v/>
      </c>
      <c r="DV46" s="7">
        <f>BT46-(DI46-DJ46)</f>
        <v/>
      </c>
      <c r="DW46" s="7">
        <f>CP46+DN46</f>
        <v/>
      </c>
      <c r="DX46" s="7">
        <f>IF(DN46&gt;0,(CP46*CF46+DN46*prestamos_tasaFederalPosgrado)/(CP46+DN46),CF46)</f>
        <v/>
      </c>
      <c r="DY46" s="7">
        <f>IF(DN46&gt;0,0,CQ46)</f>
        <v/>
      </c>
      <c r="DZ46" s="7">
        <f>DM46+DN46</f>
        <v/>
      </c>
      <c r="EA46" s="7">
        <f>CV46+DO46</f>
        <v/>
      </c>
      <c r="EB46" s="7">
        <f>IF(DO46&gt;0,(CV46*CS46+DO46*prestamos_tasaPrivada)/(CV46+DO46),CS46)</f>
        <v/>
      </c>
      <c r="EC46" s="7">
        <f>IF(DO46&gt;0,0,CW46)</f>
        <v/>
      </c>
      <c r="ED46" s="7">
        <f>CX46-DE46+DP46</f>
        <v/>
      </c>
      <c r="EE46" s="7">
        <f>IF(IF(13=0,"",EE45)&lt;&gt;"",EE45,IF(AND(BB46=1,DU46&lt;=0.5,DV46&lt;=0.5,OR(BH46=0,BJ46=1)),A46,""))</f>
        <v/>
      </c>
      <c r="EF46" s="7">
        <f>DU46+DV46+DW46+EA46+ED46+CD46</f>
        <v/>
      </c>
      <c r="EG46" s="7">
        <f>DR46+DS46+DT46-EF46</f>
        <v/>
      </c>
      <c r="EH46" s="7">
        <f>EG46/(1+g_inf)^(A46+1-2026)</f>
        <v/>
      </c>
    </row>
    <row r="47">
      <c r="A47" t="n">
        <v>2041</v>
      </c>
      <c r="B47" t="n">
        <v>14</v>
      </c>
      <c r="C47" s="7">
        <f>(1+g_inf)^(A47-2026)</f>
        <v/>
      </c>
      <c r="D47" s="7">
        <f>SUMPRODUCT($AH$5:$AH$29,$E$5:$E$29*(1+$F$5:$F$29)^(A47-2026)*$G$5:$G$29*$H$5:$H$29*(1-$N$5:$N$29*$O$5:$O$29))*g_salMult+SUMPRODUCT(($B$5:$B$29&gt;=A47)*($B$5:$B$29&lt;A47+1)*$I$5:$I$29)*g_salMult</f>
        <v/>
      </c>
      <c r="E47" s="7">
        <f>SUMPRODUCT($AH$5:$AH$29,$E$5:$E$29*(1+$F$5:$F$29)^(A47-2026)*$G$5:$G$29*$H$5:$H$29*$M$5:$M$29)*g_salMult</f>
        <v/>
      </c>
      <c r="F47" s="7">
        <f>SUMPRODUCT($AH$5:$AH$29,$E$5:$E$29*(1+$F$5:$F$29)^(A47-2026)*$G$5:$G$29*$H$5:$H$29*$N$5:$N$29*$O$5:$O$29)*g_salMult</f>
        <v/>
      </c>
      <c r="G47" s="7">
        <f>SUMPRODUCT($AH$5:$AH$29,$P$5:$P$29*(1+$F$5:$F$29)^(A47-2026))</f>
        <v/>
      </c>
      <c r="H47" s="7">
        <f>SUMPRODUCT($AH$5:$AH$29,$Q$5:$Q$29*(1+$F$5:$F$29)^(A47-2026))+IF(personal_llcActivo=1,personal_llcNeto*(1+personal_llcCrecimiento)^14,0)</f>
        <v/>
      </c>
      <c r="I47" s="7">
        <f>SUMPRODUCT($AH$5:$AH$29,$J$5:$J$29/($C$5:$C$29-$B$5:$B$29+($C$5:$C$29=$B$5:$B$29)))*C47</f>
        <v/>
      </c>
      <c r="J47" s="7">
        <f>SUMPRODUCT($AH$5:$AH$29,$K$5:$K$29)</f>
        <v/>
      </c>
      <c r="K47" s="7">
        <f>SUMPRODUCT($AH$5:$AH$29,$L$5:$L$29)</f>
        <v/>
      </c>
      <c r="L47" s="7">
        <f>SUMPRODUCT($AH$5:$AH$29,$N$5:$N$29)</f>
        <v/>
      </c>
      <c r="M47" s="7">
        <f>IF(SUMPRODUCT($AH$5:$AH$29,$R$5:$R$29)&gt;0,1,0)</f>
        <v/>
      </c>
      <c r="N47" s="7">
        <f>SUMPRODUCT(($AO$5:$AO$24&gt;=A47)*($AO$5:$AO$24&lt;A47+1)*$AP$5:$AP$24)*C47+IF(14=0,IF(sel_loc&lt;&gt;"miami",personal_costoMudanzaInicial,0),0)</f>
        <v/>
      </c>
      <c r="O47" s="7">
        <f>MIN(personal_aporte403bPct*D47,retiro_limite403b*C47)</f>
        <v/>
      </c>
      <c r="P47" s="7">
        <f>MIN(personal_aporte403bPct,personal_match403bPct)*E47</f>
        <v/>
      </c>
      <c r="Q47" s="7">
        <f>IF(G47&gt;0,MAX(0,G47-impuestos_scorpCostoAnual*C47),0)</f>
        <v/>
      </c>
      <c r="R47" s="7">
        <f>Q47*impuestos_scorpSalarioPct/(1+impuestos_ssTasa+impuestos_medicareTasa)</f>
        <v/>
      </c>
      <c r="S47" s="7">
        <f>impuestos_ssTasa*MIN(R47,MAX(0,impuestos_ssTope*C47-D47))+impuestos_medicareTasa*R47</f>
        <v/>
      </c>
      <c r="T47" s="7">
        <f>Q47-R47-S47</f>
        <v/>
      </c>
      <c r="U47" s="7">
        <f>D47+R47</f>
        <v/>
      </c>
      <c r="V47" s="7">
        <f>H47*0.9235</f>
        <v/>
      </c>
      <c r="W47" s="7">
        <f>IF(H47&gt;0,2*impuestos_ssTasa*MIN(V47,MAX(0,impuestos_ssTope*C47-U47))+2*impuestos_medicareTasa*V47,0)</f>
        <v/>
      </c>
      <c r="X47" s="7">
        <f>impuestos_ssTasa*MIN(U47,impuestos_ssTope*C47)+impuestos_medicareTasa*U47+impuestos_medicareAdicional*MAX(0,U47+H47*0.9235-impuestos_medicareUmbral)</f>
        <v/>
      </c>
      <c r="Y47" s="7">
        <f>MAX(0,D47-O47+R47+T47+H47-W47/2)</f>
        <v/>
      </c>
      <c r="Z47" s="7">
        <f>MAX(0,Y47-impuestos_deduccionEstandar*C47)</f>
        <v/>
      </c>
      <c r="AA47" s="7">
        <f>MIN(0.2*MAX(0,T47+H47-W47/2)*MAX(0,MIN(1,1-(Z47-impuestos_qbiUmbral*C47)/(impuestos_qbiRango*C47))),0.2*Z47)</f>
        <v/>
      </c>
      <c r="AB47" s="7">
        <f>MAX(0,Z47-AA47)</f>
        <v/>
      </c>
      <c r="AC47" s="7">
        <f>SUMPRODUCT((AB47&gt;tb_federalBrackets_lo*C47)*(AB47-tb_federalBrackets_lo*C47)*tb_federalBrackets_dr)</f>
        <v/>
      </c>
      <c r="AD47" s="7">
        <f>MAX(0,Y47-impuestos_nyDeduccion*C47)</f>
        <v/>
      </c>
      <c r="AE47" s="7">
        <f>CHOOSE(loc_taxcode,0,impuestos_ohTasa*MAX(0,Y47-impuestos_ohExento*C47)+impuestos_ohMunicipal*U47,SUMPRODUCT((AD47&gt;tb_nyBrackets_lo*C47)*(AD47-tb_nyBrackets_lo*C47)*tb_nyBrackets_dr)+loc_nyc*SUMPRODUCT((AD47&gt;tb_nycBrackets_lo*C47)*(AD47-tb_nycBrackets_lo*C47)*tb_nycBrackets_dr))</f>
        <v/>
      </c>
      <c r="AF47" s="7">
        <f>AC47+AE47+X47+W47</f>
        <v/>
      </c>
      <c r="AG47" s="7">
        <f>D47+F47+R47+T47+H47</f>
        <v/>
      </c>
      <c r="AH47" s="7">
        <f>AG47-AF47-O47</f>
        <v/>
      </c>
      <c r="AI47" s="7">
        <f>D47+F47+G47+H47</f>
        <v/>
      </c>
      <c r="AJ47" s="7">
        <f>loc_gastosVida*C47*g_gastos</f>
        <v/>
      </c>
      <c r="AK47" s="7">
        <f>IF(14=0,personal_liquidoInicial,DR46)</f>
        <v/>
      </c>
      <c r="AL47" s="7">
        <f>IF(14=0,0,BB46)</f>
        <v/>
      </c>
      <c r="AM47" s="7">
        <f>CHOOSE(sel_cfgIdx,loc_precio_duplex,loc_precio_inlaw,loc_precio_dosCasas,loc_precio_casaAdu,loc_precio_multi)</f>
        <v/>
      </c>
      <c r="AN47" s="7">
        <f>AM47*(1+g_appr)^(A47-2026)</f>
        <v/>
      </c>
      <c r="AO47" s="7">
        <f>IF(AND(M47=1,vivienda_prestamoMedico=1),1,0)</f>
        <v/>
      </c>
      <c r="AP47" s="7">
        <f>IF(AO47=1,0.05,vivienda_enganchePct)</f>
        <v/>
      </c>
      <c r="AQ47" s="7">
        <f>AN47*(1-AP47)</f>
        <v/>
      </c>
      <c r="AR47" s="7">
        <f>PMT(g_mortRate/12,vivienda_plazoHipoteca*12,-AQ47)</f>
        <v/>
      </c>
      <c r="AS47" s="7">
        <f>INDEX(cfg_units,sel_cfgIdx)</f>
        <v/>
      </c>
      <c r="AT47" s="7">
        <f>AS47*loc_rentaUnidad*(1+g_inf)^(A47-2026)*(1-vivienda_vacancia)</f>
        <v/>
      </c>
      <c r="AU47" s="7">
        <f>AR47+AN47*loc_impuestoPropPct/12+AM47*loc_seguroPct*(1+vivienda_inflacionSeguro)^(A47-2026)/12+IF(AND(AO47=0,AP47&lt;0.2),AQ47*vivienda_pmiTasa/12,0)</f>
        <v/>
      </c>
      <c r="AV47" s="7">
        <f>AN47*AP47+AN47*vivienda_cierrePct+general_reservaMeses/12*AJ47</f>
        <v/>
      </c>
      <c r="AW47" s="7">
        <f>(IF(14=0,MIN(personal_irsSaldo,personal_irsPagoMensual*12),MIN(CD46,personal_irsPagoMensual*12))+IF(CE47&gt;0,PMT(CF47,MAX(1,prestamos_plazoAnios-CG47),-CE47),0)+IF(CR47&gt;0,PMT(CS47,MAX(1,prestamos_plazoAnios-CT47),-CR47),0))/12</f>
        <v/>
      </c>
      <c r="AX47" s="7">
        <f>IF(OR(sel_cfg="duplex",sel_cfg="multi",sel_cfg="dosCasas"),0.75*personal_aporteFamiliaMensual,0)</f>
        <v/>
      </c>
      <c r="AY47" s="7">
        <f>AU47-0.75*AT47-AX47+AW47</f>
        <v/>
      </c>
      <c r="AZ47" s="7">
        <f>(D47+G47+H47+0.5*F47)/12</f>
        <v/>
      </c>
      <c r="BA47" s="7">
        <f>IF(AND(AL47=0,A47&gt;=vivienda_anioMinCompra,J47&lt;0.5,AI47&gt;0,AK47&gt;=AV47,AY47&lt;=vivienda_dtiMax*AZ47),1,0)</f>
        <v/>
      </c>
      <c r="BB47" s="7">
        <f>MAX(AL47,BA47)</f>
        <v/>
      </c>
      <c r="BC47" s="7">
        <f>IF(BA47=1,A47,IF(14=0,"",BC46))</f>
        <v/>
      </c>
      <c r="BD47" s="7">
        <f>AK47-IF(BA47=1,AN47*AP47+AN47*vivienda_cierrePct,0)</f>
        <v/>
      </c>
      <c r="BE47" s="7">
        <f>IF(BA47=1,AN47,IF(14=0,0,BE46))</f>
        <v/>
      </c>
      <c r="BF47" s="7">
        <f>IF(BA47=1,AR47,IF(14=0,0,BF46))</f>
        <v/>
      </c>
      <c r="BG47" s="7">
        <f>IF(BA47=1,IF(AND(AO47=0,AP47&lt;0.2),1,0),IF(14=0,0,BY46))</f>
        <v/>
      </c>
      <c r="BH47" s="7">
        <f>IF(sel_cfg="casaAdu",1,0)</f>
        <v/>
      </c>
      <c r="BI47" s="7">
        <f>IF(AND(BB47=1,BH47=1,IF(14=0,0,BJ46)=0,A47&gt;=IF(BC47="",9999,BC47)+vivienda_aduRetrasoAnios),1,0)</f>
        <v/>
      </c>
      <c r="BJ47" s="7">
        <f>MAX(IF(14=0,0,BJ46),BI47)</f>
        <v/>
      </c>
      <c r="BK47" s="7">
        <f>IF(BI47=1,PMT((g_mortRate+0.005)/12,180,-loc_precio_aduCosto*C47),IF(14=0,0,BK46))</f>
        <v/>
      </c>
      <c r="BL47" s="7">
        <f>IF(BA47=1,AN47,IF(14=0,0,DT46))+IF(BI47=1,loc_precio_aduCosto*C47,0)</f>
        <v/>
      </c>
      <c r="BM47" s="7">
        <f>IF(BA47=1,AQ47,IF(14=0,0,DU46))</f>
        <v/>
      </c>
      <c r="BN47" s="7">
        <f>IF(BM47&lt;=0,0,FV(g_mortRate/12,12,BF47,-BM47))</f>
        <v/>
      </c>
      <c r="BO47" s="7">
        <f>IF(BM47&lt;=0,0,12*BF47+MIN(0,BN47))</f>
        <v/>
      </c>
      <c r="BP47" s="7">
        <f>MAX(0,BN47)</f>
        <v/>
      </c>
      <c r="BQ47" s="7">
        <f>IF(BI47=1,loc_precio_aduCosto*C47,IF(14=0,0,DV46))</f>
        <v/>
      </c>
      <c r="BR47" s="7">
        <f>IF(BQ47&lt;=0,0,FV((g_mortRate+0.005)/12,12,BK47,-BQ47))</f>
        <v/>
      </c>
      <c r="BS47" s="7">
        <f>IF(BQ47&lt;=0,0,12*BK47+MIN(0,BR47))</f>
        <v/>
      </c>
      <c r="BT47" s="7">
        <f>MAX(0,BR47)</f>
        <v/>
      </c>
      <c r="BU47" s="7">
        <f>IF(BB47=1,AM47*loc_seguroPct*(1+vivienda_inflacionSeguro)^(A47-2026)*IF(BJ47=1,1+loc_precio_aduCosto/AM47,1),0)</f>
        <v/>
      </c>
      <c r="BV47" s="7">
        <f>BL47*loc_impuestoPropPct</f>
        <v/>
      </c>
      <c r="BW47" s="7">
        <f>BL47*vivienda_mantenimientoPct</f>
        <v/>
      </c>
      <c r="BX47" s="7">
        <f>IF(AND(BG47=1,BP47&gt;0.8*BE47),BE47*(1-vivienda_enganchePct)*vivienda_pmiTasa,0)</f>
        <v/>
      </c>
      <c r="BY47" s="7">
        <f>IF(AND(BG47=1,BP47&gt;0.8*BE47),1,0)</f>
        <v/>
      </c>
      <c r="BZ47" s="7">
        <f>IF(BB47=1,AS47*loc_rentaUnidad*12*C47*(1-vivienda_vacancia)*(1-vivienda_gestionPct),0)</f>
        <v/>
      </c>
      <c r="CA47" s="7">
        <f>IF(BB47=1,BO47+BS47+BU47+BV47+BW47+BX47,loc_rentaMensual*12*C47)</f>
        <v/>
      </c>
      <c r="CB47" s="7">
        <f>IF(BB47=1,personal_aporteFamiliaMensual*12,0)</f>
        <v/>
      </c>
      <c r="CC47" s="7">
        <f>MIN(IF(14=0,personal_irsSaldo,CD46),personal_irsPagoMensual*12)</f>
        <v/>
      </c>
      <c r="CD47" s="7">
        <f>IF(14=0,personal_irsSaldo,CD46)-CC47</f>
        <v/>
      </c>
      <c r="CE47" s="7">
        <f>IF(14=0,IF(personal_deudaEsFederal=1,personal_deudaEstudiantil,0),DW46)</f>
        <v/>
      </c>
      <c r="CF47" s="7">
        <f>IF(14=0,personal_tasaDeudaEstudiantil,DX46)</f>
        <v/>
      </c>
      <c r="CG47" s="7">
        <f>IF(14=0,0,DY46)</f>
        <v/>
      </c>
      <c r="CH47" s="7">
        <f>IF(J47&gt;=0.5,1,0)</f>
        <v/>
      </c>
      <c r="CI47" s="7">
        <f>IF(AND(CH47=0,prestamos_pslfActivo=1,K47&gt;=0.5,CE47&gt;0),1,0)</f>
        <v/>
      </c>
      <c r="CJ47" s="7">
        <f>CE47*CF47</f>
        <v/>
      </c>
      <c r="CK47" s="7">
        <f>MAX(prestamos_rapPagoMinimoAnual,IF(Y47&lt;10000,0,MIN(0.1,INT(Y47/10000)/100))*Y47)</f>
        <v/>
      </c>
      <c r="CL47" s="7">
        <f>IF(CE47&lt;=0,0,IF(CH47=1,0,IF(CI47=1,MIN(CE47+CJ47,CK47),PMT(CF47,MAX(1,prestamos_plazoAnios-CG47),-CE47))))</f>
        <v/>
      </c>
      <c r="CM47" s="7">
        <f>IF(CE47&lt;=0,0,IF(CH47=1,CE47+CJ47,IF(CI47=1,MAX(0,CE47-MAX(CL47-CJ47,MIN(600,CL47))),MAX(0,CE47*(1+CF47)-CL47))))</f>
        <v/>
      </c>
      <c r="CN47" s="7">
        <f>IF(14=0,0,CN46)+IF(CI47=1,12*MIN(1,K47),0)</f>
        <v/>
      </c>
      <c r="CO47" s="7">
        <f>IF(AND(CI47=1,CN47&gt;=prestamos_pslfPagos,CM47&gt;0),CM47,0)</f>
        <v/>
      </c>
      <c r="CP47" s="7">
        <f>CM47-CO47</f>
        <v/>
      </c>
      <c r="CQ47" s="7">
        <f>IF(AND(CE47&gt;0,CH47=0,CI47=0),CG47+1,CG47)</f>
        <v/>
      </c>
      <c r="CR47" s="7">
        <f>IF(14=0,IF(personal_deudaEsFederal=1,0,personal_deudaEstudiantil),EA46)</f>
        <v/>
      </c>
      <c r="CS47" s="7">
        <f>IF(14=0,IF(personal_deudaEsFederal=1,prestamos_tasaPrivada,personal_tasaDeudaEstudiantil),EB46)</f>
        <v/>
      </c>
      <c r="CT47" s="7">
        <f>IF(14=0,0,EC46)</f>
        <v/>
      </c>
      <c r="CU47" s="7">
        <f>IF(OR(CR47&lt;=0,CH47=1),0,PMT(CS47,MAX(1,prestamos_plazoAnios-CT47),-CR47))</f>
        <v/>
      </c>
      <c r="CV47" s="7">
        <f>IF(CR47&lt;=0,0,IF(CH47=1,CR47*(1+CS47),MAX(0,CR47*(1+CS47)-CU47)))</f>
        <v/>
      </c>
      <c r="CW47" s="7">
        <f>IF(AND(CR47&gt;0,CH47=0),CT47+1,CT47)</f>
        <v/>
      </c>
      <c r="CX47" s="7">
        <f>IF(14=0,0,ED46)*(1+general_tasaDeudaConsumo)</f>
        <v/>
      </c>
      <c r="CY47" s="7">
        <f>L47*12*tiempos_travelGastoExtraMes*C47</f>
        <v/>
      </c>
      <c r="CZ47" s="7">
        <f>AJ47+CY47+CA47+CC47+CL47+CU47+I47+N47-BZ47-CB47</f>
        <v/>
      </c>
      <c r="DA47" s="7">
        <f>AH47-CZ47</f>
        <v/>
      </c>
      <c r="DB47" s="7">
        <f>IF(14=0,0,DB46)+DA47</f>
        <v/>
      </c>
      <c r="DC47" s="7">
        <f>AN47*vivienda_enganchePct+AN47*vivienda_cierrePct+general_reservaMeses/12*AJ47</f>
        <v/>
      </c>
      <c r="DD47" s="7">
        <f>IF(BB47=1,g_ret,IF(BD47&gt;0,MIN(1,DC47/BD47),1)*g_cash+(1-IF(BD47&gt;0,MIN(1,DC47/BD47),1))*g_ret)</f>
        <v/>
      </c>
      <c r="DE47" s="7">
        <f>IF(DA47&gt;=0,MIN(CX47,DA47),0)</f>
        <v/>
      </c>
      <c r="DF47" s="7">
        <f>IF(DA47&gt;=0,(1-general_tasaAhorro)*(DA47-DE47),0)</f>
        <v/>
      </c>
      <c r="DG47" s="7">
        <f>IF(DA47&gt;=0,DA47-DE47-DF47,0)</f>
        <v/>
      </c>
      <c r="DH47" s="7">
        <f>MIN(personal_rothAnual,DG47)</f>
        <v/>
      </c>
      <c r="DI47" s="7">
        <f>IF(AND(DA47&gt;=0,BB47=1,BP47+BT47&gt;0),MIN(vivienda_prepagoPct*(DG47-DH47),BP47+BT47),0)</f>
        <v/>
      </c>
      <c r="DJ47" s="7">
        <f>MIN(DI47,BP47)</f>
        <v/>
      </c>
      <c r="DK47" s="7">
        <f>IF(DA47&lt;0,MIN(MAX(0,BD47),-DA47),0)</f>
        <v/>
      </c>
      <c r="DL47" s="7">
        <f>IF(DA47&lt;0,-DA47-DK47,0)</f>
        <v/>
      </c>
      <c r="DM47" s="7">
        <f>IF(14=0,0,DZ46)</f>
        <v/>
      </c>
      <c r="DN47" s="7">
        <f>IF(AND(DL47&gt;0,J47&gt;0),MIN(DL47,MIN(prestamos_topeAnualPosgrado*MIN(1,J47),MAX(0,prestamos_topeTotalPosgrado-DM47))),0)</f>
        <v/>
      </c>
      <c r="DO47" s="7">
        <f>IF(AND(DL47&gt;0,J47&gt;0),DL47-DN47,0)</f>
        <v/>
      </c>
      <c r="DP47" s="7">
        <f>IF(AND(DL47&gt;0,J47&lt;=0),DL47,0)</f>
        <v/>
      </c>
      <c r="DQ47" s="7">
        <f>IF(DA47&gt;=0,DG47-DH47-DI47,-DK47)</f>
        <v/>
      </c>
      <c r="DR47" s="7">
        <f>BD47*(1+DD47)+DQ47*(1+DD47/2)</f>
        <v/>
      </c>
      <c r="DS47" s="7">
        <f>IF(14=0,personal_retiroInicial,DS46)*(1+g_ret)+(O47+P47+DH47)*(1+g_ret/2)</f>
        <v/>
      </c>
      <c r="DT47" s="7">
        <f>IF(BB47=1,BL47*(1+g_appr),0)</f>
        <v/>
      </c>
      <c r="DU47" s="7">
        <f>BP47-DJ47</f>
        <v/>
      </c>
      <c r="DV47" s="7">
        <f>BT47-(DI47-DJ47)</f>
        <v/>
      </c>
      <c r="DW47" s="7">
        <f>CP47+DN47</f>
        <v/>
      </c>
      <c r="DX47" s="7">
        <f>IF(DN47&gt;0,(CP47*CF47+DN47*prestamos_tasaFederalPosgrado)/(CP47+DN47),CF47)</f>
        <v/>
      </c>
      <c r="DY47" s="7">
        <f>IF(DN47&gt;0,0,CQ47)</f>
        <v/>
      </c>
      <c r="DZ47" s="7">
        <f>DM47+DN47</f>
        <v/>
      </c>
      <c r="EA47" s="7">
        <f>CV47+DO47</f>
        <v/>
      </c>
      <c r="EB47" s="7">
        <f>IF(DO47&gt;0,(CV47*CS47+DO47*prestamos_tasaPrivada)/(CV47+DO47),CS47)</f>
        <v/>
      </c>
      <c r="EC47" s="7">
        <f>IF(DO47&gt;0,0,CW47)</f>
        <v/>
      </c>
      <c r="ED47" s="7">
        <f>CX47-DE47+DP47</f>
        <v/>
      </c>
      <c r="EE47" s="7">
        <f>IF(IF(14=0,"",EE46)&lt;&gt;"",EE46,IF(AND(BB47=1,DU47&lt;=0.5,DV47&lt;=0.5,OR(BH47=0,BJ47=1)),A47,""))</f>
        <v/>
      </c>
      <c r="EF47" s="7">
        <f>DU47+DV47+DW47+EA47+ED47+CD47</f>
        <v/>
      </c>
      <c r="EG47" s="7">
        <f>DR47+DS47+DT47-EF47</f>
        <v/>
      </c>
      <c r="EH47" s="7">
        <f>EG47/(1+g_inf)^(A47+1-2026)</f>
        <v/>
      </c>
    </row>
    <row r="48">
      <c r="A48" t="n">
        <v>2042</v>
      </c>
      <c r="B48" t="n">
        <v>15</v>
      </c>
      <c r="C48" s="7">
        <f>(1+g_inf)^(A48-2026)</f>
        <v/>
      </c>
      <c r="D48" s="7">
        <f>SUMPRODUCT($AI$5:$AI$29,$E$5:$E$29*(1+$F$5:$F$29)^(A48-2026)*$G$5:$G$29*$H$5:$H$29*(1-$N$5:$N$29*$O$5:$O$29))*g_salMult+SUMPRODUCT(($B$5:$B$29&gt;=A48)*($B$5:$B$29&lt;A48+1)*$I$5:$I$29)*g_salMult</f>
        <v/>
      </c>
      <c r="E48" s="7">
        <f>SUMPRODUCT($AI$5:$AI$29,$E$5:$E$29*(1+$F$5:$F$29)^(A48-2026)*$G$5:$G$29*$H$5:$H$29*$M$5:$M$29)*g_salMult</f>
        <v/>
      </c>
      <c r="F48" s="7">
        <f>SUMPRODUCT($AI$5:$AI$29,$E$5:$E$29*(1+$F$5:$F$29)^(A48-2026)*$G$5:$G$29*$H$5:$H$29*$N$5:$N$29*$O$5:$O$29)*g_salMult</f>
        <v/>
      </c>
      <c r="G48" s="7">
        <f>SUMPRODUCT($AI$5:$AI$29,$P$5:$P$29*(1+$F$5:$F$29)^(A48-2026))</f>
        <v/>
      </c>
      <c r="H48" s="7">
        <f>SUMPRODUCT($AI$5:$AI$29,$Q$5:$Q$29*(1+$F$5:$F$29)^(A48-2026))+IF(personal_llcActivo=1,personal_llcNeto*(1+personal_llcCrecimiento)^15,0)</f>
        <v/>
      </c>
      <c r="I48" s="7">
        <f>SUMPRODUCT($AI$5:$AI$29,$J$5:$J$29/($C$5:$C$29-$B$5:$B$29+($C$5:$C$29=$B$5:$B$29)))*C48</f>
        <v/>
      </c>
      <c r="J48" s="7">
        <f>SUMPRODUCT($AI$5:$AI$29,$K$5:$K$29)</f>
        <v/>
      </c>
      <c r="K48" s="7">
        <f>SUMPRODUCT($AI$5:$AI$29,$L$5:$L$29)</f>
        <v/>
      </c>
      <c r="L48" s="7">
        <f>SUMPRODUCT($AI$5:$AI$29,$N$5:$N$29)</f>
        <v/>
      </c>
      <c r="M48" s="7">
        <f>IF(SUMPRODUCT($AI$5:$AI$29,$R$5:$R$29)&gt;0,1,0)</f>
        <v/>
      </c>
      <c r="N48" s="7">
        <f>SUMPRODUCT(($AO$5:$AO$24&gt;=A48)*($AO$5:$AO$24&lt;A48+1)*$AP$5:$AP$24)*C48+IF(15=0,IF(sel_loc&lt;&gt;"miami",personal_costoMudanzaInicial,0),0)</f>
        <v/>
      </c>
      <c r="O48" s="7">
        <f>MIN(personal_aporte403bPct*D48,retiro_limite403b*C48)</f>
        <v/>
      </c>
      <c r="P48" s="7">
        <f>MIN(personal_aporte403bPct,personal_match403bPct)*E48</f>
        <v/>
      </c>
      <c r="Q48" s="7">
        <f>IF(G48&gt;0,MAX(0,G48-impuestos_scorpCostoAnual*C48),0)</f>
        <v/>
      </c>
      <c r="R48" s="7">
        <f>Q48*impuestos_scorpSalarioPct/(1+impuestos_ssTasa+impuestos_medicareTasa)</f>
        <v/>
      </c>
      <c r="S48" s="7">
        <f>impuestos_ssTasa*MIN(R48,MAX(0,impuestos_ssTope*C48-D48))+impuestos_medicareTasa*R48</f>
        <v/>
      </c>
      <c r="T48" s="7">
        <f>Q48-R48-S48</f>
        <v/>
      </c>
      <c r="U48" s="7">
        <f>D48+R48</f>
        <v/>
      </c>
      <c r="V48" s="7">
        <f>H48*0.9235</f>
        <v/>
      </c>
      <c r="W48" s="7">
        <f>IF(H48&gt;0,2*impuestos_ssTasa*MIN(V48,MAX(0,impuestos_ssTope*C48-U48))+2*impuestos_medicareTasa*V48,0)</f>
        <v/>
      </c>
      <c r="X48" s="7">
        <f>impuestos_ssTasa*MIN(U48,impuestos_ssTope*C48)+impuestos_medicareTasa*U48+impuestos_medicareAdicional*MAX(0,U48+H48*0.9235-impuestos_medicareUmbral)</f>
        <v/>
      </c>
      <c r="Y48" s="7">
        <f>MAX(0,D48-O48+R48+T48+H48-W48/2)</f>
        <v/>
      </c>
      <c r="Z48" s="7">
        <f>MAX(0,Y48-impuestos_deduccionEstandar*C48)</f>
        <v/>
      </c>
      <c r="AA48" s="7">
        <f>MIN(0.2*MAX(0,T48+H48-W48/2)*MAX(0,MIN(1,1-(Z48-impuestos_qbiUmbral*C48)/(impuestos_qbiRango*C48))),0.2*Z48)</f>
        <v/>
      </c>
      <c r="AB48" s="7">
        <f>MAX(0,Z48-AA48)</f>
        <v/>
      </c>
      <c r="AC48" s="7">
        <f>SUMPRODUCT((AB48&gt;tb_federalBrackets_lo*C48)*(AB48-tb_federalBrackets_lo*C48)*tb_federalBrackets_dr)</f>
        <v/>
      </c>
      <c r="AD48" s="7">
        <f>MAX(0,Y48-impuestos_nyDeduccion*C48)</f>
        <v/>
      </c>
      <c r="AE48" s="7">
        <f>CHOOSE(loc_taxcode,0,impuestos_ohTasa*MAX(0,Y48-impuestos_ohExento*C48)+impuestos_ohMunicipal*U48,SUMPRODUCT((AD48&gt;tb_nyBrackets_lo*C48)*(AD48-tb_nyBrackets_lo*C48)*tb_nyBrackets_dr)+loc_nyc*SUMPRODUCT((AD48&gt;tb_nycBrackets_lo*C48)*(AD48-tb_nycBrackets_lo*C48)*tb_nycBrackets_dr))</f>
        <v/>
      </c>
      <c r="AF48" s="7">
        <f>AC48+AE48+X48+W48</f>
        <v/>
      </c>
      <c r="AG48" s="7">
        <f>D48+F48+R48+T48+H48</f>
        <v/>
      </c>
      <c r="AH48" s="7">
        <f>AG48-AF48-O48</f>
        <v/>
      </c>
      <c r="AI48" s="7">
        <f>D48+F48+G48+H48</f>
        <v/>
      </c>
      <c r="AJ48" s="7">
        <f>loc_gastosVida*C48*g_gastos</f>
        <v/>
      </c>
      <c r="AK48" s="7">
        <f>IF(15=0,personal_liquidoInicial,DR47)</f>
        <v/>
      </c>
      <c r="AL48" s="7">
        <f>IF(15=0,0,BB47)</f>
        <v/>
      </c>
      <c r="AM48" s="7">
        <f>CHOOSE(sel_cfgIdx,loc_precio_duplex,loc_precio_inlaw,loc_precio_dosCasas,loc_precio_casaAdu,loc_precio_multi)</f>
        <v/>
      </c>
      <c r="AN48" s="7">
        <f>AM48*(1+g_appr)^(A48-2026)</f>
        <v/>
      </c>
      <c r="AO48" s="7">
        <f>IF(AND(M48=1,vivienda_prestamoMedico=1),1,0)</f>
        <v/>
      </c>
      <c r="AP48" s="7">
        <f>IF(AO48=1,0.05,vivienda_enganchePct)</f>
        <v/>
      </c>
      <c r="AQ48" s="7">
        <f>AN48*(1-AP48)</f>
        <v/>
      </c>
      <c r="AR48" s="7">
        <f>PMT(g_mortRate/12,vivienda_plazoHipoteca*12,-AQ48)</f>
        <v/>
      </c>
      <c r="AS48" s="7">
        <f>INDEX(cfg_units,sel_cfgIdx)</f>
        <v/>
      </c>
      <c r="AT48" s="7">
        <f>AS48*loc_rentaUnidad*(1+g_inf)^(A48-2026)*(1-vivienda_vacancia)</f>
        <v/>
      </c>
      <c r="AU48" s="7">
        <f>AR48+AN48*loc_impuestoPropPct/12+AM48*loc_seguroPct*(1+vivienda_inflacionSeguro)^(A48-2026)/12+IF(AND(AO48=0,AP48&lt;0.2),AQ48*vivienda_pmiTasa/12,0)</f>
        <v/>
      </c>
      <c r="AV48" s="7">
        <f>AN48*AP48+AN48*vivienda_cierrePct+general_reservaMeses/12*AJ48</f>
        <v/>
      </c>
      <c r="AW48" s="7">
        <f>(IF(15=0,MIN(personal_irsSaldo,personal_irsPagoMensual*12),MIN(CD47,personal_irsPagoMensual*12))+IF(CE48&gt;0,PMT(CF48,MAX(1,prestamos_plazoAnios-CG48),-CE48),0)+IF(CR48&gt;0,PMT(CS48,MAX(1,prestamos_plazoAnios-CT48),-CR48),0))/12</f>
        <v/>
      </c>
      <c r="AX48" s="7">
        <f>IF(OR(sel_cfg="duplex",sel_cfg="multi",sel_cfg="dosCasas"),0.75*personal_aporteFamiliaMensual,0)</f>
        <v/>
      </c>
      <c r="AY48" s="7">
        <f>AU48-0.75*AT48-AX48+AW48</f>
        <v/>
      </c>
      <c r="AZ48" s="7">
        <f>(D48+G48+H48+0.5*F48)/12</f>
        <v/>
      </c>
      <c r="BA48" s="7">
        <f>IF(AND(AL48=0,A48&gt;=vivienda_anioMinCompra,J48&lt;0.5,AI48&gt;0,AK48&gt;=AV48,AY48&lt;=vivienda_dtiMax*AZ48),1,0)</f>
        <v/>
      </c>
      <c r="BB48" s="7">
        <f>MAX(AL48,BA48)</f>
        <v/>
      </c>
      <c r="BC48" s="7">
        <f>IF(BA48=1,A48,IF(15=0,"",BC47))</f>
        <v/>
      </c>
      <c r="BD48" s="7">
        <f>AK48-IF(BA48=1,AN48*AP48+AN48*vivienda_cierrePct,0)</f>
        <v/>
      </c>
      <c r="BE48" s="7">
        <f>IF(BA48=1,AN48,IF(15=0,0,BE47))</f>
        <v/>
      </c>
      <c r="BF48" s="7">
        <f>IF(BA48=1,AR48,IF(15=0,0,BF47))</f>
        <v/>
      </c>
      <c r="BG48" s="7">
        <f>IF(BA48=1,IF(AND(AO48=0,AP48&lt;0.2),1,0),IF(15=0,0,BY47))</f>
        <v/>
      </c>
      <c r="BH48" s="7">
        <f>IF(sel_cfg="casaAdu",1,0)</f>
        <v/>
      </c>
      <c r="BI48" s="7">
        <f>IF(AND(BB48=1,BH48=1,IF(15=0,0,BJ47)=0,A48&gt;=IF(BC48="",9999,BC48)+vivienda_aduRetrasoAnios),1,0)</f>
        <v/>
      </c>
      <c r="BJ48" s="7">
        <f>MAX(IF(15=0,0,BJ47),BI48)</f>
        <v/>
      </c>
      <c r="BK48" s="7">
        <f>IF(BI48=1,PMT((g_mortRate+0.005)/12,180,-loc_precio_aduCosto*C48),IF(15=0,0,BK47))</f>
        <v/>
      </c>
      <c r="BL48" s="7">
        <f>IF(BA48=1,AN48,IF(15=0,0,DT47))+IF(BI48=1,loc_precio_aduCosto*C48,0)</f>
        <v/>
      </c>
      <c r="BM48" s="7">
        <f>IF(BA48=1,AQ48,IF(15=0,0,DU47))</f>
        <v/>
      </c>
      <c r="BN48" s="7">
        <f>IF(BM48&lt;=0,0,FV(g_mortRate/12,12,BF48,-BM48))</f>
        <v/>
      </c>
      <c r="BO48" s="7">
        <f>IF(BM48&lt;=0,0,12*BF48+MIN(0,BN48))</f>
        <v/>
      </c>
      <c r="BP48" s="7">
        <f>MAX(0,BN48)</f>
        <v/>
      </c>
      <c r="BQ48" s="7">
        <f>IF(BI48=1,loc_precio_aduCosto*C48,IF(15=0,0,DV47))</f>
        <v/>
      </c>
      <c r="BR48" s="7">
        <f>IF(BQ48&lt;=0,0,FV((g_mortRate+0.005)/12,12,BK48,-BQ48))</f>
        <v/>
      </c>
      <c r="BS48" s="7">
        <f>IF(BQ48&lt;=0,0,12*BK48+MIN(0,BR48))</f>
        <v/>
      </c>
      <c r="BT48" s="7">
        <f>MAX(0,BR48)</f>
        <v/>
      </c>
      <c r="BU48" s="7">
        <f>IF(BB48=1,AM48*loc_seguroPct*(1+vivienda_inflacionSeguro)^(A48-2026)*IF(BJ48=1,1+loc_precio_aduCosto/AM48,1),0)</f>
        <v/>
      </c>
      <c r="BV48" s="7">
        <f>BL48*loc_impuestoPropPct</f>
        <v/>
      </c>
      <c r="BW48" s="7">
        <f>BL48*vivienda_mantenimientoPct</f>
        <v/>
      </c>
      <c r="BX48" s="7">
        <f>IF(AND(BG48=1,BP48&gt;0.8*BE48),BE48*(1-vivienda_enganchePct)*vivienda_pmiTasa,0)</f>
        <v/>
      </c>
      <c r="BY48" s="7">
        <f>IF(AND(BG48=1,BP48&gt;0.8*BE48),1,0)</f>
        <v/>
      </c>
      <c r="BZ48" s="7">
        <f>IF(BB48=1,AS48*loc_rentaUnidad*12*C48*(1-vivienda_vacancia)*(1-vivienda_gestionPct),0)</f>
        <v/>
      </c>
      <c r="CA48" s="7">
        <f>IF(BB48=1,BO48+BS48+BU48+BV48+BW48+BX48,loc_rentaMensual*12*C48)</f>
        <v/>
      </c>
      <c r="CB48" s="7">
        <f>IF(BB48=1,personal_aporteFamiliaMensual*12,0)</f>
        <v/>
      </c>
      <c r="CC48" s="7">
        <f>MIN(IF(15=0,personal_irsSaldo,CD47),personal_irsPagoMensual*12)</f>
        <v/>
      </c>
      <c r="CD48" s="7">
        <f>IF(15=0,personal_irsSaldo,CD47)-CC48</f>
        <v/>
      </c>
      <c r="CE48" s="7">
        <f>IF(15=0,IF(personal_deudaEsFederal=1,personal_deudaEstudiantil,0),DW47)</f>
        <v/>
      </c>
      <c r="CF48" s="7">
        <f>IF(15=0,personal_tasaDeudaEstudiantil,DX47)</f>
        <v/>
      </c>
      <c r="CG48" s="7">
        <f>IF(15=0,0,DY47)</f>
        <v/>
      </c>
      <c r="CH48" s="7">
        <f>IF(J48&gt;=0.5,1,0)</f>
        <v/>
      </c>
      <c r="CI48" s="7">
        <f>IF(AND(CH48=0,prestamos_pslfActivo=1,K48&gt;=0.5,CE48&gt;0),1,0)</f>
        <v/>
      </c>
      <c r="CJ48" s="7">
        <f>CE48*CF48</f>
        <v/>
      </c>
      <c r="CK48" s="7">
        <f>MAX(prestamos_rapPagoMinimoAnual,IF(Y48&lt;10000,0,MIN(0.1,INT(Y48/10000)/100))*Y48)</f>
        <v/>
      </c>
      <c r="CL48" s="7">
        <f>IF(CE48&lt;=0,0,IF(CH48=1,0,IF(CI48=1,MIN(CE48+CJ48,CK48),PMT(CF48,MAX(1,prestamos_plazoAnios-CG48),-CE48))))</f>
        <v/>
      </c>
      <c r="CM48" s="7">
        <f>IF(CE48&lt;=0,0,IF(CH48=1,CE48+CJ48,IF(CI48=1,MAX(0,CE48-MAX(CL48-CJ48,MIN(600,CL48))),MAX(0,CE48*(1+CF48)-CL48))))</f>
        <v/>
      </c>
      <c r="CN48" s="7">
        <f>IF(15=0,0,CN47)+IF(CI48=1,12*MIN(1,K48),0)</f>
        <v/>
      </c>
      <c r="CO48" s="7">
        <f>IF(AND(CI48=1,CN48&gt;=prestamos_pslfPagos,CM48&gt;0),CM48,0)</f>
        <v/>
      </c>
      <c r="CP48" s="7">
        <f>CM48-CO48</f>
        <v/>
      </c>
      <c r="CQ48" s="7">
        <f>IF(AND(CE48&gt;0,CH48=0,CI48=0),CG48+1,CG48)</f>
        <v/>
      </c>
      <c r="CR48" s="7">
        <f>IF(15=0,IF(personal_deudaEsFederal=1,0,personal_deudaEstudiantil),EA47)</f>
        <v/>
      </c>
      <c r="CS48" s="7">
        <f>IF(15=0,IF(personal_deudaEsFederal=1,prestamos_tasaPrivada,personal_tasaDeudaEstudiantil),EB47)</f>
        <v/>
      </c>
      <c r="CT48" s="7">
        <f>IF(15=0,0,EC47)</f>
        <v/>
      </c>
      <c r="CU48" s="7">
        <f>IF(OR(CR48&lt;=0,CH48=1),0,PMT(CS48,MAX(1,prestamos_plazoAnios-CT48),-CR48))</f>
        <v/>
      </c>
      <c r="CV48" s="7">
        <f>IF(CR48&lt;=0,0,IF(CH48=1,CR48*(1+CS48),MAX(0,CR48*(1+CS48)-CU48)))</f>
        <v/>
      </c>
      <c r="CW48" s="7">
        <f>IF(AND(CR48&gt;0,CH48=0),CT48+1,CT48)</f>
        <v/>
      </c>
      <c r="CX48" s="7">
        <f>IF(15=0,0,ED47)*(1+general_tasaDeudaConsumo)</f>
        <v/>
      </c>
      <c r="CY48" s="7">
        <f>L48*12*tiempos_travelGastoExtraMes*C48</f>
        <v/>
      </c>
      <c r="CZ48" s="7">
        <f>AJ48+CY48+CA48+CC48+CL48+CU48+I48+N48-BZ48-CB48</f>
        <v/>
      </c>
      <c r="DA48" s="7">
        <f>AH48-CZ48</f>
        <v/>
      </c>
      <c r="DB48" s="7">
        <f>IF(15=0,0,DB47)+DA48</f>
        <v/>
      </c>
      <c r="DC48" s="7">
        <f>AN48*vivienda_enganchePct+AN48*vivienda_cierrePct+general_reservaMeses/12*AJ48</f>
        <v/>
      </c>
      <c r="DD48" s="7">
        <f>IF(BB48=1,g_ret,IF(BD48&gt;0,MIN(1,DC48/BD48),1)*g_cash+(1-IF(BD48&gt;0,MIN(1,DC48/BD48),1))*g_ret)</f>
        <v/>
      </c>
      <c r="DE48" s="7">
        <f>IF(DA48&gt;=0,MIN(CX48,DA48),0)</f>
        <v/>
      </c>
      <c r="DF48" s="7">
        <f>IF(DA48&gt;=0,(1-general_tasaAhorro)*(DA48-DE48),0)</f>
        <v/>
      </c>
      <c r="DG48" s="7">
        <f>IF(DA48&gt;=0,DA48-DE48-DF48,0)</f>
        <v/>
      </c>
      <c r="DH48" s="7">
        <f>MIN(personal_rothAnual,DG48)</f>
        <v/>
      </c>
      <c r="DI48" s="7">
        <f>IF(AND(DA48&gt;=0,BB48=1,BP48+BT48&gt;0),MIN(vivienda_prepagoPct*(DG48-DH48),BP48+BT48),0)</f>
        <v/>
      </c>
      <c r="DJ48" s="7">
        <f>MIN(DI48,BP48)</f>
        <v/>
      </c>
      <c r="DK48" s="7">
        <f>IF(DA48&lt;0,MIN(MAX(0,BD48),-DA48),0)</f>
        <v/>
      </c>
      <c r="DL48" s="7">
        <f>IF(DA48&lt;0,-DA48-DK48,0)</f>
        <v/>
      </c>
      <c r="DM48" s="7">
        <f>IF(15=0,0,DZ47)</f>
        <v/>
      </c>
      <c r="DN48" s="7">
        <f>IF(AND(DL48&gt;0,J48&gt;0),MIN(DL48,MIN(prestamos_topeAnualPosgrado*MIN(1,J48),MAX(0,prestamos_topeTotalPosgrado-DM48))),0)</f>
        <v/>
      </c>
      <c r="DO48" s="7">
        <f>IF(AND(DL48&gt;0,J48&gt;0),DL48-DN48,0)</f>
        <v/>
      </c>
      <c r="DP48" s="7">
        <f>IF(AND(DL48&gt;0,J48&lt;=0),DL48,0)</f>
        <v/>
      </c>
      <c r="DQ48" s="7">
        <f>IF(DA48&gt;=0,DG48-DH48-DI48,-DK48)</f>
        <v/>
      </c>
      <c r="DR48" s="7">
        <f>BD48*(1+DD48)+DQ48*(1+DD48/2)</f>
        <v/>
      </c>
      <c r="DS48" s="7">
        <f>IF(15=0,personal_retiroInicial,DS47)*(1+g_ret)+(O48+P48+DH48)*(1+g_ret/2)</f>
        <v/>
      </c>
      <c r="DT48" s="7">
        <f>IF(BB48=1,BL48*(1+g_appr),0)</f>
        <v/>
      </c>
      <c r="DU48" s="7">
        <f>BP48-DJ48</f>
        <v/>
      </c>
      <c r="DV48" s="7">
        <f>BT48-(DI48-DJ48)</f>
        <v/>
      </c>
      <c r="DW48" s="7">
        <f>CP48+DN48</f>
        <v/>
      </c>
      <c r="DX48" s="7">
        <f>IF(DN48&gt;0,(CP48*CF48+DN48*prestamos_tasaFederalPosgrado)/(CP48+DN48),CF48)</f>
        <v/>
      </c>
      <c r="DY48" s="7">
        <f>IF(DN48&gt;0,0,CQ48)</f>
        <v/>
      </c>
      <c r="DZ48" s="7">
        <f>DM48+DN48</f>
        <v/>
      </c>
      <c r="EA48" s="7">
        <f>CV48+DO48</f>
        <v/>
      </c>
      <c r="EB48" s="7">
        <f>IF(DO48&gt;0,(CV48*CS48+DO48*prestamos_tasaPrivada)/(CV48+DO48),CS48)</f>
        <v/>
      </c>
      <c r="EC48" s="7">
        <f>IF(DO48&gt;0,0,CW48)</f>
        <v/>
      </c>
      <c r="ED48" s="7">
        <f>CX48-DE48+DP48</f>
        <v/>
      </c>
      <c r="EE48" s="7">
        <f>IF(IF(15=0,"",EE47)&lt;&gt;"",EE47,IF(AND(BB48=1,DU48&lt;=0.5,DV48&lt;=0.5,OR(BH48=0,BJ48=1)),A48,""))</f>
        <v/>
      </c>
      <c r="EF48" s="7">
        <f>DU48+DV48+DW48+EA48+ED48+CD48</f>
        <v/>
      </c>
      <c r="EG48" s="7">
        <f>DR48+DS48+DT48-EF48</f>
        <v/>
      </c>
      <c r="EH48" s="7">
        <f>EG48/(1+g_inf)^(A48+1-2026)</f>
        <v/>
      </c>
    </row>
    <row r="49">
      <c r="A49" t="n">
        <v>2043</v>
      </c>
      <c r="B49" t="n">
        <v>16</v>
      </c>
      <c r="C49" s="7">
        <f>(1+g_inf)^(A49-2026)</f>
        <v/>
      </c>
      <c r="D49" s="7">
        <f>SUMPRODUCT($AJ$5:$AJ$29,$E$5:$E$29*(1+$F$5:$F$29)^(A49-2026)*$G$5:$G$29*$H$5:$H$29*(1-$N$5:$N$29*$O$5:$O$29))*g_salMult+SUMPRODUCT(($B$5:$B$29&gt;=A49)*($B$5:$B$29&lt;A49+1)*$I$5:$I$29)*g_salMult</f>
        <v/>
      </c>
      <c r="E49" s="7">
        <f>SUMPRODUCT($AJ$5:$AJ$29,$E$5:$E$29*(1+$F$5:$F$29)^(A49-2026)*$G$5:$G$29*$H$5:$H$29*$M$5:$M$29)*g_salMult</f>
        <v/>
      </c>
      <c r="F49" s="7">
        <f>SUMPRODUCT($AJ$5:$AJ$29,$E$5:$E$29*(1+$F$5:$F$29)^(A49-2026)*$G$5:$G$29*$H$5:$H$29*$N$5:$N$29*$O$5:$O$29)*g_salMult</f>
        <v/>
      </c>
      <c r="G49" s="7">
        <f>SUMPRODUCT($AJ$5:$AJ$29,$P$5:$P$29*(1+$F$5:$F$29)^(A49-2026))</f>
        <v/>
      </c>
      <c r="H49" s="7">
        <f>SUMPRODUCT($AJ$5:$AJ$29,$Q$5:$Q$29*(1+$F$5:$F$29)^(A49-2026))+IF(personal_llcActivo=1,personal_llcNeto*(1+personal_llcCrecimiento)^16,0)</f>
        <v/>
      </c>
      <c r="I49" s="7">
        <f>SUMPRODUCT($AJ$5:$AJ$29,$J$5:$J$29/($C$5:$C$29-$B$5:$B$29+($C$5:$C$29=$B$5:$B$29)))*C49</f>
        <v/>
      </c>
      <c r="J49" s="7">
        <f>SUMPRODUCT($AJ$5:$AJ$29,$K$5:$K$29)</f>
        <v/>
      </c>
      <c r="K49" s="7">
        <f>SUMPRODUCT($AJ$5:$AJ$29,$L$5:$L$29)</f>
        <v/>
      </c>
      <c r="L49" s="7">
        <f>SUMPRODUCT($AJ$5:$AJ$29,$N$5:$N$29)</f>
        <v/>
      </c>
      <c r="M49" s="7">
        <f>IF(SUMPRODUCT($AJ$5:$AJ$29,$R$5:$R$29)&gt;0,1,0)</f>
        <v/>
      </c>
      <c r="N49" s="7">
        <f>SUMPRODUCT(($AO$5:$AO$24&gt;=A49)*($AO$5:$AO$24&lt;A49+1)*$AP$5:$AP$24)*C49+IF(16=0,IF(sel_loc&lt;&gt;"miami",personal_costoMudanzaInicial,0),0)</f>
        <v/>
      </c>
      <c r="O49" s="7">
        <f>MIN(personal_aporte403bPct*D49,retiro_limite403b*C49)</f>
        <v/>
      </c>
      <c r="P49" s="7">
        <f>MIN(personal_aporte403bPct,personal_match403bPct)*E49</f>
        <v/>
      </c>
      <c r="Q49" s="7">
        <f>IF(G49&gt;0,MAX(0,G49-impuestos_scorpCostoAnual*C49),0)</f>
        <v/>
      </c>
      <c r="R49" s="7">
        <f>Q49*impuestos_scorpSalarioPct/(1+impuestos_ssTasa+impuestos_medicareTasa)</f>
        <v/>
      </c>
      <c r="S49" s="7">
        <f>impuestos_ssTasa*MIN(R49,MAX(0,impuestos_ssTope*C49-D49))+impuestos_medicareTasa*R49</f>
        <v/>
      </c>
      <c r="T49" s="7">
        <f>Q49-R49-S49</f>
        <v/>
      </c>
      <c r="U49" s="7">
        <f>D49+R49</f>
        <v/>
      </c>
      <c r="V49" s="7">
        <f>H49*0.9235</f>
        <v/>
      </c>
      <c r="W49" s="7">
        <f>IF(H49&gt;0,2*impuestos_ssTasa*MIN(V49,MAX(0,impuestos_ssTope*C49-U49))+2*impuestos_medicareTasa*V49,0)</f>
        <v/>
      </c>
      <c r="X49" s="7">
        <f>impuestos_ssTasa*MIN(U49,impuestos_ssTope*C49)+impuestos_medicareTasa*U49+impuestos_medicareAdicional*MAX(0,U49+H49*0.9235-impuestos_medicareUmbral)</f>
        <v/>
      </c>
      <c r="Y49" s="7">
        <f>MAX(0,D49-O49+R49+T49+H49-W49/2)</f>
        <v/>
      </c>
      <c r="Z49" s="7">
        <f>MAX(0,Y49-impuestos_deduccionEstandar*C49)</f>
        <v/>
      </c>
      <c r="AA49" s="7">
        <f>MIN(0.2*MAX(0,T49+H49-W49/2)*MAX(0,MIN(1,1-(Z49-impuestos_qbiUmbral*C49)/(impuestos_qbiRango*C49))),0.2*Z49)</f>
        <v/>
      </c>
      <c r="AB49" s="7">
        <f>MAX(0,Z49-AA49)</f>
        <v/>
      </c>
      <c r="AC49" s="7">
        <f>SUMPRODUCT((AB49&gt;tb_federalBrackets_lo*C49)*(AB49-tb_federalBrackets_lo*C49)*tb_federalBrackets_dr)</f>
        <v/>
      </c>
      <c r="AD49" s="7">
        <f>MAX(0,Y49-impuestos_nyDeduccion*C49)</f>
        <v/>
      </c>
      <c r="AE49" s="7">
        <f>CHOOSE(loc_taxcode,0,impuestos_ohTasa*MAX(0,Y49-impuestos_ohExento*C49)+impuestos_ohMunicipal*U49,SUMPRODUCT((AD49&gt;tb_nyBrackets_lo*C49)*(AD49-tb_nyBrackets_lo*C49)*tb_nyBrackets_dr)+loc_nyc*SUMPRODUCT((AD49&gt;tb_nycBrackets_lo*C49)*(AD49-tb_nycBrackets_lo*C49)*tb_nycBrackets_dr))</f>
        <v/>
      </c>
      <c r="AF49" s="7">
        <f>AC49+AE49+X49+W49</f>
        <v/>
      </c>
      <c r="AG49" s="7">
        <f>D49+F49+R49+T49+H49</f>
        <v/>
      </c>
      <c r="AH49" s="7">
        <f>AG49-AF49-O49</f>
        <v/>
      </c>
      <c r="AI49" s="7">
        <f>D49+F49+G49+H49</f>
        <v/>
      </c>
      <c r="AJ49" s="7">
        <f>loc_gastosVida*C49*g_gastos</f>
        <v/>
      </c>
      <c r="AK49" s="7">
        <f>IF(16=0,personal_liquidoInicial,DR48)</f>
        <v/>
      </c>
      <c r="AL49" s="7">
        <f>IF(16=0,0,BB48)</f>
        <v/>
      </c>
      <c r="AM49" s="7">
        <f>CHOOSE(sel_cfgIdx,loc_precio_duplex,loc_precio_inlaw,loc_precio_dosCasas,loc_precio_casaAdu,loc_precio_multi)</f>
        <v/>
      </c>
      <c r="AN49" s="7">
        <f>AM49*(1+g_appr)^(A49-2026)</f>
        <v/>
      </c>
      <c r="AO49" s="7">
        <f>IF(AND(M49=1,vivienda_prestamoMedico=1),1,0)</f>
        <v/>
      </c>
      <c r="AP49" s="7">
        <f>IF(AO49=1,0.05,vivienda_enganchePct)</f>
        <v/>
      </c>
      <c r="AQ49" s="7">
        <f>AN49*(1-AP49)</f>
        <v/>
      </c>
      <c r="AR49" s="7">
        <f>PMT(g_mortRate/12,vivienda_plazoHipoteca*12,-AQ49)</f>
        <v/>
      </c>
      <c r="AS49" s="7">
        <f>INDEX(cfg_units,sel_cfgIdx)</f>
        <v/>
      </c>
      <c r="AT49" s="7">
        <f>AS49*loc_rentaUnidad*(1+g_inf)^(A49-2026)*(1-vivienda_vacancia)</f>
        <v/>
      </c>
      <c r="AU49" s="7">
        <f>AR49+AN49*loc_impuestoPropPct/12+AM49*loc_seguroPct*(1+vivienda_inflacionSeguro)^(A49-2026)/12+IF(AND(AO49=0,AP49&lt;0.2),AQ49*vivienda_pmiTasa/12,0)</f>
        <v/>
      </c>
      <c r="AV49" s="7">
        <f>AN49*AP49+AN49*vivienda_cierrePct+general_reservaMeses/12*AJ49</f>
        <v/>
      </c>
      <c r="AW49" s="7">
        <f>(IF(16=0,MIN(personal_irsSaldo,personal_irsPagoMensual*12),MIN(CD48,personal_irsPagoMensual*12))+IF(CE49&gt;0,PMT(CF49,MAX(1,prestamos_plazoAnios-CG49),-CE49),0)+IF(CR49&gt;0,PMT(CS49,MAX(1,prestamos_plazoAnios-CT49),-CR49),0))/12</f>
        <v/>
      </c>
      <c r="AX49" s="7">
        <f>IF(OR(sel_cfg="duplex",sel_cfg="multi",sel_cfg="dosCasas"),0.75*personal_aporteFamiliaMensual,0)</f>
        <v/>
      </c>
      <c r="AY49" s="7">
        <f>AU49-0.75*AT49-AX49+AW49</f>
        <v/>
      </c>
      <c r="AZ49" s="7">
        <f>(D49+G49+H49+0.5*F49)/12</f>
        <v/>
      </c>
      <c r="BA49" s="7">
        <f>IF(AND(AL49=0,A49&gt;=vivienda_anioMinCompra,J49&lt;0.5,AI49&gt;0,AK49&gt;=AV49,AY49&lt;=vivienda_dtiMax*AZ49),1,0)</f>
        <v/>
      </c>
      <c r="BB49" s="7">
        <f>MAX(AL49,BA49)</f>
        <v/>
      </c>
      <c r="BC49" s="7">
        <f>IF(BA49=1,A49,IF(16=0,"",BC48))</f>
        <v/>
      </c>
      <c r="BD49" s="7">
        <f>AK49-IF(BA49=1,AN49*AP49+AN49*vivienda_cierrePct,0)</f>
        <v/>
      </c>
      <c r="BE49" s="7">
        <f>IF(BA49=1,AN49,IF(16=0,0,BE48))</f>
        <v/>
      </c>
      <c r="BF49" s="7">
        <f>IF(BA49=1,AR49,IF(16=0,0,BF48))</f>
        <v/>
      </c>
      <c r="BG49" s="7">
        <f>IF(BA49=1,IF(AND(AO49=0,AP49&lt;0.2),1,0),IF(16=0,0,BY48))</f>
        <v/>
      </c>
      <c r="BH49" s="7">
        <f>IF(sel_cfg="casaAdu",1,0)</f>
        <v/>
      </c>
      <c r="BI49" s="7">
        <f>IF(AND(BB49=1,BH49=1,IF(16=0,0,BJ48)=0,A49&gt;=IF(BC49="",9999,BC49)+vivienda_aduRetrasoAnios),1,0)</f>
        <v/>
      </c>
      <c r="BJ49" s="7">
        <f>MAX(IF(16=0,0,BJ48),BI49)</f>
        <v/>
      </c>
      <c r="BK49" s="7">
        <f>IF(BI49=1,PMT((g_mortRate+0.005)/12,180,-loc_precio_aduCosto*C49),IF(16=0,0,BK48))</f>
        <v/>
      </c>
      <c r="BL49" s="7">
        <f>IF(BA49=1,AN49,IF(16=0,0,DT48))+IF(BI49=1,loc_precio_aduCosto*C49,0)</f>
        <v/>
      </c>
      <c r="BM49" s="7">
        <f>IF(BA49=1,AQ49,IF(16=0,0,DU48))</f>
        <v/>
      </c>
      <c r="BN49" s="7">
        <f>IF(BM49&lt;=0,0,FV(g_mortRate/12,12,BF49,-BM49))</f>
        <v/>
      </c>
      <c r="BO49" s="7">
        <f>IF(BM49&lt;=0,0,12*BF49+MIN(0,BN49))</f>
        <v/>
      </c>
      <c r="BP49" s="7">
        <f>MAX(0,BN49)</f>
        <v/>
      </c>
      <c r="BQ49" s="7">
        <f>IF(BI49=1,loc_precio_aduCosto*C49,IF(16=0,0,DV48))</f>
        <v/>
      </c>
      <c r="BR49" s="7">
        <f>IF(BQ49&lt;=0,0,FV((g_mortRate+0.005)/12,12,BK49,-BQ49))</f>
        <v/>
      </c>
      <c r="BS49" s="7">
        <f>IF(BQ49&lt;=0,0,12*BK49+MIN(0,BR49))</f>
        <v/>
      </c>
      <c r="BT49" s="7">
        <f>MAX(0,BR49)</f>
        <v/>
      </c>
      <c r="BU49" s="7">
        <f>IF(BB49=1,AM49*loc_seguroPct*(1+vivienda_inflacionSeguro)^(A49-2026)*IF(BJ49=1,1+loc_precio_aduCosto/AM49,1),0)</f>
        <v/>
      </c>
      <c r="BV49" s="7">
        <f>BL49*loc_impuestoPropPct</f>
        <v/>
      </c>
      <c r="BW49" s="7">
        <f>BL49*vivienda_mantenimientoPct</f>
        <v/>
      </c>
      <c r="BX49" s="7">
        <f>IF(AND(BG49=1,BP49&gt;0.8*BE49),BE49*(1-vivienda_enganchePct)*vivienda_pmiTasa,0)</f>
        <v/>
      </c>
      <c r="BY49" s="7">
        <f>IF(AND(BG49=1,BP49&gt;0.8*BE49),1,0)</f>
        <v/>
      </c>
      <c r="BZ49" s="7">
        <f>IF(BB49=1,AS49*loc_rentaUnidad*12*C49*(1-vivienda_vacancia)*(1-vivienda_gestionPct),0)</f>
        <v/>
      </c>
      <c r="CA49" s="7">
        <f>IF(BB49=1,BO49+BS49+BU49+BV49+BW49+BX49,loc_rentaMensual*12*C49)</f>
        <v/>
      </c>
      <c r="CB49" s="7">
        <f>IF(BB49=1,personal_aporteFamiliaMensual*12,0)</f>
        <v/>
      </c>
      <c r="CC49" s="7">
        <f>MIN(IF(16=0,personal_irsSaldo,CD48),personal_irsPagoMensual*12)</f>
        <v/>
      </c>
      <c r="CD49" s="7">
        <f>IF(16=0,personal_irsSaldo,CD48)-CC49</f>
        <v/>
      </c>
      <c r="CE49" s="7">
        <f>IF(16=0,IF(personal_deudaEsFederal=1,personal_deudaEstudiantil,0),DW48)</f>
        <v/>
      </c>
      <c r="CF49" s="7">
        <f>IF(16=0,personal_tasaDeudaEstudiantil,DX48)</f>
        <v/>
      </c>
      <c r="CG49" s="7">
        <f>IF(16=0,0,DY48)</f>
        <v/>
      </c>
      <c r="CH49" s="7">
        <f>IF(J49&gt;=0.5,1,0)</f>
        <v/>
      </c>
      <c r="CI49" s="7">
        <f>IF(AND(CH49=0,prestamos_pslfActivo=1,K49&gt;=0.5,CE49&gt;0),1,0)</f>
        <v/>
      </c>
      <c r="CJ49" s="7">
        <f>CE49*CF49</f>
        <v/>
      </c>
      <c r="CK49" s="7">
        <f>MAX(prestamos_rapPagoMinimoAnual,IF(Y49&lt;10000,0,MIN(0.1,INT(Y49/10000)/100))*Y49)</f>
        <v/>
      </c>
      <c r="CL49" s="7">
        <f>IF(CE49&lt;=0,0,IF(CH49=1,0,IF(CI49=1,MIN(CE49+CJ49,CK49),PMT(CF49,MAX(1,prestamos_plazoAnios-CG49),-CE49))))</f>
        <v/>
      </c>
      <c r="CM49" s="7">
        <f>IF(CE49&lt;=0,0,IF(CH49=1,CE49+CJ49,IF(CI49=1,MAX(0,CE49-MAX(CL49-CJ49,MIN(600,CL49))),MAX(0,CE49*(1+CF49)-CL49))))</f>
        <v/>
      </c>
      <c r="CN49" s="7">
        <f>IF(16=0,0,CN48)+IF(CI49=1,12*MIN(1,K49),0)</f>
        <v/>
      </c>
      <c r="CO49" s="7">
        <f>IF(AND(CI49=1,CN49&gt;=prestamos_pslfPagos,CM49&gt;0),CM49,0)</f>
        <v/>
      </c>
      <c r="CP49" s="7">
        <f>CM49-CO49</f>
        <v/>
      </c>
      <c r="CQ49" s="7">
        <f>IF(AND(CE49&gt;0,CH49=0,CI49=0),CG49+1,CG49)</f>
        <v/>
      </c>
      <c r="CR49" s="7">
        <f>IF(16=0,IF(personal_deudaEsFederal=1,0,personal_deudaEstudiantil),EA48)</f>
        <v/>
      </c>
      <c r="CS49" s="7">
        <f>IF(16=0,IF(personal_deudaEsFederal=1,prestamos_tasaPrivada,personal_tasaDeudaEstudiantil),EB48)</f>
        <v/>
      </c>
      <c r="CT49" s="7">
        <f>IF(16=0,0,EC48)</f>
        <v/>
      </c>
      <c r="CU49" s="7">
        <f>IF(OR(CR49&lt;=0,CH49=1),0,PMT(CS49,MAX(1,prestamos_plazoAnios-CT49),-CR49))</f>
        <v/>
      </c>
      <c r="CV49" s="7">
        <f>IF(CR49&lt;=0,0,IF(CH49=1,CR49*(1+CS49),MAX(0,CR49*(1+CS49)-CU49)))</f>
        <v/>
      </c>
      <c r="CW49" s="7">
        <f>IF(AND(CR49&gt;0,CH49=0),CT49+1,CT49)</f>
        <v/>
      </c>
      <c r="CX49" s="7">
        <f>IF(16=0,0,ED48)*(1+general_tasaDeudaConsumo)</f>
        <v/>
      </c>
      <c r="CY49" s="7">
        <f>L49*12*tiempos_travelGastoExtraMes*C49</f>
        <v/>
      </c>
      <c r="CZ49" s="7">
        <f>AJ49+CY49+CA49+CC49+CL49+CU49+I49+N49-BZ49-CB49</f>
        <v/>
      </c>
      <c r="DA49" s="7">
        <f>AH49-CZ49</f>
        <v/>
      </c>
      <c r="DB49" s="7">
        <f>IF(16=0,0,DB48)+DA49</f>
        <v/>
      </c>
      <c r="DC49" s="7">
        <f>AN49*vivienda_enganchePct+AN49*vivienda_cierrePct+general_reservaMeses/12*AJ49</f>
        <v/>
      </c>
      <c r="DD49" s="7">
        <f>IF(BB49=1,g_ret,IF(BD49&gt;0,MIN(1,DC49/BD49),1)*g_cash+(1-IF(BD49&gt;0,MIN(1,DC49/BD49),1))*g_ret)</f>
        <v/>
      </c>
      <c r="DE49" s="7">
        <f>IF(DA49&gt;=0,MIN(CX49,DA49),0)</f>
        <v/>
      </c>
      <c r="DF49" s="7">
        <f>IF(DA49&gt;=0,(1-general_tasaAhorro)*(DA49-DE49),0)</f>
        <v/>
      </c>
      <c r="DG49" s="7">
        <f>IF(DA49&gt;=0,DA49-DE49-DF49,0)</f>
        <v/>
      </c>
      <c r="DH49" s="7">
        <f>MIN(personal_rothAnual,DG49)</f>
        <v/>
      </c>
      <c r="DI49" s="7">
        <f>IF(AND(DA49&gt;=0,BB49=1,BP49+BT49&gt;0),MIN(vivienda_prepagoPct*(DG49-DH49),BP49+BT49),0)</f>
        <v/>
      </c>
      <c r="DJ49" s="7">
        <f>MIN(DI49,BP49)</f>
        <v/>
      </c>
      <c r="DK49" s="7">
        <f>IF(DA49&lt;0,MIN(MAX(0,BD49),-DA49),0)</f>
        <v/>
      </c>
      <c r="DL49" s="7">
        <f>IF(DA49&lt;0,-DA49-DK49,0)</f>
        <v/>
      </c>
      <c r="DM49" s="7">
        <f>IF(16=0,0,DZ48)</f>
        <v/>
      </c>
      <c r="DN49" s="7">
        <f>IF(AND(DL49&gt;0,J49&gt;0),MIN(DL49,MIN(prestamos_topeAnualPosgrado*MIN(1,J49),MAX(0,prestamos_topeTotalPosgrado-DM49))),0)</f>
        <v/>
      </c>
      <c r="DO49" s="7">
        <f>IF(AND(DL49&gt;0,J49&gt;0),DL49-DN49,0)</f>
        <v/>
      </c>
      <c r="DP49" s="7">
        <f>IF(AND(DL49&gt;0,J49&lt;=0),DL49,0)</f>
        <v/>
      </c>
      <c r="DQ49" s="7">
        <f>IF(DA49&gt;=0,DG49-DH49-DI49,-DK49)</f>
        <v/>
      </c>
      <c r="DR49" s="7">
        <f>BD49*(1+DD49)+DQ49*(1+DD49/2)</f>
        <v/>
      </c>
      <c r="DS49" s="7">
        <f>IF(16=0,personal_retiroInicial,DS48)*(1+g_ret)+(O49+P49+DH49)*(1+g_ret/2)</f>
        <v/>
      </c>
      <c r="DT49" s="7">
        <f>IF(BB49=1,BL49*(1+g_appr),0)</f>
        <v/>
      </c>
      <c r="DU49" s="7">
        <f>BP49-DJ49</f>
        <v/>
      </c>
      <c r="DV49" s="7">
        <f>BT49-(DI49-DJ49)</f>
        <v/>
      </c>
      <c r="DW49" s="7">
        <f>CP49+DN49</f>
        <v/>
      </c>
      <c r="DX49" s="7">
        <f>IF(DN49&gt;0,(CP49*CF49+DN49*prestamos_tasaFederalPosgrado)/(CP49+DN49),CF49)</f>
        <v/>
      </c>
      <c r="DY49" s="7">
        <f>IF(DN49&gt;0,0,CQ49)</f>
        <v/>
      </c>
      <c r="DZ49" s="7">
        <f>DM49+DN49</f>
        <v/>
      </c>
      <c r="EA49" s="7">
        <f>CV49+DO49</f>
        <v/>
      </c>
      <c r="EB49" s="7">
        <f>IF(DO49&gt;0,(CV49*CS49+DO49*prestamos_tasaPrivada)/(CV49+DO49),CS49)</f>
        <v/>
      </c>
      <c r="EC49" s="7">
        <f>IF(DO49&gt;0,0,CW49)</f>
        <v/>
      </c>
      <c r="ED49" s="7">
        <f>CX49-DE49+DP49</f>
        <v/>
      </c>
      <c r="EE49" s="7">
        <f>IF(IF(16=0,"",EE48)&lt;&gt;"",EE48,IF(AND(BB49=1,DU49&lt;=0.5,DV49&lt;=0.5,OR(BH49=0,BJ49=1)),A49,""))</f>
        <v/>
      </c>
      <c r="EF49" s="7">
        <f>DU49+DV49+DW49+EA49+ED49+CD49</f>
        <v/>
      </c>
      <c r="EG49" s="7">
        <f>DR49+DS49+DT49-EF49</f>
        <v/>
      </c>
      <c r="EH49" s="7">
        <f>EG49/(1+g_inf)^(A49+1-2026)</f>
        <v/>
      </c>
    </row>
    <row r="50">
      <c r="A50" t="n">
        <v>2044</v>
      </c>
      <c r="B50" t="n">
        <v>17</v>
      </c>
      <c r="C50" s="7">
        <f>(1+g_inf)^(A50-2026)</f>
        <v/>
      </c>
      <c r="D50" s="7">
        <f>SUMPRODUCT($AK$5:$AK$29,$E$5:$E$29*(1+$F$5:$F$29)^(A50-2026)*$G$5:$G$29*$H$5:$H$29*(1-$N$5:$N$29*$O$5:$O$29))*g_salMult+SUMPRODUCT(($B$5:$B$29&gt;=A50)*($B$5:$B$29&lt;A50+1)*$I$5:$I$29)*g_salMult</f>
        <v/>
      </c>
      <c r="E50" s="7">
        <f>SUMPRODUCT($AK$5:$AK$29,$E$5:$E$29*(1+$F$5:$F$29)^(A50-2026)*$G$5:$G$29*$H$5:$H$29*$M$5:$M$29)*g_salMult</f>
        <v/>
      </c>
      <c r="F50" s="7">
        <f>SUMPRODUCT($AK$5:$AK$29,$E$5:$E$29*(1+$F$5:$F$29)^(A50-2026)*$G$5:$G$29*$H$5:$H$29*$N$5:$N$29*$O$5:$O$29)*g_salMult</f>
        <v/>
      </c>
      <c r="G50" s="7">
        <f>SUMPRODUCT($AK$5:$AK$29,$P$5:$P$29*(1+$F$5:$F$29)^(A50-2026))</f>
        <v/>
      </c>
      <c r="H50" s="7">
        <f>SUMPRODUCT($AK$5:$AK$29,$Q$5:$Q$29*(1+$F$5:$F$29)^(A50-2026))+IF(personal_llcActivo=1,personal_llcNeto*(1+personal_llcCrecimiento)^17,0)</f>
        <v/>
      </c>
      <c r="I50" s="7">
        <f>SUMPRODUCT($AK$5:$AK$29,$J$5:$J$29/($C$5:$C$29-$B$5:$B$29+($C$5:$C$29=$B$5:$B$29)))*C50</f>
        <v/>
      </c>
      <c r="J50" s="7">
        <f>SUMPRODUCT($AK$5:$AK$29,$K$5:$K$29)</f>
        <v/>
      </c>
      <c r="K50" s="7">
        <f>SUMPRODUCT($AK$5:$AK$29,$L$5:$L$29)</f>
        <v/>
      </c>
      <c r="L50" s="7">
        <f>SUMPRODUCT($AK$5:$AK$29,$N$5:$N$29)</f>
        <v/>
      </c>
      <c r="M50" s="7">
        <f>IF(SUMPRODUCT($AK$5:$AK$29,$R$5:$R$29)&gt;0,1,0)</f>
        <v/>
      </c>
      <c r="N50" s="7">
        <f>SUMPRODUCT(($AO$5:$AO$24&gt;=A50)*($AO$5:$AO$24&lt;A50+1)*$AP$5:$AP$24)*C50+IF(17=0,IF(sel_loc&lt;&gt;"miami",personal_costoMudanzaInicial,0),0)</f>
        <v/>
      </c>
      <c r="O50" s="7">
        <f>MIN(personal_aporte403bPct*D50,retiro_limite403b*C50)</f>
        <v/>
      </c>
      <c r="P50" s="7">
        <f>MIN(personal_aporte403bPct,personal_match403bPct)*E50</f>
        <v/>
      </c>
      <c r="Q50" s="7">
        <f>IF(G50&gt;0,MAX(0,G50-impuestos_scorpCostoAnual*C50),0)</f>
        <v/>
      </c>
      <c r="R50" s="7">
        <f>Q50*impuestos_scorpSalarioPct/(1+impuestos_ssTasa+impuestos_medicareTasa)</f>
        <v/>
      </c>
      <c r="S50" s="7">
        <f>impuestos_ssTasa*MIN(R50,MAX(0,impuestos_ssTope*C50-D50))+impuestos_medicareTasa*R50</f>
        <v/>
      </c>
      <c r="T50" s="7">
        <f>Q50-R50-S50</f>
        <v/>
      </c>
      <c r="U50" s="7">
        <f>D50+R50</f>
        <v/>
      </c>
      <c r="V50" s="7">
        <f>H50*0.9235</f>
        <v/>
      </c>
      <c r="W50" s="7">
        <f>IF(H50&gt;0,2*impuestos_ssTasa*MIN(V50,MAX(0,impuestos_ssTope*C50-U50))+2*impuestos_medicareTasa*V50,0)</f>
        <v/>
      </c>
      <c r="X50" s="7">
        <f>impuestos_ssTasa*MIN(U50,impuestos_ssTope*C50)+impuestos_medicareTasa*U50+impuestos_medicareAdicional*MAX(0,U50+H50*0.9235-impuestos_medicareUmbral)</f>
        <v/>
      </c>
      <c r="Y50" s="7">
        <f>MAX(0,D50-O50+R50+T50+H50-W50/2)</f>
        <v/>
      </c>
      <c r="Z50" s="7">
        <f>MAX(0,Y50-impuestos_deduccionEstandar*C50)</f>
        <v/>
      </c>
      <c r="AA50" s="7">
        <f>MIN(0.2*MAX(0,T50+H50-W50/2)*MAX(0,MIN(1,1-(Z50-impuestos_qbiUmbral*C50)/(impuestos_qbiRango*C50))),0.2*Z50)</f>
        <v/>
      </c>
      <c r="AB50" s="7">
        <f>MAX(0,Z50-AA50)</f>
        <v/>
      </c>
      <c r="AC50" s="7">
        <f>SUMPRODUCT((AB50&gt;tb_federalBrackets_lo*C50)*(AB50-tb_federalBrackets_lo*C50)*tb_federalBrackets_dr)</f>
        <v/>
      </c>
      <c r="AD50" s="7">
        <f>MAX(0,Y50-impuestos_nyDeduccion*C50)</f>
        <v/>
      </c>
      <c r="AE50" s="7">
        <f>CHOOSE(loc_taxcode,0,impuestos_ohTasa*MAX(0,Y50-impuestos_ohExento*C50)+impuestos_ohMunicipal*U50,SUMPRODUCT((AD50&gt;tb_nyBrackets_lo*C50)*(AD50-tb_nyBrackets_lo*C50)*tb_nyBrackets_dr)+loc_nyc*SUMPRODUCT((AD50&gt;tb_nycBrackets_lo*C50)*(AD50-tb_nycBrackets_lo*C50)*tb_nycBrackets_dr))</f>
        <v/>
      </c>
      <c r="AF50" s="7">
        <f>AC50+AE50+X50+W50</f>
        <v/>
      </c>
      <c r="AG50" s="7">
        <f>D50+F50+R50+T50+H50</f>
        <v/>
      </c>
      <c r="AH50" s="7">
        <f>AG50-AF50-O50</f>
        <v/>
      </c>
      <c r="AI50" s="7">
        <f>D50+F50+G50+H50</f>
        <v/>
      </c>
      <c r="AJ50" s="7">
        <f>loc_gastosVida*C50*g_gastos</f>
        <v/>
      </c>
      <c r="AK50" s="7">
        <f>IF(17=0,personal_liquidoInicial,DR49)</f>
        <v/>
      </c>
      <c r="AL50" s="7">
        <f>IF(17=0,0,BB49)</f>
        <v/>
      </c>
      <c r="AM50" s="7">
        <f>CHOOSE(sel_cfgIdx,loc_precio_duplex,loc_precio_inlaw,loc_precio_dosCasas,loc_precio_casaAdu,loc_precio_multi)</f>
        <v/>
      </c>
      <c r="AN50" s="7">
        <f>AM50*(1+g_appr)^(A50-2026)</f>
        <v/>
      </c>
      <c r="AO50" s="7">
        <f>IF(AND(M50=1,vivienda_prestamoMedico=1),1,0)</f>
        <v/>
      </c>
      <c r="AP50" s="7">
        <f>IF(AO50=1,0.05,vivienda_enganchePct)</f>
        <v/>
      </c>
      <c r="AQ50" s="7">
        <f>AN50*(1-AP50)</f>
        <v/>
      </c>
      <c r="AR50" s="7">
        <f>PMT(g_mortRate/12,vivienda_plazoHipoteca*12,-AQ50)</f>
        <v/>
      </c>
      <c r="AS50" s="7">
        <f>INDEX(cfg_units,sel_cfgIdx)</f>
        <v/>
      </c>
      <c r="AT50" s="7">
        <f>AS50*loc_rentaUnidad*(1+g_inf)^(A50-2026)*(1-vivienda_vacancia)</f>
        <v/>
      </c>
      <c r="AU50" s="7">
        <f>AR50+AN50*loc_impuestoPropPct/12+AM50*loc_seguroPct*(1+vivienda_inflacionSeguro)^(A50-2026)/12+IF(AND(AO50=0,AP50&lt;0.2),AQ50*vivienda_pmiTasa/12,0)</f>
        <v/>
      </c>
      <c r="AV50" s="7">
        <f>AN50*AP50+AN50*vivienda_cierrePct+general_reservaMeses/12*AJ50</f>
        <v/>
      </c>
      <c r="AW50" s="7">
        <f>(IF(17=0,MIN(personal_irsSaldo,personal_irsPagoMensual*12),MIN(CD49,personal_irsPagoMensual*12))+IF(CE50&gt;0,PMT(CF50,MAX(1,prestamos_plazoAnios-CG50),-CE50),0)+IF(CR50&gt;0,PMT(CS50,MAX(1,prestamos_plazoAnios-CT50),-CR50),0))/12</f>
        <v/>
      </c>
      <c r="AX50" s="7">
        <f>IF(OR(sel_cfg="duplex",sel_cfg="multi",sel_cfg="dosCasas"),0.75*personal_aporteFamiliaMensual,0)</f>
        <v/>
      </c>
      <c r="AY50" s="7">
        <f>AU50-0.75*AT50-AX50+AW50</f>
        <v/>
      </c>
      <c r="AZ50" s="7">
        <f>(D50+G50+H50+0.5*F50)/12</f>
        <v/>
      </c>
      <c r="BA50" s="7">
        <f>IF(AND(AL50=0,A50&gt;=vivienda_anioMinCompra,J50&lt;0.5,AI50&gt;0,AK50&gt;=AV50,AY50&lt;=vivienda_dtiMax*AZ50),1,0)</f>
        <v/>
      </c>
      <c r="BB50" s="7">
        <f>MAX(AL50,BA50)</f>
        <v/>
      </c>
      <c r="BC50" s="7">
        <f>IF(BA50=1,A50,IF(17=0,"",BC49))</f>
        <v/>
      </c>
      <c r="BD50" s="7">
        <f>AK50-IF(BA50=1,AN50*AP50+AN50*vivienda_cierrePct,0)</f>
        <v/>
      </c>
      <c r="BE50" s="7">
        <f>IF(BA50=1,AN50,IF(17=0,0,BE49))</f>
        <v/>
      </c>
      <c r="BF50" s="7">
        <f>IF(BA50=1,AR50,IF(17=0,0,BF49))</f>
        <v/>
      </c>
      <c r="BG50" s="7">
        <f>IF(BA50=1,IF(AND(AO50=0,AP50&lt;0.2),1,0),IF(17=0,0,BY49))</f>
        <v/>
      </c>
      <c r="BH50" s="7">
        <f>IF(sel_cfg="casaAdu",1,0)</f>
        <v/>
      </c>
      <c r="BI50" s="7">
        <f>IF(AND(BB50=1,BH50=1,IF(17=0,0,BJ49)=0,A50&gt;=IF(BC50="",9999,BC50)+vivienda_aduRetrasoAnios),1,0)</f>
        <v/>
      </c>
      <c r="BJ50" s="7">
        <f>MAX(IF(17=0,0,BJ49),BI50)</f>
        <v/>
      </c>
      <c r="BK50" s="7">
        <f>IF(BI50=1,PMT((g_mortRate+0.005)/12,180,-loc_precio_aduCosto*C50),IF(17=0,0,BK49))</f>
        <v/>
      </c>
      <c r="BL50" s="7">
        <f>IF(BA50=1,AN50,IF(17=0,0,DT49))+IF(BI50=1,loc_precio_aduCosto*C50,0)</f>
        <v/>
      </c>
      <c r="BM50" s="7">
        <f>IF(BA50=1,AQ50,IF(17=0,0,DU49))</f>
        <v/>
      </c>
      <c r="BN50" s="7">
        <f>IF(BM50&lt;=0,0,FV(g_mortRate/12,12,BF50,-BM50))</f>
        <v/>
      </c>
      <c r="BO50" s="7">
        <f>IF(BM50&lt;=0,0,12*BF50+MIN(0,BN50))</f>
        <v/>
      </c>
      <c r="BP50" s="7">
        <f>MAX(0,BN50)</f>
        <v/>
      </c>
      <c r="BQ50" s="7">
        <f>IF(BI50=1,loc_precio_aduCosto*C50,IF(17=0,0,DV49))</f>
        <v/>
      </c>
      <c r="BR50" s="7">
        <f>IF(BQ50&lt;=0,0,FV((g_mortRate+0.005)/12,12,BK50,-BQ50))</f>
        <v/>
      </c>
      <c r="BS50" s="7">
        <f>IF(BQ50&lt;=0,0,12*BK50+MIN(0,BR50))</f>
        <v/>
      </c>
      <c r="BT50" s="7">
        <f>MAX(0,BR50)</f>
        <v/>
      </c>
      <c r="BU50" s="7">
        <f>IF(BB50=1,AM50*loc_seguroPct*(1+vivienda_inflacionSeguro)^(A50-2026)*IF(BJ50=1,1+loc_precio_aduCosto/AM50,1),0)</f>
        <v/>
      </c>
      <c r="BV50" s="7">
        <f>BL50*loc_impuestoPropPct</f>
        <v/>
      </c>
      <c r="BW50" s="7">
        <f>BL50*vivienda_mantenimientoPct</f>
        <v/>
      </c>
      <c r="BX50" s="7">
        <f>IF(AND(BG50=1,BP50&gt;0.8*BE50),BE50*(1-vivienda_enganchePct)*vivienda_pmiTasa,0)</f>
        <v/>
      </c>
      <c r="BY50" s="7">
        <f>IF(AND(BG50=1,BP50&gt;0.8*BE50),1,0)</f>
        <v/>
      </c>
      <c r="BZ50" s="7">
        <f>IF(BB50=1,AS50*loc_rentaUnidad*12*C50*(1-vivienda_vacancia)*(1-vivienda_gestionPct),0)</f>
        <v/>
      </c>
      <c r="CA50" s="7">
        <f>IF(BB50=1,BO50+BS50+BU50+BV50+BW50+BX50,loc_rentaMensual*12*C50)</f>
        <v/>
      </c>
      <c r="CB50" s="7">
        <f>IF(BB50=1,personal_aporteFamiliaMensual*12,0)</f>
        <v/>
      </c>
      <c r="CC50" s="7">
        <f>MIN(IF(17=0,personal_irsSaldo,CD49),personal_irsPagoMensual*12)</f>
        <v/>
      </c>
      <c r="CD50" s="7">
        <f>IF(17=0,personal_irsSaldo,CD49)-CC50</f>
        <v/>
      </c>
      <c r="CE50" s="7">
        <f>IF(17=0,IF(personal_deudaEsFederal=1,personal_deudaEstudiantil,0),DW49)</f>
        <v/>
      </c>
      <c r="CF50" s="7">
        <f>IF(17=0,personal_tasaDeudaEstudiantil,DX49)</f>
        <v/>
      </c>
      <c r="CG50" s="7">
        <f>IF(17=0,0,DY49)</f>
        <v/>
      </c>
      <c r="CH50" s="7">
        <f>IF(J50&gt;=0.5,1,0)</f>
        <v/>
      </c>
      <c r="CI50" s="7">
        <f>IF(AND(CH50=0,prestamos_pslfActivo=1,K50&gt;=0.5,CE50&gt;0),1,0)</f>
        <v/>
      </c>
      <c r="CJ50" s="7">
        <f>CE50*CF50</f>
        <v/>
      </c>
      <c r="CK50" s="7">
        <f>MAX(prestamos_rapPagoMinimoAnual,IF(Y50&lt;10000,0,MIN(0.1,INT(Y50/10000)/100))*Y50)</f>
        <v/>
      </c>
      <c r="CL50" s="7">
        <f>IF(CE50&lt;=0,0,IF(CH50=1,0,IF(CI50=1,MIN(CE50+CJ50,CK50),PMT(CF50,MAX(1,prestamos_plazoAnios-CG50),-CE50))))</f>
        <v/>
      </c>
      <c r="CM50" s="7">
        <f>IF(CE50&lt;=0,0,IF(CH50=1,CE50+CJ50,IF(CI50=1,MAX(0,CE50-MAX(CL50-CJ50,MIN(600,CL50))),MAX(0,CE50*(1+CF50)-CL50))))</f>
        <v/>
      </c>
      <c r="CN50" s="7">
        <f>IF(17=0,0,CN49)+IF(CI50=1,12*MIN(1,K50),0)</f>
        <v/>
      </c>
      <c r="CO50" s="7">
        <f>IF(AND(CI50=1,CN50&gt;=prestamos_pslfPagos,CM50&gt;0),CM50,0)</f>
        <v/>
      </c>
      <c r="CP50" s="7">
        <f>CM50-CO50</f>
        <v/>
      </c>
      <c r="CQ50" s="7">
        <f>IF(AND(CE50&gt;0,CH50=0,CI50=0),CG50+1,CG50)</f>
        <v/>
      </c>
      <c r="CR50" s="7">
        <f>IF(17=0,IF(personal_deudaEsFederal=1,0,personal_deudaEstudiantil),EA49)</f>
        <v/>
      </c>
      <c r="CS50" s="7">
        <f>IF(17=0,IF(personal_deudaEsFederal=1,prestamos_tasaPrivada,personal_tasaDeudaEstudiantil),EB49)</f>
        <v/>
      </c>
      <c r="CT50" s="7">
        <f>IF(17=0,0,EC49)</f>
        <v/>
      </c>
      <c r="CU50" s="7">
        <f>IF(OR(CR50&lt;=0,CH50=1),0,PMT(CS50,MAX(1,prestamos_plazoAnios-CT50),-CR50))</f>
        <v/>
      </c>
      <c r="CV50" s="7">
        <f>IF(CR50&lt;=0,0,IF(CH50=1,CR50*(1+CS50),MAX(0,CR50*(1+CS50)-CU50)))</f>
        <v/>
      </c>
      <c r="CW50" s="7">
        <f>IF(AND(CR50&gt;0,CH50=0),CT50+1,CT50)</f>
        <v/>
      </c>
      <c r="CX50" s="7">
        <f>IF(17=0,0,ED49)*(1+general_tasaDeudaConsumo)</f>
        <v/>
      </c>
      <c r="CY50" s="7">
        <f>L50*12*tiempos_travelGastoExtraMes*C50</f>
        <v/>
      </c>
      <c r="CZ50" s="7">
        <f>AJ50+CY50+CA50+CC50+CL50+CU50+I50+N50-BZ50-CB50</f>
        <v/>
      </c>
      <c r="DA50" s="7">
        <f>AH50-CZ50</f>
        <v/>
      </c>
      <c r="DB50" s="7">
        <f>IF(17=0,0,DB49)+DA50</f>
        <v/>
      </c>
      <c r="DC50" s="7">
        <f>AN50*vivienda_enganchePct+AN50*vivienda_cierrePct+general_reservaMeses/12*AJ50</f>
        <v/>
      </c>
      <c r="DD50" s="7">
        <f>IF(BB50=1,g_ret,IF(BD50&gt;0,MIN(1,DC50/BD50),1)*g_cash+(1-IF(BD50&gt;0,MIN(1,DC50/BD50),1))*g_ret)</f>
        <v/>
      </c>
      <c r="DE50" s="7">
        <f>IF(DA50&gt;=0,MIN(CX50,DA50),0)</f>
        <v/>
      </c>
      <c r="DF50" s="7">
        <f>IF(DA50&gt;=0,(1-general_tasaAhorro)*(DA50-DE50),0)</f>
        <v/>
      </c>
      <c r="DG50" s="7">
        <f>IF(DA50&gt;=0,DA50-DE50-DF50,0)</f>
        <v/>
      </c>
      <c r="DH50" s="7">
        <f>MIN(personal_rothAnual,DG50)</f>
        <v/>
      </c>
      <c r="DI50" s="7">
        <f>IF(AND(DA50&gt;=0,BB50=1,BP50+BT50&gt;0),MIN(vivienda_prepagoPct*(DG50-DH50),BP50+BT50),0)</f>
        <v/>
      </c>
      <c r="DJ50" s="7">
        <f>MIN(DI50,BP50)</f>
        <v/>
      </c>
      <c r="DK50" s="7">
        <f>IF(DA50&lt;0,MIN(MAX(0,BD50),-DA50),0)</f>
        <v/>
      </c>
      <c r="DL50" s="7">
        <f>IF(DA50&lt;0,-DA50-DK50,0)</f>
        <v/>
      </c>
      <c r="DM50" s="7">
        <f>IF(17=0,0,DZ49)</f>
        <v/>
      </c>
      <c r="DN50" s="7">
        <f>IF(AND(DL50&gt;0,J50&gt;0),MIN(DL50,MIN(prestamos_topeAnualPosgrado*MIN(1,J50),MAX(0,prestamos_topeTotalPosgrado-DM50))),0)</f>
        <v/>
      </c>
      <c r="DO50" s="7">
        <f>IF(AND(DL50&gt;0,J50&gt;0),DL50-DN50,0)</f>
        <v/>
      </c>
      <c r="DP50" s="7">
        <f>IF(AND(DL50&gt;0,J50&lt;=0),DL50,0)</f>
        <v/>
      </c>
      <c r="DQ50" s="7">
        <f>IF(DA50&gt;=0,DG50-DH50-DI50,-DK50)</f>
        <v/>
      </c>
      <c r="DR50" s="7">
        <f>BD50*(1+DD50)+DQ50*(1+DD50/2)</f>
        <v/>
      </c>
      <c r="DS50" s="7">
        <f>IF(17=0,personal_retiroInicial,DS49)*(1+g_ret)+(O50+P50+DH50)*(1+g_ret/2)</f>
        <v/>
      </c>
      <c r="DT50" s="7">
        <f>IF(BB50=1,BL50*(1+g_appr),0)</f>
        <v/>
      </c>
      <c r="DU50" s="7">
        <f>BP50-DJ50</f>
        <v/>
      </c>
      <c r="DV50" s="7">
        <f>BT50-(DI50-DJ50)</f>
        <v/>
      </c>
      <c r="DW50" s="7">
        <f>CP50+DN50</f>
        <v/>
      </c>
      <c r="DX50" s="7">
        <f>IF(DN50&gt;0,(CP50*CF50+DN50*prestamos_tasaFederalPosgrado)/(CP50+DN50),CF50)</f>
        <v/>
      </c>
      <c r="DY50" s="7">
        <f>IF(DN50&gt;0,0,CQ50)</f>
        <v/>
      </c>
      <c r="DZ50" s="7">
        <f>DM50+DN50</f>
        <v/>
      </c>
      <c r="EA50" s="7">
        <f>CV50+DO50</f>
        <v/>
      </c>
      <c r="EB50" s="7">
        <f>IF(DO50&gt;0,(CV50*CS50+DO50*prestamos_tasaPrivada)/(CV50+DO50),CS50)</f>
        <v/>
      </c>
      <c r="EC50" s="7">
        <f>IF(DO50&gt;0,0,CW50)</f>
        <v/>
      </c>
      <c r="ED50" s="7">
        <f>CX50-DE50+DP50</f>
        <v/>
      </c>
      <c r="EE50" s="7">
        <f>IF(IF(17=0,"",EE49)&lt;&gt;"",EE49,IF(AND(BB50=1,DU50&lt;=0.5,DV50&lt;=0.5,OR(BH50=0,BJ50=1)),A50,""))</f>
        <v/>
      </c>
      <c r="EF50" s="7">
        <f>DU50+DV50+DW50+EA50+ED50+CD50</f>
        <v/>
      </c>
      <c r="EG50" s="7">
        <f>DR50+DS50+DT50-EF50</f>
        <v/>
      </c>
      <c r="EH50" s="7">
        <f>EG50/(1+g_inf)^(A50+1-2026)</f>
        <v/>
      </c>
    </row>
    <row r="51">
      <c r="A51" t="n">
        <v>2045</v>
      </c>
      <c r="B51" t="n">
        <v>18</v>
      </c>
      <c r="C51" s="7">
        <f>(1+g_inf)^(A51-2026)</f>
        <v/>
      </c>
      <c r="D51" s="7">
        <f>SUMPRODUCT($AL$5:$AL$29,$E$5:$E$29*(1+$F$5:$F$29)^(A51-2026)*$G$5:$G$29*$H$5:$H$29*(1-$N$5:$N$29*$O$5:$O$29))*g_salMult+SUMPRODUCT(($B$5:$B$29&gt;=A51)*($B$5:$B$29&lt;A51+1)*$I$5:$I$29)*g_salMult</f>
        <v/>
      </c>
      <c r="E51" s="7">
        <f>SUMPRODUCT($AL$5:$AL$29,$E$5:$E$29*(1+$F$5:$F$29)^(A51-2026)*$G$5:$G$29*$H$5:$H$29*$M$5:$M$29)*g_salMult</f>
        <v/>
      </c>
      <c r="F51" s="7">
        <f>SUMPRODUCT($AL$5:$AL$29,$E$5:$E$29*(1+$F$5:$F$29)^(A51-2026)*$G$5:$G$29*$H$5:$H$29*$N$5:$N$29*$O$5:$O$29)*g_salMult</f>
        <v/>
      </c>
      <c r="G51" s="7">
        <f>SUMPRODUCT($AL$5:$AL$29,$P$5:$P$29*(1+$F$5:$F$29)^(A51-2026))</f>
        <v/>
      </c>
      <c r="H51" s="7">
        <f>SUMPRODUCT($AL$5:$AL$29,$Q$5:$Q$29*(1+$F$5:$F$29)^(A51-2026))+IF(personal_llcActivo=1,personal_llcNeto*(1+personal_llcCrecimiento)^18,0)</f>
        <v/>
      </c>
      <c r="I51" s="7">
        <f>SUMPRODUCT($AL$5:$AL$29,$J$5:$J$29/($C$5:$C$29-$B$5:$B$29+($C$5:$C$29=$B$5:$B$29)))*C51</f>
        <v/>
      </c>
      <c r="J51" s="7">
        <f>SUMPRODUCT($AL$5:$AL$29,$K$5:$K$29)</f>
        <v/>
      </c>
      <c r="K51" s="7">
        <f>SUMPRODUCT($AL$5:$AL$29,$L$5:$L$29)</f>
        <v/>
      </c>
      <c r="L51" s="7">
        <f>SUMPRODUCT($AL$5:$AL$29,$N$5:$N$29)</f>
        <v/>
      </c>
      <c r="M51" s="7">
        <f>IF(SUMPRODUCT($AL$5:$AL$29,$R$5:$R$29)&gt;0,1,0)</f>
        <v/>
      </c>
      <c r="N51" s="7">
        <f>SUMPRODUCT(($AO$5:$AO$24&gt;=A51)*($AO$5:$AO$24&lt;A51+1)*$AP$5:$AP$24)*C51+IF(18=0,IF(sel_loc&lt;&gt;"miami",personal_costoMudanzaInicial,0),0)</f>
        <v/>
      </c>
      <c r="O51" s="7">
        <f>MIN(personal_aporte403bPct*D51,retiro_limite403b*C51)</f>
        <v/>
      </c>
      <c r="P51" s="7">
        <f>MIN(personal_aporte403bPct,personal_match403bPct)*E51</f>
        <v/>
      </c>
      <c r="Q51" s="7">
        <f>IF(G51&gt;0,MAX(0,G51-impuestos_scorpCostoAnual*C51),0)</f>
        <v/>
      </c>
      <c r="R51" s="7">
        <f>Q51*impuestos_scorpSalarioPct/(1+impuestos_ssTasa+impuestos_medicareTasa)</f>
        <v/>
      </c>
      <c r="S51" s="7">
        <f>impuestos_ssTasa*MIN(R51,MAX(0,impuestos_ssTope*C51-D51))+impuestos_medicareTasa*R51</f>
        <v/>
      </c>
      <c r="T51" s="7">
        <f>Q51-R51-S51</f>
        <v/>
      </c>
      <c r="U51" s="7">
        <f>D51+R51</f>
        <v/>
      </c>
      <c r="V51" s="7">
        <f>H51*0.9235</f>
        <v/>
      </c>
      <c r="W51" s="7">
        <f>IF(H51&gt;0,2*impuestos_ssTasa*MIN(V51,MAX(0,impuestos_ssTope*C51-U51))+2*impuestos_medicareTasa*V51,0)</f>
        <v/>
      </c>
      <c r="X51" s="7">
        <f>impuestos_ssTasa*MIN(U51,impuestos_ssTope*C51)+impuestos_medicareTasa*U51+impuestos_medicareAdicional*MAX(0,U51+H51*0.9235-impuestos_medicareUmbral)</f>
        <v/>
      </c>
      <c r="Y51" s="7">
        <f>MAX(0,D51-O51+R51+T51+H51-W51/2)</f>
        <v/>
      </c>
      <c r="Z51" s="7">
        <f>MAX(0,Y51-impuestos_deduccionEstandar*C51)</f>
        <v/>
      </c>
      <c r="AA51" s="7">
        <f>MIN(0.2*MAX(0,T51+H51-W51/2)*MAX(0,MIN(1,1-(Z51-impuestos_qbiUmbral*C51)/(impuestos_qbiRango*C51))),0.2*Z51)</f>
        <v/>
      </c>
      <c r="AB51" s="7">
        <f>MAX(0,Z51-AA51)</f>
        <v/>
      </c>
      <c r="AC51" s="7">
        <f>SUMPRODUCT((AB51&gt;tb_federalBrackets_lo*C51)*(AB51-tb_federalBrackets_lo*C51)*tb_federalBrackets_dr)</f>
        <v/>
      </c>
      <c r="AD51" s="7">
        <f>MAX(0,Y51-impuestos_nyDeduccion*C51)</f>
        <v/>
      </c>
      <c r="AE51" s="7">
        <f>CHOOSE(loc_taxcode,0,impuestos_ohTasa*MAX(0,Y51-impuestos_ohExento*C51)+impuestos_ohMunicipal*U51,SUMPRODUCT((AD51&gt;tb_nyBrackets_lo*C51)*(AD51-tb_nyBrackets_lo*C51)*tb_nyBrackets_dr)+loc_nyc*SUMPRODUCT((AD51&gt;tb_nycBrackets_lo*C51)*(AD51-tb_nycBrackets_lo*C51)*tb_nycBrackets_dr))</f>
        <v/>
      </c>
      <c r="AF51" s="7">
        <f>AC51+AE51+X51+W51</f>
        <v/>
      </c>
      <c r="AG51" s="7">
        <f>D51+F51+R51+T51+H51</f>
        <v/>
      </c>
      <c r="AH51" s="7">
        <f>AG51-AF51-O51</f>
        <v/>
      </c>
      <c r="AI51" s="7">
        <f>D51+F51+G51+H51</f>
        <v/>
      </c>
      <c r="AJ51" s="7">
        <f>loc_gastosVida*C51*g_gastos</f>
        <v/>
      </c>
      <c r="AK51" s="7">
        <f>IF(18=0,personal_liquidoInicial,DR50)</f>
        <v/>
      </c>
      <c r="AL51" s="7">
        <f>IF(18=0,0,BB50)</f>
        <v/>
      </c>
      <c r="AM51" s="7">
        <f>CHOOSE(sel_cfgIdx,loc_precio_duplex,loc_precio_inlaw,loc_precio_dosCasas,loc_precio_casaAdu,loc_precio_multi)</f>
        <v/>
      </c>
      <c r="AN51" s="7">
        <f>AM51*(1+g_appr)^(A51-2026)</f>
        <v/>
      </c>
      <c r="AO51" s="7">
        <f>IF(AND(M51=1,vivienda_prestamoMedico=1),1,0)</f>
        <v/>
      </c>
      <c r="AP51" s="7">
        <f>IF(AO51=1,0.05,vivienda_enganchePct)</f>
        <v/>
      </c>
      <c r="AQ51" s="7">
        <f>AN51*(1-AP51)</f>
        <v/>
      </c>
      <c r="AR51" s="7">
        <f>PMT(g_mortRate/12,vivienda_plazoHipoteca*12,-AQ51)</f>
        <v/>
      </c>
      <c r="AS51" s="7">
        <f>INDEX(cfg_units,sel_cfgIdx)</f>
        <v/>
      </c>
      <c r="AT51" s="7">
        <f>AS51*loc_rentaUnidad*(1+g_inf)^(A51-2026)*(1-vivienda_vacancia)</f>
        <v/>
      </c>
      <c r="AU51" s="7">
        <f>AR51+AN51*loc_impuestoPropPct/12+AM51*loc_seguroPct*(1+vivienda_inflacionSeguro)^(A51-2026)/12+IF(AND(AO51=0,AP51&lt;0.2),AQ51*vivienda_pmiTasa/12,0)</f>
        <v/>
      </c>
      <c r="AV51" s="7">
        <f>AN51*AP51+AN51*vivienda_cierrePct+general_reservaMeses/12*AJ51</f>
        <v/>
      </c>
      <c r="AW51" s="7">
        <f>(IF(18=0,MIN(personal_irsSaldo,personal_irsPagoMensual*12),MIN(CD50,personal_irsPagoMensual*12))+IF(CE51&gt;0,PMT(CF51,MAX(1,prestamos_plazoAnios-CG51),-CE51),0)+IF(CR51&gt;0,PMT(CS51,MAX(1,prestamos_plazoAnios-CT51),-CR51),0))/12</f>
        <v/>
      </c>
      <c r="AX51" s="7">
        <f>IF(OR(sel_cfg="duplex",sel_cfg="multi",sel_cfg="dosCasas"),0.75*personal_aporteFamiliaMensual,0)</f>
        <v/>
      </c>
      <c r="AY51" s="7">
        <f>AU51-0.75*AT51-AX51+AW51</f>
        <v/>
      </c>
      <c r="AZ51" s="7">
        <f>(D51+G51+H51+0.5*F51)/12</f>
        <v/>
      </c>
      <c r="BA51" s="7">
        <f>IF(AND(AL51=0,A51&gt;=vivienda_anioMinCompra,J51&lt;0.5,AI51&gt;0,AK51&gt;=AV51,AY51&lt;=vivienda_dtiMax*AZ51),1,0)</f>
        <v/>
      </c>
      <c r="BB51" s="7">
        <f>MAX(AL51,BA51)</f>
        <v/>
      </c>
      <c r="BC51" s="7">
        <f>IF(BA51=1,A51,IF(18=0,"",BC50))</f>
        <v/>
      </c>
      <c r="BD51" s="7">
        <f>AK51-IF(BA51=1,AN51*AP51+AN51*vivienda_cierrePct,0)</f>
        <v/>
      </c>
      <c r="BE51" s="7">
        <f>IF(BA51=1,AN51,IF(18=0,0,BE50))</f>
        <v/>
      </c>
      <c r="BF51" s="7">
        <f>IF(BA51=1,AR51,IF(18=0,0,BF50))</f>
        <v/>
      </c>
      <c r="BG51" s="7">
        <f>IF(BA51=1,IF(AND(AO51=0,AP51&lt;0.2),1,0),IF(18=0,0,BY50))</f>
        <v/>
      </c>
      <c r="BH51" s="7">
        <f>IF(sel_cfg="casaAdu",1,0)</f>
        <v/>
      </c>
      <c r="BI51" s="7">
        <f>IF(AND(BB51=1,BH51=1,IF(18=0,0,BJ50)=0,A51&gt;=IF(BC51="",9999,BC51)+vivienda_aduRetrasoAnios),1,0)</f>
        <v/>
      </c>
      <c r="BJ51" s="7">
        <f>MAX(IF(18=0,0,BJ50),BI51)</f>
        <v/>
      </c>
      <c r="BK51" s="7">
        <f>IF(BI51=1,PMT((g_mortRate+0.005)/12,180,-loc_precio_aduCosto*C51),IF(18=0,0,BK50))</f>
        <v/>
      </c>
      <c r="BL51" s="7">
        <f>IF(BA51=1,AN51,IF(18=0,0,DT50))+IF(BI51=1,loc_precio_aduCosto*C51,0)</f>
        <v/>
      </c>
      <c r="BM51" s="7">
        <f>IF(BA51=1,AQ51,IF(18=0,0,DU50))</f>
        <v/>
      </c>
      <c r="BN51" s="7">
        <f>IF(BM51&lt;=0,0,FV(g_mortRate/12,12,BF51,-BM51))</f>
        <v/>
      </c>
      <c r="BO51" s="7">
        <f>IF(BM51&lt;=0,0,12*BF51+MIN(0,BN51))</f>
        <v/>
      </c>
      <c r="BP51" s="7">
        <f>MAX(0,BN51)</f>
        <v/>
      </c>
      <c r="BQ51" s="7">
        <f>IF(BI51=1,loc_precio_aduCosto*C51,IF(18=0,0,DV50))</f>
        <v/>
      </c>
      <c r="BR51" s="7">
        <f>IF(BQ51&lt;=0,0,FV((g_mortRate+0.005)/12,12,BK51,-BQ51))</f>
        <v/>
      </c>
      <c r="BS51" s="7">
        <f>IF(BQ51&lt;=0,0,12*BK51+MIN(0,BR51))</f>
        <v/>
      </c>
      <c r="BT51" s="7">
        <f>MAX(0,BR51)</f>
        <v/>
      </c>
      <c r="BU51" s="7">
        <f>IF(BB51=1,AM51*loc_seguroPct*(1+vivienda_inflacionSeguro)^(A51-2026)*IF(BJ51=1,1+loc_precio_aduCosto/AM51,1),0)</f>
        <v/>
      </c>
      <c r="BV51" s="7">
        <f>BL51*loc_impuestoPropPct</f>
        <v/>
      </c>
      <c r="BW51" s="7">
        <f>BL51*vivienda_mantenimientoPct</f>
        <v/>
      </c>
      <c r="BX51" s="7">
        <f>IF(AND(BG51=1,BP51&gt;0.8*BE51),BE51*(1-vivienda_enganchePct)*vivienda_pmiTasa,0)</f>
        <v/>
      </c>
      <c r="BY51" s="7">
        <f>IF(AND(BG51=1,BP51&gt;0.8*BE51),1,0)</f>
        <v/>
      </c>
      <c r="BZ51" s="7">
        <f>IF(BB51=1,AS51*loc_rentaUnidad*12*C51*(1-vivienda_vacancia)*(1-vivienda_gestionPct),0)</f>
        <v/>
      </c>
      <c r="CA51" s="7">
        <f>IF(BB51=1,BO51+BS51+BU51+BV51+BW51+BX51,loc_rentaMensual*12*C51)</f>
        <v/>
      </c>
      <c r="CB51" s="7">
        <f>IF(BB51=1,personal_aporteFamiliaMensual*12,0)</f>
        <v/>
      </c>
      <c r="CC51" s="7">
        <f>MIN(IF(18=0,personal_irsSaldo,CD50),personal_irsPagoMensual*12)</f>
        <v/>
      </c>
      <c r="CD51" s="7">
        <f>IF(18=0,personal_irsSaldo,CD50)-CC51</f>
        <v/>
      </c>
      <c r="CE51" s="7">
        <f>IF(18=0,IF(personal_deudaEsFederal=1,personal_deudaEstudiantil,0),DW50)</f>
        <v/>
      </c>
      <c r="CF51" s="7">
        <f>IF(18=0,personal_tasaDeudaEstudiantil,DX50)</f>
        <v/>
      </c>
      <c r="CG51" s="7">
        <f>IF(18=0,0,DY50)</f>
        <v/>
      </c>
      <c r="CH51" s="7">
        <f>IF(J51&gt;=0.5,1,0)</f>
        <v/>
      </c>
      <c r="CI51" s="7">
        <f>IF(AND(CH51=0,prestamos_pslfActivo=1,K51&gt;=0.5,CE51&gt;0),1,0)</f>
        <v/>
      </c>
      <c r="CJ51" s="7">
        <f>CE51*CF51</f>
        <v/>
      </c>
      <c r="CK51" s="7">
        <f>MAX(prestamos_rapPagoMinimoAnual,IF(Y51&lt;10000,0,MIN(0.1,INT(Y51/10000)/100))*Y51)</f>
        <v/>
      </c>
      <c r="CL51" s="7">
        <f>IF(CE51&lt;=0,0,IF(CH51=1,0,IF(CI51=1,MIN(CE51+CJ51,CK51),PMT(CF51,MAX(1,prestamos_plazoAnios-CG51),-CE51))))</f>
        <v/>
      </c>
      <c r="CM51" s="7">
        <f>IF(CE51&lt;=0,0,IF(CH51=1,CE51+CJ51,IF(CI51=1,MAX(0,CE51-MAX(CL51-CJ51,MIN(600,CL51))),MAX(0,CE51*(1+CF51)-CL51))))</f>
        <v/>
      </c>
      <c r="CN51" s="7">
        <f>IF(18=0,0,CN50)+IF(CI51=1,12*MIN(1,K51),0)</f>
        <v/>
      </c>
      <c r="CO51" s="7">
        <f>IF(AND(CI51=1,CN51&gt;=prestamos_pslfPagos,CM51&gt;0),CM51,0)</f>
        <v/>
      </c>
      <c r="CP51" s="7">
        <f>CM51-CO51</f>
        <v/>
      </c>
      <c r="CQ51" s="7">
        <f>IF(AND(CE51&gt;0,CH51=0,CI51=0),CG51+1,CG51)</f>
        <v/>
      </c>
      <c r="CR51" s="7">
        <f>IF(18=0,IF(personal_deudaEsFederal=1,0,personal_deudaEstudiantil),EA50)</f>
        <v/>
      </c>
      <c r="CS51" s="7">
        <f>IF(18=0,IF(personal_deudaEsFederal=1,prestamos_tasaPrivada,personal_tasaDeudaEstudiantil),EB50)</f>
        <v/>
      </c>
      <c r="CT51" s="7">
        <f>IF(18=0,0,EC50)</f>
        <v/>
      </c>
      <c r="CU51" s="7">
        <f>IF(OR(CR51&lt;=0,CH51=1),0,PMT(CS51,MAX(1,prestamos_plazoAnios-CT51),-CR51))</f>
        <v/>
      </c>
      <c r="CV51" s="7">
        <f>IF(CR51&lt;=0,0,IF(CH51=1,CR51*(1+CS51),MAX(0,CR51*(1+CS51)-CU51)))</f>
        <v/>
      </c>
      <c r="CW51" s="7">
        <f>IF(AND(CR51&gt;0,CH51=0),CT51+1,CT51)</f>
        <v/>
      </c>
      <c r="CX51" s="7">
        <f>IF(18=0,0,ED50)*(1+general_tasaDeudaConsumo)</f>
        <v/>
      </c>
      <c r="CY51" s="7">
        <f>L51*12*tiempos_travelGastoExtraMes*C51</f>
        <v/>
      </c>
      <c r="CZ51" s="7">
        <f>AJ51+CY51+CA51+CC51+CL51+CU51+I51+N51-BZ51-CB51</f>
        <v/>
      </c>
      <c r="DA51" s="7">
        <f>AH51-CZ51</f>
        <v/>
      </c>
      <c r="DB51" s="7">
        <f>IF(18=0,0,DB50)+DA51</f>
        <v/>
      </c>
      <c r="DC51" s="7">
        <f>AN51*vivienda_enganchePct+AN51*vivienda_cierrePct+general_reservaMeses/12*AJ51</f>
        <v/>
      </c>
      <c r="DD51" s="7">
        <f>IF(BB51=1,g_ret,IF(BD51&gt;0,MIN(1,DC51/BD51),1)*g_cash+(1-IF(BD51&gt;0,MIN(1,DC51/BD51),1))*g_ret)</f>
        <v/>
      </c>
      <c r="DE51" s="7">
        <f>IF(DA51&gt;=0,MIN(CX51,DA51),0)</f>
        <v/>
      </c>
      <c r="DF51" s="7">
        <f>IF(DA51&gt;=0,(1-general_tasaAhorro)*(DA51-DE51),0)</f>
        <v/>
      </c>
      <c r="DG51" s="7">
        <f>IF(DA51&gt;=0,DA51-DE51-DF51,0)</f>
        <v/>
      </c>
      <c r="DH51" s="7">
        <f>MIN(personal_rothAnual,DG51)</f>
        <v/>
      </c>
      <c r="DI51" s="7">
        <f>IF(AND(DA51&gt;=0,BB51=1,BP51+BT51&gt;0),MIN(vivienda_prepagoPct*(DG51-DH51),BP51+BT51),0)</f>
        <v/>
      </c>
      <c r="DJ51" s="7">
        <f>MIN(DI51,BP51)</f>
        <v/>
      </c>
      <c r="DK51" s="7">
        <f>IF(DA51&lt;0,MIN(MAX(0,BD51),-DA51),0)</f>
        <v/>
      </c>
      <c r="DL51" s="7">
        <f>IF(DA51&lt;0,-DA51-DK51,0)</f>
        <v/>
      </c>
      <c r="DM51" s="7">
        <f>IF(18=0,0,DZ50)</f>
        <v/>
      </c>
      <c r="DN51" s="7">
        <f>IF(AND(DL51&gt;0,J51&gt;0),MIN(DL51,MIN(prestamos_topeAnualPosgrado*MIN(1,J51),MAX(0,prestamos_topeTotalPosgrado-DM51))),0)</f>
        <v/>
      </c>
      <c r="DO51" s="7">
        <f>IF(AND(DL51&gt;0,J51&gt;0),DL51-DN51,0)</f>
        <v/>
      </c>
      <c r="DP51" s="7">
        <f>IF(AND(DL51&gt;0,J51&lt;=0),DL51,0)</f>
        <v/>
      </c>
      <c r="DQ51" s="7">
        <f>IF(DA51&gt;=0,DG51-DH51-DI51,-DK51)</f>
        <v/>
      </c>
      <c r="DR51" s="7">
        <f>BD51*(1+DD51)+DQ51*(1+DD51/2)</f>
        <v/>
      </c>
      <c r="DS51" s="7">
        <f>IF(18=0,personal_retiroInicial,DS50)*(1+g_ret)+(O51+P51+DH51)*(1+g_ret/2)</f>
        <v/>
      </c>
      <c r="DT51" s="7">
        <f>IF(BB51=1,BL51*(1+g_appr),0)</f>
        <v/>
      </c>
      <c r="DU51" s="7">
        <f>BP51-DJ51</f>
        <v/>
      </c>
      <c r="DV51" s="7">
        <f>BT51-(DI51-DJ51)</f>
        <v/>
      </c>
      <c r="DW51" s="7">
        <f>CP51+DN51</f>
        <v/>
      </c>
      <c r="DX51" s="7">
        <f>IF(DN51&gt;0,(CP51*CF51+DN51*prestamos_tasaFederalPosgrado)/(CP51+DN51),CF51)</f>
        <v/>
      </c>
      <c r="DY51" s="7">
        <f>IF(DN51&gt;0,0,CQ51)</f>
        <v/>
      </c>
      <c r="DZ51" s="7">
        <f>DM51+DN51</f>
        <v/>
      </c>
      <c r="EA51" s="7">
        <f>CV51+DO51</f>
        <v/>
      </c>
      <c r="EB51" s="7">
        <f>IF(DO51&gt;0,(CV51*CS51+DO51*prestamos_tasaPrivada)/(CV51+DO51),CS51)</f>
        <v/>
      </c>
      <c r="EC51" s="7">
        <f>IF(DO51&gt;0,0,CW51)</f>
        <v/>
      </c>
      <c r="ED51" s="7">
        <f>CX51-DE51+DP51</f>
        <v/>
      </c>
      <c r="EE51" s="7">
        <f>IF(IF(18=0,"",EE50)&lt;&gt;"",EE50,IF(AND(BB51=1,DU51&lt;=0.5,DV51&lt;=0.5,OR(BH51=0,BJ51=1)),A51,""))</f>
        <v/>
      </c>
      <c r="EF51" s="7">
        <f>DU51+DV51+DW51+EA51+ED51+CD51</f>
        <v/>
      </c>
      <c r="EG51" s="7">
        <f>DR51+DS51+DT51-EF51</f>
        <v/>
      </c>
      <c r="EH51" s="7">
        <f>EG51/(1+g_inf)^(A51+1-2026)</f>
        <v/>
      </c>
    </row>
    <row r="52">
      <c r="A52" t="n">
        <v>2046</v>
      </c>
      <c r="B52" t="n">
        <v>19</v>
      </c>
      <c r="C52" s="7">
        <f>(1+g_inf)^(A52-2026)</f>
        <v/>
      </c>
      <c r="D52" s="7">
        <f>SUMPRODUCT($AM$5:$AM$29,$E$5:$E$29*(1+$F$5:$F$29)^(A52-2026)*$G$5:$G$29*$H$5:$H$29*(1-$N$5:$N$29*$O$5:$O$29))*g_salMult+SUMPRODUCT(($B$5:$B$29&gt;=A52)*($B$5:$B$29&lt;A52+1)*$I$5:$I$29)*g_salMult</f>
        <v/>
      </c>
      <c r="E52" s="7">
        <f>SUMPRODUCT($AM$5:$AM$29,$E$5:$E$29*(1+$F$5:$F$29)^(A52-2026)*$G$5:$G$29*$H$5:$H$29*$M$5:$M$29)*g_salMult</f>
        <v/>
      </c>
      <c r="F52" s="7">
        <f>SUMPRODUCT($AM$5:$AM$29,$E$5:$E$29*(1+$F$5:$F$29)^(A52-2026)*$G$5:$G$29*$H$5:$H$29*$N$5:$N$29*$O$5:$O$29)*g_salMult</f>
        <v/>
      </c>
      <c r="G52" s="7">
        <f>SUMPRODUCT($AM$5:$AM$29,$P$5:$P$29*(1+$F$5:$F$29)^(A52-2026))</f>
        <v/>
      </c>
      <c r="H52" s="7">
        <f>SUMPRODUCT($AM$5:$AM$29,$Q$5:$Q$29*(1+$F$5:$F$29)^(A52-2026))+IF(personal_llcActivo=1,personal_llcNeto*(1+personal_llcCrecimiento)^19,0)</f>
        <v/>
      </c>
      <c r="I52" s="7">
        <f>SUMPRODUCT($AM$5:$AM$29,$J$5:$J$29/($C$5:$C$29-$B$5:$B$29+($C$5:$C$29=$B$5:$B$29)))*C52</f>
        <v/>
      </c>
      <c r="J52" s="7">
        <f>SUMPRODUCT($AM$5:$AM$29,$K$5:$K$29)</f>
        <v/>
      </c>
      <c r="K52" s="7">
        <f>SUMPRODUCT($AM$5:$AM$29,$L$5:$L$29)</f>
        <v/>
      </c>
      <c r="L52" s="7">
        <f>SUMPRODUCT($AM$5:$AM$29,$N$5:$N$29)</f>
        <v/>
      </c>
      <c r="M52" s="7">
        <f>IF(SUMPRODUCT($AM$5:$AM$29,$R$5:$R$29)&gt;0,1,0)</f>
        <v/>
      </c>
      <c r="N52" s="7">
        <f>SUMPRODUCT(($AO$5:$AO$24&gt;=A52)*($AO$5:$AO$24&lt;A52+1)*$AP$5:$AP$24)*C52+IF(19=0,IF(sel_loc&lt;&gt;"miami",personal_costoMudanzaInicial,0),0)</f>
        <v/>
      </c>
      <c r="O52" s="7">
        <f>MIN(personal_aporte403bPct*D52,retiro_limite403b*C52)</f>
        <v/>
      </c>
      <c r="P52" s="7">
        <f>MIN(personal_aporte403bPct,personal_match403bPct)*E52</f>
        <v/>
      </c>
      <c r="Q52" s="7">
        <f>IF(G52&gt;0,MAX(0,G52-impuestos_scorpCostoAnual*C52),0)</f>
        <v/>
      </c>
      <c r="R52" s="7">
        <f>Q52*impuestos_scorpSalarioPct/(1+impuestos_ssTasa+impuestos_medicareTasa)</f>
        <v/>
      </c>
      <c r="S52" s="7">
        <f>impuestos_ssTasa*MIN(R52,MAX(0,impuestos_ssTope*C52-D52))+impuestos_medicareTasa*R52</f>
        <v/>
      </c>
      <c r="T52" s="7">
        <f>Q52-R52-S52</f>
        <v/>
      </c>
      <c r="U52" s="7">
        <f>D52+R52</f>
        <v/>
      </c>
      <c r="V52" s="7">
        <f>H52*0.9235</f>
        <v/>
      </c>
      <c r="W52" s="7">
        <f>IF(H52&gt;0,2*impuestos_ssTasa*MIN(V52,MAX(0,impuestos_ssTope*C52-U52))+2*impuestos_medicareTasa*V52,0)</f>
        <v/>
      </c>
      <c r="X52" s="7">
        <f>impuestos_ssTasa*MIN(U52,impuestos_ssTope*C52)+impuestos_medicareTasa*U52+impuestos_medicareAdicional*MAX(0,U52+H52*0.9235-impuestos_medicareUmbral)</f>
        <v/>
      </c>
      <c r="Y52" s="7">
        <f>MAX(0,D52-O52+R52+T52+H52-W52/2)</f>
        <v/>
      </c>
      <c r="Z52" s="7">
        <f>MAX(0,Y52-impuestos_deduccionEstandar*C52)</f>
        <v/>
      </c>
      <c r="AA52" s="7">
        <f>MIN(0.2*MAX(0,T52+H52-W52/2)*MAX(0,MIN(1,1-(Z52-impuestos_qbiUmbral*C52)/(impuestos_qbiRango*C52))),0.2*Z52)</f>
        <v/>
      </c>
      <c r="AB52" s="7">
        <f>MAX(0,Z52-AA52)</f>
        <v/>
      </c>
      <c r="AC52" s="7">
        <f>SUMPRODUCT((AB52&gt;tb_federalBrackets_lo*C52)*(AB52-tb_federalBrackets_lo*C52)*tb_federalBrackets_dr)</f>
        <v/>
      </c>
      <c r="AD52" s="7">
        <f>MAX(0,Y52-impuestos_nyDeduccion*C52)</f>
        <v/>
      </c>
      <c r="AE52" s="7">
        <f>CHOOSE(loc_taxcode,0,impuestos_ohTasa*MAX(0,Y52-impuestos_ohExento*C52)+impuestos_ohMunicipal*U52,SUMPRODUCT((AD52&gt;tb_nyBrackets_lo*C52)*(AD52-tb_nyBrackets_lo*C52)*tb_nyBrackets_dr)+loc_nyc*SUMPRODUCT((AD52&gt;tb_nycBrackets_lo*C52)*(AD52-tb_nycBrackets_lo*C52)*tb_nycBrackets_dr))</f>
        <v/>
      </c>
      <c r="AF52" s="7">
        <f>AC52+AE52+X52+W52</f>
        <v/>
      </c>
      <c r="AG52" s="7">
        <f>D52+F52+R52+T52+H52</f>
        <v/>
      </c>
      <c r="AH52" s="7">
        <f>AG52-AF52-O52</f>
        <v/>
      </c>
      <c r="AI52" s="7">
        <f>D52+F52+G52+H52</f>
        <v/>
      </c>
      <c r="AJ52" s="7">
        <f>loc_gastosVida*C52*g_gastos</f>
        <v/>
      </c>
      <c r="AK52" s="7">
        <f>IF(19=0,personal_liquidoInicial,DR51)</f>
        <v/>
      </c>
      <c r="AL52" s="7">
        <f>IF(19=0,0,BB51)</f>
        <v/>
      </c>
      <c r="AM52" s="7">
        <f>CHOOSE(sel_cfgIdx,loc_precio_duplex,loc_precio_inlaw,loc_precio_dosCasas,loc_precio_casaAdu,loc_precio_multi)</f>
        <v/>
      </c>
      <c r="AN52" s="7">
        <f>AM52*(1+g_appr)^(A52-2026)</f>
        <v/>
      </c>
      <c r="AO52" s="7">
        <f>IF(AND(M52=1,vivienda_prestamoMedico=1),1,0)</f>
        <v/>
      </c>
      <c r="AP52" s="7">
        <f>IF(AO52=1,0.05,vivienda_enganchePct)</f>
        <v/>
      </c>
      <c r="AQ52" s="7">
        <f>AN52*(1-AP52)</f>
        <v/>
      </c>
      <c r="AR52" s="7">
        <f>PMT(g_mortRate/12,vivienda_plazoHipoteca*12,-AQ52)</f>
        <v/>
      </c>
      <c r="AS52" s="7">
        <f>INDEX(cfg_units,sel_cfgIdx)</f>
        <v/>
      </c>
      <c r="AT52" s="7">
        <f>AS52*loc_rentaUnidad*(1+g_inf)^(A52-2026)*(1-vivienda_vacancia)</f>
        <v/>
      </c>
      <c r="AU52" s="7">
        <f>AR52+AN52*loc_impuestoPropPct/12+AM52*loc_seguroPct*(1+vivienda_inflacionSeguro)^(A52-2026)/12+IF(AND(AO52=0,AP52&lt;0.2),AQ52*vivienda_pmiTasa/12,0)</f>
        <v/>
      </c>
      <c r="AV52" s="7">
        <f>AN52*AP52+AN52*vivienda_cierrePct+general_reservaMeses/12*AJ52</f>
        <v/>
      </c>
      <c r="AW52" s="7">
        <f>(IF(19=0,MIN(personal_irsSaldo,personal_irsPagoMensual*12),MIN(CD51,personal_irsPagoMensual*12))+IF(CE52&gt;0,PMT(CF52,MAX(1,prestamos_plazoAnios-CG52),-CE52),0)+IF(CR52&gt;0,PMT(CS52,MAX(1,prestamos_plazoAnios-CT52),-CR52),0))/12</f>
        <v/>
      </c>
      <c r="AX52" s="7">
        <f>IF(OR(sel_cfg="duplex",sel_cfg="multi",sel_cfg="dosCasas"),0.75*personal_aporteFamiliaMensual,0)</f>
        <v/>
      </c>
      <c r="AY52" s="7">
        <f>AU52-0.75*AT52-AX52+AW52</f>
        <v/>
      </c>
      <c r="AZ52" s="7">
        <f>(D52+G52+H52+0.5*F52)/12</f>
        <v/>
      </c>
      <c r="BA52" s="7">
        <f>IF(AND(AL52=0,A52&gt;=vivienda_anioMinCompra,J52&lt;0.5,AI52&gt;0,AK52&gt;=AV52,AY52&lt;=vivienda_dtiMax*AZ52),1,0)</f>
        <v/>
      </c>
      <c r="BB52" s="7">
        <f>MAX(AL52,BA52)</f>
        <v/>
      </c>
      <c r="BC52" s="7">
        <f>IF(BA52=1,A52,IF(19=0,"",BC51))</f>
        <v/>
      </c>
      <c r="BD52" s="7">
        <f>AK52-IF(BA52=1,AN52*AP52+AN52*vivienda_cierrePct,0)</f>
        <v/>
      </c>
      <c r="BE52" s="7">
        <f>IF(BA52=1,AN52,IF(19=0,0,BE51))</f>
        <v/>
      </c>
      <c r="BF52" s="7">
        <f>IF(BA52=1,AR52,IF(19=0,0,BF51))</f>
        <v/>
      </c>
      <c r="BG52" s="7">
        <f>IF(BA52=1,IF(AND(AO52=0,AP52&lt;0.2),1,0),IF(19=0,0,BY51))</f>
        <v/>
      </c>
      <c r="BH52" s="7">
        <f>IF(sel_cfg="casaAdu",1,0)</f>
        <v/>
      </c>
      <c r="BI52" s="7">
        <f>IF(AND(BB52=1,BH52=1,IF(19=0,0,BJ51)=0,A52&gt;=IF(BC52="",9999,BC52)+vivienda_aduRetrasoAnios),1,0)</f>
        <v/>
      </c>
      <c r="BJ52" s="7">
        <f>MAX(IF(19=0,0,BJ51),BI52)</f>
        <v/>
      </c>
      <c r="BK52" s="7">
        <f>IF(BI52=1,PMT((g_mortRate+0.005)/12,180,-loc_precio_aduCosto*C52),IF(19=0,0,BK51))</f>
        <v/>
      </c>
      <c r="BL52" s="7">
        <f>IF(BA52=1,AN52,IF(19=0,0,DT51))+IF(BI52=1,loc_precio_aduCosto*C52,0)</f>
        <v/>
      </c>
      <c r="BM52" s="7">
        <f>IF(BA52=1,AQ52,IF(19=0,0,DU51))</f>
        <v/>
      </c>
      <c r="BN52" s="7">
        <f>IF(BM52&lt;=0,0,FV(g_mortRate/12,12,BF52,-BM52))</f>
        <v/>
      </c>
      <c r="BO52" s="7">
        <f>IF(BM52&lt;=0,0,12*BF52+MIN(0,BN52))</f>
        <v/>
      </c>
      <c r="BP52" s="7">
        <f>MAX(0,BN52)</f>
        <v/>
      </c>
      <c r="BQ52" s="7">
        <f>IF(BI52=1,loc_precio_aduCosto*C52,IF(19=0,0,DV51))</f>
        <v/>
      </c>
      <c r="BR52" s="7">
        <f>IF(BQ52&lt;=0,0,FV((g_mortRate+0.005)/12,12,BK52,-BQ52))</f>
        <v/>
      </c>
      <c r="BS52" s="7">
        <f>IF(BQ52&lt;=0,0,12*BK52+MIN(0,BR52))</f>
        <v/>
      </c>
      <c r="BT52" s="7">
        <f>MAX(0,BR52)</f>
        <v/>
      </c>
      <c r="BU52" s="7">
        <f>IF(BB52=1,AM52*loc_seguroPct*(1+vivienda_inflacionSeguro)^(A52-2026)*IF(BJ52=1,1+loc_precio_aduCosto/AM52,1),0)</f>
        <v/>
      </c>
      <c r="BV52" s="7">
        <f>BL52*loc_impuestoPropPct</f>
        <v/>
      </c>
      <c r="BW52" s="7">
        <f>BL52*vivienda_mantenimientoPct</f>
        <v/>
      </c>
      <c r="BX52" s="7">
        <f>IF(AND(BG52=1,BP52&gt;0.8*BE52),BE52*(1-vivienda_enganchePct)*vivienda_pmiTasa,0)</f>
        <v/>
      </c>
      <c r="BY52" s="7">
        <f>IF(AND(BG52=1,BP52&gt;0.8*BE52),1,0)</f>
        <v/>
      </c>
      <c r="BZ52" s="7">
        <f>IF(BB52=1,AS52*loc_rentaUnidad*12*C52*(1-vivienda_vacancia)*(1-vivienda_gestionPct),0)</f>
        <v/>
      </c>
      <c r="CA52" s="7">
        <f>IF(BB52=1,BO52+BS52+BU52+BV52+BW52+BX52,loc_rentaMensual*12*C52)</f>
        <v/>
      </c>
      <c r="CB52" s="7">
        <f>IF(BB52=1,personal_aporteFamiliaMensual*12,0)</f>
        <v/>
      </c>
      <c r="CC52" s="7">
        <f>MIN(IF(19=0,personal_irsSaldo,CD51),personal_irsPagoMensual*12)</f>
        <v/>
      </c>
      <c r="CD52" s="7">
        <f>IF(19=0,personal_irsSaldo,CD51)-CC52</f>
        <v/>
      </c>
      <c r="CE52" s="7">
        <f>IF(19=0,IF(personal_deudaEsFederal=1,personal_deudaEstudiantil,0),DW51)</f>
        <v/>
      </c>
      <c r="CF52" s="7">
        <f>IF(19=0,personal_tasaDeudaEstudiantil,DX51)</f>
        <v/>
      </c>
      <c r="CG52" s="7">
        <f>IF(19=0,0,DY51)</f>
        <v/>
      </c>
      <c r="CH52" s="7">
        <f>IF(J52&gt;=0.5,1,0)</f>
        <v/>
      </c>
      <c r="CI52" s="7">
        <f>IF(AND(CH52=0,prestamos_pslfActivo=1,K52&gt;=0.5,CE52&gt;0),1,0)</f>
        <v/>
      </c>
      <c r="CJ52" s="7">
        <f>CE52*CF52</f>
        <v/>
      </c>
      <c r="CK52" s="7">
        <f>MAX(prestamos_rapPagoMinimoAnual,IF(Y52&lt;10000,0,MIN(0.1,INT(Y52/10000)/100))*Y52)</f>
        <v/>
      </c>
      <c r="CL52" s="7">
        <f>IF(CE52&lt;=0,0,IF(CH52=1,0,IF(CI52=1,MIN(CE52+CJ52,CK52),PMT(CF52,MAX(1,prestamos_plazoAnios-CG52),-CE52))))</f>
        <v/>
      </c>
      <c r="CM52" s="7">
        <f>IF(CE52&lt;=0,0,IF(CH52=1,CE52+CJ52,IF(CI52=1,MAX(0,CE52-MAX(CL52-CJ52,MIN(600,CL52))),MAX(0,CE52*(1+CF52)-CL52))))</f>
        <v/>
      </c>
      <c r="CN52" s="7">
        <f>IF(19=0,0,CN51)+IF(CI52=1,12*MIN(1,K52),0)</f>
        <v/>
      </c>
      <c r="CO52" s="7">
        <f>IF(AND(CI52=1,CN52&gt;=prestamos_pslfPagos,CM52&gt;0),CM52,0)</f>
        <v/>
      </c>
      <c r="CP52" s="7">
        <f>CM52-CO52</f>
        <v/>
      </c>
      <c r="CQ52" s="7">
        <f>IF(AND(CE52&gt;0,CH52=0,CI52=0),CG52+1,CG52)</f>
        <v/>
      </c>
      <c r="CR52" s="7">
        <f>IF(19=0,IF(personal_deudaEsFederal=1,0,personal_deudaEstudiantil),EA51)</f>
        <v/>
      </c>
      <c r="CS52" s="7">
        <f>IF(19=0,IF(personal_deudaEsFederal=1,prestamos_tasaPrivada,personal_tasaDeudaEstudiantil),EB51)</f>
        <v/>
      </c>
      <c r="CT52" s="7">
        <f>IF(19=0,0,EC51)</f>
        <v/>
      </c>
      <c r="CU52" s="7">
        <f>IF(OR(CR52&lt;=0,CH52=1),0,PMT(CS52,MAX(1,prestamos_plazoAnios-CT52),-CR52))</f>
        <v/>
      </c>
      <c r="CV52" s="7">
        <f>IF(CR52&lt;=0,0,IF(CH52=1,CR52*(1+CS52),MAX(0,CR52*(1+CS52)-CU52)))</f>
        <v/>
      </c>
      <c r="CW52" s="7">
        <f>IF(AND(CR52&gt;0,CH52=0),CT52+1,CT52)</f>
        <v/>
      </c>
      <c r="CX52" s="7">
        <f>IF(19=0,0,ED51)*(1+general_tasaDeudaConsumo)</f>
        <v/>
      </c>
      <c r="CY52" s="7">
        <f>L52*12*tiempos_travelGastoExtraMes*C52</f>
        <v/>
      </c>
      <c r="CZ52" s="7">
        <f>AJ52+CY52+CA52+CC52+CL52+CU52+I52+N52-BZ52-CB52</f>
        <v/>
      </c>
      <c r="DA52" s="7">
        <f>AH52-CZ52</f>
        <v/>
      </c>
      <c r="DB52" s="7">
        <f>IF(19=0,0,DB51)+DA52</f>
        <v/>
      </c>
      <c r="DC52" s="7">
        <f>AN52*vivienda_enganchePct+AN52*vivienda_cierrePct+general_reservaMeses/12*AJ52</f>
        <v/>
      </c>
      <c r="DD52" s="7">
        <f>IF(BB52=1,g_ret,IF(BD52&gt;0,MIN(1,DC52/BD52),1)*g_cash+(1-IF(BD52&gt;0,MIN(1,DC52/BD52),1))*g_ret)</f>
        <v/>
      </c>
      <c r="DE52" s="7">
        <f>IF(DA52&gt;=0,MIN(CX52,DA52),0)</f>
        <v/>
      </c>
      <c r="DF52" s="7">
        <f>IF(DA52&gt;=0,(1-general_tasaAhorro)*(DA52-DE52),0)</f>
        <v/>
      </c>
      <c r="DG52" s="7">
        <f>IF(DA52&gt;=0,DA52-DE52-DF52,0)</f>
        <v/>
      </c>
      <c r="DH52" s="7">
        <f>MIN(personal_rothAnual,DG52)</f>
        <v/>
      </c>
      <c r="DI52" s="7">
        <f>IF(AND(DA52&gt;=0,BB52=1,BP52+BT52&gt;0),MIN(vivienda_prepagoPct*(DG52-DH52),BP52+BT52),0)</f>
        <v/>
      </c>
      <c r="DJ52" s="7">
        <f>MIN(DI52,BP52)</f>
        <v/>
      </c>
      <c r="DK52" s="7">
        <f>IF(DA52&lt;0,MIN(MAX(0,BD52),-DA52),0)</f>
        <v/>
      </c>
      <c r="DL52" s="7">
        <f>IF(DA52&lt;0,-DA52-DK52,0)</f>
        <v/>
      </c>
      <c r="DM52" s="7">
        <f>IF(19=0,0,DZ51)</f>
        <v/>
      </c>
      <c r="DN52" s="7">
        <f>IF(AND(DL52&gt;0,J52&gt;0),MIN(DL52,MIN(prestamos_topeAnualPosgrado*MIN(1,J52),MAX(0,prestamos_topeTotalPosgrado-DM52))),0)</f>
        <v/>
      </c>
      <c r="DO52" s="7">
        <f>IF(AND(DL52&gt;0,J52&gt;0),DL52-DN52,0)</f>
        <v/>
      </c>
      <c r="DP52" s="7">
        <f>IF(AND(DL52&gt;0,J52&lt;=0),DL52,0)</f>
        <v/>
      </c>
      <c r="DQ52" s="7">
        <f>IF(DA52&gt;=0,DG52-DH52-DI52,-DK52)</f>
        <v/>
      </c>
      <c r="DR52" s="7">
        <f>BD52*(1+DD52)+DQ52*(1+DD52/2)</f>
        <v/>
      </c>
      <c r="DS52" s="7">
        <f>IF(19=0,personal_retiroInicial,DS51)*(1+g_ret)+(O52+P52+DH52)*(1+g_ret/2)</f>
        <v/>
      </c>
      <c r="DT52" s="7">
        <f>IF(BB52=1,BL52*(1+g_appr),0)</f>
        <v/>
      </c>
      <c r="DU52" s="7">
        <f>BP52-DJ52</f>
        <v/>
      </c>
      <c r="DV52" s="7">
        <f>BT52-(DI52-DJ52)</f>
        <v/>
      </c>
      <c r="DW52" s="7">
        <f>CP52+DN52</f>
        <v/>
      </c>
      <c r="DX52" s="7">
        <f>IF(DN52&gt;0,(CP52*CF52+DN52*prestamos_tasaFederalPosgrado)/(CP52+DN52),CF52)</f>
        <v/>
      </c>
      <c r="DY52" s="7">
        <f>IF(DN52&gt;0,0,CQ52)</f>
        <v/>
      </c>
      <c r="DZ52" s="7">
        <f>DM52+DN52</f>
        <v/>
      </c>
      <c r="EA52" s="7">
        <f>CV52+DO52</f>
        <v/>
      </c>
      <c r="EB52" s="7">
        <f>IF(DO52&gt;0,(CV52*CS52+DO52*prestamos_tasaPrivada)/(CV52+DO52),CS52)</f>
        <v/>
      </c>
      <c r="EC52" s="7">
        <f>IF(DO52&gt;0,0,CW52)</f>
        <v/>
      </c>
      <c r="ED52" s="7">
        <f>CX52-DE52+DP52</f>
        <v/>
      </c>
      <c r="EE52" s="7">
        <f>IF(IF(19=0,"",EE51)&lt;&gt;"",EE51,IF(AND(BB52=1,DU52&lt;=0.5,DV52&lt;=0.5,OR(BH52=0,BJ52=1)),A52,""))</f>
        <v/>
      </c>
      <c r="EF52" s="7">
        <f>DU52+DV52+DW52+EA52+ED52+CD52</f>
        <v/>
      </c>
      <c r="EG52" s="7">
        <f>DR52+DS52+DT52-EF52</f>
        <v/>
      </c>
      <c r="EH52" s="7">
        <f>EG52/(1+g_inf)^(A52+1-2026)</f>
        <v/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H52"/>
  <sheetViews>
    <sheetView workbookViewId="0">
      <pane xSplit="1" ySplit="32" topLeftCell="B3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0" customWidth="1" min="1" max="1"/>
  </cols>
  <sheetData>
    <row r="1">
      <c r="A1" s="1" t="inlineStr">
        <is>
          <t>A3 · ICU → Travel nurse</t>
        </is>
      </c>
    </row>
    <row r="2">
      <c r="A2" s="2" t="inlineStr">
        <is>
          <t>Etapas (celdas azules editables; fechas decimales: 2027.67 = sep-2027). Traslape por año en columnas T→AM. Hitos con costo en AN→AP.</t>
        </is>
      </c>
    </row>
    <row r="4">
      <c r="A4" s="5" t="inlineStr">
        <is>
          <t>Etapa</t>
        </is>
      </c>
      <c r="B4" s="5" t="inlineStr">
        <is>
          <t>Inicio</t>
        </is>
      </c>
      <c r="C4" s="5" t="inlineStr">
        <is>
          <t>Fin</t>
        </is>
      </c>
      <c r="D4" s="5" t="inlineStr">
        <is>
          <t>Rol</t>
        </is>
      </c>
      <c r="E4" s="5" t="inlineStr">
        <is>
          <t>Salario base FT 2026 ($)</t>
        </is>
      </c>
      <c r="F4" s="5" t="inlineStr">
        <is>
          <t>Aumento anual</t>
        </is>
      </c>
      <c r="G4" s="5" t="inlineStr">
        <is>
          <t>Horas (FTE)</t>
        </is>
      </c>
      <c r="H4" s="5" t="inlineStr">
        <is>
          <t>Multiplicador</t>
        </is>
      </c>
      <c r="I4" s="5" t="inlineStr">
        <is>
          <t>Bono al inicio</t>
        </is>
      </c>
      <c r="J4" s="5" t="inlineStr">
        <is>
          <t>Matrícula total (2026$)</t>
        </is>
      </c>
      <c r="K4" s="5" t="inlineStr">
        <is>
          <t>Estudio (1/0)</t>
        </is>
      </c>
      <c r="L4" s="5" t="inlineStr">
        <is>
          <t>PSLF (1/0)</t>
        </is>
      </c>
      <c r="M4" s="5" t="inlineStr">
        <is>
          <t>Match 403b (1/0)</t>
        </is>
      </c>
      <c r="N4" s="5" t="inlineStr">
        <is>
          <t>Travel (1/0)</t>
        </is>
      </c>
      <c r="O4" s="5" t="inlineStr">
        <is>
          <t>% stipend libre</t>
        </is>
      </c>
      <c r="P4" s="5" t="inlineStr">
        <is>
          <t>S-corp anual base</t>
        </is>
      </c>
      <c r="Q4" s="5" t="inlineStr">
        <is>
          <t>Autoempleo anual base</t>
        </is>
      </c>
      <c r="R4" s="5" t="inlineStr">
        <is>
          <t>Attending (1/0)</t>
        </is>
      </c>
      <c r="T4" s="8" t="n">
        <v>2027</v>
      </c>
      <c r="U4" s="8" t="n">
        <v>2028</v>
      </c>
      <c r="V4" s="8" t="n">
        <v>2029</v>
      </c>
      <c r="W4" s="8" t="n">
        <v>2030</v>
      </c>
      <c r="X4" s="8" t="n">
        <v>2031</v>
      </c>
      <c r="Y4" s="8" t="n">
        <v>2032</v>
      </c>
      <c r="Z4" s="8" t="n">
        <v>2033</v>
      </c>
      <c r="AA4" s="8" t="n">
        <v>2034</v>
      </c>
      <c r="AB4" s="8" t="n">
        <v>2035</v>
      </c>
      <c r="AC4" s="8" t="n">
        <v>2036</v>
      </c>
      <c r="AD4" s="8" t="n">
        <v>2037</v>
      </c>
      <c r="AE4" s="8" t="n">
        <v>2038</v>
      </c>
      <c r="AF4" s="8" t="n">
        <v>2039</v>
      </c>
      <c r="AG4" s="8" t="n">
        <v>2040</v>
      </c>
      <c r="AH4" s="8" t="n">
        <v>2041</v>
      </c>
      <c r="AI4" s="8" t="n">
        <v>2042</v>
      </c>
      <c r="AJ4" s="8" t="n">
        <v>2043</v>
      </c>
      <c r="AK4" s="8" t="n">
        <v>2044</v>
      </c>
      <c r="AL4" s="8" t="n">
        <v>2045</v>
      </c>
      <c r="AM4" s="8" t="n">
        <v>2046</v>
      </c>
      <c r="AN4" s="5" t="inlineStr">
        <is>
          <t>Hito</t>
        </is>
      </c>
      <c r="AO4" s="5" t="inlineStr">
        <is>
          <t>Fecha</t>
        </is>
      </c>
      <c r="AP4" s="5" t="inlineStr">
        <is>
          <t>Costo (2026$)</t>
        </is>
      </c>
    </row>
    <row r="5">
      <c r="A5" t="inlineStr">
        <is>
          <t>Case manager RN (cursando BSN)</t>
        </is>
      </c>
      <c r="B5" s="3" t="n">
        <v>2027</v>
      </c>
      <c r="C5" s="3" t="n">
        <v>2027.5</v>
      </c>
      <c r="D5" t="inlineStr">
        <is>
          <t>cm</t>
        </is>
      </c>
      <c r="E5">
        <f>personal_tarifaHora*2080*loc_factorRN/ubic_miami_factorRN</f>
        <v/>
      </c>
      <c r="F5">
        <f>roles_cm_aumento</f>
        <v/>
      </c>
      <c r="G5">
        <f>personal_horasSemana/40</f>
        <v/>
      </c>
      <c r="H5" s="3" t="n">
        <v>1</v>
      </c>
      <c r="I5" s="3" t="n">
        <v>0</v>
      </c>
      <c r="J5" s="3" t="n">
        <v>0</v>
      </c>
      <c r="K5" s="3" t="n">
        <v>0</v>
      </c>
      <c r="L5" s="3" t="n">
        <v>1</v>
      </c>
      <c r="M5" s="3" t="n">
        <v>1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T5">
        <f>MAX(0,MIN($C5,T$4+1)-MAX($B5,T$4))</f>
        <v/>
      </c>
      <c r="U5">
        <f>MAX(0,MIN($C5,U$4+1)-MAX($B5,U$4))</f>
        <v/>
      </c>
      <c r="V5">
        <f>MAX(0,MIN($C5,V$4+1)-MAX($B5,V$4))</f>
        <v/>
      </c>
      <c r="W5">
        <f>MAX(0,MIN($C5,W$4+1)-MAX($B5,W$4))</f>
        <v/>
      </c>
      <c r="X5">
        <f>MAX(0,MIN($C5,X$4+1)-MAX($B5,X$4))</f>
        <v/>
      </c>
      <c r="Y5">
        <f>MAX(0,MIN($C5,Y$4+1)-MAX($B5,Y$4))</f>
        <v/>
      </c>
      <c r="Z5">
        <f>MAX(0,MIN($C5,Z$4+1)-MAX($B5,Z$4))</f>
        <v/>
      </c>
      <c r="AA5">
        <f>MAX(0,MIN($C5,AA$4+1)-MAX($B5,AA$4))</f>
        <v/>
      </c>
      <c r="AB5">
        <f>MAX(0,MIN($C5,AB$4+1)-MAX($B5,AB$4))</f>
        <v/>
      </c>
      <c r="AC5">
        <f>MAX(0,MIN($C5,AC$4+1)-MAX($B5,AC$4))</f>
        <v/>
      </c>
      <c r="AD5">
        <f>MAX(0,MIN($C5,AD$4+1)-MAX($B5,AD$4))</f>
        <v/>
      </c>
      <c r="AE5">
        <f>MAX(0,MIN($C5,AE$4+1)-MAX($B5,AE$4))</f>
        <v/>
      </c>
      <c r="AF5">
        <f>MAX(0,MIN($C5,AF$4+1)-MAX($B5,AF$4))</f>
        <v/>
      </c>
      <c r="AG5">
        <f>MAX(0,MIN($C5,AG$4+1)-MAX($B5,AG$4))</f>
        <v/>
      </c>
      <c r="AH5">
        <f>MAX(0,MIN($C5,AH$4+1)-MAX($B5,AH$4))</f>
        <v/>
      </c>
      <c r="AI5">
        <f>MAX(0,MIN($C5,AI$4+1)-MAX($B5,AI$4))</f>
        <v/>
      </c>
      <c r="AJ5">
        <f>MAX(0,MIN($C5,AJ$4+1)-MAX($B5,AJ$4))</f>
        <v/>
      </c>
      <c r="AK5">
        <f>MAX(0,MIN($C5,AK$4+1)-MAX($B5,AK$4))</f>
        <v/>
      </c>
      <c r="AL5">
        <f>MAX(0,MIN($C5,AL$4+1)-MAX($B5,AL$4))</f>
        <v/>
      </c>
      <c r="AM5">
        <f>MAX(0,MIN($C5,AM$4+1)-MAX($B5,AM$4))</f>
        <v/>
      </c>
      <c r="AN5" t="inlineStr">
        <is>
          <t>Graduación RN-BSN</t>
        </is>
      </c>
      <c r="AO5" s="3" t="n">
        <v>2027.5</v>
      </c>
      <c r="AP5" s="3" t="n">
        <v>0</v>
      </c>
    </row>
    <row r="6">
      <c r="A6" t="inlineStr">
        <is>
          <t>Case manager RN (BSN)</t>
        </is>
      </c>
      <c r="B6" s="3" t="n">
        <v>2027.5</v>
      </c>
      <c r="C6" s="3" t="n">
        <v>2027.75</v>
      </c>
      <c r="D6" t="inlineStr">
        <is>
          <t>cm</t>
        </is>
      </c>
      <c r="E6">
        <f>personal_tarifaHora*2080*loc_factorRN/ubic_miami_factorRN</f>
        <v/>
      </c>
      <c r="F6">
        <f>roles_cm_aumento</f>
        <v/>
      </c>
      <c r="G6">
        <f>personal_horasSemana/40</f>
        <v/>
      </c>
      <c r="H6">
        <f>1+personal_bsnAumento</f>
        <v/>
      </c>
      <c r="I6" s="3" t="n">
        <v>0</v>
      </c>
      <c r="J6" s="3" t="n">
        <v>0</v>
      </c>
      <c r="K6" s="3" t="n">
        <v>0</v>
      </c>
      <c r="L6" s="3" t="n">
        <v>1</v>
      </c>
      <c r="M6" s="3" t="n">
        <v>1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  <c r="T6">
        <f>MAX(0,MIN($C6,T$4+1)-MAX($B6,T$4))</f>
        <v/>
      </c>
      <c r="U6">
        <f>MAX(0,MIN($C6,U$4+1)-MAX($B6,U$4))</f>
        <v/>
      </c>
      <c r="V6">
        <f>MAX(0,MIN($C6,V$4+1)-MAX($B6,V$4))</f>
        <v/>
      </c>
      <c r="W6">
        <f>MAX(0,MIN($C6,W$4+1)-MAX($B6,W$4))</f>
        <v/>
      </c>
      <c r="X6">
        <f>MAX(0,MIN($C6,X$4+1)-MAX($B6,X$4))</f>
        <v/>
      </c>
      <c r="Y6">
        <f>MAX(0,MIN($C6,Y$4+1)-MAX($B6,Y$4))</f>
        <v/>
      </c>
      <c r="Z6">
        <f>MAX(0,MIN($C6,Z$4+1)-MAX($B6,Z$4))</f>
        <v/>
      </c>
      <c r="AA6">
        <f>MAX(0,MIN($C6,AA$4+1)-MAX($B6,AA$4))</f>
        <v/>
      </c>
      <c r="AB6">
        <f>MAX(0,MIN($C6,AB$4+1)-MAX($B6,AB$4))</f>
        <v/>
      </c>
      <c r="AC6">
        <f>MAX(0,MIN($C6,AC$4+1)-MAX($B6,AC$4))</f>
        <v/>
      </c>
      <c r="AD6">
        <f>MAX(0,MIN($C6,AD$4+1)-MAX($B6,AD$4))</f>
        <v/>
      </c>
      <c r="AE6">
        <f>MAX(0,MIN($C6,AE$4+1)-MAX($B6,AE$4))</f>
        <v/>
      </c>
      <c r="AF6">
        <f>MAX(0,MIN($C6,AF$4+1)-MAX($B6,AF$4))</f>
        <v/>
      </c>
      <c r="AG6">
        <f>MAX(0,MIN($C6,AG$4+1)-MAX($B6,AG$4))</f>
        <v/>
      </c>
      <c r="AH6">
        <f>MAX(0,MIN($C6,AH$4+1)-MAX($B6,AH$4))</f>
        <v/>
      </c>
      <c r="AI6">
        <f>MAX(0,MIN($C6,AI$4+1)-MAX($B6,AI$4))</f>
        <v/>
      </c>
      <c r="AJ6">
        <f>MAX(0,MIN($C6,AJ$4+1)-MAX($B6,AJ$4))</f>
        <v/>
      </c>
      <c r="AK6">
        <f>MAX(0,MIN($C6,AK$4+1)-MAX($B6,AK$4))</f>
        <v/>
      </c>
      <c r="AL6">
        <f>MAX(0,MIN($C6,AL$4+1)-MAX($B6,AL$4))</f>
        <v/>
      </c>
      <c r="AM6">
        <f>MAX(0,MIN($C6,AM$4+1)-MAX($B6,AM$4))</f>
        <v/>
      </c>
      <c r="AN6" t="inlineStr">
        <is>
          <t>Matrícula restante BSN</t>
        </is>
      </c>
      <c r="AO6" s="3" t="n">
        <v>2027</v>
      </c>
      <c r="AP6" s="3">
        <f>personal_bsnCostoRestante</f>
        <v/>
      </c>
    </row>
    <row r="7">
      <c r="A7" t="inlineStr">
        <is>
          <t>ICU (programa de transición, años 1-2)</t>
        </is>
      </c>
      <c r="B7" s="3" t="n">
        <v>2027.75</v>
      </c>
      <c r="C7" s="3" t="n">
        <v>2029.75</v>
      </c>
      <c r="D7" t="inlineStr">
        <is>
          <t>icuNuevo</t>
        </is>
      </c>
      <c r="E7">
        <f>roles_icuNuevo_base*loc_factorRN</f>
        <v/>
      </c>
      <c r="F7">
        <f>roles_icuNuevo_aumento</f>
        <v/>
      </c>
      <c r="G7" s="3" t="n">
        <v>1</v>
      </c>
      <c r="H7" s="3" t="n">
        <v>1</v>
      </c>
      <c r="I7">
        <f>tiempos_bonoFirmaICU</f>
        <v/>
      </c>
      <c r="J7" s="3" t="n">
        <v>0</v>
      </c>
      <c r="K7" s="3" t="n">
        <v>0</v>
      </c>
      <c r="L7" s="3" t="n">
        <v>1</v>
      </c>
      <c r="M7" s="3" t="n">
        <v>1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T7">
        <f>MAX(0,MIN($C7,T$4+1)-MAX($B7,T$4))</f>
        <v/>
      </c>
      <c r="U7">
        <f>MAX(0,MIN($C7,U$4+1)-MAX($B7,U$4))</f>
        <v/>
      </c>
      <c r="V7">
        <f>MAX(0,MIN($C7,V$4+1)-MAX($B7,V$4))</f>
        <v/>
      </c>
      <c r="W7">
        <f>MAX(0,MIN($C7,W$4+1)-MAX($B7,W$4))</f>
        <v/>
      </c>
      <c r="X7">
        <f>MAX(0,MIN($C7,X$4+1)-MAX($B7,X$4))</f>
        <v/>
      </c>
      <c r="Y7">
        <f>MAX(0,MIN($C7,Y$4+1)-MAX($B7,Y$4))</f>
        <v/>
      </c>
      <c r="Z7">
        <f>MAX(0,MIN($C7,Z$4+1)-MAX($B7,Z$4))</f>
        <v/>
      </c>
      <c r="AA7">
        <f>MAX(0,MIN($C7,AA$4+1)-MAX($B7,AA$4))</f>
        <v/>
      </c>
      <c r="AB7">
        <f>MAX(0,MIN($C7,AB$4+1)-MAX($B7,AB$4))</f>
        <v/>
      </c>
      <c r="AC7">
        <f>MAX(0,MIN($C7,AC$4+1)-MAX($B7,AC$4))</f>
        <v/>
      </c>
      <c r="AD7">
        <f>MAX(0,MIN($C7,AD$4+1)-MAX($B7,AD$4))</f>
        <v/>
      </c>
      <c r="AE7">
        <f>MAX(0,MIN($C7,AE$4+1)-MAX($B7,AE$4))</f>
        <v/>
      </c>
      <c r="AF7">
        <f>MAX(0,MIN($C7,AF$4+1)-MAX($B7,AF$4))</f>
        <v/>
      </c>
      <c r="AG7">
        <f>MAX(0,MIN($C7,AG$4+1)-MAX($B7,AG$4))</f>
        <v/>
      </c>
      <c r="AH7">
        <f>MAX(0,MIN($C7,AH$4+1)-MAX($B7,AH$4))</f>
        <v/>
      </c>
      <c r="AI7">
        <f>MAX(0,MIN($C7,AI$4+1)-MAX($B7,AI$4))</f>
        <v/>
      </c>
      <c r="AJ7">
        <f>MAX(0,MIN($C7,AJ$4+1)-MAX($B7,AJ$4))</f>
        <v/>
      </c>
      <c r="AK7">
        <f>MAX(0,MIN($C7,AK$4+1)-MAX($B7,AK$4))</f>
        <v/>
      </c>
      <c r="AL7">
        <f>MAX(0,MIN($C7,AL$4+1)-MAX($B7,AL$4))</f>
        <v/>
      </c>
      <c r="AM7">
        <f>MAX(0,MIN($C7,AM$4+1)-MAX($B7,AM$4))</f>
        <v/>
      </c>
      <c r="AN7" t="inlineStr">
        <is>
          <t>Entra a ICU</t>
        </is>
      </c>
      <c r="AO7" s="3" t="n">
        <v>2027.75</v>
      </c>
      <c r="AP7" s="3" t="n">
        <v>0</v>
      </c>
    </row>
    <row r="8">
      <c r="A8" t="inlineStr">
        <is>
          <t>Travel nurse ICU</t>
        </is>
      </c>
      <c r="B8" s="3" t="n">
        <v>2029.75</v>
      </c>
      <c r="C8" s="3" t="n">
        <v>2032.75</v>
      </c>
      <c r="D8" t="inlineStr">
        <is>
          <t>travel</t>
        </is>
      </c>
      <c r="E8">
        <f>roles_travel_base*tiempos_travelSemanas</f>
        <v/>
      </c>
      <c r="F8">
        <f>roles_travel_aumento</f>
        <v/>
      </c>
      <c r="G8" s="3" t="n">
        <v>1</v>
      </c>
      <c r="H8" s="3" t="n">
        <v>1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1</v>
      </c>
      <c r="O8">
        <f>tiempos_travelStipendPct</f>
        <v/>
      </c>
      <c r="P8" s="3" t="n">
        <v>0</v>
      </c>
      <c r="Q8" s="3" t="n">
        <v>0</v>
      </c>
      <c r="R8" s="3" t="n">
        <v>0</v>
      </c>
      <c r="T8">
        <f>MAX(0,MIN($C8,T$4+1)-MAX($B8,T$4))</f>
        <v/>
      </c>
      <c r="U8">
        <f>MAX(0,MIN($C8,U$4+1)-MAX($B8,U$4))</f>
        <v/>
      </c>
      <c r="V8">
        <f>MAX(0,MIN($C8,V$4+1)-MAX($B8,V$4))</f>
        <v/>
      </c>
      <c r="W8">
        <f>MAX(0,MIN($C8,W$4+1)-MAX($B8,W$4))</f>
        <v/>
      </c>
      <c r="X8">
        <f>MAX(0,MIN($C8,X$4+1)-MAX($B8,X$4))</f>
        <v/>
      </c>
      <c r="Y8">
        <f>MAX(0,MIN($C8,Y$4+1)-MAX($B8,Y$4))</f>
        <v/>
      </c>
      <c r="Z8">
        <f>MAX(0,MIN($C8,Z$4+1)-MAX($B8,Z$4))</f>
        <v/>
      </c>
      <c r="AA8">
        <f>MAX(0,MIN($C8,AA$4+1)-MAX($B8,AA$4))</f>
        <v/>
      </c>
      <c r="AB8">
        <f>MAX(0,MIN($C8,AB$4+1)-MAX($B8,AB$4))</f>
        <v/>
      </c>
      <c r="AC8">
        <f>MAX(0,MIN($C8,AC$4+1)-MAX($B8,AC$4))</f>
        <v/>
      </c>
      <c r="AD8">
        <f>MAX(0,MIN($C8,AD$4+1)-MAX($B8,AD$4))</f>
        <v/>
      </c>
      <c r="AE8">
        <f>MAX(0,MIN($C8,AE$4+1)-MAX($B8,AE$4))</f>
        <v/>
      </c>
      <c r="AF8">
        <f>MAX(0,MIN($C8,AF$4+1)-MAX($B8,AF$4))</f>
        <v/>
      </c>
      <c r="AG8">
        <f>MAX(0,MIN($C8,AG$4+1)-MAX($B8,AG$4))</f>
        <v/>
      </c>
      <c r="AH8">
        <f>MAX(0,MIN($C8,AH$4+1)-MAX($B8,AH$4))</f>
        <v/>
      </c>
      <c r="AI8">
        <f>MAX(0,MIN($C8,AI$4+1)-MAX($B8,AI$4))</f>
        <v/>
      </c>
      <c r="AJ8">
        <f>MAX(0,MIN($C8,AJ$4+1)-MAX($B8,AJ$4))</f>
        <v/>
      </c>
      <c r="AK8">
        <f>MAX(0,MIN($C8,AK$4+1)-MAX($B8,AK$4))</f>
        <v/>
      </c>
      <c r="AL8">
        <f>MAX(0,MIN($C8,AL$4+1)-MAX($B8,AL$4))</f>
        <v/>
      </c>
      <c r="AM8">
        <f>MAX(0,MIN($C8,AM$4+1)-MAX($B8,AM$4))</f>
        <v/>
      </c>
      <c r="AN8" t="inlineStr">
        <is>
          <t>Primer contrato travel</t>
        </is>
      </c>
      <c r="AO8" s="3" t="n">
        <v>2029.75</v>
      </c>
      <c r="AP8" s="3" t="n">
        <v>0</v>
      </c>
    </row>
    <row r="9">
      <c r="A9" t="inlineStr">
        <is>
          <t>ICU staff experimentado</t>
        </is>
      </c>
      <c r="B9" s="3" t="n">
        <v>2032.75</v>
      </c>
      <c r="C9" s="3" t="n">
        <v>2048</v>
      </c>
      <c r="D9" t="inlineStr">
        <is>
          <t>icuExp</t>
        </is>
      </c>
      <c r="E9">
        <f>roles_icuExp_base*loc_factorRN</f>
        <v/>
      </c>
      <c r="F9">
        <f>roles_icuExp_aumento</f>
        <v/>
      </c>
      <c r="G9" s="3" t="n">
        <v>1</v>
      </c>
      <c r="H9" s="3" t="n">
        <v>1</v>
      </c>
      <c r="I9" s="3" t="n">
        <v>0</v>
      </c>
      <c r="J9" s="3" t="n">
        <v>0</v>
      </c>
      <c r="K9" s="3" t="n">
        <v>0</v>
      </c>
      <c r="L9" s="3" t="n">
        <v>1</v>
      </c>
      <c r="M9" s="3" t="n">
        <v>1</v>
      </c>
      <c r="N9" s="3" t="n">
        <v>0</v>
      </c>
      <c r="O9" s="3" t="n">
        <v>0</v>
      </c>
      <c r="P9" s="3" t="n">
        <v>0</v>
      </c>
      <c r="Q9" s="3" t="n">
        <v>0</v>
      </c>
      <c r="R9" s="3" t="n">
        <v>0</v>
      </c>
      <c r="T9">
        <f>MAX(0,MIN($C9,T$4+1)-MAX($B9,T$4))</f>
        <v/>
      </c>
      <c r="U9">
        <f>MAX(0,MIN($C9,U$4+1)-MAX($B9,U$4))</f>
        <v/>
      </c>
      <c r="V9">
        <f>MAX(0,MIN($C9,V$4+1)-MAX($B9,V$4))</f>
        <v/>
      </c>
      <c r="W9">
        <f>MAX(0,MIN($C9,W$4+1)-MAX($B9,W$4))</f>
        <v/>
      </c>
      <c r="X9">
        <f>MAX(0,MIN($C9,X$4+1)-MAX($B9,X$4))</f>
        <v/>
      </c>
      <c r="Y9">
        <f>MAX(0,MIN($C9,Y$4+1)-MAX($B9,Y$4))</f>
        <v/>
      </c>
      <c r="Z9">
        <f>MAX(0,MIN($C9,Z$4+1)-MAX($B9,Z$4))</f>
        <v/>
      </c>
      <c r="AA9">
        <f>MAX(0,MIN($C9,AA$4+1)-MAX($B9,AA$4))</f>
        <v/>
      </c>
      <c r="AB9">
        <f>MAX(0,MIN($C9,AB$4+1)-MAX($B9,AB$4))</f>
        <v/>
      </c>
      <c r="AC9">
        <f>MAX(0,MIN($C9,AC$4+1)-MAX($B9,AC$4))</f>
        <v/>
      </c>
      <c r="AD9">
        <f>MAX(0,MIN($C9,AD$4+1)-MAX($B9,AD$4))</f>
        <v/>
      </c>
      <c r="AE9">
        <f>MAX(0,MIN($C9,AE$4+1)-MAX($B9,AE$4))</f>
        <v/>
      </c>
      <c r="AF9">
        <f>MAX(0,MIN($C9,AF$4+1)-MAX($B9,AF$4))</f>
        <v/>
      </c>
      <c r="AG9">
        <f>MAX(0,MIN($C9,AG$4+1)-MAX($B9,AG$4))</f>
        <v/>
      </c>
      <c r="AH9">
        <f>MAX(0,MIN($C9,AH$4+1)-MAX($B9,AH$4))</f>
        <v/>
      </c>
      <c r="AI9">
        <f>MAX(0,MIN($C9,AI$4+1)-MAX($B9,AI$4))</f>
        <v/>
      </c>
      <c r="AJ9">
        <f>MAX(0,MIN($C9,AJ$4+1)-MAX($B9,AJ$4))</f>
        <v/>
      </c>
      <c r="AK9">
        <f>MAX(0,MIN($C9,AK$4+1)-MAX($B9,AK$4))</f>
        <v/>
      </c>
      <c r="AL9">
        <f>MAX(0,MIN($C9,AL$4+1)-MAX($B9,AL$4))</f>
        <v/>
      </c>
      <c r="AM9">
        <f>MAX(0,MIN($C9,AM$4+1)-MAX($B9,AM$4))</f>
        <v/>
      </c>
      <c r="AO9" t="n">
        <v>0</v>
      </c>
      <c r="AP9" t="n">
        <v>0</v>
      </c>
    </row>
    <row r="10">
      <c r="A10" t="inlineStr"/>
      <c r="B10" s="3" t="n">
        <v>0</v>
      </c>
      <c r="C10" s="3" t="n">
        <v>0</v>
      </c>
      <c r="D10" t="inlineStr"/>
      <c r="E10" t="n">
        <v>0</v>
      </c>
      <c r="F10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T10">
        <f>MAX(0,MIN($C10,T$4+1)-MAX($B10,T$4))</f>
        <v/>
      </c>
      <c r="U10">
        <f>MAX(0,MIN($C10,U$4+1)-MAX($B10,U$4))</f>
        <v/>
      </c>
      <c r="V10">
        <f>MAX(0,MIN($C10,V$4+1)-MAX($B10,V$4))</f>
        <v/>
      </c>
      <c r="W10">
        <f>MAX(0,MIN($C10,W$4+1)-MAX($B10,W$4))</f>
        <v/>
      </c>
      <c r="X10">
        <f>MAX(0,MIN($C10,X$4+1)-MAX($B10,X$4))</f>
        <v/>
      </c>
      <c r="Y10">
        <f>MAX(0,MIN($C10,Y$4+1)-MAX($B10,Y$4))</f>
        <v/>
      </c>
      <c r="Z10">
        <f>MAX(0,MIN($C10,Z$4+1)-MAX($B10,Z$4))</f>
        <v/>
      </c>
      <c r="AA10">
        <f>MAX(0,MIN($C10,AA$4+1)-MAX($B10,AA$4))</f>
        <v/>
      </c>
      <c r="AB10">
        <f>MAX(0,MIN($C10,AB$4+1)-MAX($B10,AB$4))</f>
        <v/>
      </c>
      <c r="AC10">
        <f>MAX(0,MIN($C10,AC$4+1)-MAX($B10,AC$4))</f>
        <v/>
      </c>
      <c r="AD10">
        <f>MAX(0,MIN($C10,AD$4+1)-MAX($B10,AD$4))</f>
        <v/>
      </c>
      <c r="AE10">
        <f>MAX(0,MIN($C10,AE$4+1)-MAX($B10,AE$4))</f>
        <v/>
      </c>
      <c r="AF10">
        <f>MAX(0,MIN($C10,AF$4+1)-MAX($B10,AF$4))</f>
        <v/>
      </c>
      <c r="AG10">
        <f>MAX(0,MIN($C10,AG$4+1)-MAX($B10,AG$4))</f>
        <v/>
      </c>
      <c r="AH10">
        <f>MAX(0,MIN($C10,AH$4+1)-MAX($B10,AH$4))</f>
        <v/>
      </c>
      <c r="AI10">
        <f>MAX(0,MIN($C10,AI$4+1)-MAX($B10,AI$4))</f>
        <v/>
      </c>
      <c r="AJ10">
        <f>MAX(0,MIN($C10,AJ$4+1)-MAX($B10,AJ$4))</f>
        <v/>
      </c>
      <c r="AK10">
        <f>MAX(0,MIN($C10,AK$4+1)-MAX($B10,AK$4))</f>
        <v/>
      </c>
      <c r="AL10">
        <f>MAX(0,MIN($C10,AL$4+1)-MAX($B10,AL$4))</f>
        <v/>
      </c>
      <c r="AM10">
        <f>MAX(0,MIN($C10,AM$4+1)-MAX($B10,AM$4))</f>
        <v/>
      </c>
      <c r="AO10" t="n">
        <v>0</v>
      </c>
      <c r="AP10" t="n">
        <v>0</v>
      </c>
    </row>
    <row r="11">
      <c r="A11" t="inlineStr"/>
      <c r="B11" s="3" t="n">
        <v>0</v>
      </c>
      <c r="C11" s="3" t="n">
        <v>0</v>
      </c>
      <c r="D11" t="inlineStr"/>
      <c r="E11" t="n">
        <v>0</v>
      </c>
      <c r="F11" t="n">
        <v>0</v>
      </c>
      <c r="G11" s="3" t="n">
        <v>0</v>
      </c>
      <c r="H11" s="3" t="n">
        <v>0</v>
      </c>
      <c r="I11" s="3" t="n">
        <v>0</v>
      </c>
      <c r="J11" s="3" t="n">
        <v>0</v>
      </c>
      <c r="K11" s="3" t="n">
        <v>0</v>
      </c>
      <c r="L11" s="3" t="n">
        <v>0</v>
      </c>
      <c r="M11" s="3" t="n">
        <v>0</v>
      </c>
      <c r="N11" s="3" t="n">
        <v>0</v>
      </c>
      <c r="O11" s="3" t="n">
        <v>0</v>
      </c>
      <c r="P11" s="3" t="n">
        <v>0</v>
      </c>
      <c r="Q11" s="3" t="n">
        <v>0</v>
      </c>
      <c r="R11" s="3" t="n">
        <v>0</v>
      </c>
      <c r="T11">
        <f>MAX(0,MIN($C11,T$4+1)-MAX($B11,T$4))</f>
        <v/>
      </c>
      <c r="U11">
        <f>MAX(0,MIN($C11,U$4+1)-MAX($B11,U$4))</f>
        <v/>
      </c>
      <c r="V11">
        <f>MAX(0,MIN($C11,V$4+1)-MAX($B11,V$4))</f>
        <v/>
      </c>
      <c r="W11">
        <f>MAX(0,MIN($C11,W$4+1)-MAX($B11,W$4))</f>
        <v/>
      </c>
      <c r="X11">
        <f>MAX(0,MIN($C11,X$4+1)-MAX($B11,X$4))</f>
        <v/>
      </c>
      <c r="Y11">
        <f>MAX(0,MIN($C11,Y$4+1)-MAX($B11,Y$4))</f>
        <v/>
      </c>
      <c r="Z11">
        <f>MAX(0,MIN($C11,Z$4+1)-MAX($B11,Z$4))</f>
        <v/>
      </c>
      <c r="AA11">
        <f>MAX(0,MIN($C11,AA$4+1)-MAX($B11,AA$4))</f>
        <v/>
      </c>
      <c r="AB11">
        <f>MAX(0,MIN($C11,AB$4+1)-MAX($B11,AB$4))</f>
        <v/>
      </c>
      <c r="AC11">
        <f>MAX(0,MIN($C11,AC$4+1)-MAX($B11,AC$4))</f>
        <v/>
      </c>
      <c r="AD11">
        <f>MAX(0,MIN($C11,AD$4+1)-MAX($B11,AD$4))</f>
        <v/>
      </c>
      <c r="AE11">
        <f>MAX(0,MIN($C11,AE$4+1)-MAX($B11,AE$4))</f>
        <v/>
      </c>
      <c r="AF11">
        <f>MAX(0,MIN($C11,AF$4+1)-MAX($B11,AF$4))</f>
        <v/>
      </c>
      <c r="AG11">
        <f>MAX(0,MIN($C11,AG$4+1)-MAX($B11,AG$4))</f>
        <v/>
      </c>
      <c r="AH11">
        <f>MAX(0,MIN($C11,AH$4+1)-MAX($B11,AH$4))</f>
        <v/>
      </c>
      <c r="AI11">
        <f>MAX(0,MIN($C11,AI$4+1)-MAX($B11,AI$4))</f>
        <v/>
      </c>
      <c r="AJ11">
        <f>MAX(0,MIN($C11,AJ$4+1)-MAX($B11,AJ$4))</f>
        <v/>
      </c>
      <c r="AK11">
        <f>MAX(0,MIN($C11,AK$4+1)-MAX($B11,AK$4))</f>
        <v/>
      </c>
      <c r="AL11">
        <f>MAX(0,MIN($C11,AL$4+1)-MAX($B11,AL$4))</f>
        <v/>
      </c>
      <c r="AM11">
        <f>MAX(0,MIN($C11,AM$4+1)-MAX($B11,AM$4))</f>
        <v/>
      </c>
      <c r="AO11" t="n">
        <v>0</v>
      </c>
      <c r="AP11" t="n">
        <v>0</v>
      </c>
    </row>
    <row r="12">
      <c r="A12" t="inlineStr"/>
      <c r="B12" s="3" t="n">
        <v>0</v>
      </c>
      <c r="C12" s="3" t="n">
        <v>0</v>
      </c>
      <c r="D12" t="inlineStr"/>
      <c r="E12" t="n">
        <v>0</v>
      </c>
      <c r="F12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T12">
        <f>MAX(0,MIN($C12,T$4+1)-MAX($B12,T$4))</f>
        <v/>
      </c>
      <c r="U12">
        <f>MAX(0,MIN($C12,U$4+1)-MAX($B12,U$4))</f>
        <v/>
      </c>
      <c r="V12">
        <f>MAX(0,MIN($C12,V$4+1)-MAX($B12,V$4))</f>
        <v/>
      </c>
      <c r="W12">
        <f>MAX(0,MIN($C12,W$4+1)-MAX($B12,W$4))</f>
        <v/>
      </c>
      <c r="X12">
        <f>MAX(0,MIN($C12,X$4+1)-MAX($B12,X$4))</f>
        <v/>
      </c>
      <c r="Y12">
        <f>MAX(0,MIN($C12,Y$4+1)-MAX($B12,Y$4))</f>
        <v/>
      </c>
      <c r="Z12">
        <f>MAX(0,MIN($C12,Z$4+1)-MAX($B12,Z$4))</f>
        <v/>
      </c>
      <c r="AA12">
        <f>MAX(0,MIN($C12,AA$4+1)-MAX($B12,AA$4))</f>
        <v/>
      </c>
      <c r="AB12">
        <f>MAX(0,MIN($C12,AB$4+1)-MAX($B12,AB$4))</f>
        <v/>
      </c>
      <c r="AC12">
        <f>MAX(0,MIN($C12,AC$4+1)-MAX($B12,AC$4))</f>
        <v/>
      </c>
      <c r="AD12">
        <f>MAX(0,MIN($C12,AD$4+1)-MAX($B12,AD$4))</f>
        <v/>
      </c>
      <c r="AE12">
        <f>MAX(0,MIN($C12,AE$4+1)-MAX($B12,AE$4))</f>
        <v/>
      </c>
      <c r="AF12">
        <f>MAX(0,MIN($C12,AF$4+1)-MAX($B12,AF$4))</f>
        <v/>
      </c>
      <c r="AG12">
        <f>MAX(0,MIN($C12,AG$4+1)-MAX($B12,AG$4))</f>
        <v/>
      </c>
      <c r="AH12">
        <f>MAX(0,MIN($C12,AH$4+1)-MAX($B12,AH$4))</f>
        <v/>
      </c>
      <c r="AI12">
        <f>MAX(0,MIN($C12,AI$4+1)-MAX($B12,AI$4))</f>
        <v/>
      </c>
      <c r="AJ12">
        <f>MAX(0,MIN($C12,AJ$4+1)-MAX($B12,AJ$4))</f>
        <v/>
      </c>
      <c r="AK12">
        <f>MAX(0,MIN($C12,AK$4+1)-MAX($B12,AK$4))</f>
        <v/>
      </c>
      <c r="AL12">
        <f>MAX(0,MIN($C12,AL$4+1)-MAX($B12,AL$4))</f>
        <v/>
      </c>
      <c r="AM12">
        <f>MAX(0,MIN($C12,AM$4+1)-MAX($B12,AM$4))</f>
        <v/>
      </c>
      <c r="AO12" t="n">
        <v>0</v>
      </c>
      <c r="AP12" t="n">
        <v>0</v>
      </c>
    </row>
    <row r="13">
      <c r="A13" t="inlineStr"/>
      <c r="B13" s="3" t="n">
        <v>0</v>
      </c>
      <c r="C13" s="3" t="n">
        <v>0</v>
      </c>
      <c r="D13" t="inlineStr"/>
      <c r="E13" t="n">
        <v>0</v>
      </c>
      <c r="F1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T13">
        <f>MAX(0,MIN($C13,T$4+1)-MAX($B13,T$4))</f>
        <v/>
      </c>
      <c r="U13">
        <f>MAX(0,MIN($C13,U$4+1)-MAX($B13,U$4))</f>
        <v/>
      </c>
      <c r="V13">
        <f>MAX(0,MIN($C13,V$4+1)-MAX($B13,V$4))</f>
        <v/>
      </c>
      <c r="W13">
        <f>MAX(0,MIN($C13,W$4+1)-MAX($B13,W$4))</f>
        <v/>
      </c>
      <c r="X13">
        <f>MAX(0,MIN($C13,X$4+1)-MAX($B13,X$4))</f>
        <v/>
      </c>
      <c r="Y13">
        <f>MAX(0,MIN($C13,Y$4+1)-MAX($B13,Y$4))</f>
        <v/>
      </c>
      <c r="Z13">
        <f>MAX(0,MIN($C13,Z$4+1)-MAX($B13,Z$4))</f>
        <v/>
      </c>
      <c r="AA13">
        <f>MAX(0,MIN($C13,AA$4+1)-MAX($B13,AA$4))</f>
        <v/>
      </c>
      <c r="AB13">
        <f>MAX(0,MIN($C13,AB$4+1)-MAX($B13,AB$4))</f>
        <v/>
      </c>
      <c r="AC13">
        <f>MAX(0,MIN($C13,AC$4+1)-MAX($B13,AC$4))</f>
        <v/>
      </c>
      <c r="AD13">
        <f>MAX(0,MIN($C13,AD$4+1)-MAX($B13,AD$4))</f>
        <v/>
      </c>
      <c r="AE13">
        <f>MAX(0,MIN($C13,AE$4+1)-MAX($B13,AE$4))</f>
        <v/>
      </c>
      <c r="AF13">
        <f>MAX(0,MIN($C13,AF$4+1)-MAX($B13,AF$4))</f>
        <v/>
      </c>
      <c r="AG13">
        <f>MAX(0,MIN($C13,AG$4+1)-MAX($B13,AG$4))</f>
        <v/>
      </c>
      <c r="AH13">
        <f>MAX(0,MIN($C13,AH$4+1)-MAX($B13,AH$4))</f>
        <v/>
      </c>
      <c r="AI13">
        <f>MAX(0,MIN($C13,AI$4+1)-MAX($B13,AI$4))</f>
        <v/>
      </c>
      <c r="AJ13">
        <f>MAX(0,MIN($C13,AJ$4+1)-MAX($B13,AJ$4))</f>
        <v/>
      </c>
      <c r="AK13">
        <f>MAX(0,MIN($C13,AK$4+1)-MAX($B13,AK$4))</f>
        <v/>
      </c>
      <c r="AL13">
        <f>MAX(0,MIN($C13,AL$4+1)-MAX($B13,AL$4))</f>
        <v/>
      </c>
      <c r="AM13">
        <f>MAX(0,MIN($C13,AM$4+1)-MAX($B13,AM$4))</f>
        <v/>
      </c>
      <c r="AO13" t="n">
        <v>0</v>
      </c>
      <c r="AP13" t="n">
        <v>0</v>
      </c>
    </row>
    <row r="14">
      <c r="A14" t="inlineStr"/>
      <c r="B14" s="3" t="n">
        <v>0</v>
      </c>
      <c r="C14" s="3" t="n">
        <v>0</v>
      </c>
      <c r="D14" t="inlineStr"/>
      <c r="E14" t="n">
        <v>0</v>
      </c>
      <c r="F14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T14">
        <f>MAX(0,MIN($C14,T$4+1)-MAX($B14,T$4))</f>
        <v/>
      </c>
      <c r="U14">
        <f>MAX(0,MIN($C14,U$4+1)-MAX($B14,U$4))</f>
        <v/>
      </c>
      <c r="V14">
        <f>MAX(0,MIN($C14,V$4+1)-MAX($B14,V$4))</f>
        <v/>
      </c>
      <c r="W14">
        <f>MAX(0,MIN($C14,W$4+1)-MAX($B14,W$4))</f>
        <v/>
      </c>
      <c r="X14">
        <f>MAX(0,MIN($C14,X$4+1)-MAX($B14,X$4))</f>
        <v/>
      </c>
      <c r="Y14">
        <f>MAX(0,MIN($C14,Y$4+1)-MAX($B14,Y$4))</f>
        <v/>
      </c>
      <c r="Z14">
        <f>MAX(0,MIN($C14,Z$4+1)-MAX($B14,Z$4))</f>
        <v/>
      </c>
      <c r="AA14">
        <f>MAX(0,MIN($C14,AA$4+1)-MAX($B14,AA$4))</f>
        <v/>
      </c>
      <c r="AB14">
        <f>MAX(0,MIN($C14,AB$4+1)-MAX($B14,AB$4))</f>
        <v/>
      </c>
      <c r="AC14">
        <f>MAX(0,MIN($C14,AC$4+1)-MAX($B14,AC$4))</f>
        <v/>
      </c>
      <c r="AD14">
        <f>MAX(0,MIN($C14,AD$4+1)-MAX($B14,AD$4))</f>
        <v/>
      </c>
      <c r="AE14">
        <f>MAX(0,MIN($C14,AE$4+1)-MAX($B14,AE$4))</f>
        <v/>
      </c>
      <c r="AF14">
        <f>MAX(0,MIN($C14,AF$4+1)-MAX($B14,AF$4))</f>
        <v/>
      </c>
      <c r="AG14">
        <f>MAX(0,MIN($C14,AG$4+1)-MAX($B14,AG$4))</f>
        <v/>
      </c>
      <c r="AH14">
        <f>MAX(0,MIN($C14,AH$4+1)-MAX($B14,AH$4))</f>
        <v/>
      </c>
      <c r="AI14">
        <f>MAX(0,MIN($C14,AI$4+1)-MAX($B14,AI$4))</f>
        <v/>
      </c>
      <c r="AJ14">
        <f>MAX(0,MIN($C14,AJ$4+1)-MAX($B14,AJ$4))</f>
        <v/>
      </c>
      <c r="AK14">
        <f>MAX(0,MIN($C14,AK$4+1)-MAX($B14,AK$4))</f>
        <v/>
      </c>
      <c r="AL14">
        <f>MAX(0,MIN($C14,AL$4+1)-MAX($B14,AL$4))</f>
        <v/>
      </c>
      <c r="AM14">
        <f>MAX(0,MIN($C14,AM$4+1)-MAX($B14,AM$4))</f>
        <v/>
      </c>
      <c r="AO14" t="n">
        <v>0</v>
      </c>
      <c r="AP14" t="n">
        <v>0</v>
      </c>
    </row>
    <row r="15">
      <c r="A15" t="inlineStr"/>
      <c r="B15" s="3" t="n">
        <v>0</v>
      </c>
      <c r="C15" s="3" t="n">
        <v>0</v>
      </c>
      <c r="D15" t="inlineStr"/>
      <c r="E15" t="n">
        <v>0</v>
      </c>
      <c r="F15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T15">
        <f>MAX(0,MIN($C15,T$4+1)-MAX($B15,T$4))</f>
        <v/>
      </c>
      <c r="U15">
        <f>MAX(0,MIN($C15,U$4+1)-MAX($B15,U$4))</f>
        <v/>
      </c>
      <c r="V15">
        <f>MAX(0,MIN($C15,V$4+1)-MAX($B15,V$4))</f>
        <v/>
      </c>
      <c r="W15">
        <f>MAX(0,MIN($C15,W$4+1)-MAX($B15,W$4))</f>
        <v/>
      </c>
      <c r="X15">
        <f>MAX(0,MIN($C15,X$4+1)-MAX($B15,X$4))</f>
        <v/>
      </c>
      <c r="Y15">
        <f>MAX(0,MIN($C15,Y$4+1)-MAX($B15,Y$4))</f>
        <v/>
      </c>
      <c r="Z15">
        <f>MAX(0,MIN($C15,Z$4+1)-MAX($B15,Z$4))</f>
        <v/>
      </c>
      <c r="AA15">
        <f>MAX(0,MIN($C15,AA$4+1)-MAX($B15,AA$4))</f>
        <v/>
      </c>
      <c r="AB15">
        <f>MAX(0,MIN($C15,AB$4+1)-MAX($B15,AB$4))</f>
        <v/>
      </c>
      <c r="AC15">
        <f>MAX(0,MIN($C15,AC$4+1)-MAX($B15,AC$4))</f>
        <v/>
      </c>
      <c r="AD15">
        <f>MAX(0,MIN($C15,AD$4+1)-MAX($B15,AD$4))</f>
        <v/>
      </c>
      <c r="AE15">
        <f>MAX(0,MIN($C15,AE$4+1)-MAX($B15,AE$4))</f>
        <v/>
      </c>
      <c r="AF15">
        <f>MAX(0,MIN($C15,AF$4+1)-MAX($B15,AF$4))</f>
        <v/>
      </c>
      <c r="AG15">
        <f>MAX(0,MIN($C15,AG$4+1)-MAX($B15,AG$4))</f>
        <v/>
      </c>
      <c r="AH15">
        <f>MAX(0,MIN($C15,AH$4+1)-MAX($B15,AH$4))</f>
        <v/>
      </c>
      <c r="AI15">
        <f>MAX(0,MIN($C15,AI$4+1)-MAX($B15,AI$4))</f>
        <v/>
      </c>
      <c r="AJ15">
        <f>MAX(0,MIN($C15,AJ$4+1)-MAX($B15,AJ$4))</f>
        <v/>
      </c>
      <c r="AK15">
        <f>MAX(0,MIN($C15,AK$4+1)-MAX($B15,AK$4))</f>
        <v/>
      </c>
      <c r="AL15">
        <f>MAX(0,MIN($C15,AL$4+1)-MAX($B15,AL$4))</f>
        <v/>
      </c>
      <c r="AM15">
        <f>MAX(0,MIN($C15,AM$4+1)-MAX($B15,AM$4))</f>
        <v/>
      </c>
      <c r="AO15" t="n">
        <v>0</v>
      </c>
      <c r="AP15" t="n">
        <v>0</v>
      </c>
    </row>
    <row r="16">
      <c r="A16" t="inlineStr"/>
      <c r="B16" s="3" t="n">
        <v>0</v>
      </c>
      <c r="C16" s="3" t="n">
        <v>0</v>
      </c>
      <c r="D16" t="inlineStr"/>
      <c r="E16" t="n">
        <v>0</v>
      </c>
      <c r="F16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0</v>
      </c>
      <c r="T16">
        <f>MAX(0,MIN($C16,T$4+1)-MAX($B16,T$4))</f>
        <v/>
      </c>
      <c r="U16">
        <f>MAX(0,MIN($C16,U$4+1)-MAX($B16,U$4))</f>
        <v/>
      </c>
      <c r="V16">
        <f>MAX(0,MIN($C16,V$4+1)-MAX($B16,V$4))</f>
        <v/>
      </c>
      <c r="W16">
        <f>MAX(0,MIN($C16,W$4+1)-MAX($B16,W$4))</f>
        <v/>
      </c>
      <c r="X16">
        <f>MAX(0,MIN($C16,X$4+1)-MAX($B16,X$4))</f>
        <v/>
      </c>
      <c r="Y16">
        <f>MAX(0,MIN($C16,Y$4+1)-MAX($B16,Y$4))</f>
        <v/>
      </c>
      <c r="Z16">
        <f>MAX(0,MIN($C16,Z$4+1)-MAX($B16,Z$4))</f>
        <v/>
      </c>
      <c r="AA16">
        <f>MAX(0,MIN($C16,AA$4+1)-MAX($B16,AA$4))</f>
        <v/>
      </c>
      <c r="AB16">
        <f>MAX(0,MIN($C16,AB$4+1)-MAX($B16,AB$4))</f>
        <v/>
      </c>
      <c r="AC16">
        <f>MAX(0,MIN($C16,AC$4+1)-MAX($B16,AC$4))</f>
        <v/>
      </c>
      <c r="AD16">
        <f>MAX(0,MIN($C16,AD$4+1)-MAX($B16,AD$4))</f>
        <v/>
      </c>
      <c r="AE16">
        <f>MAX(0,MIN($C16,AE$4+1)-MAX($B16,AE$4))</f>
        <v/>
      </c>
      <c r="AF16">
        <f>MAX(0,MIN($C16,AF$4+1)-MAX($B16,AF$4))</f>
        <v/>
      </c>
      <c r="AG16">
        <f>MAX(0,MIN($C16,AG$4+1)-MAX($B16,AG$4))</f>
        <v/>
      </c>
      <c r="AH16">
        <f>MAX(0,MIN($C16,AH$4+1)-MAX($B16,AH$4))</f>
        <v/>
      </c>
      <c r="AI16">
        <f>MAX(0,MIN($C16,AI$4+1)-MAX($B16,AI$4))</f>
        <v/>
      </c>
      <c r="AJ16">
        <f>MAX(0,MIN($C16,AJ$4+1)-MAX($B16,AJ$4))</f>
        <v/>
      </c>
      <c r="AK16">
        <f>MAX(0,MIN($C16,AK$4+1)-MAX($B16,AK$4))</f>
        <v/>
      </c>
      <c r="AL16">
        <f>MAX(0,MIN($C16,AL$4+1)-MAX($B16,AL$4))</f>
        <v/>
      </c>
      <c r="AM16">
        <f>MAX(0,MIN($C16,AM$4+1)-MAX($B16,AM$4))</f>
        <v/>
      </c>
      <c r="AO16" t="n">
        <v>0</v>
      </c>
      <c r="AP16" t="n">
        <v>0</v>
      </c>
    </row>
    <row r="17">
      <c r="A17" t="inlineStr"/>
      <c r="B17" s="3" t="n">
        <v>0</v>
      </c>
      <c r="C17" s="3" t="n">
        <v>0</v>
      </c>
      <c r="D17" t="inlineStr"/>
      <c r="E17" t="n">
        <v>0</v>
      </c>
      <c r="F17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T17">
        <f>MAX(0,MIN($C17,T$4+1)-MAX($B17,T$4))</f>
        <v/>
      </c>
      <c r="U17">
        <f>MAX(0,MIN($C17,U$4+1)-MAX($B17,U$4))</f>
        <v/>
      </c>
      <c r="V17">
        <f>MAX(0,MIN($C17,V$4+1)-MAX($B17,V$4))</f>
        <v/>
      </c>
      <c r="W17">
        <f>MAX(0,MIN($C17,W$4+1)-MAX($B17,W$4))</f>
        <v/>
      </c>
      <c r="X17">
        <f>MAX(0,MIN($C17,X$4+1)-MAX($B17,X$4))</f>
        <v/>
      </c>
      <c r="Y17">
        <f>MAX(0,MIN($C17,Y$4+1)-MAX($B17,Y$4))</f>
        <v/>
      </c>
      <c r="Z17">
        <f>MAX(0,MIN($C17,Z$4+1)-MAX($B17,Z$4))</f>
        <v/>
      </c>
      <c r="AA17">
        <f>MAX(0,MIN($C17,AA$4+1)-MAX($B17,AA$4))</f>
        <v/>
      </c>
      <c r="AB17">
        <f>MAX(0,MIN($C17,AB$4+1)-MAX($B17,AB$4))</f>
        <v/>
      </c>
      <c r="AC17">
        <f>MAX(0,MIN($C17,AC$4+1)-MAX($B17,AC$4))</f>
        <v/>
      </c>
      <c r="AD17">
        <f>MAX(0,MIN($C17,AD$4+1)-MAX($B17,AD$4))</f>
        <v/>
      </c>
      <c r="AE17">
        <f>MAX(0,MIN($C17,AE$4+1)-MAX($B17,AE$4))</f>
        <v/>
      </c>
      <c r="AF17">
        <f>MAX(0,MIN($C17,AF$4+1)-MAX($B17,AF$4))</f>
        <v/>
      </c>
      <c r="AG17">
        <f>MAX(0,MIN($C17,AG$4+1)-MAX($B17,AG$4))</f>
        <v/>
      </c>
      <c r="AH17">
        <f>MAX(0,MIN($C17,AH$4+1)-MAX($B17,AH$4))</f>
        <v/>
      </c>
      <c r="AI17">
        <f>MAX(0,MIN($C17,AI$4+1)-MAX($B17,AI$4))</f>
        <v/>
      </c>
      <c r="AJ17">
        <f>MAX(0,MIN($C17,AJ$4+1)-MAX($B17,AJ$4))</f>
        <v/>
      </c>
      <c r="AK17">
        <f>MAX(0,MIN($C17,AK$4+1)-MAX($B17,AK$4))</f>
        <v/>
      </c>
      <c r="AL17">
        <f>MAX(0,MIN($C17,AL$4+1)-MAX($B17,AL$4))</f>
        <v/>
      </c>
      <c r="AM17">
        <f>MAX(0,MIN($C17,AM$4+1)-MAX($B17,AM$4))</f>
        <v/>
      </c>
      <c r="AO17" t="n">
        <v>0</v>
      </c>
      <c r="AP17" t="n">
        <v>0</v>
      </c>
    </row>
    <row r="18">
      <c r="A18" t="inlineStr"/>
      <c r="B18" s="3" t="n">
        <v>0</v>
      </c>
      <c r="C18" s="3" t="n">
        <v>0</v>
      </c>
      <c r="D18" t="inlineStr"/>
      <c r="E18" t="n">
        <v>0</v>
      </c>
      <c r="F18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T18">
        <f>MAX(0,MIN($C18,T$4+1)-MAX($B18,T$4))</f>
        <v/>
      </c>
      <c r="U18">
        <f>MAX(0,MIN($C18,U$4+1)-MAX($B18,U$4))</f>
        <v/>
      </c>
      <c r="V18">
        <f>MAX(0,MIN($C18,V$4+1)-MAX($B18,V$4))</f>
        <v/>
      </c>
      <c r="W18">
        <f>MAX(0,MIN($C18,W$4+1)-MAX($B18,W$4))</f>
        <v/>
      </c>
      <c r="X18">
        <f>MAX(0,MIN($C18,X$4+1)-MAX($B18,X$4))</f>
        <v/>
      </c>
      <c r="Y18">
        <f>MAX(0,MIN($C18,Y$4+1)-MAX($B18,Y$4))</f>
        <v/>
      </c>
      <c r="Z18">
        <f>MAX(0,MIN($C18,Z$4+1)-MAX($B18,Z$4))</f>
        <v/>
      </c>
      <c r="AA18">
        <f>MAX(0,MIN($C18,AA$4+1)-MAX($B18,AA$4))</f>
        <v/>
      </c>
      <c r="AB18">
        <f>MAX(0,MIN($C18,AB$4+1)-MAX($B18,AB$4))</f>
        <v/>
      </c>
      <c r="AC18">
        <f>MAX(0,MIN($C18,AC$4+1)-MAX($B18,AC$4))</f>
        <v/>
      </c>
      <c r="AD18">
        <f>MAX(0,MIN($C18,AD$4+1)-MAX($B18,AD$4))</f>
        <v/>
      </c>
      <c r="AE18">
        <f>MAX(0,MIN($C18,AE$4+1)-MAX($B18,AE$4))</f>
        <v/>
      </c>
      <c r="AF18">
        <f>MAX(0,MIN($C18,AF$4+1)-MAX($B18,AF$4))</f>
        <v/>
      </c>
      <c r="AG18">
        <f>MAX(0,MIN($C18,AG$4+1)-MAX($B18,AG$4))</f>
        <v/>
      </c>
      <c r="AH18">
        <f>MAX(0,MIN($C18,AH$4+1)-MAX($B18,AH$4))</f>
        <v/>
      </c>
      <c r="AI18">
        <f>MAX(0,MIN($C18,AI$4+1)-MAX($B18,AI$4))</f>
        <v/>
      </c>
      <c r="AJ18">
        <f>MAX(0,MIN($C18,AJ$4+1)-MAX($B18,AJ$4))</f>
        <v/>
      </c>
      <c r="AK18">
        <f>MAX(0,MIN($C18,AK$4+1)-MAX($B18,AK$4))</f>
        <v/>
      </c>
      <c r="AL18">
        <f>MAX(0,MIN($C18,AL$4+1)-MAX($B18,AL$4))</f>
        <v/>
      </c>
      <c r="AM18">
        <f>MAX(0,MIN($C18,AM$4+1)-MAX($B18,AM$4))</f>
        <v/>
      </c>
      <c r="AO18" t="n">
        <v>0</v>
      </c>
      <c r="AP18" t="n">
        <v>0</v>
      </c>
    </row>
    <row r="19">
      <c r="A19" t="inlineStr"/>
      <c r="B19" s="3" t="n">
        <v>0</v>
      </c>
      <c r="C19" s="3" t="n">
        <v>0</v>
      </c>
      <c r="D19" t="inlineStr"/>
      <c r="E19" t="n">
        <v>0</v>
      </c>
      <c r="F19" t="n">
        <v>0</v>
      </c>
      <c r="G19" s="3" t="n">
        <v>0</v>
      </c>
      <c r="H19" s="3" t="n">
        <v>0</v>
      </c>
      <c r="I19" s="3" t="n">
        <v>0</v>
      </c>
      <c r="J19" s="3" t="n">
        <v>0</v>
      </c>
      <c r="K19" s="3" t="n">
        <v>0</v>
      </c>
      <c r="L19" s="3" t="n">
        <v>0</v>
      </c>
      <c r="M19" s="3" t="n">
        <v>0</v>
      </c>
      <c r="N19" s="3" t="n">
        <v>0</v>
      </c>
      <c r="O19" s="3" t="n">
        <v>0</v>
      </c>
      <c r="P19" s="3" t="n">
        <v>0</v>
      </c>
      <c r="Q19" s="3" t="n">
        <v>0</v>
      </c>
      <c r="R19" s="3" t="n">
        <v>0</v>
      </c>
      <c r="T19">
        <f>MAX(0,MIN($C19,T$4+1)-MAX($B19,T$4))</f>
        <v/>
      </c>
      <c r="U19">
        <f>MAX(0,MIN($C19,U$4+1)-MAX($B19,U$4))</f>
        <v/>
      </c>
      <c r="V19">
        <f>MAX(0,MIN($C19,V$4+1)-MAX($B19,V$4))</f>
        <v/>
      </c>
      <c r="W19">
        <f>MAX(0,MIN($C19,W$4+1)-MAX($B19,W$4))</f>
        <v/>
      </c>
      <c r="X19">
        <f>MAX(0,MIN($C19,X$4+1)-MAX($B19,X$4))</f>
        <v/>
      </c>
      <c r="Y19">
        <f>MAX(0,MIN($C19,Y$4+1)-MAX($B19,Y$4))</f>
        <v/>
      </c>
      <c r="Z19">
        <f>MAX(0,MIN($C19,Z$4+1)-MAX($B19,Z$4))</f>
        <v/>
      </c>
      <c r="AA19">
        <f>MAX(0,MIN($C19,AA$4+1)-MAX($B19,AA$4))</f>
        <v/>
      </c>
      <c r="AB19">
        <f>MAX(0,MIN($C19,AB$4+1)-MAX($B19,AB$4))</f>
        <v/>
      </c>
      <c r="AC19">
        <f>MAX(0,MIN($C19,AC$4+1)-MAX($B19,AC$4))</f>
        <v/>
      </c>
      <c r="AD19">
        <f>MAX(0,MIN($C19,AD$4+1)-MAX($B19,AD$4))</f>
        <v/>
      </c>
      <c r="AE19">
        <f>MAX(0,MIN($C19,AE$4+1)-MAX($B19,AE$4))</f>
        <v/>
      </c>
      <c r="AF19">
        <f>MAX(0,MIN($C19,AF$4+1)-MAX($B19,AF$4))</f>
        <v/>
      </c>
      <c r="AG19">
        <f>MAX(0,MIN($C19,AG$4+1)-MAX($B19,AG$4))</f>
        <v/>
      </c>
      <c r="AH19">
        <f>MAX(0,MIN($C19,AH$4+1)-MAX($B19,AH$4))</f>
        <v/>
      </c>
      <c r="AI19">
        <f>MAX(0,MIN($C19,AI$4+1)-MAX($B19,AI$4))</f>
        <v/>
      </c>
      <c r="AJ19">
        <f>MAX(0,MIN($C19,AJ$4+1)-MAX($B19,AJ$4))</f>
        <v/>
      </c>
      <c r="AK19">
        <f>MAX(0,MIN($C19,AK$4+1)-MAX($B19,AK$4))</f>
        <v/>
      </c>
      <c r="AL19">
        <f>MAX(0,MIN($C19,AL$4+1)-MAX($B19,AL$4))</f>
        <v/>
      </c>
      <c r="AM19">
        <f>MAX(0,MIN($C19,AM$4+1)-MAX($B19,AM$4))</f>
        <v/>
      </c>
      <c r="AO19" t="n">
        <v>0</v>
      </c>
      <c r="AP19" t="n">
        <v>0</v>
      </c>
    </row>
    <row r="20">
      <c r="A20" t="inlineStr"/>
      <c r="B20" s="3" t="n">
        <v>0</v>
      </c>
      <c r="C20" s="3" t="n">
        <v>0</v>
      </c>
      <c r="D20" t="inlineStr"/>
      <c r="E20" t="n">
        <v>0</v>
      </c>
      <c r="F20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T20">
        <f>MAX(0,MIN($C20,T$4+1)-MAX($B20,T$4))</f>
        <v/>
      </c>
      <c r="U20">
        <f>MAX(0,MIN($C20,U$4+1)-MAX($B20,U$4))</f>
        <v/>
      </c>
      <c r="V20">
        <f>MAX(0,MIN($C20,V$4+1)-MAX($B20,V$4))</f>
        <v/>
      </c>
      <c r="W20">
        <f>MAX(0,MIN($C20,W$4+1)-MAX($B20,W$4))</f>
        <v/>
      </c>
      <c r="X20">
        <f>MAX(0,MIN($C20,X$4+1)-MAX($B20,X$4))</f>
        <v/>
      </c>
      <c r="Y20">
        <f>MAX(0,MIN($C20,Y$4+1)-MAX($B20,Y$4))</f>
        <v/>
      </c>
      <c r="Z20">
        <f>MAX(0,MIN($C20,Z$4+1)-MAX($B20,Z$4))</f>
        <v/>
      </c>
      <c r="AA20">
        <f>MAX(0,MIN($C20,AA$4+1)-MAX($B20,AA$4))</f>
        <v/>
      </c>
      <c r="AB20">
        <f>MAX(0,MIN($C20,AB$4+1)-MAX($B20,AB$4))</f>
        <v/>
      </c>
      <c r="AC20">
        <f>MAX(0,MIN($C20,AC$4+1)-MAX($B20,AC$4))</f>
        <v/>
      </c>
      <c r="AD20">
        <f>MAX(0,MIN($C20,AD$4+1)-MAX($B20,AD$4))</f>
        <v/>
      </c>
      <c r="AE20">
        <f>MAX(0,MIN($C20,AE$4+1)-MAX($B20,AE$4))</f>
        <v/>
      </c>
      <c r="AF20">
        <f>MAX(0,MIN($C20,AF$4+1)-MAX($B20,AF$4))</f>
        <v/>
      </c>
      <c r="AG20">
        <f>MAX(0,MIN($C20,AG$4+1)-MAX($B20,AG$4))</f>
        <v/>
      </c>
      <c r="AH20">
        <f>MAX(0,MIN($C20,AH$4+1)-MAX($B20,AH$4))</f>
        <v/>
      </c>
      <c r="AI20">
        <f>MAX(0,MIN($C20,AI$4+1)-MAX($B20,AI$4))</f>
        <v/>
      </c>
      <c r="AJ20">
        <f>MAX(0,MIN($C20,AJ$4+1)-MAX($B20,AJ$4))</f>
        <v/>
      </c>
      <c r="AK20">
        <f>MAX(0,MIN($C20,AK$4+1)-MAX($B20,AK$4))</f>
        <v/>
      </c>
      <c r="AL20">
        <f>MAX(0,MIN($C20,AL$4+1)-MAX($B20,AL$4))</f>
        <v/>
      </c>
      <c r="AM20">
        <f>MAX(0,MIN($C20,AM$4+1)-MAX($B20,AM$4))</f>
        <v/>
      </c>
      <c r="AO20" t="n">
        <v>0</v>
      </c>
      <c r="AP20" t="n">
        <v>0</v>
      </c>
    </row>
    <row r="21">
      <c r="A21" t="inlineStr"/>
      <c r="B21" s="3" t="n">
        <v>0</v>
      </c>
      <c r="C21" s="3" t="n">
        <v>0</v>
      </c>
      <c r="D21" t="inlineStr"/>
      <c r="E21" t="n">
        <v>0</v>
      </c>
      <c r="F21" t="n">
        <v>0</v>
      </c>
      <c r="G21" s="3" t="n">
        <v>0</v>
      </c>
      <c r="H21" s="3" t="n">
        <v>0</v>
      </c>
      <c r="I21" s="3" t="n">
        <v>0</v>
      </c>
      <c r="J21" s="3" t="n">
        <v>0</v>
      </c>
      <c r="K21" s="3" t="n">
        <v>0</v>
      </c>
      <c r="L21" s="3" t="n">
        <v>0</v>
      </c>
      <c r="M21" s="3" t="n">
        <v>0</v>
      </c>
      <c r="N21" s="3" t="n">
        <v>0</v>
      </c>
      <c r="O21" s="3" t="n">
        <v>0</v>
      </c>
      <c r="P21" s="3" t="n">
        <v>0</v>
      </c>
      <c r="Q21" s="3" t="n">
        <v>0</v>
      </c>
      <c r="R21" s="3" t="n">
        <v>0</v>
      </c>
      <c r="T21">
        <f>MAX(0,MIN($C21,T$4+1)-MAX($B21,T$4))</f>
        <v/>
      </c>
      <c r="U21">
        <f>MAX(0,MIN($C21,U$4+1)-MAX($B21,U$4))</f>
        <v/>
      </c>
      <c r="V21">
        <f>MAX(0,MIN($C21,V$4+1)-MAX($B21,V$4))</f>
        <v/>
      </c>
      <c r="W21">
        <f>MAX(0,MIN($C21,W$4+1)-MAX($B21,W$4))</f>
        <v/>
      </c>
      <c r="X21">
        <f>MAX(0,MIN($C21,X$4+1)-MAX($B21,X$4))</f>
        <v/>
      </c>
      <c r="Y21">
        <f>MAX(0,MIN($C21,Y$4+1)-MAX($B21,Y$4))</f>
        <v/>
      </c>
      <c r="Z21">
        <f>MAX(0,MIN($C21,Z$4+1)-MAX($B21,Z$4))</f>
        <v/>
      </c>
      <c r="AA21">
        <f>MAX(0,MIN($C21,AA$4+1)-MAX($B21,AA$4))</f>
        <v/>
      </c>
      <c r="AB21">
        <f>MAX(0,MIN($C21,AB$4+1)-MAX($B21,AB$4))</f>
        <v/>
      </c>
      <c r="AC21">
        <f>MAX(0,MIN($C21,AC$4+1)-MAX($B21,AC$4))</f>
        <v/>
      </c>
      <c r="AD21">
        <f>MAX(0,MIN($C21,AD$4+1)-MAX($B21,AD$4))</f>
        <v/>
      </c>
      <c r="AE21">
        <f>MAX(0,MIN($C21,AE$4+1)-MAX($B21,AE$4))</f>
        <v/>
      </c>
      <c r="AF21">
        <f>MAX(0,MIN($C21,AF$4+1)-MAX($B21,AF$4))</f>
        <v/>
      </c>
      <c r="AG21">
        <f>MAX(0,MIN($C21,AG$4+1)-MAX($B21,AG$4))</f>
        <v/>
      </c>
      <c r="AH21">
        <f>MAX(0,MIN($C21,AH$4+1)-MAX($B21,AH$4))</f>
        <v/>
      </c>
      <c r="AI21">
        <f>MAX(0,MIN($C21,AI$4+1)-MAX($B21,AI$4))</f>
        <v/>
      </c>
      <c r="AJ21">
        <f>MAX(0,MIN($C21,AJ$4+1)-MAX($B21,AJ$4))</f>
        <v/>
      </c>
      <c r="AK21">
        <f>MAX(0,MIN($C21,AK$4+1)-MAX($B21,AK$4))</f>
        <v/>
      </c>
      <c r="AL21">
        <f>MAX(0,MIN($C21,AL$4+1)-MAX($B21,AL$4))</f>
        <v/>
      </c>
      <c r="AM21">
        <f>MAX(0,MIN($C21,AM$4+1)-MAX($B21,AM$4))</f>
        <v/>
      </c>
      <c r="AO21" t="n">
        <v>0</v>
      </c>
      <c r="AP21" t="n">
        <v>0</v>
      </c>
    </row>
    <row r="22">
      <c r="A22" t="inlineStr"/>
      <c r="B22" s="3" t="n">
        <v>0</v>
      </c>
      <c r="C22" s="3" t="n">
        <v>0</v>
      </c>
      <c r="D22" t="inlineStr"/>
      <c r="E22" t="n">
        <v>0</v>
      </c>
      <c r="F22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T22">
        <f>MAX(0,MIN($C22,T$4+1)-MAX($B22,T$4))</f>
        <v/>
      </c>
      <c r="U22">
        <f>MAX(0,MIN($C22,U$4+1)-MAX($B22,U$4))</f>
        <v/>
      </c>
      <c r="V22">
        <f>MAX(0,MIN($C22,V$4+1)-MAX($B22,V$4))</f>
        <v/>
      </c>
      <c r="W22">
        <f>MAX(0,MIN($C22,W$4+1)-MAX($B22,W$4))</f>
        <v/>
      </c>
      <c r="X22">
        <f>MAX(0,MIN($C22,X$4+1)-MAX($B22,X$4))</f>
        <v/>
      </c>
      <c r="Y22">
        <f>MAX(0,MIN($C22,Y$4+1)-MAX($B22,Y$4))</f>
        <v/>
      </c>
      <c r="Z22">
        <f>MAX(0,MIN($C22,Z$4+1)-MAX($B22,Z$4))</f>
        <v/>
      </c>
      <c r="AA22">
        <f>MAX(0,MIN($C22,AA$4+1)-MAX($B22,AA$4))</f>
        <v/>
      </c>
      <c r="AB22">
        <f>MAX(0,MIN($C22,AB$4+1)-MAX($B22,AB$4))</f>
        <v/>
      </c>
      <c r="AC22">
        <f>MAX(0,MIN($C22,AC$4+1)-MAX($B22,AC$4))</f>
        <v/>
      </c>
      <c r="AD22">
        <f>MAX(0,MIN($C22,AD$4+1)-MAX($B22,AD$4))</f>
        <v/>
      </c>
      <c r="AE22">
        <f>MAX(0,MIN($C22,AE$4+1)-MAX($B22,AE$4))</f>
        <v/>
      </c>
      <c r="AF22">
        <f>MAX(0,MIN($C22,AF$4+1)-MAX($B22,AF$4))</f>
        <v/>
      </c>
      <c r="AG22">
        <f>MAX(0,MIN($C22,AG$4+1)-MAX($B22,AG$4))</f>
        <v/>
      </c>
      <c r="AH22">
        <f>MAX(0,MIN($C22,AH$4+1)-MAX($B22,AH$4))</f>
        <v/>
      </c>
      <c r="AI22">
        <f>MAX(0,MIN($C22,AI$4+1)-MAX($B22,AI$4))</f>
        <v/>
      </c>
      <c r="AJ22">
        <f>MAX(0,MIN($C22,AJ$4+1)-MAX($B22,AJ$4))</f>
        <v/>
      </c>
      <c r="AK22">
        <f>MAX(0,MIN($C22,AK$4+1)-MAX($B22,AK$4))</f>
        <v/>
      </c>
      <c r="AL22">
        <f>MAX(0,MIN($C22,AL$4+1)-MAX($B22,AL$4))</f>
        <v/>
      </c>
      <c r="AM22">
        <f>MAX(0,MIN($C22,AM$4+1)-MAX($B22,AM$4))</f>
        <v/>
      </c>
      <c r="AO22" t="n">
        <v>0</v>
      </c>
      <c r="AP22" t="n">
        <v>0</v>
      </c>
    </row>
    <row r="23">
      <c r="A23" t="inlineStr"/>
      <c r="B23" s="3" t="n">
        <v>0</v>
      </c>
      <c r="C23" s="3" t="n">
        <v>0</v>
      </c>
      <c r="D23" t="inlineStr"/>
      <c r="E23" t="n">
        <v>0</v>
      </c>
      <c r="F2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T23">
        <f>MAX(0,MIN($C23,T$4+1)-MAX($B23,T$4))</f>
        <v/>
      </c>
      <c r="U23">
        <f>MAX(0,MIN($C23,U$4+1)-MAX($B23,U$4))</f>
        <v/>
      </c>
      <c r="V23">
        <f>MAX(0,MIN($C23,V$4+1)-MAX($B23,V$4))</f>
        <v/>
      </c>
      <c r="W23">
        <f>MAX(0,MIN($C23,W$4+1)-MAX($B23,W$4))</f>
        <v/>
      </c>
      <c r="X23">
        <f>MAX(0,MIN($C23,X$4+1)-MAX($B23,X$4))</f>
        <v/>
      </c>
      <c r="Y23">
        <f>MAX(0,MIN($C23,Y$4+1)-MAX($B23,Y$4))</f>
        <v/>
      </c>
      <c r="Z23">
        <f>MAX(0,MIN($C23,Z$4+1)-MAX($B23,Z$4))</f>
        <v/>
      </c>
      <c r="AA23">
        <f>MAX(0,MIN($C23,AA$4+1)-MAX($B23,AA$4))</f>
        <v/>
      </c>
      <c r="AB23">
        <f>MAX(0,MIN($C23,AB$4+1)-MAX($B23,AB$4))</f>
        <v/>
      </c>
      <c r="AC23">
        <f>MAX(0,MIN($C23,AC$4+1)-MAX($B23,AC$4))</f>
        <v/>
      </c>
      <c r="AD23">
        <f>MAX(0,MIN($C23,AD$4+1)-MAX($B23,AD$4))</f>
        <v/>
      </c>
      <c r="AE23">
        <f>MAX(0,MIN($C23,AE$4+1)-MAX($B23,AE$4))</f>
        <v/>
      </c>
      <c r="AF23">
        <f>MAX(0,MIN($C23,AF$4+1)-MAX($B23,AF$4))</f>
        <v/>
      </c>
      <c r="AG23">
        <f>MAX(0,MIN($C23,AG$4+1)-MAX($B23,AG$4))</f>
        <v/>
      </c>
      <c r="AH23">
        <f>MAX(0,MIN($C23,AH$4+1)-MAX($B23,AH$4))</f>
        <v/>
      </c>
      <c r="AI23">
        <f>MAX(0,MIN($C23,AI$4+1)-MAX($B23,AI$4))</f>
        <v/>
      </c>
      <c r="AJ23">
        <f>MAX(0,MIN($C23,AJ$4+1)-MAX($B23,AJ$4))</f>
        <v/>
      </c>
      <c r="AK23">
        <f>MAX(0,MIN($C23,AK$4+1)-MAX($B23,AK$4))</f>
        <v/>
      </c>
      <c r="AL23">
        <f>MAX(0,MIN($C23,AL$4+1)-MAX($B23,AL$4))</f>
        <v/>
      </c>
      <c r="AM23">
        <f>MAX(0,MIN($C23,AM$4+1)-MAX($B23,AM$4))</f>
        <v/>
      </c>
      <c r="AO23" t="n">
        <v>0</v>
      </c>
      <c r="AP23" t="n">
        <v>0</v>
      </c>
    </row>
    <row r="24">
      <c r="A24" t="inlineStr"/>
      <c r="B24" s="3" t="n">
        <v>0</v>
      </c>
      <c r="C24" s="3" t="n">
        <v>0</v>
      </c>
      <c r="D24" t="inlineStr"/>
      <c r="E24" t="n">
        <v>0</v>
      </c>
      <c r="F24" t="n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  <c r="P24" s="3" t="n">
        <v>0</v>
      </c>
      <c r="Q24" s="3" t="n">
        <v>0</v>
      </c>
      <c r="R24" s="3" t="n">
        <v>0</v>
      </c>
      <c r="T24">
        <f>MAX(0,MIN($C24,T$4+1)-MAX($B24,T$4))</f>
        <v/>
      </c>
      <c r="U24">
        <f>MAX(0,MIN($C24,U$4+1)-MAX($B24,U$4))</f>
        <v/>
      </c>
      <c r="V24">
        <f>MAX(0,MIN($C24,V$4+1)-MAX($B24,V$4))</f>
        <v/>
      </c>
      <c r="W24">
        <f>MAX(0,MIN($C24,W$4+1)-MAX($B24,W$4))</f>
        <v/>
      </c>
      <c r="X24">
        <f>MAX(0,MIN($C24,X$4+1)-MAX($B24,X$4))</f>
        <v/>
      </c>
      <c r="Y24">
        <f>MAX(0,MIN($C24,Y$4+1)-MAX($B24,Y$4))</f>
        <v/>
      </c>
      <c r="Z24">
        <f>MAX(0,MIN($C24,Z$4+1)-MAX($B24,Z$4))</f>
        <v/>
      </c>
      <c r="AA24">
        <f>MAX(0,MIN($C24,AA$4+1)-MAX($B24,AA$4))</f>
        <v/>
      </c>
      <c r="AB24">
        <f>MAX(0,MIN($C24,AB$4+1)-MAX($B24,AB$4))</f>
        <v/>
      </c>
      <c r="AC24">
        <f>MAX(0,MIN($C24,AC$4+1)-MAX($B24,AC$4))</f>
        <v/>
      </c>
      <c r="AD24">
        <f>MAX(0,MIN($C24,AD$4+1)-MAX($B24,AD$4))</f>
        <v/>
      </c>
      <c r="AE24">
        <f>MAX(0,MIN($C24,AE$4+1)-MAX($B24,AE$4))</f>
        <v/>
      </c>
      <c r="AF24">
        <f>MAX(0,MIN($C24,AF$4+1)-MAX($B24,AF$4))</f>
        <v/>
      </c>
      <c r="AG24">
        <f>MAX(0,MIN($C24,AG$4+1)-MAX($B24,AG$4))</f>
        <v/>
      </c>
      <c r="AH24">
        <f>MAX(0,MIN($C24,AH$4+1)-MAX($B24,AH$4))</f>
        <v/>
      </c>
      <c r="AI24">
        <f>MAX(0,MIN($C24,AI$4+1)-MAX($B24,AI$4))</f>
        <v/>
      </c>
      <c r="AJ24">
        <f>MAX(0,MIN($C24,AJ$4+1)-MAX($B24,AJ$4))</f>
        <v/>
      </c>
      <c r="AK24">
        <f>MAX(0,MIN($C24,AK$4+1)-MAX($B24,AK$4))</f>
        <v/>
      </c>
      <c r="AL24">
        <f>MAX(0,MIN($C24,AL$4+1)-MAX($B24,AL$4))</f>
        <v/>
      </c>
      <c r="AM24">
        <f>MAX(0,MIN($C24,AM$4+1)-MAX($B24,AM$4))</f>
        <v/>
      </c>
      <c r="AO24" t="n">
        <v>0</v>
      </c>
      <c r="AP24" t="n">
        <v>0</v>
      </c>
    </row>
    <row r="25">
      <c r="A25" t="inlineStr"/>
      <c r="B25" s="3" t="n">
        <v>0</v>
      </c>
      <c r="C25" s="3" t="n">
        <v>0</v>
      </c>
      <c r="D25" t="inlineStr"/>
      <c r="E25" t="n">
        <v>0</v>
      </c>
      <c r="F25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T25">
        <f>MAX(0,MIN($C25,T$4+1)-MAX($B25,T$4))</f>
        <v/>
      </c>
      <c r="U25">
        <f>MAX(0,MIN($C25,U$4+1)-MAX($B25,U$4))</f>
        <v/>
      </c>
      <c r="V25">
        <f>MAX(0,MIN($C25,V$4+1)-MAX($B25,V$4))</f>
        <v/>
      </c>
      <c r="W25">
        <f>MAX(0,MIN($C25,W$4+1)-MAX($B25,W$4))</f>
        <v/>
      </c>
      <c r="X25">
        <f>MAX(0,MIN($C25,X$4+1)-MAX($B25,X$4))</f>
        <v/>
      </c>
      <c r="Y25">
        <f>MAX(0,MIN($C25,Y$4+1)-MAX($B25,Y$4))</f>
        <v/>
      </c>
      <c r="Z25">
        <f>MAX(0,MIN($C25,Z$4+1)-MAX($B25,Z$4))</f>
        <v/>
      </c>
      <c r="AA25">
        <f>MAX(0,MIN($C25,AA$4+1)-MAX($B25,AA$4))</f>
        <v/>
      </c>
      <c r="AB25">
        <f>MAX(0,MIN($C25,AB$4+1)-MAX($B25,AB$4))</f>
        <v/>
      </c>
      <c r="AC25">
        <f>MAX(0,MIN($C25,AC$4+1)-MAX($B25,AC$4))</f>
        <v/>
      </c>
      <c r="AD25">
        <f>MAX(0,MIN($C25,AD$4+1)-MAX($B25,AD$4))</f>
        <v/>
      </c>
      <c r="AE25">
        <f>MAX(0,MIN($C25,AE$4+1)-MAX($B25,AE$4))</f>
        <v/>
      </c>
      <c r="AF25">
        <f>MAX(0,MIN($C25,AF$4+1)-MAX($B25,AF$4))</f>
        <v/>
      </c>
      <c r="AG25">
        <f>MAX(0,MIN($C25,AG$4+1)-MAX($B25,AG$4))</f>
        <v/>
      </c>
      <c r="AH25">
        <f>MAX(0,MIN($C25,AH$4+1)-MAX($B25,AH$4))</f>
        <v/>
      </c>
      <c r="AI25">
        <f>MAX(0,MIN($C25,AI$4+1)-MAX($B25,AI$4))</f>
        <v/>
      </c>
      <c r="AJ25">
        <f>MAX(0,MIN($C25,AJ$4+1)-MAX($B25,AJ$4))</f>
        <v/>
      </c>
      <c r="AK25">
        <f>MAX(0,MIN($C25,AK$4+1)-MAX($B25,AK$4))</f>
        <v/>
      </c>
      <c r="AL25">
        <f>MAX(0,MIN($C25,AL$4+1)-MAX($B25,AL$4))</f>
        <v/>
      </c>
      <c r="AM25">
        <f>MAX(0,MIN($C25,AM$4+1)-MAX($B25,AM$4))</f>
        <v/>
      </c>
    </row>
    <row r="26">
      <c r="A26" t="inlineStr"/>
      <c r="B26" s="3" t="n">
        <v>0</v>
      </c>
      <c r="C26" s="3" t="n">
        <v>0</v>
      </c>
      <c r="D26" t="inlineStr"/>
      <c r="E26" t="n">
        <v>0</v>
      </c>
      <c r="F26" t="n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  <c r="T26">
        <f>MAX(0,MIN($C26,T$4+1)-MAX($B26,T$4))</f>
        <v/>
      </c>
      <c r="U26">
        <f>MAX(0,MIN($C26,U$4+1)-MAX($B26,U$4))</f>
        <v/>
      </c>
      <c r="V26">
        <f>MAX(0,MIN($C26,V$4+1)-MAX($B26,V$4))</f>
        <v/>
      </c>
      <c r="W26">
        <f>MAX(0,MIN($C26,W$4+1)-MAX($B26,W$4))</f>
        <v/>
      </c>
      <c r="X26">
        <f>MAX(0,MIN($C26,X$4+1)-MAX($B26,X$4))</f>
        <v/>
      </c>
      <c r="Y26">
        <f>MAX(0,MIN($C26,Y$4+1)-MAX($B26,Y$4))</f>
        <v/>
      </c>
      <c r="Z26">
        <f>MAX(0,MIN($C26,Z$4+1)-MAX($B26,Z$4))</f>
        <v/>
      </c>
      <c r="AA26">
        <f>MAX(0,MIN($C26,AA$4+1)-MAX($B26,AA$4))</f>
        <v/>
      </c>
      <c r="AB26">
        <f>MAX(0,MIN($C26,AB$4+1)-MAX($B26,AB$4))</f>
        <v/>
      </c>
      <c r="AC26">
        <f>MAX(0,MIN($C26,AC$4+1)-MAX($B26,AC$4))</f>
        <v/>
      </c>
      <c r="AD26">
        <f>MAX(0,MIN($C26,AD$4+1)-MAX($B26,AD$4))</f>
        <v/>
      </c>
      <c r="AE26">
        <f>MAX(0,MIN($C26,AE$4+1)-MAX($B26,AE$4))</f>
        <v/>
      </c>
      <c r="AF26">
        <f>MAX(0,MIN($C26,AF$4+1)-MAX($B26,AF$4))</f>
        <v/>
      </c>
      <c r="AG26">
        <f>MAX(0,MIN($C26,AG$4+1)-MAX($B26,AG$4))</f>
        <v/>
      </c>
      <c r="AH26">
        <f>MAX(0,MIN($C26,AH$4+1)-MAX($B26,AH$4))</f>
        <v/>
      </c>
      <c r="AI26">
        <f>MAX(0,MIN($C26,AI$4+1)-MAX($B26,AI$4))</f>
        <v/>
      </c>
      <c r="AJ26">
        <f>MAX(0,MIN($C26,AJ$4+1)-MAX($B26,AJ$4))</f>
        <v/>
      </c>
      <c r="AK26">
        <f>MAX(0,MIN($C26,AK$4+1)-MAX($B26,AK$4))</f>
        <v/>
      </c>
      <c r="AL26">
        <f>MAX(0,MIN($C26,AL$4+1)-MAX($B26,AL$4))</f>
        <v/>
      </c>
      <c r="AM26">
        <f>MAX(0,MIN($C26,AM$4+1)-MAX($B26,AM$4))</f>
        <v/>
      </c>
    </row>
    <row r="27">
      <c r="A27" t="inlineStr"/>
      <c r="B27" s="3" t="n">
        <v>0</v>
      </c>
      <c r="C27" s="3" t="n">
        <v>0</v>
      </c>
      <c r="D27" t="inlineStr"/>
      <c r="E27" t="n">
        <v>0</v>
      </c>
      <c r="F27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T27">
        <f>MAX(0,MIN($C27,T$4+1)-MAX($B27,T$4))</f>
        <v/>
      </c>
      <c r="U27">
        <f>MAX(0,MIN($C27,U$4+1)-MAX($B27,U$4))</f>
        <v/>
      </c>
      <c r="V27">
        <f>MAX(0,MIN($C27,V$4+1)-MAX($B27,V$4))</f>
        <v/>
      </c>
      <c r="W27">
        <f>MAX(0,MIN($C27,W$4+1)-MAX($B27,W$4))</f>
        <v/>
      </c>
      <c r="X27">
        <f>MAX(0,MIN($C27,X$4+1)-MAX($B27,X$4))</f>
        <v/>
      </c>
      <c r="Y27">
        <f>MAX(0,MIN($C27,Y$4+1)-MAX($B27,Y$4))</f>
        <v/>
      </c>
      <c r="Z27">
        <f>MAX(0,MIN($C27,Z$4+1)-MAX($B27,Z$4))</f>
        <v/>
      </c>
      <c r="AA27">
        <f>MAX(0,MIN($C27,AA$4+1)-MAX($B27,AA$4))</f>
        <v/>
      </c>
      <c r="AB27">
        <f>MAX(0,MIN($C27,AB$4+1)-MAX($B27,AB$4))</f>
        <v/>
      </c>
      <c r="AC27">
        <f>MAX(0,MIN($C27,AC$4+1)-MAX($B27,AC$4))</f>
        <v/>
      </c>
      <c r="AD27">
        <f>MAX(0,MIN($C27,AD$4+1)-MAX($B27,AD$4))</f>
        <v/>
      </c>
      <c r="AE27">
        <f>MAX(0,MIN($C27,AE$4+1)-MAX($B27,AE$4))</f>
        <v/>
      </c>
      <c r="AF27">
        <f>MAX(0,MIN($C27,AF$4+1)-MAX($B27,AF$4))</f>
        <v/>
      </c>
      <c r="AG27">
        <f>MAX(0,MIN($C27,AG$4+1)-MAX($B27,AG$4))</f>
        <v/>
      </c>
      <c r="AH27">
        <f>MAX(0,MIN($C27,AH$4+1)-MAX($B27,AH$4))</f>
        <v/>
      </c>
      <c r="AI27">
        <f>MAX(0,MIN($C27,AI$4+1)-MAX($B27,AI$4))</f>
        <v/>
      </c>
      <c r="AJ27">
        <f>MAX(0,MIN($C27,AJ$4+1)-MAX($B27,AJ$4))</f>
        <v/>
      </c>
      <c r="AK27">
        <f>MAX(0,MIN($C27,AK$4+1)-MAX($B27,AK$4))</f>
        <v/>
      </c>
      <c r="AL27">
        <f>MAX(0,MIN($C27,AL$4+1)-MAX($B27,AL$4))</f>
        <v/>
      </c>
      <c r="AM27">
        <f>MAX(0,MIN($C27,AM$4+1)-MAX($B27,AM$4))</f>
        <v/>
      </c>
    </row>
    <row r="28">
      <c r="A28" t="inlineStr"/>
      <c r="B28" s="3" t="n">
        <v>0</v>
      </c>
      <c r="C28" s="3" t="n">
        <v>0</v>
      </c>
      <c r="D28" t="inlineStr"/>
      <c r="E28" t="n">
        <v>0</v>
      </c>
      <c r="F28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T28">
        <f>MAX(0,MIN($C28,T$4+1)-MAX($B28,T$4))</f>
        <v/>
      </c>
      <c r="U28">
        <f>MAX(0,MIN($C28,U$4+1)-MAX($B28,U$4))</f>
        <v/>
      </c>
      <c r="V28">
        <f>MAX(0,MIN($C28,V$4+1)-MAX($B28,V$4))</f>
        <v/>
      </c>
      <c r="W28">
        <f>MAX(0,MIN($C28,W$4+1)-MAX($B28,W$4))</f>
        <v/>
      </c>
      <c r="X28">
        <f>MAX(0,MIN($C28,X$4+1)-MAX($B28,X$4))</f>
        <v/>
      </c>
      <c r="Y28">
        <f>MAX(0,MIN($C28,Y$4+1)-MAX($B28,Y$4))</f>
        <v/>
      </c>
      <c r="Z28">
        <f>MAX(0,MIN($C28,Z$4+1)-MAX($B28,Z$4))</f>
        <v/>
      </c>
      <c r="AA28">
        <f>MAX(0,MIN($C28,AA$4+1)-MAX($B28,AA$4))</f>
        <v/>
      </c>
      <c r="AB28">
        <f>MAX(0,MIN($C28,AB$4+1)-MAX($B28,AB$4))</f>
        <v/>
      </c>
      <c r="AC28">
        <f>MAX(0,MIN($C28,AC$4+1)-MAX($B28,AC$4))</f>
        <v/>
      </c>
      <c r="AD28">
        <f>MAX(0,MIN($C28,AD$4+1)-MAX($B28,AD$4))</f>
        <v/>
      </c>
      <c r="AE28">
        <f>MAX(0,MIN($C28,AE$4+1)-MAX($B28,AE$4))</f>
        <v/>
      </c>
      <c r="AF28">
        <f>MAX(0,MIN($C28,AF$4+1)-MAX($B28,AF$4))</f>
        <v/>
      </c>
      <c r="AG28">
        <f>MAX(0,MIN($C28,AG$4+1)-MAX($B28,AG$4))</f>
        <v/>
      </c>
      <c r="AH28">
        <f>MAX(0,MIN($C28,AH$4+1)-MAX($B28,AH$4))</f>
        <v/>
      </c>
      <c r="AI28">
        <f>MAX(0,MIN($C28,AI$4+1)-MAX($B28,AI$4))</f>
        <v/>
      </c>
      <c r="AJ28">
        <f>MAX(0,MIN($C28,AJ$4+1)-MAX($B28,AJ$4))</f>
        <v/>
      </c>
      <c r="AK28">
        <f>MAX(0,MIN($C28,AK$4+1)-MAX($B28,AK$4))</f>
        <v/>
      </c>
      <c r="AL28">
        <f>MAX(0,MIN($C28,AL$4+1)-MAX($B28,AL$4))</f>
        <v/>
      </c>
      <c r="AM28">
        <f>MAX(0,MIN($C28,AM$4+1)-MAX($B28,AM$4))</f>
        <v/>
      </c>
    </row>
    <row r="29">
      <c r="A29" t="inlineStr"/>
      <c r="B29" s="3" t="n">
        <v>0</v>
      </c>
      <c r="C29" s="3" t="n">
        <v>0</v>
      </c>
      <c r="D29" t="inlineStr"/>
      <c r="E29" t="n">
        <v>0</v>
      </c>
      <c r="F29" t="n">
        <v>0</v>
      </c>
      <c r="G29" s="3" t="n">
        <v>0</v>
      </c>
      <c r="H29" s="3" t="n">
        <v>0</v>
      </c>
      <c r="I29" s="3" t="n">
        <v>0</v>
      </c>
      <c r="J29" s="3" t="n">
        <v>0</v>
      </c>
      <c r="K29" s="3" t="n">
        <v>0</v>
      </c>
      <c r="L29" s="3" t="n">
        <v>0</v>
      </c>
      <c r="M29" s="3" t="n">
        <v>0</v>
      </c>
      <c r="N29" s="3" t="n">
        <v>0</v>
      </c>
      <c r="O29" s="3" t="n">
        <v>0</v>
      </c>
      <c r="P29" s="3" t="n">
        <v>0</v>
      </c>
      <c r="Q29" s="3" t="n">
        <v>0</v>
      </c>
      <c r="R29" s="3" t="n">
        <v>0</v>
      </c>
      <c r="T29">
        <f>MAX(0,MIN($C29,T$4+1)-MAX($B29,T$4))</f>
        <v/>
      </c>
      <c r="U29">
        <f>MAX(0,MIN($C29,U$4+1)-MAX($B29,U$4))</f>
        <v/>
      </c>
      <c r="V29">
        <f>MAX(0,MIN($C29,V$4+1)-MAX($B29,V$4))</f>
        <v/>
      </c>
      <c r="W29">
        <f>MAX(0,MIN($C29,W$4+1)-MAX($B29,W$4))</f>
        <v/>
      </c>
      <c r="X29">
        <f>MAX(0,MIN($C29,X$4+1)-MAX($B29,X$4))</f>
        <v/>
      </c>
      <c r="Y29">
        <f>MAX(0,MIN($C29,Y$4+1)-MAX($B29,Y$4))</f>
        <v/>
      </c>
      <c r="Z29">
        <f>MAX(0,MIN($C29,Z$4+1)-MAX($B29,Z$4))</f>
        <v/>
      </c>
      <c r="AA29">
        <f>MAX(0,MIN($C29,AA$4+1)-MAX($B29,AA$4))</f>
        <v/>
      </c>
      <c r="AB29">
        <f>MAX(0,MIN($C29,AB$4+1)-MAX($B29,AB$4))</f>
        <v/>
      </c>
      <c r="AC29">
        <f>MAX(0,MIN($C29,AC$4+1)-MAX($B29,AC$4))</f>
        <v/>
      </c>
      <c r="AD29">
        <f>MAX(0,MIN($C29,AD$4+1)-MAX($B29,AD$4))</f>
        <v/>
      </c>
      <c r="AE29">
        <f>MAX(0,MIN($C29,AE$4+1)-MAX($B29,AE$4))</f>
        <v/>
      </c>
      <c r="AF29">
        <f>MAX(0,MIN($C29,AF$4+1)-MAX($B29,AF$4))</f>
        <v/>
      </c>
      <c r="AG29">
        <f>MAX(0,MIN($C29,AG$4+1)-MAX($B29,AG$4))</f>
        <v/>
      </c>
      <c r="AH29">
        <f>MAX(0,MIN($C29,AH$4+1)-MAX($B29,AH$4))</f>
        <v/>
      </c>
      <c r="AI29">
        <f>MAX(0,MIN($C29,AI$4+1)-MAX($B29,AI$4))</f>
        <v/>
      </c>
      <c r="AJ29">
        <f>MAX(0,MIN($C29,AJ$4+1)-MAX($B29,AJ$4))</f>
        <v/>
      </c>
      <c r="AK29">
        <f>MAX(0,MIN($C29,AK$4+1)-MAX($B29,AK$4))</f>
        <v/>
      </c>
      <c r="AL29">
        <f>MAX(0,MIN($C29,AL$4+1)-MAX($B29,AL$4))</f>
        <v/>
      </c>
      <c r="AM29">
        <f>MAX(0,MIN($C29,AM$4+1)-MAX($B29,AM$4))</f>
        <v/>
      </c>
    </row>
    <row r="31">
      <c r="A31" s="1" t="inlineStr">
        <is>
          <t>Simulación anual (todas las celdas son fórmulas)</t>
        </is>
      </c>
    </row>
    <row r="32">
      <c r="A32" s="5" t="inlineStr">
        <is>
          <t>Año</t>
        </is>
      </c>
      <c r="B32" s="5" t="inlineStr">
        <is>
          <t>k</t>
        </is>
      </c>
      <c r="C32" s="5" t="inlineStr">
        <is>
          <t>Índice inflación</t>
        </is>
      </c>
      <c r="D32" s="5" t="inlineStr">
        <is>
          <t>Salarios W-2</t>
        </is>
      </c>
      <c r="E32" s="5" t="inlineStr">
        <is>
          <t>W-2 con match</t>
        </is>
      </c>
      <c r="F32" s="5" t="inlineStr">
        <is>
          <t>Stipends libres</t>
        </is>
      </c>
      <c r="G32" s="5" t="inlineStr">
        <is>
          <t>Ingreso S-corp</t>
        </is>
      </c>
      <c r="H32" s="5" t="inlineStr">
        <is>
          <t>Autoempleo (LLC/tutoría)</t>
        </is>
      </c>
      <c r="I32" s="5" t="inlineStr">
        <is>
          <t>Matrícula</t>
        </is>
      </c>
      <c r="J32" s="5" t="inlineStr">
        <is>
          <t>Fracción estudio</t>
        </is>
      </c>
      <c r="K32" s="5" t="inlineStr">
        <is>
          <t>Fracción PSLF</t>
        </is>
      </c>
      <c r="L32" s="5" t="inlineStr">
        <is>
          <t>Fracción travel</t>
        </is>
      </c>
      <c r="M32" s="5" t="inlineStr">
        <is>
          <t>Attending</t>
        </is>
      </c>
      <c r="N32" s="5" t="inlineStr">
        <is>
          <t>Hitos (costos)</t>
        </is>
      </c>
      <c r="O32" s="5" t="inlineStr">
        <is>
          <t>Aporte 403b</t>
        </is>
      </c>
      <c r="P32" s="5" t="inlineStr">
        <is>
          <t>Match empleador</t>
        </is>
      </c>
      <c r="Q32" s="5" t="inlineStr">
        <is>
          <t>S-corp neto</t>
        </is>
      </c>
      <c r="R32" s="5" t="inlineStr">
        <is>
          <t>Salario S-corp</t>
        </is>
      </c>
      <c r="S32" s="5" t="inlineStr">
        <is>
          <t>FICA patronal S-corp</t>
        </is>
      </c>
      <c r="T32" s="5" t="inlineStr">
        <is>
          <t>Distribución S-corp</t>
        </is>
      </c>
      <c r="U32" s="5" t="inlineStr">
        <is>
          <t>Salarios totales</t>
        </is>
      </c>
      <c r="V32" s="5" t="inlineStr">
        <is>
          <t>Base autoempleo</t>
        </is>
      </c>
      <c r="W32" s="5" t="inlineStr">
        <is>
          <t>Impuesto autoempleo</t>
        </is>
      </c>
      <c r="X32" s="5" t="inlineStr">
        <is>
          <t>FICA empleado</t>
        </is>
      </c>
      <c r="Y32" s="5" t="inlineStr">
        <is>
          <t>AGI</t>
        </is>
      </c>
      <c r="Z32" s="5" t="inlineStr">
        <is>
          <t>Ingreso gravable antes QBI</t>
        </is>
      </c>
      <c r="AA32" s="5" t="inlineStr">
        <is>
          <t>Deducción QBI</t>
        </is>
      </c>
      <c r="AB32" s="5" t="inlineStr">
        <is>
          <t>Ingreso gravable</t>
        </is>
      </c>
      <c r="AC32" s="5" t="inlineStr">
        <is>
          <t>Impuesto federal</t>
        </is>
      </c>
      <c r="AD32" s="5" t="inlineStr">
        <is>
          <t>Gravable NY</t>
        </is>
      </c>
      <c r="AE32" s="5" t="inlineStr">
        <is>
          <t>Impuesto estatal/local</t>
        </is>
      </c>
      <c r="AF32" s="5" t="inlineStr">
        <is>
          <t>Impuestos totales</t>
        </is>
      </c>
      <c r="AG32" s="5" t="inlineStr">
        <is>
          <t>Ingreso personal bruto en efectivo</t>
        </is>
      </c>
      <c r="AH32" s="5" t="inlineStr">
        <is>
          <t>Efectivo neto (tras impuestos y 403b)</t>
        </is>
      </c>
      <c r="AI32" s="5" t="inlineStr">
        <is>
          <t>Ingreso bruto</t>
        </is>
      </c>
      <c r="AJ32" s="5" t="inlineStr">
        <is>
          <t>Gastos de vida</t>
        </is>
      </c>
      <c r="AK32" s="5" t="inlineStr">
        <is>
          <t>Ahorro líquido inicio</t>
        </is>
      </c>
      <c r="AL32" s="5" t="inlineStr">
        <is>
          <t>Ya era dueño</t>
        </is>
      </c>
      <c r="AM32" s="5" t="inlineStr">
        <is>
          <t>Precio base 2026</t>
        </is>
      </c>
      <c r="AN32" s="5" t="inlineStr">
        <is>
          <t>Precio en el año</t>
        </is>
      </c>
      <c r="AO32" s="5" t="inlineStr">
        <is>
          <t>Physician loan</t>
        </is>
      </c>
      <c r="AP32" s="5" t="inlineStr">
        <is>
          <t>% enganche</t>
        </is>
      </c>
      <c r="AQ32" s="5" t="inlineStr">
        <is>
          <t>Préstamo</t>
        </is>
      </c>
      <c r="AR32" s="5" t="inlineStr">
        <is>
          <t>Cuota P&amp;I mensual</t>
        </is>
      </c>
      <c r="AS32" s="5" t="inlineStr">
        <is>
          <t>Unidades rentadas</t>
        </is>
      </c>
      <c r="AT32" s="5" t="inlineStr">
        <is>
          <t>Renta mensual (cotización)</t>
        </is>
      </c>
      <c r="AU32" s="5" t="inlineStr">
        <is>
          <t>PITI mensual</t>
        </is>
      </c>
      <c r="AV32" s="5" t="inlineStr">
        <is>
          <t>Efectivo requerido</t>
        </is>
      </c>
      <c r="AW32" s="5" t="inlineStr">
        <is>
          <t>Otras deudas mensuales</t>
        </is>
      </c>
      <c r="AX32" s="5" t="inlineStr">
        <is>
          <t>Crédito aporte familiar</t>
        </is>
      </c>
      <c r="AY32" s="5" t="inlineStr">
        <is>
          <t>Carga mensual para DTI</t>
        </is>
      </c>
      <c r="AZ32" s="5" t="inlineStr">
        <is>
          <t>Ingreso mensual para DTI</t>
        </is>
      </c>
      <c r="BA32" s="5" t="inlineStr">
        <is>
          <t>Compra este año</t>
        </is>
      </c>
      <c r="BB32" s="5" t="inlineStr">
        <is>
          <t>Dueño</t>
        </is>
      </c>
      <c r="BC32" s="5" t="inlineStr">
        <is>
          <t>Año de compra</t>
        </is>
      </c>
      <c r="BD32" s="5" t="inlineStr">
        <is>
          <t>Ahorro tras enganche</t>
        </is>
      </c>
      <c r="BE32" s="5" t="inlineStr">
        <is>
          <t>Precio de compra</t>
        </is>
      </c>
      <c r="BF32" s="5" t="inlineStr">
        <is>
          <t>Cuota hipoteca</t>
        </is>
      </c>
      <c r="BG32" s="5" t="inlineStr">
        <is>
          <t>PMI activo (antes)</t>
        </is>
      </c>
      <c r="BH32" s="5" t="inlineStr">
        <is>
          <t>Config. con ADU</t>
        </is>
      </c>
      <c r="BI32" s="5" t="inlineStr">
        <is>
          <t>Construye ADU</t>
        </is>
      </c>
      <c r="BJ32" s="5" t="inlineStr">
        <is>
          <t>ADU construido</t>
        </is>
      </c>
      <c r="BK32" s="5" t="inlineStr">
        <is>
          <t>Cuota ADU</t>
        </is>
      </c>
      <c r="BL32" s="5" t="inlineStr">
        <is>
          <t>Valor vivienda inicio</t>
        </is>
      </c>
      <c r="BM32" s="5" t="inlineStr">
        <is>
          <t>Hipoteca inicio</t>
        </is>
      </c>
      <c r="BN32" s="5" t="inlineStr">
        <is>
          <t>Hipoteca tras 12 pagos</t>
        </is>
      </c>
      <c r="BO32" s="5" t="inlineStr">
        <is>
          <t>Pagado hipoteca</t>
        </is>
      </c>
      <c r="BP32" s="5" t="inlineStr">
        <is>
          <t>Hipoteca tras pagos</t>
        </is>
      </c>
      <c r="BQ32" s="5" t="inlineStr">
        <is>
          <t>ADU inicio</t>
        </is>
      </c>
      <c r="BR32" s="5" t="inlineStr">
        <is>
          <t>ADU tras 12 pagos</t>
        </is>
      </c>
      <c r="BS32" s="5" t="inlineStr">
        <is>
          <t>Pagado ADU</t>
        </is>
      </c>
      <c r="BT32" s="5" t="inlineStr">
        <is>
          <t>ADU tras pagos</t>
        </is>
      </c>
      <c r="BU32" s="5" t="inlineStr">
        <is>
          <t>Seguro</t>
        </is>
      </c>
      <c r="BV32" s="5" t="inlineStr">
        <is>
          <t>Impuesto predial</t>
        </is>
      </c>
      <c r="BW32" s="5" t="inlineStr">
        <is>
          <t>Mantenimiento</t>
        </is>
      </c>
      <c r="BX32" s="5" t="inlineStr">
        <is>
          <t>PMI</t>
        </is>
      </c>
      <c r="BY32" s="5" t="inlineStr">
        <is>
          <t>PMI activo (después)</t>
        </is>
      </c>
      <c r="BZ32" s="5" t="inlineStr">
        <is>
          <t>Renta recibida</t>
        </is>
      </c>
      <c r="CA32" s="5" t="inlineStr">
        <is>
          <t>Costo de vivienda</t>
        </is>
      </c>
      <c r="CB32" s="5" t="inlineStr">
        <is>
          <t>Aporte familiar</t>
        </is>
      </c>
      <c r="CC32" s="5" t="inlineStr">
        <is>
          <t>IRS pagado</t>
        </is>
      </c>
      <c r="CD32" s="5" t="inlineStr">
        <is>
          <t>IRS saldo</t>
        </is>
      </c>
      <c r="CE32" s="5" t="inlineStr">
        <is>
          <t>Federal inicio</t>
        </is>
      </c>
      <c r="CF32" s="5" t="inlineStr">
        <is>
          <t>Tasa federal</t>
        </is>
      </c>
      <c r="CG32" s="5" t="inlineStr">
        <is>
          <t>Años repago fed.</t>
        </is>
      </c>
      <c r="CH32" s="5" t="inlineStr">
        <is>
          <t>En estudios (≥50%)</t>
        </is>
      </c>
      <c r="CI32" s="5" t="inlineStr">
        <is>
          <t>Usa RAP/PSLF</t>
        </is>
      </c>
      <c r="CJ32" s="5" t="inlineStr">
        <is>
          <t>Interés federal</t>
        </is>
      </c>
      <c r="CK32" s="5" t="inlineStr">
        <is>
          <t>Pago RAP</t>
        </is>
      </c>
      <c r="CL32" s="5" t="inlineStr">
        <is>
          <t>Pago federal</t>
        </is>
      </c>
      <c r="CM32" s="5" t="inlineStr">
        <is>
          <t>Federal tras pago</t>
        </is>
      </c>
      <c r="CN32" s="5" t="inlineStr">
        <is>
          <t>Meses PSLF</t>
        </is>
      </c>
      <c r="CO32" s="5" t="inlineStr">
        <is>
          <t>Condonado PSLF</t>
        </is>
      </c>
      <c r="CP32" s="5" t="inlineStr">
        <is>
          <t>Federal tras PSLF</t>
        </is>
      </c>
      <c r="CQ32" s="5" t="inlineStr">
        <is>
          <t>Años repago (tras pago)</t>
        </is>
      </c>
      <c r="CR32" s="5" t="inlineStr">
        <is>
          <t>Privado inicio</t>
        </is>
      </c>
      <c r="CS32" s="5" t="inlineStr">
        <is>
          <t>Tasa privada</t>
        </is>
      </c>
      <c r="CT32" s="5" t="inlineStr">
        <is>
          <t>Años repago priv.</t>
        </is>
      </c>
      <c r="CU32" s="5" t="inlineStr">
        <is>
          <t>Pago privado</t>
        </is>
      </c>
      <c r="CV32" s="5" t="inlineStr">
        <is>
          <t>Privado tras pago</t>
        </is>
      </c>
      <c r="CW32" s="5" t="inlineStr">
        <is>
          <t>Años repago priv. (tras)</t>
        </is>
      </c>
      <c r="CX32" s="5" t="inlineStr">
        <is>
          <t>Consumo tras interés</t>
        </is>
      </c>
      <c r="CY32" s="5" t="inlineStr">
        <is>
          <t>Gasto extra travel</t>
        </is>
      </c>
      <c r="CZ32" s="5" t="inlineStr">
        <is>
          <t>Salidas</t>
        </is>
      </c>
      <c r="DA32" s="5" t="inlineStr">
        <is>
          <t>Excedente (déficit)</t>
        </is>
      </c>
      <c r="DB32" s="5" t="inlineStr">
        <is>
          <t>Flujo acumulado</t>
        </is>
      </c>
      <c r="DC32" s="5" t="inlineStr">
        <is>
          <t>Meta enganche</t>
        </is>
      </c>
      <c r="DD32" s="5" t="inlineStr">
        <is>
          <t>Retorno del ahorro líquido</t>
        </is>
      </c>
      <c r="DE32" s="5" t="inlineStr">
        <is>
          <t>Pago deuda consumo</t>
        </is>
      </c>
      <c r="DF32" s="5" t="inlineStr">
        <is>
          <t>Gasto discrecional</t>
        </is>
      </c>
      <c r="DG32" s="5" t="inlineStr">
        <is>
          <t>Ahorro</t>
        </is>
      </c>
      <c r="DH32" s="5" t="inlineStr">
        <is>
          <t>Roth</t>
        </is>
      </c>
      <c r="DI32" s="5" t="inlineStr">
        <is>
          <t>Prepago</t>
        </is>
      </c>
      <c r="DJ32" s="5" t="inlineStr">
        <is>
          <t>Prepago a hipoteca</t>
        </is>
      </c>
      <c r="DK32" s="5" t="inlineStr">
        <is>
          <t>Retiro del ahorro</t>
        </is>
      </c>
      <c r="DL32" s="5" t="inlineStr">
        <is>
          <t>Déficit por financiar</t>
        </is>
      </c>
      <c r="DM32" s="5" t="inlineStr">
        <is>
          <t>Federal acumulado (antes)</t>
        </is>
      </c>
      <c r="DN32" s="5" t="inlineStr">
        <is>
          <t>Nuevo préstamo federal</t>
        </is>
      </c>
      <c r="DO32" s="5" t="inlineStr">
        <is>
          <t>Nuevo préstamo privado</t>
        </is>
      </c>
      <c r="DP32" s="5" t="inlineStr">
        <is>
          <t>Nueva deuda consumo</t>
        </is>
      </c>
      <c r="DQ32" s="5" t="inlineStr">
        <is>
          <t>Flujo al ahorro líquido</t>
        </is>
      </c>
      <c r="DR32" s="5" t="inlineStr">
        <is>
          <t>Ahorro líquido fin</t>
        </is>
      </c>
      <c r="DS32" s="5" t="inlineStr">
        <is>
          <t>Retiro fin</t>
        </is>
      </c>
      <c r="DT32" s="5" t="inlineStr">
        <is>
          <t>Valor vivienda fin</t>
        </is>
      </c>
      <c r="DU32" s="5" t="inlineStr">
        <is>
          <t>Hipoteca fin</t>
        </is>
      </c>
      <c r="DV32" s="5" t="inlineStr">
        <is>
          <t>ADU fin</t>
        </is>
      </c>
      <c r="DW32" s="5" t="inlineStr">
        <is>
          <t>Federal fin</t>
        </is>
      </c>
      <c r="DX32" s="5" t="inlineStr">
        <is>
          <t>Tasa federal fin</t>
        </is>
      </c>
      <c r="DY32" s="5" t="inlineStr">
        <is>
          <t>Años repago fed. fin</t>
        </is>
      </c>
      <c r="DZ32" s="5" t="inlineStr">
        <is>
          <t>Federal acumulado</t>
        </is>
      </c>
      <c r="EA32" s="5" t="inlineStr">
        <is>
          <t>Privado fin</t>
        </is>
      </c>
      <c r="EB32" s="5" t="inlineStr">
        <is>
          <t>Tasa privada fin</t>
        </is>
      </c>
      <c r="EC32" s="5" t="inlineStr">
        <is>
          <t>Años repago priv. fin</t>
        </is>
      </c>
      <c r="ED32" s="5" t="inlineStr">
        <is>
          <t>Deuda consumo fin</t>
        </is>
      </c>
      <c r="EE32" s="5" t="inlineStr">
        <is>
          <t>Año vivienda pagada</t>
        </is>
      </c>
      <c r="EF32" s="5" t="inlineStr">
        <is>
          <t>Deuda total</t>
        </is>
      </c>
      <c r="EG32" s="9" t="inlineStr">
        <is>
          <t>PATRIMONIO NETO</t>
        </is>
      </c>
      <c r="EH32" s="5" t="inlineStr">
        <is>
          <t>Patrimonio (dólares 2026)</t>
        </is>
      </c>
    </row>
    <row r="33">
      <c r="A33" t="n">
        <v>2027</v>
      </c>
      <c r="B33" t="n">
        <v>0</v>
      </c>
      <c r="C33" s="7">
        <f>(1+g_inf)^(A33-2026)</f>
        <v/>
      </c>
      <c r="D33" s="7">
        <f>SUMPRODUCT($T$5:$T$29,$E$5:$E$29*(1+$F$5:$F$29)^(A33-2026)*$G$5:$G$29*$H$5:$H$29*(1-$N$5:$N$29*$O$5:$O$29))*g_salMult+SUMPRODUCT(($B$5:$B$29&gt;=A33)*($B$5:$B$29&lt;A33+1)*$I$5:$I$29)*g_salMult</f>
        <v/>
      </c>
      <c r="E33" s="7">
        <f>SUMPRODUCT($T$5:$T$29,$E$5:$E$29*(1+$F$5:$F$29)^(A33-2026)*$G$5:$G$29*$H$5:$H$29*$M$5:$M$29)*g_salMult</f>
        <v/>
      </c>
      <c r="F33" s="7">
        <f>SUMPRODUCT($T$5:$T$29,$E$5:$E$29*(1+$F$5:$F$29)^(A33-2026)*$G$5:$G$29*$H$5:$H$29*$N$5:$N$29*$O$5:$O$29)*g_salMult</f>
        <v/>
      </c>
      <c r="G33" s="7">
        <f>SUMPRODUCT($T$5:$T$29,$P$5:$P$29*(1+$F$5:$F$29)^(A33-2026))</f>
        <v/>
      </c>
      <c r="H33" s="7">
        <f>SUMPRODUCT($T$5:$T$29,$Q$5:$Q$29*(1+$F$5:$F$29)^(A33-2026))+IF(personal_llcActivo=1,personal_llcNeto*(1+personal_llcCrecimiento)^0,0)</f>
        <v/>
      </c>
      <c r="I33" s="7">
        <f>SUMPRODUCT($T$5:$T$29,$J$5:$J$29/($C$5:$C$29-$B$5:$B$29+($C$5:$C$29=$B$5:$B$29)))*C33</f>
        <v/>
      </c>
      <c r="J33" s="7">
        <f>SUMPRODUCT($T$5:$T$29,$K$5:$K$29)</f>
        <v/>
      </c>
      <c r="K33" s="7">
        <f>SUMPRODUCT($T$5:$T$29,$L$5:$L$29)</f>
        <v/>
      </c>
      <c r="L33" s="7">
        <f>SUMPRODUCT($T$5:$T$29,$N$5:$N$29)</f>
        <v/>
      </c>
      <c r="M33" s="7">
        <f>IF(SUMPRODUCT($T$5:$T$29,$R$5:$R$29)&gt;0,1,0)</f>
        <v/>
      </c>
      <c r="N33" s="7">
        <f>SUMPRODUCT(($AO$5:$AO$24&gt;=A33)*($AO$5:$AO$24&lt;A33+1)*$AP$5:$AP$24)*C33+IF(0=0,IF(sel_loc&lt;&gt;"miami",personal_costoMudanzaInicial,0),0)</f>
        <v/>
      </c>
      <c r="O33" s="7">
        <f>MIN(personal_aporte403bPct*D33,retiro_limite403b*C33)</f>
        <v/>
      </c>
      <c r="P33" s="7">
        <f>MIN(personal_aporte403bPct,personal_match403bPct)*E33</f>
        <v/>
      </c>
      <c r="Q33" s="7">
        <f>IF(G33&gt;0,MAX(0,G33-impuestos_scorpCostoAnual*C33),0)</f>
        <v/>
      </c>
      <c r="R33" s="7">
        <f>Q33*impuestos_scorpSalarioPct/(1+impuestos_ssTasa+impuestos_medicareTasa)</f>
        <v/>
      </c>
      <c r="S33" s="7">
        <f>impuestos_ssTasa*MIN(R33,MAX(0,impuestos_ssTope*C33-D33))+impuestos_medicareTasa*R33</f>
        <v/>
      </c>
      <c r="T33" s="7">
        <f>Q33-R33-S33</f>
        <v/>
      </c>
      <c r="U33" s="7">
        <f>D33+R33</f>
        <v/>
      </c>
      <c r="V33" s="7">
        <f>H33*0.9235</f>
        <v/>
      </c>
      <c r="W33" s="7">
        <f>IF(H33&gt;0,2*impuestos_ssTasa*MIN(V33,MAX(0,impuestos_ssTope*C33-U33))+2*impuestos_medicareTasa*V33,0)</f>
        <v/>
      </c>
      <c r="X33" s="7">
        <f>impuestos_ssTasa*MIN(U33,impuestos_ssTope*C33)+impuestos_medicareTasa*U33+impuestos_medicareAdicional*MAX(0,U33+H33*0.9235-impuestos_medicareUmbral)</f>
        <v/>
      </c>
      <c r="Y33" s="7">
        <f>MAX(0,D33-O33+R33+T33+H33-W33/2)</f>
        <v/>
      </c>
      <c r="Z33" s="7">
        <f>MAX(0,Y33-impuestos_deduccionEstandar*C33)</f>
        <v/>
      </c>
      <c r="AA33" s="7">
        <f>MIN(0.2*MAX(0,T33+H33-W33/2)*MAX(0,MIN(1,1-(Z33-impuestos_qbiUmbral*C33)/(impuestos_qbiRango*C33))),0.2*Z33)</f>
        <v/>
      </c>
      <c r="AB33" s="7">
        <f>MAX(0,Z33-AA33)</f>
        <v/>
      </c>
      <c r="AC33" s="7">
        <f>SUMPRODUCT((AB33&gt;tb_federalBrackets_lo*C33)*(AB33-tb_federalBrackets_lo*C33)*tb_federalBrackets_dr)</f>
        <v/>
      </c>
      <c r="AD33" s="7">
        <f>MAX(0,Y33-impuestos_nyDeduccion*C33)</f>
        <v/>
      </c>
      <c r="AE33" s="7">
        <f>CHOOSE(loc_taxcode,0,impuestos_ohTasa*MAX(0,Y33-impuestos_ohExento*C33)+impuestos_ohMunicipal*U33,SUMPRODUCT((AD33&gt;tb_nyBrackets_lo*C33)*(AD33-tb_nyBrackets_lo*C33)*tb_nyBrackets_dr)+loc_nyc*SUMPRODUCT((AD33&gt;tb_nycBrackets_lo*C33)*(AD33-tb_nycBrackets_lo*C33)*tb_nycBrackets_dr))</f>
        <v/>
      </c>
      <c r="AF33" s="7">
        <f>AC33+AE33+X33+W33</f>
        <v/>
      </c>
      <c r="AG33" s="7">
        <f>D33+F33+R33+T33+H33</f>
        <v/>
      </c>
      <c r="AH33" s="7">
        <f>AG33-AF33-O33</f>
        <v/>
      </c>
      <c r="AI33" s="7">
        <f>D33+F33+G33+H33</f>
        <v/>
      </c>
      <c r="AJ33" s="7">
        <f>loc_gastosVida*C33*g_gastos</f>
        <v/>
      </c>
      <c r="AK33" s="7">
        <f>IF(0=0,personal_liquidoInicial,DR32)</f>
        <v/>
      </c>
      <c r="AL33" s="7">
        <f>IF(0=0,0,BB32)</f>
        <v/>
      </c>
      <c r="AM33" s="7">
        <f>CHOOSE(sel_cfgIdx,loc_precio_duplex,loc_precio_inlaw,loc_precio_dosCasas,loc_precio_casaAdu,loc_precio_multi)</f>
        <v/>
      </c>
      <c r="AN33" s="7">
        <f>AM33*(1+g_appr)^(A33-2026)</f>
        <v/>
      </c>
      <c r="AO33" s="7">
        <f>IF(AND(M33=1,vivienda_prestamoMedico=1),1,0)</f>
        <v/>
      </c>
      <c r="AP33" s="7">
        <f>IF(AO33=1,0.05,vivienda_enganchePct)</f>
        <v/>
      </c>
      <c r="AQ33" s="7">
        <f>AN33*(1-AP33)</f>
        <v/>
      </c>
      <c r="AR33" s="7">
        <f>PMT(g_mortRate/12,vivienda_plazoHipoteca*12,-AQ33)</f>
        <v/>
      </c>
      <c r="AS33" s="7">
        <f>INDEX(cfg_units,sel_cfgIdx)</f>
        <v/>
      </c>
      <c r="AT33" s="7">
        <f>AS33*loc_rentaUnidad*(1+g_inf)^(A33-2026)*(1-vivienda_vacancia)</f>
        <v/>
      </c>
      <c r="AU33" s="7">
        <f>AR33+AN33*loc_impuestoPropPct/12+AM33*loc_seguroPct*(1+vivienda_inflacionSeguro)^(A33-2026)/12+IF(AND(AO33=0,AP33&lt;0.2),AQ33*vivienda_pmiTasa/12,0)</f>
        <v/>
      </c>
      <c r="AV33" s="7">
        <f>AN33*AP33+AN33*vivienda_cierrePct+general_reservaMeses/12*AJ33</f>
        <v/>
      </c>
      <c r="AW33" s="7">
        <f>(IF(0=0,MIN(personal_irsSaldo,personal_irsPagoMensual*12),MIN(CD32,personal_irsPagoMensual*12))+IF(CE33&gt;0,PMT(CF33,MAX(1,prestamos_plazoAnios-CG33),-CE33),0)+IF(CR33&gt;0,PMT(CS33,MAX(1,prestamos_plazoAnios-CT33),-CR33),0))/12</f>
        <v/>
      </c>
      <c r="AX33" s="7">
        <f>IF(OR(sel_cfg="duplex",sel_cfg="multi",sel_cfg="dosCasas"),0.75*personal_aporteFamiliaMensual,0)</f>
        <v/>
      </c>
      <c r="AY33" s="7">
        <f>AU33-0.75*AT33-AX33+AW33</f>
        <v/>
      </c>
      <c r="AZ33" s="7">
        <f>(D33+G33+H33+0.5*F33)/12</f>
        <v/>
      </c>
      <c r="BA33" s="7">
        <f>IF(AND(AL33=0,A33&gt;=vivienda_anioMinCompra,J33&lt;0.5,AI33&gt;0,AK33&gt;=AV33,AY33&lt;=vivienda_dtiMax*AZ33),1,0)</f>
        <v/>
      </c>
      <c r="BB33" s="7">
        <f>MAX(AL33,BA33)</f>
        <v/>
      </c>
      <c r="BC33" s="7">
        <f>IF(BA33=1,A33,IF(0=0,"",BC32))</f>
        <v/>
      </c>
      <c r="BD33" s="7">
        <f>AK33-IF(BA33=1,AN33*AP33+AN33*vivienda_cierrePct,0)</f>
        <v/>
      </c>
      <c r="BE33" s="7">
        <f>IF(BA33=1,AN33,IF(0=0,0,BE32))</f>
        <v/>
      </c>
      <c r="BF33" s="7">
        <f>IF(BA33=1,AR33,IF(0=0,0,BF32))</f>
        <v/>
      </c>
      <c r="BG33" s="7">
        <f>IF(BA33=1,IF(AND(AO33=0,AP33&lt;0.2),1,0),IF(0=0,0,BY32))</f>
        <v/>
      </c>
      <c r="BH33" s="7">
        <f>IF(sel_cfg="casaAdu",1,0)</f>
        <v/>
      </c>
      <c r="BI33" s="7">
        <f>IF(AND(BB33=1,BH33=1,IF(0=0,0,BJ32)=0,A33&gt;=IF(BC33="",9999,BC33)+vivienda_aduRetrasoAnios),1,0)</f>
        <v/>
      </c>
      <c r="BJ33" s="7">
        <f>MAX(IF(0=0,0,BJ32),BI33)</f>
        <v/>
      </c>
      <c r="BK33" s="7">
        <f>IF(BI33=1,PMT((g_mortRate+0.005)/12,180,-loc_precio_aduCosto*C33),IF(0=0,0,BK32))</f>
        <v/>
      </c>
      <c r="BL33" s="7">
        <f>IF(BA33=1,AN33,IF(0=0,0,DT32))+IF(BI33=1,loc_precio_aduCosto*C33,0)</f>
        <v/>
      </c>
      <c r="BM33" s="7">
        <f>IF(BA33=1,AQ33,IF(0=0,0,DU32))</f>
        <v/>
      </c>
      <c r="BN33" s="7">
        <f>IF(BM33&lt;=0,0,FV(g_mortRate/12,12,BF33,-BM33))</f>
        <v/>
      </c>
      <c r="BO33" s="7">
        <f>IF(BM33&lt;=0,0,12*BF33+MIN(0,BN33))</f>
        <v/>
      </c>
      <c r="BP33" s="7">
        <f>MAX(0,BN33)</f>
        <v/>
      </c>
      <c r="BQ33" s="7">
        <f>IF(BI33=1,loc_precio_aduCosto*C33,IF(0=0,0,DV32))</f>
        <v/>
      </c>
      <c r="BR33" s="7">
        <f>IF(BQ33&lt;=0,0,FV((g_mortRate+0.005)/12,12,BK33,-BQ33))</f>
        <v/>
      </c>
      <c r="BS33" s="7">
        <f>IF(BQ33&lt;=0,0,12*BK33+MIN(0,BR33))</f>
        <v/>
      </c>
      <c r="BT33" s="7">
        <f>MAX(0,BR33)</f>
        <v/>
      </c>
      <c r="BU33" s="7">
        <f>IF(BB33=1,AM33*loc_seguroPct*(1+vivienda_inflacionSeguro)^(A33-2026)*IF(BJ33=1,1+loc_precio_aduCosto/AM33,1),0)</f>
        <v/>
      </c>
      <c r="BV33" s="7">
        <f>BL33*loc_impuestoPropPct</f>
        <v/>
      </c>
      <c r="BW33" s="7">
        <f>BL33*vivienda_mantenimientoPct</f>
        <v/>
      </c>
      <c r="BX33" s="7">
        <f>IF(AND(BG33=1,BP33&gt;0.8*BE33),BE33*(1-vivienda_enganchePct)*vivienda_pmiTasa,0)</f>
        <v/>
      </c>
      <c r="BY33" s="7">
        <f>IF(AND(BG33=1,BP33&gt;0.8*BE33),1,0)</f>
        <v/>
      </c>
      <c r="BZ33" s="7">
        <f>IF(BB33=1,AS33*loc_rentaUnidad*12*C33*(1-vivienda_vacancia)*(1-vivienda_gestionPct),0)</f>
        <v/>
      </c>
      <c r="CA33" s="7">
        <f>IF(BB33=1,BO33+BS33+BU33+BV33+BW33+BX33,loc_rentaMensual*12*C33)</f>
        <v/>
      </c>
      <c r="CB33" s="7">
        <f>IF(BB33=1,personal_aporteFamiliaMensual*12,0)</f>
        <v/>
      </c>
      <c r="CC33" s="7">
        <f>MIN(IF(0=0,personal_irsSaldo,CD32),personal_irsPagoMensual*12)</f>
        <v/>
      </c>
      <c r="CD33" s="7">
        <f>IF(0=0,personal_irsSaldo,CD32)-CC33</f>
        <v/>
      </c>
      <c r="CE33" s="7">
        <f>IF(0=0,IF(personal_deudaEsFederal=1,personal_deudaEstudiantil,0),DW32)</f>
        <v/>
      </c>
      <c r="CF33" s="7">
        <f>IF(0=0,personal_tasaDeudaEstudiantil,DX32)</f>
        <v/>
      </c>
      <c r="CG33" s="7">
        <f>IF(0=0,0,DY32)</f>
        <v/>
      </c>
      <c r="CH33" s="7">
        <f>IF(J33&gt;=0.5,1,0)</f>
        <v/>
      </c>
      <c r="CI33" s="7">
        <f>IF(AND(CH33=0,prestamos_pslfActivo=1,K33&gt;=0.5,CE33&gt;0),1,0)</f>
        <v/>
      </c>
      <c r="CJ33" s="7">
        <f>CE33*CF33</f>
        <v/>
      </c>
      <c r="CK33" s="7">
        <f>MAX(prestamos_rapPagoMinimoAnual,IF(Y33&lt;10000,0,MIN(0.1,INT(Y33/10000)/100))*Y33)</f>
        <v/>
      </c>
      <c r="CL33" s="7">
        <f>IF(CE33&lt;=0,0,IF(CH33=1,0,IF(CI33=1,MIN(CE33+CJ33,CK33),PMT(CF33,MAX(1,prestamos_plazoAnios-CG33),-CE33))))</f>
        <v/>
      </c>
      <c r="CM33" s="7">
        <f>IF(CE33&lt;=0,0,IF(CH33=1,CE33+CJ33,IF(CI33=1,MAX(0,CE33-MAX(CL33-CJ33,MIN(600,CL33))),MAX(0,CE33*(1+CF33)-CL33))))</f>
        <v/>
      </c>
      <c r="CN33" s="7">
        <f>IF(0=0,0,CN32)+IF(CI33=1,12*MIN(1,K33),0)</f>
        <v/>
      </c>
      <c r="CO33" s="7">
        <f>IF(AND(CI33=1,CN33&gt;=prestamos_pslfPagos,CM33&gt;0),CM33,0)</f>
        <v/>
      </c>
      <c r="CP33" s="7">
        <f>CM33-CO33</f>
        <v/>
      </c>
      <c r="CQ33" s="7">
        <f>IF(AND(CE33&gt;0,CH33=0,CI33=0),CG33+1,CG33)</f>
        <v/>
      </c>
      <c r="CR33" s="7">
        <f>IF(0=0,IF(personal_deudaEsFederal=1,0,personal_deudaEstudiantil),EA32)</f>
        <v/>
      </c>
      <c r="CS33" s="7">
        <f>IF(0=0,IF(personal_deudaEsFederal=1,prestamos_tasaPrivada,personal_tasaDeudaEstudiantil),EB32)</f>
        <v/>
      </c>
      <c r="CT33" s="7">
        <f>IF(0=0,0,EC32)</f>
        <v/>
      </c>
      <c r="CU33" s="7">
        <f>IF(OR(CR33&lt;=0,CH33=1),0,PMT(CS33,MAX(1,prestamos_plazoAnios-CT33),-CR33))</f>
        <v/>
      </c>
      <c r="CV33" s="7">
        <f>IF(CR33&lt;=0,0,IF(CH33=1,CR33*(1+CS33),MAX(0,CR33*(1+CS33)-CU33)))</f>
        <v/>
      </c>
      <c r="CW33" s="7">
        <f>IF(AND(CR33&gt;0,CH33=0),CT33+1,CT33)</f>
        <v/>
      </c>
      <c r="CX33" s="7">
        <f>IF(0=0,0,ED32)*(1+general_tasaDeudaConsumo)</f>
        <v/>
      </c>
      <c r="CY33" s="7">
        <f>L33*12*tiempos_travelGastoExtraMes*C33</f>
        <v/>
      </c>
      <c r="CZ33" s="7">
        <f>AJ33+CY33+CA33+CC33+CL33+CU33+I33+N33-BZ33-CB33</f>
        <v/>
      </c>
      <c r="DA33" s="7">
        <f>AH33-CZ33</f>
        <v/>
      </c>
      <c r="DB33" s="7">
        <f>IF(0=0,0,DB32)+DA33</f>
        <v/>
      </c>
      <c r="DC33" s="7">
        <f>AN33*vivienda_enganchePct+AN33*vivienda_cierrePct+general_reservaMeses/12*AJ33</f>
        <v/>
      </c>
      <c r="DD33" s="7">
        <f>IF(BB33=1,g_ret,IF(BD33&gt;0,MIN(1,DC33/BD33),1)*g_cash+(1-IF(BD33&gt;0,MIN(1,DC33/BD33),1))*g_ret)</f>
        <v/>
      </c>
      <c r="DE33" s="7">
        <f>IF(DA33&gt;=0,MIN(CX33,DA33),0)</f>
        <v/>
      </c>
      <c r="DF33" s="7">
        <f>IF(DA33&gt;=0,(1-general_tasaAhorro)*(DA33-DE33),0)</f>
        <v/>
      </c>
      <c r="DG33" s="7">
        <f>IF(DA33&gt;=0,DA33-DE33-DF33,0)</f>
        <v/>
      </c>
      <c r="DH33" s="7">
        <f>MIN(personal_rothAnual,DG33)</f>
        <v/>
      </c>
      <c r="DI33" s="7">
        <f>IF(AND(DA33&gt;=0,BB33=1,BP33+BT33&gt;0),MIN(vivienda_prepagoPct*(DG33-DH33),BP33+BT33),0)</f>
        <v/>
      </c>
      <c r="DJ33" s="7">
        <f>MIN(DI33,BP33)</f>
        <v/>
      </c>
      <c r="DK33" s="7">
        <f>IF(DA33&lt;0,MIN(MAX(0,BD33),-DA33),0)</f>
        <v/>
      </c>
      <c r="DL33" s="7">
        <f>IF(DA33&lt;0,-DA33-DK33,0)</f>
        <v/>
      </c>
      <c r="DM33" s="7">
        <f>IF(0=0,0,DZ32)</f>
        <v/>
      </c>
      <c r="DN33" s="7">
        <f>IF(AND(DL33&gt;0,J33&gt;0),MIN(DL33,MIN(prestamos_topeAnualPosgrado*MIN(1,J33),MAX(0,prestamos_topeTotalPosgrado-DM33))),0)</f>
        <v/>
      </c>
      <c r="DO33" s="7">
        <f>IF(AND(DL33&gt;0,J33&gt;0),DL33-DN33,0)</f>
        <v/>
      </c>
      <c r="DP33" s="7">
        <f>IF(AND(DL33&gt;0,J33&lt;=0),DL33,0)</f>
        <v/>
      </c>
      <c r="DQ33" s="7">
        <f>IF(DA33&gt;=0,DG33-DH33-DI33,-DK33)</f>
        <v/>
      </c>
      <c r="DR33" s="7">
        <f>BD33*(1+DD33)+DQ33*(1+DD33/2)</f>
        <v/>
      </c>
      <c r="DS33" s="7">
        <f>IF(0=0,personal_retiroInicial,DS32)*(1+g_ret)+(O33+P33+DH33)*(1+g_ret/2)</f>
        <v/>
      </c>
      <c r="DT33" s="7">
        <f>IF(BB33=1,BL33*(1+g_appr),0)</f>
        <v/>
      </c>
      <c r="DU33" s="7">
        <f>BP33-DJ33</f>
        <v/>
      </c>
      <c r="DV33" s="7">
        <f>BT33-(DI33-DJ33)</f>
        <v/>
      </c>
      <c r="DW33" s="7">
        <f>CP33+DN33</f>
        <v/>
      </c>
      <c r="DX33" s="7">
        <f>IF(DN33&gt;0,(CP33*CF33+DN33*prestamos_tasaFederalPosgrado)/(CP33+DN33),CF33)</f>
        <v/>
      </c>
      <c r="DY33" s="7">
        <f>IF(DN33&gt;0,0,CQ33)</f>
        <v/>
      </c>
      <c r="DZ33" s="7">
        <f>DM33+DN33</f>
        <v/>
      </c>
      <c r="EA33" s="7">
        <f>CV33+DO33</f>
        <v/>
      </c>
      <c r="EB33" s="7">
        <f>IF(DO33&gt;0,(CV33*CS33+DO33*prestamos_tasaPrivada)/(CV33+DO33),CS33)</f>
        <v/>
      </c>
      <c r="EC33" s="7">
        <f>IF(DO33&gt;0,0,CW33)</f>
        <v/>
      </c>
      <c r="ED33" s="7">
        <f>CX33-DE33+DP33</f>
        <v/>
      </c>
      <c r="EE33" s="7">
        <f>IF(IF(0=0,"",EE32)&lt;&gt;"",EE32,IF(AND(BB33=1,DU33&lt;=0.5,DV33&lt;=0.5,OR(BH33=0,BJ33=1)),A33,""))</f>
        <v/>
      </c>
      <c r="EF33" s="7">
        <f>DU33+DV33+DW33+EA33+ED33+CD33</f>
        <v/>
      </c>
      <c r="EG33" s="7">
        <f>DR33+DS33+DT33-EF33</f>
        <v/>
      </c>
      <c r="EH33" s="7">
        <f>EG33/(1+g_inf)^(A33+1-2026)</f>
        <v/>
      </c>
    </row>
    <row r="34">
      <c r="A34" t="n">
        <v>2028</v>
      </c>
      <c r="B34" t="n">
        <v>1</v>
      </c>
      <c r="C34" s="7">
        <f>(1+g_inf)^(A34-2026)</f>
        <v/>
      </c>
      <c r="D34" s="7">
        <f>SUMPRODUCT($U$5:$U$29,$E$5:$E$29*(1+$F$5:$F$29)^(A34-2026)*$G$5:$G$29*$H$5:$H$29*(1-$N$5:$N$29*$O$5:$O$29))*g_salMult+SUMPRODUCT(($B$5:$B$29&gt;=A34)*($B$5:$B$29&lt;A34+1)*$I$5:$I$29)*g_salMult</f>
        <v/>
      </c>
      <c r="E34" s="7">
        <f>SUMPRODUCT($U$5:$U$29,$E$5:$E$29*(1+$F$5:$F$29)^(A34-2026)*$G$5:$G$29*$H$5:$H$29*$M$5:$M$29)*g_salMult</f>
        <v/>
      </c>
      <c r="F34" s="7">
        <f>SUMPRODUCT($U$5:$U$29,$E$5:$E$29*(1+$F$5:$F$29)^(A34-2026)*$G$5:$G$29*$H$5:$H$29*$N$5:$N$29*$O$5:$O$29)*g_salMult</f>
        <v/>
      </c>
      <c r="G34" s="7">
        <f>SUMPRODUCT($U$5:$U$29,$P$5:$P$29*(1+$F$5:$F$29)^(A34-2026))</f>
        <v/>
      </c>
      <c r="H34" s="7">
        <f>SUMPRODUCT($U$5:$U$29,$Q$5:$Q$29*(1+$F$5:$F$29)^(A34-2026))+IF(personal_llcActivo=1,personal_llcNeto*(1+personal_llcCrecimiento)^1,0)</f>
        <v/>
      </c>
      <c r="I34" s="7">
        <f>SUMPRODUCT($U$5:$U$29,$J$5:$J$29/($C$5:$C$29-$B$5:$B$29+($C$5:$C$29=$B$5:$B$29)))*C34</f>
        <v/>
      </c>
      <c r="J34" s="7">
        <f>SUMPRODUCT($U$5:$U$29,$K$5:$K$29)</f>
        <v/>
      </c>
      <c r="K34" s="7">
        <f>SUMPRODUCT($U$5:$U$29,$L$5:$L$29)</f>
        <v/>
      </c>
      <c r="L34" s="7">
        <f>SUMPRODUCT($U$5:$U$29,$N$5:$N$29)</f>
        <v/>
      </c>
      <c r="M34" s="7">
        <f>IF(SUMPRODUCT($U$5:$U$29,$R$5:$R$29)&gt;0,1,0)</f>
        <v/>
      </c>
      <c r="N34" s="7">
        <f>SUMPRODUCT(($AO$5:$AO$24&gt;=A34)*($AO$5:$AO$24&lt;A34+1)*$AP$5:$AP$24)*C34+IF(1=0,IF(sel_loc&lt;&gt;"miami",personal_costoMudanzaInicial,0),0)</f>
        <v/>
      </c>
      <c r="O34" s="7">
        <f>MIN(personal_aporte403bPct*D34,retiro_limite403b*C34)</f>
        <v/>
      </c>
      <c r="P34" s="7">
        <f>MIN(personal_aporte403bPct,personal_match403bPct)*E34</f>
        <v/>
      </c>
      <c r="Q34" s="7">
        <f>IF(G34&gt;0,MAX(0,G34-impuestos_scorpCostoAnual*C34),0)</f>
        <v/>
      </c>
      <c r="R34" s="7">
        <f>Q34*impuestos_scorpSalarioPct/(1+impuestos_ssTasa+impuestos_medicareTasa)</f>
        <v/>
      </c>
      <c r="S34" s="7">
        <f>impuestos_ssTasa*MIN(R34,MAX(0,impuestos_ssTope*C34-D34))+impuestos_medicareTasa*R34</f>
        <v/>
      </c>
      <c r="T34" s="7">
        <f>Q34-R34-S34</f>
        <v/>
      </c>
      <c r="U34" s="7">
        <f>D34+R34</f>
        <v/>
      </c>
      <c r="V34" s="7">
        <f>H34*0.9235</f>
        <v/>
      </c>
      <c r="W34" s="7">
        <f>IF(H34&gt;0,2*impuestos_ssTasa*MIN(V34,MAX(0,impuestos_ssTope*C34-U34))+2*impuestos_medicareTasa*V34,0)</f>
        <v/>
      </c>
      <c r="X34" s="7">
        <f>impuestos_ssTasa*MIN(U34,impuestos_ssTope*C34)+impuestos_medicareTasa*U34+impuestos_medicareAdicional*MAX(0,U34+H34*0.9235-impuestos_medicareUmbral)</f>
        <v/>
      </c>
      <c r="Y34" s="7">
        <f>MAX(0,D34-O34+R34+T34+H34-W34/2)</f>
        <v/>
      </c>
      <c r="Z34" s="7">
        <f>MAX(0,Y34-impuestos_deduccionEstandar*C34)</f>
        <v/>
      </c>
      <c r="AA34" s="7">
        <f>MIN(0.2*MAX(0,T34+H34-W34/2)*MAX(0,MIN(1,1-(Z34-impuestos_qbiUmbral*C34)/(impuestos_qbiRango*C34))),0.2*Z34)</f>
        <v/>
      </c>
      <c r="AB34" s="7">
        <f>MAX(0,Z34-AA34)</f>
        <v/>
      </c>
      <c r="AC34" s="7">
        <f>SUMPRODUCT((AB34&gt;tb_federalBrackets_lo*C34)*(AB34-tb_federalBrackets_lo*C34)*tb_federalBrackets_dr)</f>
        <v/>
      </c>
      <c r="AD34" s="7">
        <f>MAX(0,Y34-impuestos_nyDeduccion*C34)</f>
        <v/>
      </c>
      <c r="AE34" s="7">
        <f>CHOOSE(loc_taxcode,0,impuestos_ohTasa*MAX(0,Y34-impuestos_ohExento*C34)+impuestos_ohMunicipal*U34,SUMPRODUCT((AD34&gt;tb_nyBrackets_lo*C34)*(AD34-tb_nyBrackets_lo*C34)*tb_nyBrackets_dr)+loc_nyc*SUMPRODUCT((AD34&gt;tb_nycBrackets_lo*C34)*(AD34-tb_nycBrackets_lo*C34)*tb_nycBrackets_dr))</f>
        <v/>
      </c>
      <c r="AF34" s="7">
        <f>AC34+AE34+X34+W34</f>
        <v/>
      </c>
      <c r="AG34" s="7">
        <f>D34+F34+R34+T34+H34</f>
        <v/>
      </c>
      <c r="AH34" s="7">
        <f>AG34-AF34-O34</f>
        <v/>
      </c>
      <c r="AI34" s="7">
        <f>D34+F34+G34+H34</f>
        <v/>
      </c>
      <c r="AJ34" s="7">
        <f>loc_gastosVida*C34*g_gastos</f>
        <v/>
      </c>
      <c r="AK34" s="7">
        <f>IF(1=0,personal_liquidoInicial,DR33)</f>
        <v/>
      </c>
      <c r="AL34" s="7">
        <f>IF(1=0,0,BB33)</f>
        <v/>
      </c>
      <c r="AM34" s="7">
        <f>CHOOSE(sel_cfgIdx,loc_precio_duplex,loc_precio_inlaw,loc_precio_dosCasas,loc_precio_casaAdu,loc_precio_multi)</f>
        <v/>
      </c>
      <c r="AN34" s="7">
        <f>AM34*(1+g_appr)^(A34-2026)</f>
        <v/>
      </c>
      <c r="AO34" s="7">
        <f>IF(AND(M34=1,vivienda_prestamoMedico=1),1,0)</f>
        <v/>
      </c>
      <c r="AP34" s="7">
        <f>IF(AO34=1,0.05,vivienda_enganchePct)</f>
        <v/>
      </c>
      <c r="AQ34" s="7">
        <f>AN34*(1-AP34)</f>
        <v/>
      </c>
      <c r="AR34" s="7">
        <f>PMT(g_mortRate/12,vivienda_plazoHipoteca*12,-AQ34)</f>
        <v/>
      </c>
      <c r="AS34" s="7">
        <f>INDEX(cfg_units,sel_cfgIdx)</f>
        <v/>
      </c>
      <c r="AT34" s="7">
        <f>AS34*loc_rentaUnidad*(1+g_inf)^(A34-2026)*(1-vivienda_vacancia)</f>
        <v/>
      </c>
      <c r="AU34" s="7">
        <f>AR34+AN34*loc_impuestoPropPct/12+AM34*loc_seguroPct*(1+vivienda_inflacionSeguro)^(A34-2026)/12+IF(AND(AO34=0,AP34&lt;0.2),AQ34*vivienda_pmiTasa/12,0)</f>
        <v/>
      </c>
      <c r="AV34" s="7">
        <f>AN34*AP34+AN34*vivienda_cierrePct+general_reservaMeses/12*AJ34</f>
        <v/>
      </c>
      <c r="AW34" s="7">
        <f>(IF(1=0,MIN(personal_irsSaldo,personal_irsPagoMensual*12),MIN(CD33,personal_irsPagoMensual*12))+IF(CE34&gt;0,PMT(CF34,MAX(1,prestamos_plazoAnios-CG34),-CE34),0)+IF(CR34&gt;0,PMT(CS34,MAX(1,prestamos_plazoAnios-CT34),-CR34),0))/12</f>
        <v/>
      </c>
      <c r="AX34" s="7">
        <f>IF(OR(sel_cfg="duplex",sel_cfg="multi",sel_cfg="dosCasas"),0.75*personal_aporteFamiliaMensual,0)</f>
        <v/>
      </c>
      <c r="AY34" s="7">
        <f>AU34-0.75*AT34-AX34+AW34</f>
        <v/>
      </c>
      <c r="AZ34" s="7">
        <f>(D34+G34+H34+0.5*F34)/12</f>
        <v/>
      </c>
      <c r="BA34" s="7">
        <f>IF(AND(AL34=0,A34&gt;=vivienda_anioMinCompra,J34&lt;0.5,AI34&gt;0,AK34&gt;=AV34,AY34&lt;=vivienda_dtiMax*AZ34),1,0)</f>
        <v/>
      </c>
      <c r="BB34" s="7">
        <f>MAX(AL34,BA34)</f>
        <v/>
      </c>
      <c r="BC34" s="7">
        <f>IF(BA34=1,A34,IF(1=0,"",BC33))</f>
        <v/>
      </c>
      <c r="BD34" s="7">
        <f>AK34-IF(BA34=1,AN34*AP34+AN34*vivienda_cierrePct,0)</f>
        <v/>
      </c>
      <c r="BE34" s="7">
        <f>IF(BA34=1,AN34,IF(1=0,0,BE33))</f>
        <v/>
      </c>
      <c r="BF34" s="7">
        <f>IF(BA34=1,AR34,IF(1=0,0,BF33))</f>
        <v/>
      </c>
      <c r="BG34" s="7">
        <f>IF(BA34=1,IF(AND(AO34=0,AP34&lt;0.2),1,0),IF(1=0,0,BY33))</f>
        <v/>
      </c>
      <c r="BH34" s="7">
        <f>IF(sel_cfg="casaAdu",1,0)</f>
        <v/>
      </c>
      <c r="BI34" s="7">
        <f>IF(AND(BB34=1,BH34=1,IF(1=0,0,BJ33)=0,A34&gt;=IF(BC34="",9999,BC34)+vivienda_aduRetrasoAnios),1,0)</f>
        <v/>
      </c>
      <c r="BJ34" s="7">
        <f>MAX(IF(1=0,0,BJ33),BI34)</f>
        <v/>
      </c>
      <c r="BK34" s="7">
        <f>IF(BI34=1,PMT((g_mortRate+0.005)/12,180,-loc_precio_aduCosto*C34),IF(1=0,0,BK33))</f>
        <v/>
      </c>
      <c r="BL34" s="7">
        <f>IF(BA34=1,AN34,IF(1=0,0,DT33))+IF(BI34=1,loc_precio_aduCosto*C34,0)</f>
        <v/>
      </c>
      <c r="BM34" s="7">
        <f>IF(BA34=1,AQ34,IF(1=0,0,DU33))</f>
        <v/>
      </c>
      <c r="BN34" s="7">
        <f>IF(BM34&lt;=0,0,FV(g_mortRate/12,12,BF34,-BM34))</f>
        <v/>
      </c>
      <c r="BO34" s="7">
        <f>IF(BM34&lt;=0,0,12*BF34+MIN(0,BN34))</f>
        <v/>
      </c>
      <c r="BP34" s="7">
        <f>MAX(0,BN34)</f>
        <v/>
      </c>
      <c r="BQ34" s="7">
        <f>IF(BI34=1,loc_precio_aduCosto*C34,IF(1=0,0,DV33))</f>
        <v/>
      </c>
      <c r="BR34" s="7">
        <f>IF(BQ34&lt;=0,0,FV((g_mortRate+0.005)/12,12,BK34,-BQ34))</f>
        <v/>
      </c>
      <c r="BS34" s="7">
        <f>IF(BQ34&lt;=0,0,12*BK34+MIN(0,BR34))</f>
        <v/>
      </c>
      <c r="BT34" s="7">
        <f>MAX(0,BR34)</f>
        <v/>
      </c>
      <c r="BU34" s="7">
        <f>IF(BB34=1,AM34*loc_seguroPct*(1+vivienda_inflacionSeguro)^(A34-2026)*IF(BJ34=1,1+loc_precio_aduCosto/AM34,1),0)</f>
        <v/>
      </c>
      <c r="BV34" s="7">
        <f>BL34*loc_impuestoPropPct</f>
        <v/>
      </c>
      <c r="BW34" s="7">
        <f>BL34*vivienda_mantenimientoPct</f>
        <v/>
      </c>
      <c r="BX34" s="7">
        <f>IF(AND(BG34=1,BP34&gt;0.8*BE34),BE34*(1-vivienda_enganchePct)*vivienda_pmiTasa,0)</f>
        <v/>
      </c>
      <c r="BY34" s="7">
        <f>IF(AND(BG34=1,BP34&gt;0.8*BE34),1,0)</f>
        <v/>
      </c>
      <c r="BZ34" s="7">
        <f>IF(BB34=1,AS34*loc_rentaUnidad*12*C34*(1-vivienda_vacancia)*(1-vivienda_gestionPct),0)</f>
        <v/>
      </c>
      <c r="CA34" s="7">
        <f>IF(BB34=1,BO34+BS34+BU34+BV34+BW34+BX34,loc_rentaMensual*12*C34)</f>
        <v/>
      </c>
      <c r="CB34" s="7">
        <f>IF(BB34=1,personal_aporteFamiliaMensual*12,0)</f>
        <v/>
      </c>
      <c r="CC34" s="7">
        <f>MIN(IF(1=0,personal_irsSaldo,CD33),personal_irsPagoMensual*12)</f>
        <v/>
      </c>
      <c r="CD34" s="7">
        <f>IF(1=0,personal_irsSaldo,CD33)-CC34</f>
        <v/>
      </c>
      <c r="CE34" s="7">
        <f>IF(1=0,IF(personal_deudaEsFederal=1,personal_deudaEstudiantil,0),DW33)</f>
        <v/>
      </c>
      <c r="CF34" s="7">
        <f>IF(1=0,personal_tasaDeudaEstudiantil,DX33)</f>
        <v/>
      </c>
      <c r="CG34" s="7">
        <f>IF(1=0,0,DY33)</f>
        <v/>
      </c>
      <c r="CH34" s="7">
        <f>IF(J34&gt;=0.5,1,0)</f>
        <v/>
      </c>
      <c r="CI34" s="7">
        <f>IF(AND(CH34=0,prestamos_pslfActivo=1,K34&gt;=0.5,CE34&gt;0),1,0)</f>
        <v/>
      </c>
      <c r="CJ34" s="7">
        <f>CE34*CF34</f>
        <v/>
      </c>
      <c r="CK34" s="7">
        <f>MAX(prestamos_rapPagoMinimoAnual,IF(Y34&lt;10000,0,MIN(0.1,INT(Y34/10000)/100))*Y34)</f>
        <v/>
      </c>
      <c r="CL34" s="7">
        <f>IF(CE34&lt;=0,0,IF(CH34=1,0,IF(CI34=1,MIN(CE34+CJ34,CK34),PMT(CF34,MAX(1,prestamos_plazoAnios-CG34),-CE34))))</f>
        <v/>
      </c>
      <c r="CM34" s="7">
        <f>IF(CE34&lt;=0,0,IF(CH34=1,CE34+CJ34,IF(CI34=1,MAX(0,CE34-MAX(CL34-CJ34,MIN(600,CL34))),MAX(0,CE34*(1+CF34)-CL34))))</f>
        <v/>
      </c>
      <c r="CN34" s="7">
        <f>IF(1=0,0,CN33)+IF(CI34=1,12*MIN(1,K34),0)</f>
        <v/>
      </c>
      <c r="CO34" s="7">
        <f>IF(AND(CI34=1,CN34&gt;=prestamos_pslfPagos,CM34&gt;0),CM34,0)</f>
        <v/>
      </c>
      <c r="CP34" s="7">
        <f>CM34-CO34</f>
        <v/>
      </c>
      <c r="CQ34" s="7">
        <f>IF(AND(CE34&gt;0,CH34=0,CI34=0),CG34+1,CG34)</f>
        <v/>
      </c>
      <c r="CR34" s="7">
        <f>IF(1=0,IF(personal_deudaEsFederal=1,0,personal_deudaEstudiantil),EA33)</f>
        <v/>
      </c>
      <c r="CS34" s="7">
        <f>IF(1=0,IF(personal_deudaEsFederal=1,prestamos_tasaPrivada,personal_tasaDeudaEstudiantil),EB33)</f>
        <v/>
      </c>
      <c r="CT34" s="7">
        <f>IF(1=0,0,EC33)</f>
        <v/>
      </c>
      <c r="CU34" s="7">
        <f>IF(OR(CR34&lt;=0,CH34=1),0,PMT(CS34,MAX(1,prestamos_plazoAnios-CT34),-CR34))</f>
        <v/>
      </c>
      <c r="CV34" s="7">
        <f>IF(CR34&lt;=0,0,IF(CH34=1,CR34*(1+CS34),MAX(0,CR34*(1+CS34)-CU34)))</f>
        <v/>
      </c>
      <c r="CW34" s="7">
        <f>IF(AND(CR34&gt;0,CH34=0),CT34+1,CT34)</f>
        <v/>
      </c>
      <c r="CX34" s="7">
        <f>IF(1=0,0,ED33)*(1+general_tasaDeudaConsumo)</f>
        <v/>
      </c>
      <c r="CY34" s="7">
        <f>L34*12*tiempos_travelGastoExtraMes*C34</f>
        <v/>
      </c>
      <c r="CZ34" s="7">
        <f>AJ34+CY34+CA34+CC34+CL34+CU34+I34+N34-BZ34-CB34</f>
        <v/>
      </c>
      <c r="DA34" s="7">
        <f>AH34-CZ34</f>
        <v/>
      </c>
      <c r="DB34" s="7">
        <f>IF(1=0,0,DB33)+DA34</f>
        <v/>
      </c>
      <c r="DC34" s="7">
        <f>AN34*vivienda_enganchePct+AN34*vivienda_cierrePct+general_reservaMeses/12*AJ34</f>
        <v/>
      </c>
      <c r="DD34" s="7">
        <f>IF(BB34=1,g_ret,IF(BD34&gt;0,MIN(1,DC34/BD34),1)*g_cash+(1-IF(BD34&gt;0,MIN(1,DC34/BD34),1))*g_ret)</f>
        <v/>
      </c>
      <c r="DE34" s="7">
        <f>IF(DA34&gt;=0,MIN(CX34,DA34),0)</f>
        <v/>
      </c>
      <c r="DF34" s="7">
        <f>IF(DA34&gt;=0,(1-general_tasaAhorro)*(DA34-DE34),0)</f>
        <v/>
      </c>
      <c r="DG34" s="7">
        <f>IF(DA34&gt;=0,DA34-DE34-DF34,0)</f>
        <v/>
      </c>
      <c r="DH34" s="7">
        <f>MIN(personal_rothAnual,DG34)</f>
        <v/>
      </c>
      <c r="DI34" s="7">
        <f>IF(AND(DA34&gt;=0,BB34=1,BP34+BT34&gt;0),MIN(vivienda_prepagoPct*(DG34-DH34),BP34+BT34),0)</f>
        <v/>
      </c>
      <c r="DJ34" s="7">
        <f>MIN(DI34,BP34)</f>
        <v/>
      </c>
      <c r="DK34" s="7">
        <f>IF(DA34&lt;0,MIN(MAX(0,BD34),-DA34),0)</f>
        <v/>
      </c>
      <c r="DL34" s="7">
        <f>IF(DA34&lt;0,-DA34-DK34,0)</f>
        <v/>
      </c>
      <c r="DM34" s="7">
        <f>IF(1=0,0,DZ33)</f>
        <v/>
      </c>
      <c r="DN34" s="7">
        <f>IF(AND(DL34&gt;0,J34&gt;0),MIN(DL34,MIN(prestamos_topeAnualPosgrado*MIN(1,J34),MAX(0,prestamos_topeTotalPosgrado-DM34))),0)</f>
        <v/>
      </c>
      <c r="DO34" s="7">
        <f>IF(AND(DL34&gt;0,J34&gt;0),DL34-DN34,0)</f>
        <v/>
      </c>
      <c r="DP34" s="7">
        <f>IF(AND(DL34&gt;0,J34&lt;=0),DL34,0)</f>
        <v/>
      </c>
      <c r="DQ34" s="7">
        <f>IF(DA34&gt;=0,DG34-DH34-DI34,-DK34)</f>
        <v/>
      </c>
      <c r="DR34" s="7">
        <f>BD34*(1+DD34)+DQ34*(1+DD34/2)</f>
        <v/>
      </c>
      <c r="DS34" s="7">
        <f>IF(1=0,personal_retiroInicial,DS33)*(1+g_ret)+(O34+P34+DH34)*(1+g_ret/2)</f>
        <v/>
      </c>
      <c r="DT34" s="7">
        <f>IF(BB34=1,BL34*(1+g_appr),0)</f>
        <v/>
      </c>
      <c r="DU34" s="7">
        <f>BP34-DJ34</f>
        <v/>
      </c>
      <c r="DV34" s="7">
        <f>BT34-(DI34-DJ34)</f>
        <v/>
      </c>
      <c r="DW34" s="7">
        <f>CP34+DN34</f>
        <v/>
      </c>
      <c r="DX34" s="7">
        <f>IF(DN34&gt;0,(CP34*CF34+DN34*prestamos_tasaFederalPosgrado)/(CP34+DN34),CF34)</f>
        <v/>
      </c>
      <c r="DY34" s="7">
        <f>IF(DN34&gt;0,0,CQ34)</f>
        <v/>
      </c>
      <c r="DZ34" s="7">
        <f>DM34+DN34</f>
        <v/>
      </c>
      <c r="EA34" s="7">
        <f>CV34+DO34</f>
        <v/>
      </c>
      <c r="EB34" s="7">
        <f>IF(DO34&gt;0,(CV34*CS34+DO34*prestamos_tasaPrivada)/(CV34+DO34),CS34)</f>
        <v/>
      </c>
      <c r="EC34" s="7">
        <f>IF(DO34&gt;0,0,CW34)</f>
        <v/>
      </c>
      <c r="ED34" s="7">
        <f>CX34-DE34+DP34</f>
        <v/>
      </c>
      <c r="EE34" s="7">
        <f>IF(IF(1=0,"",EE33)&lt;&gt;"",EE33,IF(AND(BB34=1,DU34&lt;=0.5,DV34&lt;=0.5,OR(BH34=0,BJ34=1)),A34,""))</f>
        <v/>
      </c>
      <c r="EF34" s="7">
        <f>DU34+DV34+DW34+EA34+ED34+CD34</f>
        <v/>
      </c>
      <c r="EG34" s="7">
        <f>DR34+DS34+DT34-EF34</f>
        <v/>
      </c>
      <c r="EH34" s="7">
        <f>EG34/(1+g_inf)^(A34+1-2026)</f>
        <v/>
      </c>
    </row>
    <row r="35">
      <c r="A35" t="n">
        <v>2029</v>
      </c>
      <c r="B35" t="n">
        <v>2</v>
      </c>
      <c r="C35" s="7">
        <f>(1+g_inf)^(A35-2026)</f>
        <v/>
      </c>
      <c r="D35" s="7">
        <f>SUMPRODUCT($V$5:$V$29,$E$5:$E$29*(1+$F$5:$F$29)^(A35-2026)*$G$5:$G$29*$H$5:$H$29*(1-$N$5:$N$29*$O$5:$O$29))*g_salMult+SUMPRODUCT(($B$5:$B$29&gt;=A35)*($B$5:$B$29&lt;A35+1)*$I$5:$I$29)*g_salMult</f>
        <v/>
      </c>
      <c r="E35" s="7">
        <f>SUMPRODUCT($V$5:$V$29,$E$5:$E$29*(1+$F$5:$F$29)^(A35-2026)*$G$5:$G$29*$H$5:$H$29*$M$5:$M$29)*g_salMult</f>
        <v/>
      </c>
      <c r="F35" s="7">
        <f>SUMPRODUCT($V$5:$V$29,$E$5:$E$29*(1+$F$5:$F$29)^(A35-2026)*$G$5:$G$29*$H$5:$H$29*$N$5:$N$29*$O$5:$O$29)*g_salMult</f>
        <v/>
      </c>
      <c r="G35" s="7">
        <f>SUMPRODUCT($V$5:$V$29,$P$5:$P$29*(1+$F$5:$F$29)^(A35-2026))</f>
        <v/>
      </c>
      <c r="H35" s="7">
        <f>SUMPRODUCT($V$5:$V$29,$Q$5:$Q$29*(1+$F$5:$F$29)^(A35-2026))+IF(personal_llcActivo=1,personal_llcNeto*(1+personal_llcCrecimiento)^2,0)</f>
        <v/>
      </c>
      <c r="I35" s="7">
        <f>SUMPRODUCT($V$5:$V$29,$J$5:$J$29/($C$5:$C$29-$B$5:$B$29+($C$5:$C$29=$B$5:$B$29)))*C35</f>
        <v/>
      </c>
      <c r="J35" s="7">
        <f>SUMPRODUCT($V$5:$V$29,$K$5:$K$29)</f>
        <v/>
      </c>
      <c r="K35" s="7">
        <f>SUMPRODUCT($V$5:$V$29,$L$5:$L$29)</f>
        <v/>
      </c>
      <c r="L35" s="7">
        <f>SUMPRODUCT($V$5:$V$29,$N$5:$N$29)</f>
        <v/>
      </c>
      <c r="M35" s="7">
        <f>IF(SUMPRODUCT($V$5:$V$29,$R$5:$R$29)&gt;0,1,0)</f>
        <v/>
      </c>
      <c r="N35" s="7">
        <f>SUMPRODUCT(($AO$5:$AO$24&gt;=A35)*($AO$5:$AO$24&lt;A35+1)*$AP$5:$AP$24)*C35+IF(2=0,IF(sel_loc&lt;&gt;"miami",personal_costoMudanzaInicial,0),0)</f>
        <v/>
      </c>
      <c r="O35" s="7">
        <f>MIN(personal_aporte403bPct*D35,retiro_limite403b*C35)</f>
        <v/>
      </c>
      <c r="P35" s="7">
        <f>MIN(personal_aporte403bPct,personal_match403bPct)*E35</f>
        <v/>
      </c>
      <c r="Q35" s="7">
        <f>IF(G35&gt;0,MAX(0,G35-impuestos_scorpCostoAnual*C35),0)</f>
        <v/>
      </c>
      <c r="R35" s="7">
        <f>Q35*impuestos_scorpSalarioPct/(1+impuestos_ssTasa+impuestos_medicareTasa)</f>
        <v/>
      </c>
      <c r="S35" s="7">
        <f>impuestos_ssTasa*MIN(R35,MAX(0,impuestos_ssTope*C35-D35))+impuestos_medicareTasa*R35</f>
        <v/>
      </c>
      <c r="T35" s="7">
        <f>Q35-R35-S35</f>
        <v/>
      </c>
      <c r="U35" s="7">
        <f>D35+R35</f>
        <v/>
      </c>
      <c r="V35" s="7">
        <f>H35*0.9235</f>
        <v/>
      </c>
      <c r="W35" s="7">
        <f>IF(H35&gt;0,2*impuestos_ssTasa*MIN(V35,MAX(0,impuestos_ssTope*C35-U35))+2*impuestos_medicareTasa*V35,0)</f>
        <v/>
      </c>
      <c r="X35" s="7">
        <f>impuestos_ssTasa*MIN(U35,impuestos_ssTope*C35)+impuestos_medicareTasa*U35+impuestos_medicareAdicional*MAX(0,U35+H35*0.9235-impuestos_medicareUmbral)</f>
        <v/>
      </c>
      <c r="Y35" s="7">
        <f>MAX(0,D35-O35+R35+T35+H35-W35/2)</f>
        <v/>
      </c>
      <c r="Z35" s="7">
        <f>MAX(0,Y35-impuestos_deduccionEstandar*C35)</f>
        <v/>
      </c>
      <c r="AA35" s="7">
        <f>MIN(0.2*MAX(0,T35+H35-W35/2)*MAX(0,MIN(1,1-(Z35-impuestos_qbiUmbral*C35)/(impuestos_qbiRango*C35))),0.2*Z35)</f>
        <v/>
      </c>
      <c r="AB35" s="7">
        <f>MAX(0,Z35-AA35)</f>
        <v/>
      </c>
      <c r="AC35" s="7">
        <f>SUMPRODUCT((AB35&gt;tb_federalBrackets_lo*C35)*(AB35-tb_federalBrackets_lo*C35)*tb_federalBrackets_dr)</f>
        <v/>
      </c>
      <c r="AD35" s="7">
        <f>MAX(0,Y35-impuestos_nyDeduccion*C35)</f>
        <v/>
      </c>
      <c r="AE35" s="7">
        <f>CHOOSE(loc_taxcode,0,impuestos_ohTasa*MAX(0,Y35-impuestos_ohExento*C35)+impuestos_ohMunicipal*U35,SUMPRODUCT((AD35&gt;tb_nyBrackets_lo*C35)*(AD35-tb_nyBrackets_lo*C35)*tb_nyBrackets_dr)+loc_nyc*SUMPRODUCT((AD35&gt;tb_nycBrackets_lo*C35)*(AD35-tb_nycBrackets_lo*C35)*tb_nycBrackets_dr))</f>
        <v/>
      </c>
      <c r="AF35" s="7">
        <f>AC35+AE35+X35+W35</f>
        <v/>
      </c>
      <c r="AG35" s="7">
        <f>D35+F35+R35+T35+H35</f>
        <v/>
      </c>
      <c r="AH35" s="7">
        <f>AG35-AF35-O35</f>
        <v/>
      </c>
      <c r="AI35" s="7">
        <f>D35+F35+G35+H35</f>
        <v/>
      </c>
      <c r="AJ35" s="7">
        <f>loc_gastosVida*C35*g_gastos</f>
        <v/>
      </c>
      <c r="AK35" s="7">
        <f>IF(2=0,personal_liquidoInicial,DR34)</f>
        <v/>
      </c>
      <c r="AL35" s="7">
        <f>IF(2=0,0,BB34)</f>
        <v/>
      </c>
      <c r="AM35" s="7">
        <f>CHOOSE(sel_cfgIdx,loc_precio_duplex,loc_precio_inlaw,loc_precio_dosCasas,loc_precio_casaAdu,loc_precio_multi)</f>
        <v/>
      </c>
      <c r="AN35" s="7">
        <f>AM35*(1+g_appr)^(A35-2026)</f>
        <v/>
      </c>
      <c r="AO35" s="7">
        <f>IF(AND(M35=1,vivienda_prestamoMedico=1),1,0)</f>
        <v/>
      </c>
      <c r="AP35" s="7">
        <f>IF(AO35=1,0.05,vivienda_enganchePct)</f>
        <v/>
      </c>
      <c r="AQ35" s="7">
        <f>AN35*(1-AP35)</f>
        <v/>
      </c>
      <c r="AR35" s="7">
        <f>PMT(g_mortRate/12,vivienda_plazoHipoteca*12,-AQ35)</f>
        <v/>
      </c>
      <c r="AS35" s="7">
        <f>INDEX(cfg_units,sel_cfgIdx)</f>
        <v/>
      </c>
      <c r="AT35" s="7">
        <f>AS35*loc_rentaUnidad*(1+g_inf)^(A35-2026)*(1-vivienda_vacancia)</f>
        <v/>
      </c>
      <c r="AU35" s="7">
        <f>AR35+AN35*loc_impuestoPropPct/12+AM35*loc_seguroPct*(1+vivienda_inflacionSeguro)^(A35-2026)/12+IF(AND(AO35=0,AP35&lt;0.2),AQ35*vivienda_pmiTasa/12,0)</f>
        <v/>
      </c>
      <c r="AV35" s="7">
        <f>AN35*AP35+AN35*vivienda_cierrePct+general_reservaMeses/12*AJ35</f>
        <v/>
      </c>
      <c r="AW35" s="7">
        <f>(IF(2=0,MIN(personal_irsSaldo,personal_irsPagoMensual*12),MIN(CD34,personal_irsPagoMensual*12))+IF(CE35&gt;0,PMT(CF35,MAX(1,prestamos_plazoAnios-CG35),-CE35),0)+IF(CR35&gt;0,PMT(CS35,MAX(1,prestamos_plazoAnios-CT35),-CR35),0))/12</f>
        <v/>
      </c>
      <c r="AX35" s="7">
        <f>IF(OR(sel_cfg="duplex",sel_cfg="multi",sel_cfg="dosCasas"),0.75*personal_aporteFamiliaMensual,0)</f>
        <v/>
      </c>
      <c r="AY35" s="7">
        <f>AU35-0.75*AT35-AX35+AW35</f>
        <v/>
      </c>
      <c r="AZ35" s="7">
        <f>(D35+G35+H35+0.5*F35)/12</f>
        <v/>
      </c>
      <c r="BA35" s="7">
        <f>IF(AND(AL35=0,A35&gt;=vivienda_anioMinCompra,J35&lt;0.5,AI35&gt;0,AK35&gt;=AV35,AY35&lt;=vivienda_dtiMax*AZ35),1,0)</f>
        <v/>
      </c>
      <c r="BB35" s="7">
        <f>MAX(AL35,BA35)</f>
        <v/>
      </c>
      <c r="BC35" s="7">
        <f>IF(BA35=1,A35,IF(2=0,"",BC34))</f>
        <v/>
      </c>
      <c r="BD35" s="7">
        <f>AK35-IF(BA35=1,AN35*AP35+AN35*vivienda_cierrePct,0)</f>
        <v/>
      </c>
      <c r="BE35" s="7">
        <f>IF(BA35=1,AN35,IF(2=0,0,BE34))</f>
        <v/>
      </c>
      <c r="BF35" s="7">
        <f>IF(BA35=1,AR35,IF(2=0,0,BF34))</f>
        <v/>
      </c>
      <c r="BG35" s="7">
        <f>IF(BA35=1,IF(AND(AO35=0,AP35&lt;0.2),1,0),IF(2=0,0,BY34))</f>
        <v/>
      </c>
      <c r="BH35" s="7">
        <f>IF(sel_cfg="casaAdu",1,0)</f>
        <v/>
      </c>
      <c r="BI35" s="7">
        <f>IF(AND(BB35=1,BH35=1,IF(2=0,0,BJ34)=0,A35&gt;=IF(BC35="",9999,BC35)+vivienda_aduRetrasoAnios),1,0)</f>
        <v/>
      </c>
      <c r="BJ35" s="7">
        <f>MAX(IF(2=0,0,BJ34),BI35)</f>
        <v/>
      </c>
      <c r="BK35" s="7">
        <f>IF(BI35=1,PMT((g_mortRate+0.005)/12,180,-loc_precio_aduCosto*C35),IF(2=0,0,BK34))</f>
        <v/>
      </c>
      <c r="BL35" s="7">
        <f>IF(BA35=1,AN35,IF(2=0,0,DT34))+IF(BI35=1,loc_precio_aduCosto*C35,0)</f>
        <v/>
      </c>
      <c r="BM35" s="7">
        <f>IF(BA35=1,AQ35,IF(2=0,0,DU34))</f>
        <v/>
      </c>
      <c r="BN35" s="7">
        <f>IF(BM35&lt;=0,0,FV(g_mortRate/12,12,BF35,-BM35))</f>
        <v/>
      </c>
      <c r="BO35" s="7">
        <f>IF(BM35&lt;=0,0,12*BF35+MIN(0,BN35))</f>
        <v/>
      </c>
      <c r="BP35" s="7">
        <f>MAX(0,BN35)</f>
        <v/>
      </c>
      <c r="BQ35" s="7">
        <f>IF(BI35=1,loc_precio_aduCosto*C35,IF(2=0,0,DV34))</f>
        <v/>
      </c>
      <c r="BR35" s="7">
        <f>IF(BQ35&lt;=0,0,FV((g_mortRate+0.005)/12,12,BK35,-BQ35))</f>
        <v/>
      </c>
      <c r="BS35" s="7">
        <f>IF(BQ35&lt;=0,0,12*BK35+MIN(0,BR35))</f>
        <v/>
      </c>
      <c r="BT35" s="7">
        <f>MAX(0,BR35)</f>
        <v/>
      </c>
      <c r="BU35" s="7">
        <f>IF(BB35=1,AM35*loc_seguroPct*(1+vivienda_inflacionSeguro)^(A35-2026)*IF(BJ35=1,1+loc_precio_aduCosto/AM35,1),0)</f>
        <v/>
      </c>
      <c r="BV35" s="7">
        <f>BL35*loc_impuestoPropPct</f>
        <v/>
      </c>
      <c r="BW35" s="7">
        <f>BL35*vivienda_mantenimientoPct</f>
        <v/>
      </c>
      <c r="BX35" s="7">
        <f>IF(AND(BG35=1,BP35&gt;0.8*BE35),BE35*(1-vivienda_enganchePct)*vivienda_pmiTasa,0)</f>
        <v/>
      </c>
      <c r="BY35" s="7">
        <f>IF(AND(BG35=1,BP35&gt;0.8*BE35),1,0)</f>
        <v/>
      </c>
      <c r="BZ35" s="7">
        <f>IF(BB35=1,AS35*loc_rentaUnidad*12*C35*(1-vivienda_vacancia)*(1-vivienda_gestionPct),0)</f>
        <v/>
      </c>
      <c r="CA35" s="7">
        <f>IF(BB35=1,BO35+BS35+BU35+BV35+BW35+BX35,loc_rentaMensual*12*C35)</f>
        <v/>
      </c>
      <c r="CB35" s="7">
        <f>IF(BB35=1,personal_aporteFamiliaMensual*12,0)</f>
        <v/>
      </c>
      <c r="CC35" s="7">
        <f>MIN(IF(2=0,personal_irsSaldo,CD34),personal_irsPagoMensual*12)</f>
        <v/>
      </c>
      <c r="CD35" s="7">
        <f>IF(2=0,personal_irsSaldo,CD34)-CC35</f>
        <v/>
      </c>
      <c r="CE35" s="7">
        <f>IF(2=0,IF(personal_deudaEsFederal=1,personal_deudaEstudiantil,0),DW34)</f>
        <v/>
      </c>
      <c r="CF35" s="7">
        <f>IF(2=0,personal_tasaDeudaEstudiantil,DX34)</f>
        <v/>
      </c>
      <c r="CG35" s="7">
        <f>IF(2=0,0,DY34)</f>
        <v/>
      </c>
      <c r="CH35" s="7">
        <f>IF(J35&gt;=0.5,1,0)</f>
        <v/>
      </c>
      <c r="CI35" s="7">
        <f>IF(AND(CH35=0,prestamos_pslfActivo=1,K35&gt;=0.5,CE35&gt;0),1,0)</f>
        <v/>
      </c>
      <c r="CJ35" s="7">
        <f>CE35*CF35</f>
        <v/>
      </c>
      <c r="CK35" s="7">
        <f>MAX(prestamos_rapPagoMinimoAnual,IF(Y35&lt;10000,0,MIN(0.1,INT(Y35/10000)/100))*Y35)</f>
        <v/>
      </c>
      <c r="CL35" s="7">
        <f>IF(CE35&lt;=0,0,IF(CH35=1,0,IF(CI35=1,MIN(CE35+CJ35,CK35),PMT(CF35,MAX(1,prestamos_plazoAnios-CG35),-CE35))))</f>
        <v/>
      </c>
      <c r="CM35" s="7">
        <f>IF(CE35&lt;=0,0,IF(CH35=1,CE35+CJ35,IF(CI35=1,MAX(0,CE35-MAX(CL35-CJ35,MIN(600,CL35))),MAX(0,CE35*(1+CF35)-CL35))))</f>
        <v/>
      </c>
      <c r="CN35" s="7">
        <f>IF(2=0,0,CN34)+IF(CI35=1,12*MIN(1,K35),0)</f>
        <v/>
      </c>
      <c r="CO35" s="7">
        <f>IF(AND(CI35=1,CN35&gt;=prestamos_pslfPagos,CM35&gt;0),CM35,0)</f>
        <v/>
      </c>
      <c r="CP35" s="7">
        <f>CM35-CO35</f>
        <v/>
      </c>
      <c r="CQ35" s="7">
        <f>IF(AND(CE35&gt;0,CH35=0,CI35=0),CG35+1,CG35)</f>
        <v/>
      </c>
      <c r="CR35" s="7">
        <f>IF(2=0,IF(personal_deudaEsFederal=1,0,personal_deudaEstudiantil),EA34)</f>
        <v/>
      </c>
      <c r="CS35" s="7">
        <f>IF(2=0,IF(personal_deudaEsFederal=1,prestamos_tasaPrivada,personal_tasaDeudaEstudiantil),EB34)</f>
        <v/>
      </c>
      <c r="CT35" s="7">
        <f>IF(2=0,0,EC34)</f>
        <v/>
      </c>
      <c r="CU35" s="7">
        <f>IF(OR(CR35&lt;=0,CH35=1),0,PMT(CS35,MAX(1,prestamos_plazoAnios-CT35),-CR35))</f>
        <v/>
      </c>
      <c r="CV35" s="7">
        <f>IF(CR35&lt;=0,0,IF(CH35=1,CR35*(1+CS35),MAX(0,CR35*(1+CS35)-CU35)))</f>
        <v/>
      </c>
      <c r="CW35" s="7">
        <f>IF(AND(CR35&gt;0,CH35=0),CT35+1,CT35)</f>
        <v/>
      </c>
      <c r="CX35" s="7">
        <f>IF(2=0,0,ED34)*(1+general_tasaDeudaConsumo)</f>
        <v/>
      </c>
      <c r="CY35" s="7">
        <f>L35*12*tiempos_travelGastoExtraMes*C35</f>
        <v/>
      </c>
      <c r="CZ35" s="7">
        <f>AJ35+CY35+CA35+CC35+CL35+CU35+I35+N35-BZ35-CB35</f>
        <v/>
      </c>
      <c r="DA35" s="7">
        <f>AH35-CZ35</f>
        <v/>
      </c>
      <c r="DB35" s="7">
        <f>IF(2=0,0,DB34)+DA35</f>
        <v/>
      </c>
      <c r="DC35" s="7">
        <f>AN35*vivienda_enganchePct+AN35*vivienda_cierrePct+general_reservaMeses/12*AJ35</f>
        <v/>
      </c>
      <c r="DD35" s="7">
        <f>IF(BB35=1,g_ret,IF(BD35&gt;0,MIN(1,DC35/BD35),1)*g_cash+(1-IF(BD35&gt;0,MIN(1,DC35/BD35),1))*g_ret)</f>
        <v/>
      </c>
      <c r="DE35" s="7">
        <f>IF(DA35&gt;=0,MIN(CX35,DA35),0)</f>
        <v/>
      </c>
      <c r="DF35" s="7">
        <f>IF(DA35&gt;=0,(1-general_tasaAhorro)*(DA35-DE35),0)</f>
        <v/>
      </c>
      <c r="DG35" s="7">
        <f>IF(DA35&gt;=0,DA35-DE35-DF35,0)</f>
        <v/>
      </c>
      <c r="DH35" s="7">
        <f>MIN(personal_rothAnual,DG35)</f>
        <v/>
      </c>
      <c r="DI35" s="7">
        <f>IF(AND(DA35&gt;=0,BB35=1,BP35+BT35&gt;0),MIN(vivienda_prepagoPct*(DG35-DH35),BP35+BT35),0)</f>
        <v/>
      </c>
      <c r="DJ35" s="7">
        <f>MIN(DI35,BP35)</f>
        <v/>
      </c>
      <c r="DK35" s="7">
        <f>IF(DA35&lt;0,MIN(MAX(0,BD35),-DA35),0)</f>
        <v/>
      </c>
      <c r="DL35" s="7">
        <f>IF(DA35&lt;0,-DA35-DK35,0)</f>
        <v/>
      </c>
      <c r="DM35" s="7">
        <f>IF(2=0,0,DZ34)</f>
        <v/>
      </c>
      <c r="DN35" s="7">
        <f>IF(AND(DL35&gt;0,J35&gt;0),MIN(DL35,MIN(prestamos_topeAnualPosgrado*MIN(1,J35),MAX(0,prestamos_topeTotalPosgrado-DM35))),0)</f>
        <v/>
      </c>
      <c r="DO35" s="7">
        <f>IF(AND(DL35&gt;0,J35&gt;0),DL35-DN35,0)</f>
        <v/>
      </c>
      <c r="DP35" s="7">
        <f>IF(AND(DL35&gt;0,J35&lt;=0),DL35,0)</f>
        <v/>
      </c>
      <c r="DQ35" s="7">
        <f>IF(DA35&gt;=0,DG35-DH35-DI35,-DK35)</f>
        <v/>
      </c>
      <c r="DR35" s="7">
        <f>BD35*(1+DD35)+DQ35*(1+DD35/2)</f>
        <v/>
      </c>
      <c r="DS35" s="7">
        <f>IF(2=0,personal_retiroInicial,DS34)*(1+g_ret)+(O35+P35+DH35)*(1+g_ret/2)</f>
        <v/>
      </c>
      <c r="DT35" s="7">
        <f>IF(BB35=1,BL35*(1+g_appr),0)</f>
        <v/>
      </c>
      <c r="DU35" s="7">
        <f>BP35-DJ35</f>
        <v/>
      </c>
      <c r="DV35" s="7">
        <f>BT35-(DI35-DJ35)</f>
        <v/>
      </c>
      <c r="DW35" s="7">
        <f>CP35+DN35</f>
        <v/>
      </c>
      <c r="DX35" s="7">
        <f>IF(DN35&gt;0,(CP35*CF35+DN35*prestamos_tasaFederalPosgrado)/(CP35+DN35),CF35)</f>
        <v/>
      </c>
      <c r="DY35" s="7">
        <f>IF(DN35&gt;0,0,CQ35)</f>
        <v/>
      </c>
      <c r="DZ35" s="7">
        <f>DM35+DN35</f>
        <v/>
      </c>
      <c r="EA35" s="7">
        <f>CV35+DO35</f>
        <v/>
      </c>
      <c r="EB35" s="7">
        <f>IF(DO35&gt;0,(CV35*CS35+DO35*prestamos_tasaPrivada)/(CV35+DO35),CS35)</f>
        <v/>
      </c>
      <c r="EC35" s="7">
        <f>IF(DO35&gt;0,0,CW35)</f>
        <v/>
      </c>
      <c r="ED35" s="7">
        <f>CX35-DE35+DP35</f>
        <v/>
      </c>
      <c r="EE35" s="7">
        <f>IF(IF(2=0,"",EE34)&lt;&gt;"",EE34,IF(AND(BB35=1,DU35&lt;=0.5,DV35&lt;=0.5,OR(BH35=0,BJ35=1)),A35,""))</f>
        <v/>
      </c>
      <c r="EF35" s="7">
        <f>DU35+DV35+DW35+EA35+ED35+CD35</f>
        <v/>
      </c>
      <c r="EG35" s="7">
        <f>DR35+DS35+DT35-EF35</f>
        <v/>
      </c>
      <c r="EH35" s="7">
        <f>EG35/(1+g_inf)^(A35+1-2026)</f>
        <v/>
      </c>
    </row>
    <row r="36">
      <c r="A36" t="n">
        <v>2030</v>
      </c>
      <c r="B36" t="n">
        <v>3</v>
      </c>
      <c r="C36" s="7">
        <f>(1+g_inf)^(A36-2026)</f>
        <v/>
      </c>
      <c r="D36" s="7">
        <f>SUMPRODUCT($W$5:$W$29,$E$5:$E$29*(1+$F$5:$F$29)^(A36-2026)*$G$5:$G$29*$H$5:$H$29*(1-$N$5:$N$29*$O$5:$O$29))*g_salMult+SUMPRODUCT(($B$5:$B$29&gt;=A36)*($B$5:$B$29&lt;A36+1)*$I$5:$I$29)*g_salMult</f>
        <v/>
      </c>
      <c r="E36" s="7">
        <f>SUMPRODUCT($W$5:$W$29,$E$5:$E$29*(1+$F$5:$F$29)^(A36-2026)*$G$5:$G$29*$H$5:$H$29*$M$5:$M$29)*g_salMult</f>
        <v/>
      </c>
      <c r="F36" s="7">
        <f>SUMPRODUCT($W$5:$W$29,$E$5:$E$29*(1+$F$5:$F$29)^(A36-2026)*$G$5:$G$29*$H$5:$H$29*$N$5:$N$29*$O$5:$O$29)*g_salMult</f>
        <v/>
      </c>
      <c r="G36" s="7">
        <f>SUMPRODUCT($W$5:$W$29,$P$5:$P$29*(1+$F$5:$F$29)^(A36-2026))</f>
        <v/>
      </c>
      <c r="H36" s="7">
        <f>SUMPRODUCT($W$5:$W$29,$Q$5:$Q$29*(1+$F$5:$F$29)^(A36-2026))+IF(personal_llcActivo=1,personal_llcNeto*(1+personal_llcCrecimiento)^3,0)</f>
        <v/>
      </c>
      <c r="I36" s="7">
        <f>SUMPRODUCT($W$5:$W$29,$J$5:$J$29/($C$5:$C$29-$B$5:$B$29+($C$5:$C$29=$B$5:$B$29)))*C36</f>
        <v/>
      </c>
      <c r="J36" s="7">
        <f>SUMPRODUCT($W$5:$W$29,$K$5:$K$29)</f>
        <v/>
      </c>
      <c r="K36" s="7">
        <f>SUMPRODUCT($W$5:$W$29,$L$5:$L$29)</f>
        <v/>
      </c>
      <c r="L36" s="7">
        <f>SUMPRODUCT($W$5:$W$29,$N$5:$N$29)</f>
        <v/>
      </c>
      <c r="M36" s="7">
        <f>IF(SUMPRODUCT($W$5:$W$29,$R$5:$R$29)&gt;0,1,0)</f>
        <v/>
      </c>
      <c r="N36" s="7">
        <f>SUMPRODUCT(($AO$5:$AO$24&gt;=A36)*($AO$5:$AO$24&lt;A36+1)*$AP$5:$AP$24)*C36+IF(3=0,IF(sel_loc&lt;&gt;"miami",personal_costoMudanzaInicial,0),0)</f>
        <v/>
      </c>
      <c r="O36" s="7">
        <f>MIN(personal_aporte403bPct*D36,retiro_limite403b*C36)</f>
        <v/>
      </c>
      <c r="P36" s="7">
        <f>MIN(personal_aporte403bPct,personal_match403bPct)*E36</f>
        <v/>
      </c>
      <c r="Q36" s="7">
        <f>IF(G36&gt;0,MAX(0,G36-impuestos_scorpCostoAnual*C36),0)</f>
        <v/>
      </c>
      <c r="R36" s="7">
        <f>Q36*impuestos_scorpSalarioPct/(1+impuestos_ssTasa+impuestos_medicareTasa)</f>
        <v/>
      </c>
      <c r="S36" s="7">
        <f>impuestos_ssTasa*MIN(R36,MAX(0,impuestos_ssTope*C36-D36))+impuestos_medicareTasa*R36</f>
        <v/>
      </c>
      <c r="T36" s="7">
        <f>Q36-R36-S36</f>
        <v/>
      </c>
      <c r="U36" s="7">
        <f>D36+R36</f>
        <v/>
      </c>
      <c r="V36" s="7">
        <f>H36*0.9235</f>
        <v/>
      </c>
      <c r="W36" s="7">
        <f>IF(H36&gt;0,2*impuestos_ssTasa*MIN(V36,MAX(0,impuestos_ssTope*C36-U36))+2*impuestos_medicareTasa*V36,0)</f>
        <v/>
      </c>
      <c r="X36" s="7">
        <f>impuestos_ssTasa*MIN(U36,impuestos_ssTope*C36)+impuestos_medicareTasa*U36+impuestos_medicareAdicional*MAX(0,U36+H36*0.9235-impuestos_medicareUmbral)</f>
        <v/>
      </c>
      <c r="Y36" s="7">
        <f>MAX(0,D36-O36+R36+T36+H36-W36/2)</f>
        <v/>
      </c>
      <c r="Z36" s="7">
        <f>MAX(0,Y36-impuestos_deduccionEstandar*C36)</f>
        <v/>
      </c>
      <c r="AA36" s="7">
        <f>MIN(0.2*MAX(0,T36+H36-W36/2)*MAX(0,MIN(1,1-(Z36-impuestos_qbiUmbral*C36)/(impuestos_qbiRango*C36))),0.2*Z36)</f>
        <v/>
      </c>
      <c r="AB36" s="7">
        <f>MAX(0,Z36-AA36)</f>
        <v/>
      </c>
      <c r="AC36" s="7">
        <f>SUMPRODUCT((AB36&gt;tb_federalBrackets_lo*C36)*(AB36-tb_federalBrackets_lo*C36)*tb_federalBrackets_dr)</f>
        <v/>
      </c>
      <c r="AD36" s="7">
        <f>MAX(0,Y36-impuestos_nyDeduccion*C36)</f>
        <v/>
      </c>
      <c r="AE36" s="7">
        <f>CHOOSE(loc_taxcode,0,impuestos_ohTasa*MAX(0,Y36-impuestos_ohExento*C36)+impuestos_ohMunicipal*U36,SUMPRODUCT((AD36&gt;tb_nyBrackets_lo*C36)*(AD36-tb_nyBrackets_lo*C36)*tb_nyBrackets_dr)+loc_nyc*SUMPRODUCT((AD36&gt;tb_nycBrackets_lo*C36)*(AD36-tb_nycBrackets_lo*C36)*tb_nycBrackets_dr))</f>
        <v/>
      </c>
      <c r="AF36" s="7">
        <f>AC36+AE36+X36+W36</f>
        <v/>
      </c>
      <c r="AG36" s="7">
        <f>D36+F36+R36+T36+H36</f>
        <v/>
      </c>
      <c r="AH36" s="7">
        <f>AG36-AF36-O36</f>
        <v/>
      </c>
      <c r="AI36" s="7">
        <f>D36+F36+G36+H36</f>
        <v/>
      </c>
      <c r="AJ36" s="7">
        <f>loc_gastosVida*C36*g_gastos</f>
        <v/>
      </c>
      <c r="AK36" s="7">
        <f>IF(3=0,personal_liquidoInicial,DR35)</f>
        <v/>
      </c>
      <c r="AL36" s="7">
        <f>IF(3=0,0,BB35)</f>
        <v/>
      </c>
      <c r="AM36" s="7">
        <f>CHOOSE(sel_cfgIdx,loc_precio_duplex,loc_precio_inlaw,loc_precio_dosCasas,loc_precio_casaAdu,loc_precio_multi)</f>
        <v/>
      </c>
      <c r="AN36" s="7">
        <f>AM36*(1+g_appr)^(A36-2026)</f>
        <v/>
      </c>
      <c r="AO36" s="7">
        <f>IF(AND(M36=1,vivienda_prestamoMedico=1),1,0)</f>
        <v/>
      </c>
      <c r="AP36" s="7">
        <f>IF(AO36=1,0.05,vivienda_enganchePct)</f>
        <v/>
      </c>
      <c r="AQ36" s="7">
        <f>AN36*(1-AP36)</f>
        <v/>
      </c>
      <c r="AR36" s="7">
        <f>PMT(g_mortRate/12,vivienda_plazoHipoteca*12,-AQ36)</f>
        <v/>
      </c>
      <c r="AS36" s="7">
        <f>INDEX(cfg_units,sel_cfgIdx)</f>
        <v/>
      </c>
      <c r="AT36" s="7">
        <f>AS36*loc_rentaUnidad*(1+g_inf)^(A36-2026)*(1-vivienda_vacancia)</f>
        <v/>
      </c>
      <c r="AU36" s="7">
        <f>AR36+AN36*loc_impuestoPropPct/12+AM36*loc_seguroPct*(1+vivienda_inflacionSeguro)^(A36-2026)/12+IF(AND(AO36=0,AP36&lt;0.2),AQ36*vivienda_pmiTasa/12,0)</f>
        <v/>
      </c>
      <c r="AV36" s="7">
        <f>AN36*AP36+AN36*vivienda_cierrePct+general_reservaMeses/12*AJ36</f>
        <v/>
      </c>
      <c r="AW36" s="7">
        <f>(IF(3=0,MIN(personal_irsSaldo,personal_irsPagoMensual*12),MIN(CD35,personal_irsPagoMensual*12))+IF(CE36&gt;0,PMT(CF36,MAX(1,prestamos_plazoAnios-CG36),-CE36),0)+IF(CR36&gt;0,PMT(CS36,MAX(1,prestamos_plazoAnios-CT36),-CR36),0))/12</f>
        <v/>
      </c>
      <c r="AX36" s="7">
        <f>IF(OR(sel_cfg="duplex",sel_cfg="multi",sel_cfg="dosCasas"),0.75*personal_aporteFamiliaMensual,0)</f>
        <v/>
      </c>
      <c r="AY36" s="7">
        <f>AU36-0.75*AT36-AX36+AW36</f>
        <v/>
      </c>
      <c r="AZ36" s="7">
        <f>(D36+G36+H36+0.5*F36)/12</f>
        <v/>
      </c>
      <c r="BA36" s="7">
        <f>IF(AND(AL36=0,A36&gt;=vivienda_anioMinCompra,J36&lt;0.5,AI36&gt;0,AK36&gt;=AV36,AY36&lt;=vivienda_dtiMax*AZ36),1,0)</f>
        <v/>
      </c>
      <c r="BB36" s="7">
        <f>MAX(AL36,BA36)</f>
        <v/>
      </c>
      <c r="BC36" s="7">
        <f>IF(BA36=1,A36,IF(3=0,"",BC35))</f>
        <v/>
      </c>
      <c r="BD36" s="7">
        <f>AK36-IF(BA36=1,AN36*AP36+AN36*vivienda_cierrePct,0)</f>
        <v/>
      </c>
      <c r="BE36" s="7">
        <f>IF(BA36=1,AN36,IF(3=0,0,BE35))</f>
        <v/>
      </c>
      <c r="BF36" s="7">
        <f>IF(BA36=1,AR36,IF(3=0,0,BF35))</f>
        <v/>
      </c>
      <c r="BG36" s="7">
        <f>IF(BA36=1,IF(AND(AO36=0,AP36&lt;0.2),1,0),IF(3=0,0,BY35))</f>
        <v/>
      </c>
      <c r="BH36" s="7">
        <f>IF(sel_cfg="casaAdu",1,0)</f>
        <v/>
      </c>
      <c r="BI36" s="7">
        <f>IF(AND(BB36=1,BH36=1,IF(3=0,0,BJ35)=0,A36&gt;=IF(BC36="",9999,BC36)+vivienda_aduRetrasoAnios),1,0)</f>
        <v/>
      </c>
      <c r="BJ36" s="7">
        <f>MAX(IF(3=0,0,BJ35),BI36)</f>
        <v/>
      </c>
      <c r="BK36" s="7">
        <f>IF(BI36=1,PMT((g_mortRate+0.005)/12,180,-loc_precio_aduCosto*C36),IF(3=0,0,BK35))</f>
        <v/>
      </c>
      <c r="BL36" s="7">
        <f>IF(BA36=1,AN36,IF(3=0,0,DT35))+IF(BI36=1,loc_precio_aduCosto*C36,0)</f>
        <v/>
      </c>
      <c r="BM36" s="7">
        <f>IF(BA36=1,AQ36,IF(3=0,0,DU35))</f>
        <v/>
      </c>
      <c r="BN36" s="7">
        <f>IF(BM36&lt;=0,0,FV(g_mortRate/12,12,BF36,-BM36))</f>
        <v/>
      </c>
      <c r="BO36" s="7">
        <f>IF(BM36&lt;=0,0,12*BF36+MIN(0,BN36))</f>
        <v/>
      </c>
      <c r="BP36" s="7">
        <f>MAX(0,BN36)</f>
        <v/>
      </c>
      <c r="BQ36" s="7">
        <f>IF(BI36=1,loc_precio_aduCosto*C36,IF(3=0,0,DV35))</f>
        <v/>
      </c>
      <c r="BR36" s="7">
        <f>IF(BQ36&lt;=0,0,FV((g_mortRate+0.005)/12,12,BK36,-BQ36))</f>
        <v/>
      </c>
      <c r="BS36" s="7">
        <f>IF(BQ36&lt;=0,0,12*BK36+MIN(0,BR36))</f>
        <v/>
      </c>
      <c r="BT36" s="7">
        <f>MAX(0,BR36)</f>
        <v/>
      </c>
      <c r="BU36" s="7">
        <f>IF(BB36=1,AM36*loc_seguroPct*(1+vivienda_inflacionSeguro)^(A36-2026)*IF(BJ36=1,1+loc_precio_aduCosto/AM36,1),0)</f>
        <v/>
      </c>
      <c r="BV36" s="7">
        <f>BL36*loc_impuestoPropPct</f>
        <v/>
      </c>
      <c r="BW36" s="7">
        <f>BL36*vivienda_mantenimientoPct</f>
        <v/>
      </c>
      <c r="BX36" s="7">
        <f>IF(AND(BG36=1,BP36&gt;0.8*BE36),BE36*(1-vivienda_enganchePct)*vivienda_pmiTasa,0)</f>
        <v/>
      </c>
      <c r="BY36" s="7">
        <f>IF(AND(BG36=1,BP36&gt;0.8*BE36),1,0)</f>
        <v/>
      </c>
      <c r="BZ36" s="7">
        <f>IF(BB36=1,AS36*loc_rentaUnidad*12*C36*(1-vivienda_vacancia)*(1-vivienda_gestionPct),0)</f>
        <v/>
      </c>
      <c r="CA36" s="7">
        <f>IF(BB36=1,BO36+BS36+BU36+BV36+BW36+BX36,loc_rentaMensual*12*C36)</f>
        <v/>
      </c>
      <c r="CB36" s="7">
        <f>IF(BB36=1,personal_aporteFamiliaMensual*12,0)</f>
        <v/>
      </c>
      <c r="CC36" s="7">
        <f>MIN(IF(3=0,personal_irsSaldo,CD35),personal_irsPagoMensual*12)</f>
        <v/>
      </c>
      <c r="CD36" s="7">
        <f>IF(3=0,personal_irsSaldo,CD35)-CC36</f>
        <v/>
      </c>
      <c r="CE36" s="7">
        <f>IF(3=0,IF(personal_deudaEsFederal=1,personal_deudaEstudiantil,0),DW35)</f>
        <v/>
      </c>
      <c r="CF36" s="7">
        <f>IF(3=0,personal_tasaDeudaEstudiantil,DX35)</f>
        <v/>
      </c>
      <c r="CG36" s="7">
        <f>IF(3=0,0,DY35)</f>
        <v/>
      </c>
      <c r="CH36" s="7">
        <f>IF(J36&gt;=0.5,1,0)</f>
        <v/>
      </c>
      <c r="CI36" s="7">
        <f>IF(AND(CH36=0,prestamos_pslfActivo=1,K36&gt;=0.5,CE36&gt;0),1,0)</f>
        <v/>
      </c>
      <c r="CJ36" s="7">
        <f>CE36*CF36</f>
        <v/>
      </c>
      <c r="CK36" s="7">
        <f>MAX(prestamos_rapPagoMinimoAnual,IF(Y36&lt;10000,0,MIN(0.1,INT(Y36/10000)/100))*Y36)</f>
        <v/>
      </c>
      <c r="CL36" s="7">
        <f>IF(CE36&lt;=0,0,IF(CH36=1,0,IF(CI36=1,MIN(CE36+CJ36,CK36),PMT(CF36,MAX(1,prestamos_plazoAnios-CG36),-CE36))))</f>
        <v/>
      </c>
      <c r="CM36" s="7">
        <f>IF(CE36&lt;=0,0,IF(CH36=1,CE36+CJ36,IF(CI36=1,MAX(0,CE36-MAX(CL36-CJ36,MIN(600,CL36))),MAX(0,CE36*(1+CF36)-CL36))))</f>
        <v/>
      </c>
      <c r="CN36" s="7">
        <f>IF(3=0,0,CN35)+IF(CI36=1,12*MIN(1,K36),0)</f>
        <v/>
      </c>
      <c r="CO36" s="7">
        <f>IF(AND(CI36=1,CN36&gt;=prestamos_pslfPagos,CM36&gt;0),CM36,0)</f>
        <v/>
      </c>
      <c r="CP36" s="7">
        <f>CM36-CO36</f>
        <v/>
      </c>
      <c r="CQ36" s="7">
        <f>IF(AND(CE36&gt;0,CH36=0,CI36=0),CG36+1,CG36)</f>
        <v/>
      </c>
      <c r="CR36" s="7">
        <f>IF(3=0,IF(personal_deudaEsFederal=1,0,personal_deudaEstudiantil),EA35)</f>
        <v/>
      </c>
      <c r="CS36" s="7">
        <f>IF(3=0,IF(personal_deudaEsFederal=1,prestamos_tasaPrivada,personal_tasaDeudaEstudiantil),EB35)</f>
        <v/>
      </c>
      <c r="CT36" s="7">
        <f>IF(3=0,0,EC35)</f>
        <v/>
      </c>
      <c r="CU36" s="7">
        <f>IF(OR(CR36&lt;=0,CH36=1),0,PMT(CS36,MAX(1,prestamos_plazoAnios-CT36),-CR36))</f>
        <v/>
      </c>
      <c r="CV36" s="7">
        <f>IF(CR36&lt;=0,0,IF(CH36=1,CR36*(1+CS36),MAX(0,CR36*(1+CS36)-CU36)))</f>
        <v/>
      </c>
      <c r="CW36" s="7">
        <f>IF(AND(CR36&gt;0,CH36=0),CT36+1,CT36)</f>
        <v/>
      </c>
      <c r="CX36" s="7">
        <f>IF(3=0,0,ED35)*(1+general_tasaDeudaConsumo)</f>
        <v/>
      </c>
      <c r="CY36" s="7">
        <f>L36*12*tiempos_travelGastoExtraMes*C36</f>
        <v/>
      </c>
      <c r="CZ36" s="7">
        <f>AJ36+CY36+CA36+CC36+CL36+CU36+I36+N36-BZ36-CB36</f>
        <v/>
      </c>
      <c r="DA36" s="7">
        <f>AH36-CZ36</f>
        <v/>
      </c>
      <c r="DB36" s="7">
        <f>IF(3=0,0,DB35)+DA36</f>
        <v/>
      </c>
      <c r="DC36" s="7">
        <f>AN36*vivienda_enganchePct+AN36*vivienda_cierrePct+general_reservaMeses/12*AJ36</f>
        <v/>
      </c>
      <c r="DD36" s="7">
        <f>IF(BB36=1,g_ret,IF(BD36&gt;0,MIN(1,DC36/BD36),1)*g_cash+(1-IF(BD36&gt;0,MIN(1,DC36/BD36),1))*g_ret)</f>
        <v/>
      </c>
      <c r="DE36" s="7">
        <f>IF(DA36&gt;=0,MIN(CX36,DA36),0)</f>
        <v/>
      </c>
      <c r="DF36" s="7">
        <f>IF(DA36&gt;=0,(1-general_tasaAhorro)*(DA36-DE36),0)</f>
        <v/>
      </c>
      <c r="DG36" s="7">
        <f>IF(DA36&gt;=0,DA36-DE36-DF36,0)</f>
        <v/>
      </c>
      <c r="DH36" s="7">
        <f>MIN(personal_rothAnual,DG36)</f>
        <v/>
      </c>
      <c r="DI36" s="7">
        <f>IF(AND(DA36&gt;=0,BB36=1,BP36+BT36&gt;0),MIN(vivienda_prepagoPct*(DG36-DH36),BP36+BT36),0)</f>
        <v/>
      </c>
      <c r="DJ36" s="7">
        <f>MIN(DI36,BP36)</f>
        <v/>
      </c>
      <c r="DK36" s="7">
        <f>IF(DA36&lt;0,MIN(MAX(0,BD36),-DA36),0)</f>
        <v/>
      </c>
      <c r="DL36" s="7">
        <f>IF(DA36&lt;0,-DA36-DK36,0)</f>
        <v/>
      </c>
      <c r="DM36" s="7">
        <f>IF(3=0,0,DZ35)</f>
        <v/>
      </c>
      <c r="DN36" s="7">
        <f>IF(AND(DL36&gt;0,J36&gt;0),MIN(DL36,MIN(prestamos_topeAnualPosgrado*MIN(1,J36),MAX(0,prestamos_topeTotalPosgrado-DM36))),0)</f>
        <v/>
      </c>
      <c r="DO36" s="7">
        <f>IF(AND(DL36&gt;0,J36&gt;0),DL36-DN36,0)</f>
        <v/>
      </c>
      <c r="DP36" s="7">
        <f>IF(AND(DL36&gt;0,J36&lt;=0),DL36,0)</f>
        <v/>
      </c>
      <c r="DQ36" s="7">
        <f>IF(DA36&gt;=0,DG36-DH36-DI36,-DK36)</f>
        <v/>
      </c>
      <c r="DR36" s="7">
        <f>BD36*(1+DD36)+DQ36*(1+DD36/2)</f>
        <v/>
      </c>
      <c r="DS36" s="7">
        <f>IF(3=0,personal_retiroInicial,DS35)*(1+g_ret)+(O36+P36+DH36)*(1+g_ret/2)</f>
        <v/>
      </c>
      <c r="DT36" s="7">
        <f>IF(BB36=1,BL36*(1+g_appr),0)</f>
        <v/>
      </c>
      <c r="DU36" s="7">
        <f>BP36-DJ36</f>
        <v/>
      </c>
      <c r="DV36" s="7">
        <f>BT36-(DI36-DJ36)</f>
        <v/>
      </c>
      <c r="DW36" s="7">
        <f>CP36+DN36</f>
        <v/>
      </c>
      <c r="DX36" s="7">
        <f>IF(DN36&gt;0,(CP36*CF36+DN36*prestamos_tasaFederalPosgrado)/(CP36+DN36),CF36)</f>
        <v/>
      </c>
      <c r="DY36" s="7">
        <f>IF(DN36&gt;0,0,CQ36)</f>
        <v/>
      </c>
      <c r="DZ36" s="7">
        <f>DM36+DN36</f>
        <v/>
      </c>
      <c r="EA36" s="7">
        <f>CV36+DO36</f>
        <v/>
      </c>
      <c r="EB36" s="7">
        <f>IF(DO36&gt;0,(CV36*CS36+DO36*prestamos_tasaPrivada)/(CV36+DO36),CS36)</f>
        <v/>
      </c>
      <c r="EC36" s="7">
        <f>IF(DO36&gt;0,0,CW36)</f>
        <v/>
      </c>
      <c r="ED36" s="7">
        <f>CX36-DE36+DP36</f>
        <v/>
      </c>
      <c r="EE36" s="7">
        <f>IF(IF(3=0,"",EE35)&lt;&gt;"",EE35,IF(AND(BB36=1,DU36&lt;=0.5,DV36&lt;=0.5,OR(BH36=0,BJ36=1)),A36,""))</f>
        <v/>
      </c>
      <c r="EF36" s="7">
        <f>DU36+DV36+DW36+EA36+ED36+CD36</f>
        <v/>
      </c>
      <c r="EG36" s="7">
        <f>DR36+DS36+DT36-EF36</f>
        <v/>
      </c>
      <c r="EH36" s="7">
        <f>EG36/(1+g_inf)^(A36+1-2026)</f>
        <v/>
      </c>
    </row>
    <row r="37">
      <c r="A37" t="n">
        <v>2031</v>
      </c>
      <c r="B37" t="n">
        <v>4</v>
      </c>
      <c r="C37" s="7">
        <f>(1+g_inf)^(A37-2026)</f>
        <v/>
      </c>
      <c r="D37" s="7">
        <f>SUMPRODUCT($X$5:$X$29,$E$5:$E$29*(1+$F$5:$F$29)^(A37-2026)*$G$5:$G$29*$H$5:$H$29*(1-$N$5:$N$29*$O$5:$O$29))*g_salMult+SUMPRODUCT(($B$5:$B$29&gt;=A37)*($B$5:$B$29&lt;A37+1)*$I$5:$I$29)*g_salMult</f>
        <v/>
      </c>
      <c r="E37" s="7">
        <f>SUMPRODUCT($X$5:$X$29,$E$5:$E$29*(1+$F$5:$F$29)^(A37-2026)*$G$5:$G$29*$H$5:$H$29*$M$5:$M$29)*g_salMult</f>
        <v/>
      </c>
      <c r="F37" s="7">
        <f>SUMPRODUCT($X$5:$X$29,$E$5:$E$29*(1+$F$5:$F$29)^(A37-2026)*$G$5:$G$29*$H$5:$H$29*$N$5:$N$29*$O$5:$O$29)*g_salMult</f>
        <v/>
      </c>
      <c r="G37" s="7">
        <f>SUMPRODUCT($X$5:$X$29,$P$5:$P$29*(1+$F$5:$F$29)^(A37-2026))</f>
        <v/>
      </c>
      <c r="H37" s="7">
        <f>SUMPRODUCT($X$5:$X$29,$Q$5:$Q$29*(1+$F$5:$F$29)^(A37-2026))+IF(personal_llcActivo=1,personal_llcNeto*(1+personal_llcCrecimiento)^4,0)</f>
        <v/>
      </c>
      <c r="I37" s="7">
        <f>SUMPRODUCT($X$5:$X$29,$J$5:$J$29/($C$5:$C$29-$B$5:$B$29+($C$5:$C$29=$B$5:$B$29)))*C37</f>
        <v/>
      </c>
      <c r="J37" s="7">
        <f>SUMPRODUCT($X$5:$X$29,$K$5:$K$29)</f>
        <v/>
      </c>
      <c r="K37" s="7">
        <f>SUMPRODUCT($X$5:$X$29,$L$5:$L$29)</f>
        <v/>
      </c>
      <c r="L37" s="7">
        <f>SUMPRODUCT($X$5:$X$29,$N$5:$N$29)</f>
        <v/>
      </c>
      <c r="M37" s="7">
        <f>IF(SUMPRODUCT($X$5:$X$29,$R$5:$R$29)&gt;0,1,0)</f>
        <v/>
      </c>
      <c r="N37" s="7">
        <f>SUMPRODUCT(($AO$5:$AO$24&gt;=A37)*($AO$5:$AO$24&lt;A37+1)*$AP$5:$AP$24)*C37+IF(4=0,IF(sel_loc&lt;&gt;"miami",personal_costoMudanzaInicial,0),0)</f>
        <v/>
      </c>
      <c r="O37" s="7">
        <f>MIN(personal_aporte403bPct*D37,retiro_limite403b*C37)</f>
        <v/>
      </c>
      <c r="P37" s="7">
        <f>MIN(personal_aporte403bPct,personal_match403bPct)*E37</f>
        <v/>
      </c>
      <c r="Q37" s="7">
        <f>IF(G37&gt;0,MAX(0,G37-impuestos_scorpCostoAnual*C37),0)</f>
        <v/>
      </c>
      <c r="R37" s="7">
        <f>Q37*impuestos_scorpSalarioPct/(1+impuestos_ssTasa+impuestos_medicareTasa)</f>
        <v/>
      </c>
      <c r="S37" s="7">
        <f>impuestos_ssTasa*MIN(R37,MAX(0,impuestos_ssTope*C37-D37))+impuestos_medicareTasa*R37</f>
        <v/>
      </c>
      <c r="T37" s="7">
        <f>Q37-R37-S37</f>
        <v/>
      </c>
      <c r="U37" s="7">
        <f>D37+R37</f>
        <v/>
      </c>
      <c r="V37" s="7">
        <f>H37*0.9235</f>
        <v/>
      </c>
      <c r="W37" s="7">
        <f>IF(H37&gt;0,2*impuestos_ssTasa*MIN(V37,MAX(0,impuestos_ssTope*C37-U37))+2*impuestos_medicareTasa*V37,0)</f>
        <v/>
      </c>
      <c r="X37" s="7">
        <f>impuestos_ssTasa*MIN(U37,impuestos_ssTope*C37)+impuestos_medicareTasa*U37+impuestos_medicareAdicional*MAX(0,U37+H37*0.9235-impuestos_medicareUmbral)</f>
        <v/>
      </c>
      <c r="Y37" s="7">
        <f>MAX(0,D37-O37+R37+T37+H37-W37/2)</f>
        <v/>
      </c>
      <c r="Z37" s="7">
        <f>MAX(0,Y37-impuestos_deduccionEstandar*C37)</f>
        <v/>
      </c>
      <c r="AA37" s="7">
        <f>MIN(0.2*MAX(0,T37+H37-W37/2)*MAX(0,MIN(1,1-(Z37-impuestos_qbiUmbral*C37)/(impuestos_qbiRango*C37))),0.2*Z37)</f>
        <v/>
      </c>
      <c r="AB37" s="7">
        <f>MAX(0,Z37-AA37)</f>
        <v/>
      </c>
      <c r="AC37" s="7">
        <f>SUMPRODUCT((AB37&gt;tb_federalBrackets_lo*C37)*(AB37-tb_federalBrackets_lo*C37)*tb_federalBrackets_dr)</f>
        <v/>
      </c>
      <c r="AD37" s="7">
        <f>MAX(0,Y37-impuestos_nyDeduccion*C37)</f>
        <v/>
      </c>
      <c r="AE37" s="7">
        <f>CHOOSE(loc_taxcode,0,impuestos_ohTasa*MAX(0,Y37-impuestos_ohExento*C37)+impuestos_ohMunicipal*U37,SUMPRODUCT((AD37&gt;tb_nyBrackets_lo*C37)*(AD37-tb_nyBrackets_lo*C37)*tb_nyBrackets_dr)+loc_nyc*SUMPRODUCT((AD37&gt;tb_nycBrackets_lo*C37)*(AD37-tb_nycBrackets_lo*C37)*tb_nycBrackets_dr))</f>
        <v/>
      </c>
      <c r="AF37" s="7">
        <f>AC37+AE37+X37+W37</f>
        <v/>
      </c>
      <c r="AG37" s="7">
        <f>D37+F37+R37+T37+H37</f>
        <v/>
      </c>
      <c r="AH37" s="7">
        <f>AG37-AF37-O37</f>
        <v/>
      </c>
      <c r="AI37" s="7">
        <f>D37+F37+G37+H37</f>
        <v/>
      </c>
      <c r="AJ37" s="7">
        <f>loc_gastosVida*C37*g_gastos</f>
        <v/>
      </c>
      <c r="AK37" s="7">
        <f>IF(4=0,personal_liquidoInicial,DR36)</f>
        <v/>
      </c>
      <c r="AL37" s="7">
        <f>IF(4=0,0,BB36)</f>
        <v/>
      </c>
      <c r="AM37" s="7">
        <f>CHOOSE(sel_cfgIdx,loc_precio_duplex,loc_precio_inlaw,loc_precio_dosCasas,loc_precio_casaAdu,loc_precio_multi)</f>
        <v/>
      </c>
      <c r="AN37" s="7">
        <f>AM37*(1+g_appr)^(A37-2026)</f>
        <v/>
      </c>
      <c r="AO37" s="7">
        <f>IF(AND(M37=1,vivienda_prestamoMedico=1),1,0)</f>
        <v/>
      </c>
      <c r="AP37" s="7">
        <f>IF(AO37=1,0.05,vivienda_enganchePct)</f>
        <v/>
      </c>
      <c r="AQ37" s="7">
        <f>AN37*(1-AP37)</f>
        <v/>
      </c>
      <c r="AR37" s="7">
        <f>PMT(g_mortRate/12,vivienda_plazoHipoteca*12,-AQ37)</f>
        <v/>
      </c>
      <c r="AS37" s="7">
        <f>INDEX(cfg_units,sel_cfgIdx)</f>
        <v/>
      </c>
      <c r="AT37" s="7">
        <f>AS37*loc_rentaUnidad*(1+g_inf)^(A37-2026)*(1-vivienda_vacancia)</f>
        <v/>
      </c>
      <c r="AU37" s="7">
        <f>AR37+AN37*loc_impuestoPropPct/12+AM37*loc_seguroPct*(1+vivienda_inflacionSeguro)^(A37-2026)/12+IF(AND(AO37=0,AP37&lt;0.2),AQ37*vivienda_pmiTasa/12,0)</f>
        <v/>
      </c>
      <c r="AV37" s="7">
        <f>AN37*AP37+AN37*vivienda_cierrePct+general_reservaMeses/12*AJ37</f>
        <v/>
      </c>
      <c r="AW37" s="7">
        <f>(IF(4=0,MIN(personal_irsSaldo,personal_irsPagoMensual*12),MIN(CD36,personal_irsPagoMensual*12))+IF(CE37&gt;0,PMT(CF37,MAX(1,prestamos_plazoAnios-CG37),-CE37),0)+IF(CR37&gt;0,PMT(CS37,MAX(1,prestamos_plazoAnios-CT37),-CR37),0))/12</f>
        <v/>
      </c>
      <c r="AX37" s="7">
        <f>IF(OR(sel_cfg="duplex",sel_cfg="multi",sel_cfg="dosCasas"),0.75*personal_aporteFamiliaMensual,0)</f>
        <v/>
      </c>
      <c r="AY37" s="7">
        <f>AU37-0.75*AT37-AX37+AW37</f>
        <v/>
      </c>
      <c r="AZ37" s="7">
        <f>(D37+G37+H37+0.5*F37)/12</f>
        <v/>
      </c>
      <c r="BA37" s="7">
        <f>IF(AND(AL37=0,A37&gt;=vivienda_anioMinCompra,J37&lt;0.5,AI37&gt;0,AK37&gt;=AV37,AY37&lt;=vivienda_dtiMax*AZ37),1,0)</f>
        <v/>
      </c>
      <c r="BB37" s="7">
        <f>MAX(AL37,BA37)</f>
        <v/>
      </c>
      <c r="BC37" s="7">
        <f>IF(BA37=1,A37,IF(4=0,"",BC36))</f>
        <v/>
      </c>
      <c r="BD37" s="7">
        <f>AK37-IF(BA37=1,AN37*AP37+AN37*vivienda_cierrePct,0)</f>
        <v/>
      </c>
      <c r="BE37" s="7">
        <f>IF(BA37=1,AN37,IF(4=0,0,BE36))</f>
        <v/>
      </c>
      <c r="BF37" s="7">
        <f>IF(BA37=1,AR37,IF(4=0,0,BF36))</f>
        <v/>
      </c>
      <c r="BG37" s="7">
        <f>IF(BA37=1,IF(AND(AO37=0,AP37&lt;0.2),1,0),IF(4=0,0,BY36))</f>
        <v/>
      </c>
      <c r="BH37" s="7">
        <f>IF(sel_cfg="casaAdu",1,0)</f>
        <v/>
      </c>
      <c r="BI37" s="7">
        <f>IF(AND(BB37=1,BH37=1,IF(4=0,0,BJ36)=0,A37&gt;=IF(BC37="",9999,BC37)+vivienda_aduRetrasoAnios),1,0)</f>
        <v/>
      </c>
      <c r="BJ37" s="7">
        <f>MAX(IF(4=0,0,BJ36),BI37)</f>
        <v/>
      </c>
      <c r="BK37" s="7">
        <f>IF(BI37=1,PMT((g_mortRate+0.005)/12,180,-loc_precio_aduCosto*C37),IF(4=0,0,BK36))</f>
        <v/>
      </c>
      <c r="BL37" s="7">
        <f>IF(BA37=1,AN37,IF(4=0,0,DT36))+IF(BI37=1,loc_precio_aduCosto*C37,0)</f>
        <v/>
      </c>
      <c r="BM37" s="7">
        <f>IF(BA37=1,AQ37,IF(4=0,0,DU36))</f>
        <v/>
      </c>
      <c r="BN37" s="7">
        <f>IF(BM37&lt;=0,0,FV(g_mortRate/12,12,BF37,-BM37))</f>
        <v/>
      </c>
      <c r="BO37" s="7">
        <f>IF(BM37&lt;=0,0,12*BF37+MIN(0,BN37))</f>
        <v/>
      </c>
      <c r="BP37" s="7">
        <f>MAX(0,BN37)</f>
        <v/>
      </c>
      <c r="BQ37" s="7">
        <f>IF(BI37=1,loc_precio_aduCosto*C37,IF(4=0,0,DV36))</f>
        <v/>
      </c>
      <c r="BR37" s="7">
        <f>IF(BQ37&lt;=0,0,FV((g_mortRate+0.005)/12,12,BK37,-BQ37))</f>
        <v/>
      </c>
      <c r="BS37" s="7">
        <f>IF(BQ37&lt;=0,0,12*BK37+MIN(0,BR37))</f>
        <v/>
      </c>
      <c r="BT37" s="7">
        <f>MAX(0,BR37)</f>
        <v/>
      </c>
      <c r="BU37" s="7">
        <f>IF(BB37=1,AM37*loc_seguroPct*(1+vivienda_inflacionSeguro)^(A37-2026)*IF(BJ37=1,1+loc_precio_aduCosto/AM37,1),0)</f>
        <v/>
      </c>
      <c r="BV37" s="7">
        <f>BL37*loc_impuestoPropPct</f>
        <v/>
      </c>
      <c r="BW37" s="7">
        <f>BL37*vivienda_mantenimientoPct</f>
        <v/>
      </c>
      <c r="BX37" s="7">
        <f>IF(AND(BG37=1,BP37&gt;0.8*BE37),BE37*(1-vivienda_enganchePct)*vivienda_pmiTasa,0)</f>
        <v/>
      </c>
      <c r="BY37" s="7">
        <f>IF(AND(BG37=1,BP37&gt;0.8*BE37),1,0)</f>
        <v/>
      </c>
      <c r="BZ37" s="7">
        <f>IF(BB37=1,AS37*loc_rentaUnidad*12*C37*(1-vivienda_vacancia)*(1-vivienda_gestionPct),0)</f>
        <v/>
      </c>
      <c r="CA37" s="7">
        <f>IF(BB37=1,BO37+BS37+BU37+BV37+BW37+BX37,loc_rentaMensual*12*C37)</f>
        <v/>
      </c>
      <c r="CB37" s="7">
        <f>IF(BB37=1,personal_aporteFamiliaMensual*12,0)</f>
        <v/>
      </c>
      <c r="CC37" s="7">
        <f>MIN(IF(4=0,personal_irsSaldo,CD36),personal_irsPagoMensual*12)</f>
        <v/>
      </c>
      <c r="CD37" s="7">
        <f>IF(4=0,personal_irsSaldo,CD36)-CC37</f>
        <v/>
      </c>
      <c r="CE37" s="7">
        <f>IF(4=0,IF(personal_deudaEsFederal=1,personal_deudaEstudiantil,0),DW36)</f>
        <v/>
      </c>
      <c r="CF37" s="7">
        <f>IF(4=0,personal_tasaDeudaEstudiantil,DX36)</f>
        <v/>
      </c>
      <c r="CG37" s="7">
        <f>IF(4=0,0,DY36)</f>
        <v/>
      </c>
      <c r="CH37" s="7">
        <f>IF(J37&gt;=0.5,1,0)</f>
        <v/>
      </c>
      <c r="CI37" s="7">
        <f>IF(AND(CH37=0,prestamos_pslfActivo=1,K37&gt;=0.5,CE37&gt;0),1,0)</f>
        <v/>
      </c>
      <c r="CJ37" s="7">
        <f>CE37*CF37</f>
        <v/>
      </c>
      <c r="CK37" s="7">
        <f>MAX(prestamos_rapPagoMinimoAnual,IF(Y37&lt;10000,0,MIN(0.1,INT(Y37/10000)/100))*Y37)</f>
        <v/>
      </c>
      <c r="CL37" s="7">
        <f>IF(CE37&lt;=0,0,IF(CH37=1,0,IF(CI37=1,MIN(CE37+CJ37,CK37),PMT(CF37,MAX(1,prestamos_plazoAnios-CG37),-CE37))))</f>
        <v/>
      </c>
      <c r="CM37" s="7">
        <f>IF(CE37&lt;=0,0,IF(CH37=1,CE37+CJ37,IF(CI37=1,MAX(0,CE37-MAX(CL37-CJ37,MIN(600,CL37))),MAX(0,CE37*(1+CF37)-CL37))))</f>
        <v/>
      </c>
      <c r="CN37" s="7">
        <f>IF(4=0,0,CN36)+IF(CI37=1,12*MIN(1,K37),0)</f>
        <v/>
      </c>
      <c r="CO37" s="7">
        <f>IF(AND(CI37=1,CN37&gt;=prestamos_pslfPagos,CM37&gt;0),CM37,0)</f>
        <v/>
      </c>
      <c r="CP37" s="7">
        <f>CM37-CO37</f>
        <v/>
      </c>
      <c r="CQ37" s="7">
        <f>IF(AND(CE37&gt;0,CH37=0,CI37=0),CG37+1,CG37)</f>
        <v/>
      </c>
      <c r="CR37" s="7">
        <f>IF(4=0,IF(personal_deudaEsFederal=1,0,personal_deudaEstudiantil),EA36)</f>
        <v/>
      </c>
      <c r="CS37" s="7">
        <f>IF(4=0,IF(personal_deudaEsFederal=1,prestamos_tasaPrivada,personal_tasaDeudaEstudiantil),EB36)</f>
        <v/>
      </c>
      <c r="CT37" s="7">
        <f>IF(4=0,0,EC36)</f>
        <v/>
      </c>
      <c r="CU37" s="7">
        <f>IF(OR(CR37&lt;=0,CH37=1),0,PMT(CS37,MAX(1,prestamos_plazoAnios-CT37),-CR37))</f>
        <v/>
      </c>
      <c r="CV37" s="7">
        <f>IF(CR37&lt;=0,0,IF(CH37=1,CR37*(1+CS37),MAX(0,CR37*(1+CS37)-CU37)))</f>
        <v/>
      </c>
      <c r="CW37" s="7">
        <f>IF(AND(CR37&gt;0,CH37=0),CT37+1,CT37)</f>
        <v/>
      </c>
      <c r="CX37" s="7">
        <f>IF(4=0,0,ED36)*(1+general_tasaDeudaConsumo)</f>
        <v/>
      </c>
      <c r="CY37" s="7">
        <f>L37*12*tiempos_travelGastoExtraMes*C37</f>
        <v/>
      </c>
      <c r="CZ37" s="7">
        <f>AJ37+CY37+CA37+CC37+CL37+CU37+I37+N37-BZ37-CB37</f>
        <v/>
      </c>
      <c r="DA37" s="7">
        <f>AH37-CZ37</f>
        <v/>
      </c>
      <c r="DB37" s="7">
        <f>IF(4=0,0,DB36)+DA37</f>
        <v/>
      </c>
      <c r="DC37" s="7">
        <f>AN37*vivienda_enganchePct+AN37*vivienda_cierrePct+general_reservaMeses/12*AJ37</f>
        <v/>
      </c>
      <c r="DD37" s="7">
        <f>IF(BB37=1,g_ret,IF(BD37&gt;0,MIN(1,DC37/BD37),1)*g_cash+(1-IF(BD37&gt;0,MIN(1,DC37/BD37),1))*g_ret)</f>
        <v/>
      </c>
      <c r="DE37" s="7">
        <f>IF(DA37&gt;=0,MIN(CX37,DA37),0)</f>
        <v/>
      </c>
      <c r="DF37" s="7">
        <f>IF(DA37&gt;=0,(1-general_tasaAhorro)*(DA37-DE37),0)</f>
        <v/>
      </c>
      <c r="DG37" s="7">
        <f>IF(DA37&gt;=0,DA37-DE37-DF37,0)</f>
        <v/>
      </c>
      <c r="DH37" s="7">
        <f>MIN(personal_rothAnual,DG37)</f>
        <v/>
      </c>
      <c r="DI37" s="7">
        <f>IF(AND(DA37&gt;=0,BB37=1,BP37+BT37&gt;0),MIN(vivienda_prepagoPct*(DG37-DH37),BP37+BT37),0)</f>
        <v/>
      </c>
      <c r="DJ37" s="7">
        <f>MIN(DI37,BP37)</f>
        <v/>
      </c>
      <c r="DK37" s="7">
        <f>IF(DA37&lt;0,MIN(MAX(0,BD37),-DA37),0)</f>
        <v/>
      </c>
      <c r="DL37" s="7">
        <f>IF(DA37&lt;0,-DA37-DK37,0)</f>
        <v/>
      </c>
      <c r="DM37" s="7">
        <f>IF(4=0,0,DZ36)</f>
        <v/>
      </c>
      <c r="DN37" s="7">
        <f>IF(AND(DL37&gt;0,J37&gt;0),MIN(DL37,MIN(prestamos_topeAnualPosgrado*MIN(1,J37),MAX(0,prestamos_topeTotalPosgrado-DM37))),0)</f>
        <v/>
      </c>
      <c r="DO37" s="7">
        <f>IF(AND(DL37&gt;0,J37&gt;0),DL37-DN37,0)</f>
        <v/>
      </c>
      <c r="DP37" s="7">
        <f>IF(AND(DL37&gt;0,J37&lt;=0),DL37,0)</f>
        <v/>
      </c>
      <c r="DQ37" s="7">
        <f>IF(DA37&gt;=0,DG37-DH37-DI37,-DK37)</f>
        <v/>
      </c>
      <c r="DR37" s="7">
        <f>BD37*(1+DD37)+DQ37*(1+DD37/2)</f>
        <v/>
      </c>
      <c r="DS37" s="7">
        <f>IF(4=0,personal_retiroInicial,DS36)*(1+g_ret)+(O37+P37+DH37)*(1+g_ret/2)</f>
        <v/>
      </c>
      <c r="DT37" s="7">
        <f>IF(BB37=1,BL37*(1+g_appr),0)</f>
        <v/>
      </c>
      <c r="DU37" s="7">
        <f>BP37-DJ37</f>
        <v/>
      </c>
      <c r="DV37" s="7">
        <f>BT37-(DI37-DJ37)</f>
        <v/>
      </c>
      <c r="DW37" s="7">
        <f>CP37+DN37</f>
        <v/>
      </c>
      <c r="DX37" s="7">
        <f>IF(DN37&gt;0,(CP37*CF37+DN37*prestamos_tasaFederalPosgrado)/(CP37+DN37),CF37)</f>
        <v/>
      </c>
      <c r="DY37" s="7">
        <f>IF(DN37&gt;0,0,CQ37)</f>
        <v/>
      </c>
      <c r="DZ37" s="7">
        <f>DM37+DN37</f>
        <v/>
      </c>
      <c r="EA37" s="7">
        <f>CV37+DO37</f>
        <v/>
      </c>
      <c r="EB37" s="7">
        <f>IF(DO37&gt;0,(CV37*CS37+DO37*prestamos_tasaPrivada)/(CV37+DO37),CS37)</f>
        <v/>
      </c>
      <c r="EC37" s="7">
        <f>IF(DO37&gt;0,0,CW37)</f>
        <v/>
      </c>
      <c r="ED37" s="7">
        <f>CX37-DE37+DP37</f>
        <v/>
      </c>
      <c r="EE37" s="7">
        <f>IF(IF(4=0,"",EE36)&lt;&gt;"",EE36,IF(AND(BB37=1,DU37&lt;=0.5,DV37&lt;=0.5,OR(BH37=0,BJ37=1)),A37,""))</f>
        <v/>
      </c>
      <c r="EF37" s="7">
        <f>DU37+DV37+DW37+EA37+ED37+CD37</f>
        <v/>
      </c>
      <c r="EG37" s="7">
        <f>DR37+DS37+DT37-EF37</f>
        <v/>
      </c>
      <c r="EH37" s="7">
        <f>EG37/(1+g_inf)^(A37+1-2026)</f>
        <v/>
      </c>
    </row>
    <row r="38">
      <c r="A38" t="n">
        <v>2032</v>
      </c>
      <c r="B38" t="n">
        <v>5</v>
      </c>
      <c r="C38" s="7">
        <f>(1+g_inf)^(A38-2026)</f>
        <v/>
      </c>
      <c r="D38" s="7">
        <f>SUMPRODUCT($Y$5:$Y$29,$E$5:$E$29*(1+$F$5:$F$29)^(A38-2026)*$G$5:$G$29*$H$5:$H$29*(1-$N$5:$N$29*$O$5:$O$29))*g_salMult+SUMPRODUCT(($B$5:$B$29&gt;=A38)*($B$5:$B$29&lt;A38+1)*$I$5:$I$29)*g_salMult</f>
        <v/>
      </c>
      <c r="E38" s="7">
        <f>SUMPRODUCT($Y$5:$Y$29,$E$5:$E$29*(1+$F$5:$F$29)^(A38-2026)*$G$5:$G$29*$H$5:$H$29*$M$5:$M$29)*g_salMult</f>
        <v/>
      </c>
      <c r="F38" s="7">
        <f>SUMPRODUCT($Y$5:$Y$29,$E$5:$E$29*(1+$F$5:$F$29)^(A38-2026)*$G$5:$G$29*$H$5:$H$29*$N$5:$N$29*$O$5:$O$29)*g_salMult</f>
        <v/>
      </c>
      <c r="G38" s="7">
        <f>SUMPRODUCT($Y$5:$Y$29,$P$5:$P$29*(1+$F$5:$F$29)^(A38-2026))</f>
        <v/>
      </c>
      <c r="H38" s="7">
        <f>SUMPRODUCT($Y$5:$Y$29,$Q$5:$Q$29*(1+$F$5:$F$29)^(A38-2026))+IF(personal_llcActivo=1,personal_llcNeto*(1+personal_llcCrecimiento)^5,0)</f>
        <v/>
      </c>
      <c r="I38" s="7">
        <f>SUMPRODUCT($Y$5:$Y$29,$J$5:$J$29/($C$5:$C$29-$B$5:$B$29+($C$5:$C$29=$B$5:$B$29)))*C38</f>
        <v/>
      </c>
      <c r="J38" s="7">
        <f>SUMPRODUCT($Y$5:$Y$29,$K$5:$K$29)</f>
        <v/>
      </c>
      <c r="K38" s="7">
        <f>SUMPRODUCT($Y$5:$Y$29,$L$5:$L$29)</f>
        <v/>
      </c>
      <c r="L38" s="7">
        <f>SUMPRODUCT($Y$5:$Y$29,$N$5:$N$29)</f>
        <v/>
      </c>
      <c r="M38" s="7">
        <f>IF(SUMPRODUCT($Y$5:$Y$29,$R$5:$R$29)&gt;0,1,0)</f>
        <v/>
      </c>
      <c r="N38" s="7">
        <f>SUMPRODUCT(($AO$5:$AO$24&gt;=A38)*($AO$5:$AO$24&lt;A38+1)*$AP$5:$AP$24)*C38+IF(5=0,IF(sel_loc&lt;&gt;"miami",personal_costoMudanzaInicial,0),0)</f>
        <v/>
      </c>
      <c r="O38" s="7">
        <f>MIN(personal_aporte403bPct*D38,retiro_limite403b*C38)</f>
        <v/>
      </c>
      <c r="P38" s="7">
        <f>MIN(personal_aporte403bPct,personal_match403bPct)*E38</f>
        <v/>
      </c>
      <c r="Q38" s="7">
        <f>IF(G38&gt;0,MAX(0,G38-impuestos_scorpCostoAnual*C38),0)</f>
        <v/>
      </c>
      <c r="R38" s="7">
        <f>Q38*impuestos_scorpSalarioPct/(1+impuestos_ssTasa+impuestos_medicareTasa)</f>
        <v/>
      </c>
      <c r="S38" s="7">
        <f>impuestos_ssTasa*MIN(R38,MAX(0,impuestos_ssTope*C38-D38))+impuestos_medicareTasa*R38</f>
        <v/>
      </c>
      <c r="T38" s="7">
        <f>Q38-R38-S38</f>
        <v/>
      </c>
      <c r="U38" s="7">
        <f>D38+R38</f>
        <v/>
      </c>
      <c r="V38" s="7">
        <f>H38*0.9235</f>
        <v/>
      </c>
      <c r="W38" s="7">
        <f>IF(H38&gt;0,2*impuestos_ssTasa*MIN(V38,MAX(0,impuestos_ssTope*C38-U38))+2*impuestos_medicareTasa*V38,0)</f>
        <v/>
      </c>
      <c r="X38" s="7">
        <f>impuestos_ssTasa*MIN(U38,impuestos_ssTope*C38)+impuestos_medicareTasa*U38+impuestos_medicareAdicional*MAX(0,U38+H38*0.9235-impuestos_medicareUmbral)</f>
        <v/>
      </c>
      <c r="Y38" s="7">
        <f>MAX(0,D38-O38+R38+T38+H38-W38/2)</f>
        <v/>
      </c>
      <c r="Z38" s="7">
        <f>MAX(0,Y38-impuestos_deduccionEstandar*C38)</f>
        <v/>
      </c>
      <c r="AA38" s="7">
        <f>MIN(0.2*MAX(0,T38+H38-W38/2)*MAX(0,MIN(1,1-(Z38-impuestos_qbiUmbral*C38)/(impuestos_qbiRango*C38))),0.2*Z38)</f>
        <v/>
      </c>
      <c r="AB38" s="7">
        <f>MAX(0,Z38-AA38)</f>
        <v/>
      </c>
      <c r="AC38" s="7">
        <f>SUMPRODUCT((AB38&gt;tb_federalBrackets_lo*C38)*(AB38-tb_federalBrackets_lo*C38)*tb_federalBrackets_dr)</f>
        <v/>
      </c>
      <c r="AD38" s="7">
        <f>MAX(0,Y38-impuestos_nyDeduccion*C38)</f>
        <v/>
      </c>
      <c r="AE38" s="7">
        <f>CHOOSE(loc_taxcode,0,impuestos_ohTasa*MAX(0,Y38-impuestos_ohExento*C38)+impuestos_ohMunicipal*U38,SUMPRODUCT((AD38&gt;tb_nyBrackets_lo*C38)*(AD38-tb_nyBrackets_lo*C38)*tb_nyBrackets_dr)+loc_nyc*SUMPRODUCT((AD38&gt;tb_nycBrackets_lo*C38)*(AD38-tb_nycBrackets_lo*C38)*tb_nycBrackets_dr))</f>
        <v/>
      </c>
      <c r="AF38" s="7">
        <f>AC38+AE38+X38+W38</f>
        <v/>
      </c>
      <c r="AG38" s="7">
        <f>D38+F38+R38+T38+H38</f>
        <v/>
      </c>
      <c r="AH38" s="7">
        <f>AG38-AF38-O38</f>
        <v/>
      </c>
      <c r="AI38" s="7">
        <f>D38+F38+G38+H38</f>
        <v/>
      </c>
      <c r="AJ38" s="7">
        <f>loc_gastosVida*C38*g_gastos</f>
        <v/>
      </c>
      <c r="AK38" s="7">
        <f>IF(5=0,personal_liquidoInicial,DR37)</f>
        <v/>
      </c>
      <c r="AL38" s="7">
        <f>IF(5=0,0,BB37)</f>
        <v/>
      </c>
      <c r="AM38" s="7">
        <f>CHOOSE(sel_cfgIdx,loc_precio_duplex,loc_precio_inlaw,loc_precio_dosCasas,loc_precio_casaAdu,loc_precio_multi)</f>
        <v/>
      </c>
      <c r="AN38" s="7">
        <f>AM38*(1+g_appr)^(A38-2026)</f>
        <v/>
      </c>
      <c r="AO38" s="7">
        <f>IF(AND(M38=1,vivienda_prestamoMedico=1),1,0)</f>
        <v/>
      </c>
      <c r="AP38" s="7">
        <f>IF(AO38=1,0.05,vivienda_enganchePct)</f>
        <v/>
      </c>
      <c r="AQ38" s="7">
        <f>AN38*(1-AP38)</f>
        <v/>
      </c>
      <c r="AR38" s="7">
        <f>PMT(g_mortRate/12,vivienda_plazoHipoteca*12,-AQ38)</f>
        <v/>
      </c>
      <c r="AS38" s="7">
        <f>INDEX(cfg_units,sel_cfgIdx)</f>
        <v/>
      </c>
      <c r="AT38" s="7">
        <f>AS38*loc_rentaUnidad*(1+g_inf)^(A38-2026)*(1-vivienda_vacancia)</f>
        <v/>
      </c>
      <c r="AU38" s="7">
        <f>AR38+AN38*loc_impuestoPropPct/12+AM38*loc_seguroPct*(1+vivienda_inflacionSeguro)^(A38-2026)/12+IF(AND(AO38=0,AP38&lt;0.2),AQ38*vivienda_pmiTasa/12,0)</f>
        <v/>
      </c>
      <c r="AV38" s="7">
        <f>AN38*AP38+AN38*vivienda_cierrePct+general_reservaMeses/12*AJ38</f>
        <v/>
      </c>
      <c r="AW38" s="7">
        <f>(IF(5=0,MIN(personal_irsSaldo,personal_irsPagoMensual*12),MIN(CD37,personal_irsPagoMensual*12))+IF(CE38&gt;0,PMT(CF38,MAX(1,prestamos_plazoAnios-CG38),-CE38),0)+IF(CR38&gt;0,PMT(CS38,MAX(1,prestamos_plazoAnios-CT38),-CR38),0))/12</f>
        <v/>
      </c>
      <c r="AX38" s="7">
        <f>IF(OR(sel_cfg="duplex",sel_cfg="multi",sel_cfg="dosCasas"),0.75*personal_aporteFamiliaMensual,0)</f>
        <v/>
      </c>
      <c r="AY38" s="7">
        <f>AU38-0.75*AT38-AX38+AW38</f>
        <v/>
      </c>
      <c r="AZ38" s="7">
        <f>(D38+G38+H38+0.5*F38)/12</f>
        <v/>
      </c>
      <c r="BA38" s="7">
        <f>IF(AND(AL38=0,A38&gt;=vivienda_anioMinCompra,J38&lt;0.5,AI38&gt;0,AK38&gt;=AV38,AY38&lt;=vivienda_dtiMax*AZ38),1,0)</f>
        <v/>
      </c>
      <c r="BB38" s="7">
        <f>MAX(AL38,BA38)</f>
        <v/>
      </c>
      <c r="BC38" s="7">
        <f>IF(BA38=1,A38,IF(5=0,"",BC37))</f>
        <v/>
      </c>
      <c r="BD38" s="7">
        <f>AK38-IF(BA38=1,AN38*AP38+AN38*vivienda_cierrePct,0)</f>
        <v/>
      </c>
      <c r="BE38" s="7">
        <f>IF(BA38=1,AN38,IF(5=0,0,BE37))</f>
        <v/>
      </c>
      <c r="BF38" s="7">
        <f>IF(BA38=1,AR38,IF(5=0,0,BF37))</f>
        <v/>
      </c>
      <c r="BG38" s="7">
        <f>IF(BA38=1,IF(AND(AO38=0,AP38&lt;0.2),1,0),IF(5=0,0,BY37))</f>
        <v/>
      </c>
      <c r="BH38" s="7">
        <f>IF(sel_cfg="casaAdu",1,0)</f>
        <v/>
      </c>
      <c r="BI38" s="7">
        <f>IF(AND(BB38=1,BH38=1,IF(5=0,0,BJ37)=0,A38&gt;=IF(BC38="",9999,BC38)+vivienda_aduRetrasoAnios),1,0)</f>
        <v/>
      </c>
      <c r="BJ38" s="7">
        <f>MAX(IF(5=0,0,BJ37),BI38)</f>
        <v/>
      </c>
      <c r="BK38" s="7">
        <f>IF(BI38=1,PMT((g_mortRate+0.005)/12,180,-loc_precio_aduCosto*C38),IF(5=0,0,BK37))</f>
        <v/>
      </c>
      <c r="BL38" s="7">
        <f>IF(BA38=1,AN38,IF(5=0,0,DT37))+IF(BI38=1,loc_precio_aduCosto*C38,0)</f>
        <v/>
      </c>
      <c r="BM38" s="7">
        <f>IF(BA38=1,AQ38,IF(5=0,0,DU37))</f>
        <v/>
      </c>
      <c r="BN38" s="7">
        <f>IF(BM38&lt;=0,0,FV(g_mortRate/12,12,BF38,-BM38))</f>
        <v/>
      </c>
      <c r="BO38" s="7">
        <f>IF(BM38&lt;=0,0,12*BF38+MIN(0,BN38))</f>
        <v/>
      </c>
      <c r="BP38" s="7">
        <f>MAX(0,BN38)</f>
        <v/>
      </c>
      <c r="BQ38" s="7">
        <f>IF(BI38=1,loc_precio_aduCosto*C38,IF(5=0,0,DV37))</f>
        <v/>
      </c>
      <c r="BR38" s="7">
        <f>IF(BQ38&lt;=0,0,FV((g_mortRate+0.005)/12,12,BK38,-BQ38))</f>
        <v/>
      </c>
      <c r="BS38" s="7">
        <f>IF(BQ38&lt;=0,0,12*BK38+MIN(0,BR38))</f>
        <v/>
      </c>
      <c r="BT38" s="7">
        <f>MAX(0,BR38)</f>
        <v/>
      </c>
      <c r="BU38" s="7">
        <f>IF(BB38=1,AM38*loc_seguroPct*(1+vivienda_inflacionSeguro)^(A38-2026)*IF(BJ38=1,1+loc_precio_aduCosto/AM38,1),0)</f>
        <v/>
      </c>
      <c r="BV38" s="7">
        <f>BL38*loc_impuestoPropPct</f>
        <v/>
      </c>
      <c r="BW38" s="7">
        <f>BL38*vivienda_mantenimientoPct</f>
        <v/>
      </c>
      <c r="BX38" s="7">
        <f>IF(AND(BG38=1,BP38&gt;0.8*BE38),BE38*(1-vivienda_enganchePct)*vivienda_pmiTasa,0)</f>
        <v/>
      </c>
      <c r="BY38" s="7">
        <f>IF(AND(BG38=1,BP38&gt;0.8*BE38),1,0)</f>
        <v/>
      </c>
      <c r="BZ38" s="7">
        <f>IF(BB38=1,AS38*loc_rentaUnidad*12*C38*(1-vivienda_vacancia)*(1-vivienda_gestionPct),0)</f>
        <v/>
      </c>
      <c r="CA38" s="7">
        <f>IF(BB38=1,BO38+BS38+BU38+BV38+BW38+BX38,loc_rentaMensual*12*C38)</f>
        <v/>
      </c>
      <c r="CB38" s="7">
        <f>IF(BB38=1,personal_aporteFamiliaMensual*12,0)</f>
        <v/>
      </c>
      <c r="CC38" s="7">
        <f>MIN(IF(5=0,personal_irsSaldo,CD37),personal_irsPagoMensual*12)</f>
        <v/>
      </c>
      <c r="CD38" s="7">
        <f>IF(5=0,personal_irsSaldo,CD37)-CC38</f>
        <v/>
      </c>
      <c r="CE38" s="7">
        <f>IF(5=0,IF(personal_deudaEsFederal=1,personal_deudaEstudiantil,0),DW37)</f>
        <v/>
      </c>
      <c r="CF38" s="7">
        <f>IF(5=0,personal_tasaDeudaEstudiantil,DX37)</f>
        <v/>
      </c>
      <c r="CG38" s="7">
        <f>IF(5=0,0,DY37)</f>
        <v/>
      </c>
      <c r="CH38" s="7">
        <f>IF(J38&gt;=0.5,1,0)</f>
        <v/>
      </c>
      <c r="CI38" s="7">
        <f>IF(AND(CH38=0,prestamos_pslfActivo=1,K38&gt;=0.5,CE38&gt;0),1,0)</f>
        <v/>
      </c>
      <c r="CJ38" s="7">
        <f>CE38*CF38</f>
        <v/>
      </c>
      <c r="CK38" s="7">
        <f>MAX(prestamos_rapPagoMinimoAnual,IF(Y38&lt;10000,0,MIN(0.1,INT(Y38/10000)/100))*Y38)</f>
        <v/>
      </c>
      <c r="CL38" s="7">
        <f>IF(CE38&lt;=0,0,IF(CH38=1,0,IF(CI38=1,MIN(CE38+CJ38,CK38),PMT(CF38,MAX(1,prestamos_plazoAnios-CG38),-CE38))))</f>
        <v/>
      </c>
      <c r="CM38" s="7">
        <f>IF(CE38&lt;=0,0,IF(CH38=1,CE38+CJ38,IF(CI38=1,MAX(0,CE38-MAX(CL38-CJ38,MIN(600,CL38))),MAX(0,CE38*(1+CF38)-CL38))))</f>
        <v/>
      </c>
      <c r="CN38" s="7">
        <f>IF(5=0,0,CN37)+IF(CI38=1,12*MIN(1,K38),0)</f>
        <v/>
      </c>
      <c r="CO38" s="7">
        <f>IF(AND(CI38=1,CN38&gt;=prestamos_pslfPagos,CM38&gt;0),CM38,0)</f>
        <v/>
      </c>
      <c r="CP38" s="7">
        <f>CM38-CO38</f>
        <v/>
      </c>
      <c r="CQ38" s="7">
        <f>IF(AND(CE38&gt;0,CH38=0,CI38=0),CG38+1,CG38)</f>
        <v/>
      </c>
      <c r="CR38" s="7">
        <f>IF(5=0,IF(personal_deudaEsFederal=1,0,personal_deudaEstudiantil),EA37)</f>
        <v/>
      </c>
      <c r="CS38" s="7">
        <f>IF(5=0,IF(personal_deudaEsFederal=1,prestamos_tasaPrivada,personal_tasaDeudaEstudiantil),EB37)</f>
        <v/>
      </c>
      <c r="CT38" s="7">
        <f>IF(5=0,0,EC37)</f>
        <v/>
      </c>
      <c r="CU38" s="7">
        <f>IF(OR(CR38&lt;=0,CH38=1),0,PMT(CS38,MAX(1,prestamos_plazoAnios-CT38),-CR38))</f>
        <v/>
      </c>
      <c r="CV38" s="7">
        <f>IF(CR38&lt;=0,0,IF(CH38=1,CR38*(1+CS38),MAX(0,CR38*(1+CS38)-CU38)))</f>
        <v/>
      </c>
      <c r="CW38" s="7">
        <f>IF(AND(CR38&gt;0,CH38=0),CT38+1,CT38)</f>
        <v/>
      </c>
      <c r="CX38" s="7">
        <f>IF(5=0,0,ED37)*(1+general_tasaDeudaConsumo)</f>
        <v/>
      </c>
      <c r="CY38" s="7">
        <f>L38*12*tiempos_travelGastoExtraMes*C38</f>
        <v/>
      </c>
      <c r="CZ38" s="7">
        <f>AJ38+CY38+CA38+CC38+CL38+CU38+I38+N38-BZ38-CB38</f>
        <v/>
      </c>
      <c r="DA38" s="7">
        <f>AH38-CZ38</f>
        <v/>
      </c>
      <c r="DB38" s="7">
        <f>IF(5=0,0,DB37)+DA38</f>
        <v/>
      </c>
      <c r="DC38" s="7">
        <f>AN38*vivienda_enganchePct+AN38*vivienda_cierrePct+general_reservaMeses/12*AJ38</f>
        <v/>
      </c>
      <c r="DD38" s="7">
        <f>IF(BB38=1,g_ret,IF(BD38&gt;0,MIN(1,DC38/BD38),1)*g_cash+(1-IF(BD38&gt;0,MIN(1,DC38/BD38),1))*g_ret)</f>
        <v/>
      </c>
      <c r="DE38" s="7">
        <f>IF(DA38&gt;=0,MIN(CX38,DA38),0)</f>
        <v/>
      </c>
      <c r="DF38" s="7">
        <f>IF(DA38&gt;=0,(1-general_tasaAhorro)*(DA38-DE38),0)</f>
        <v/>
      </c>
      <c r="DG38" s="7">
        <f>IF(DA38&gt;=0,DA38-DE38-DF38,0)</f>
        <v/>
      </c>
      <c r="DH38" s="7">
        <f>MIN(personal_rothAnual,DG38)</f>
        <v/>
      </c>
      <c r="DI38" s="7">
        <f>IF(AND(DA38&gt;=0,BB38=1,BP38+BT38&gt;0),MIN(vivienda_prepagoPct*(DG38-DH38),BP38+BT38),0)</f>
        <v/>
      </c>
      <c r="DJ38" s="7">
        <f>MIN(DI38,BP38)</f>
        <v/>
      </c>
      <c r="DK38" s="7">
        <f>IF(DA38&lt;0,MIN(MAX(0,BD38),-DA38),0)</f>
        <v/>
      </c>
      <c r="DL38" s="7">
        <f>IF(DA38&lt;0,-DA38-DK38,0)</f>
        <v/>
      </c>
      <c r="DM38" s="7">
        <f>IF(5=0,0,DZ37)</f>
        <v/>
      </c>
      <c r="DN38" s="7">
        <f>IF(AND(DL38&gt;0,J38&gt;0),MIN(DL38,MIN(prestamos_topeAnualPosgrado*MIN(1,J38),MAX(0,prestamos_topeTotalPosgrado-DM38))),0)</f>
        <v/>
      </c>
      <c r="DO38" s="7">
        <f>IF(AND(DL38&gt;0,J38&gt;0),DL38-DN38,0)</f>
        <v/>
      </c>
      <c r="DP38" s="7">
        <f>IF(AND(DL38&gt;0,J38&lt;=0),DL38,0)</f>
        <v/>
      </c>
      <c r="DQ38" s="7">
        <f>IF(DA38&gt;=0,DG38-DH38-DI38,-DK38)</f>
        <v/>
      </c>
      <c r="DR38" s="7">
        <f>BD38*(1+DD38)+DQ38*(1+DD38/2)</f>
        <v/>
      </c>
      <c r="DS38" s="7">
        <f>IF(5=0,personal_retiroInicial,DS37)*(1+g_ret)+(O38+P38+DH38)*(1+g_ret/2)</f>
        <v/>
      </c>
      <c r="DT38" s="7">
        <f>IF(BB38=1,BL38*(1+g_appr),0)</f>
        <v/>
      </c>
      <c r="DU38" s="7">
        <f>BP38-DJ38</f>
        <v/>
      </c>
      <c r="DV38" s="7">
        <f>BT38-(DI38-DJ38)</f>
        <v/>
      </c>
      <c r="DW38" s="7">
        <f>CP38+DN38</f>
        <v/>
      </c>
      <c r="DX38" s="7">
        <f>IF(DN38&gt;0,(CP38*CF38+DN38*prestamos_tasaFederalPosgrado)/(CP38+DN38),CF38)</f>
        <v/>
      </c>
      <c r="DY38" s="7">
        <f>IF(DN38&gt;0,0,CQ38)</f>
        <v/>
      </c>
      <c r="DZ38" s="7">
        <f>DM38+DN38</f>
        <v/>
      </c>
      <c r="EA38" s="7">
        <f>CV38+DO38</f>
        <v/>
      </c>
      <c r="EB38" s="7">
        <f>IF(DO38&gt;0,(CV38*CS38+DO38*prestamos_tasaPrivada)/(CV38+DO38),CS38)</f>
        <v/>
      </c>
      <c r="EC38" s="7">
        <f>IF(DO38&gt;0,0,CW38)</f>
        <v/>
      </c>
      <c r="ED38" s="7">
        <f>CX38-DE38+DP38</f>
        <v/>
      </c>
      <c r="EE38" s="7">
        <f>IF(IF(5=0,"",EE37)&lt;&gt;"",EE37,IF(AND(BB38=1,DU38&lt;=0.5,DV38&lt;=0.5,OR(BH38=0,BJ38=1)),A38,""))</f>
        <v/>
      </c>
      <c r="EF38" s="7">
        <f>DU38+DV38+DW38+EA38+ED38+CD38</f>
        <v/>
      </c>
      <c r="EG38" s="7">
        <f>DR38+DS38+DT38-EF38</f>
        <v/>
      </c>
      <c r="EH38" s="7">
        <f>EG38/(1+g_inf)^(A38+1-2026)</f>
        <v/>
      </c>
    </row>
    <row r="39">
      <c r="A39" t="n">
        <v>2033</v>
      </c>
      <c r="B39" t="n">
        <v>6</v>
      </c>
      <c r="C39" s="7">
        <f>(1+g_inf)^(A39-2026)</f>
        <v/>
      </c>
      <c r="D39" s="7">
        <f>SUMPRODUCT($Z$5:$Z$29,$E$5:$E$29*(1+$F$5:$F$29)^(A39-2026)*$G$5:$G$29*$H$5:$H$29*(1-$N$5:$N$29*$O$5:$O$29))*g_salMult+SUMPRODUCT(($B$5:$B$29&gt;=A39)*($B$5:$B$29&lt;A39+1)*$I$5:$I$29)*g_salMult</f>
        <v/>
      </c>
      <c r="E39" s="7">
        <f>SUMPRODUCT($Z$5:$Z$29,$E$5:$E$29*(1+$F$5:$F$29)^(A39-2026)*$G$5:$G$29*$H$5:$H$29*$M$5:$M$29)*g_salMult</f>
        <v/>
      </c>
      <c r="F39" s="7">
        <f>SUMPRODUCT($Z$5:$Z$29,$E$5:$E$29*(1+$F$5:$F$29)^(A39-2026)*$G$5:$G$29*$H$5:$H$29*$N$5:$N$29*$O$5:$O$29)*g_salMult</f>
        <v/>
      </c>
      <c r="G39" s="7">
        <f>SUMPRODUCT($Z$5:$Z$29,$P$5:$P$29*(1+$F$5:$F$29)^(A39-2026))</f>
        <v/>
      </c>
      <c r="H39" s="7">
        <f>SUMPRODUCT($Z$5:$Z$29,$Q$5:$Q$29*(1+$F$5:$F$29)^(A39-2026))+IF(personal_llcActivo=1,personal_llcNeto*(1+personal_llcCrecimiento)^6,0)</f>
        <v/>
      </c>
      <c r="I39" s="7">
        <f>SUMPRODUCT($Z$5:$Z$29,$J$5:$J$29/($C$5:$C$29-$B$5:$B$29+($C$5:$C$29=$B$5:$B$29)))*C39</f>
        <v/>
      </c>
      <c r="J39" s="7">
        <f>SUMPRODUCT($Z$5:$Z$29,$K$5:$K$29)</f>
        <v/>
      </c>
      <c r="K39" s="7">
        <f>SUMPRODUCT($Z$5:$Z$29,$L$5:$L$29)</f>
        <v/>
      </c>
      <c r="L39" s="7">
        <f>SUMPRODUCT($Z$5:$Z$29,$N$5:$N$29)</f>
        <v/>
      </c>
      <c r="M39" s="7">
        <f>IF(SUMPRODUCT($Z$5:$Z$29,$R$5:$R$29)&gt;0,1,0)</f>
        <v/>
      </c>
      <c r="N39" s="7">
        <f>SUMPRODUCT(($AO$5:$AO$24&gt;=A39)*($AO$5:$AO$24&lt;A39+1)*$AP$5:$AP$24)*C39+IF(6=0,IF(sel_loc&lt;&gt;"miami",personal_costoMudanzaInicial,0),0)</f>
        <v/>
      </c>
      <c r="O39" s="7">
        <f>MIN(personal_aporte403bPct*D39,retiro_limite403b*C39)</f>
        <v/>
      </c>
      <c r="P39" s="7">
        <f>MIN(personal_aporte403bPct,personal_match403bPct)*E39</f>
        <v/>
      </c>
      <c r="Q39" s="7">
        <f>IF(G39&gt;0,MAX(0,G39-impuestos_scorpCostoAnual*C39),0)</f>
        <v/>
      </c>
      <c r="R39" s="7">
        <f>Q39*impuestos_scorpSalarioPct/(1+impuestos_ssTasa+impuestos_medicareTasa)</f>
        <v/>
      </c>
      <c r="S39" s="7">
        <f>impuestos_ssTasa*MIN(R39,MAX(0,impuestos_ssTope*C39-D39))+impuestos_medicareTasa*R39</f>
        <v/>
      </c>
      <c r="T39" s="7">
        <f>Q39-R39-S39</f>
        <v/>
      </c>
      <c r="U39" s="7">
        <f>D39+R39</f>
        <v/>
      </c>
      <c r="V39" s="7">
        <f>H39*0.9235</f>
        <v/>
      </c>
      <c r="W39" s="7">
        <f>IF(H39&gt;0,2*impuestos_ssTasa*MIN(V39,MAX(0,impuestos_ssTope*C39-U39))+2*impuestos_medicareTasa*V39,0)</f>
        <v/>
      </c>
      <c r="X39" s="7">
        <f>impuestos_ssTasa*MIN(U39,impuestos_ssTope*C39)+impuestos_medicareTasa*U39+impuestos_medicareAdicional*MAX(0,U39+H39*0.9235-impuestos_medicareUmbral)</f>
        <v/>
      </c>
      <c r="Y39" s="7">
        <f>MAX(0,D39-O39+R39+T39+H39-W39/2)</f>
        <v/>
      </c>
      <c r="Z39" s="7">
        <f>MAX(0,Y39-impuestos_deduccionEstandar*C39)</f>
        <v/>
      </c>
      <c r="AA39" s="7">
        <f>MIN(0.2*MAX(0,T39+H39-W39/2)*MAX(0,MIN(1,1-(Z39-impuestos_qbiUmbral*C39)/(impuestos_qbiRango*C39))),0.2*Z39)</f>
        <v/>
      </c>
      <c r="AB39" s="7">
        <f>MAX(0,Z39-AA39)</f>
        <v/>
      </c>
      <c r="AC39" s="7">
        <f>SUMPRODUCT((AB39&gt;tb_federalBrackets_lo*C39)*(AB39-tb_federalBrackets_lo*C39)*tb_federalBrackets_dr)</f>
        <v/>
      </c>
      <c r="AD39" s="7">
        <f>MAX(0,Y39-impuestos_nyDeduccion*C39)</f>
        <v/>
      </c>
      <c r="AE39" s="7">
        <f>CHOOSE(loc_taxcode,0,impuestos_ohTasa*MAX(0,Y39-impuestos_ohExento*C39)+impuestos_ohMunicipal*U39,SUMPRODUCT((AD39&gt;tb_nyBrackets_lo*C39)*(AD39-tb_nyBrackets_lo*C39)*tb_nyBrackets_dr)+loc_nyc*SUMPRODUCT((AD39&gt;tb_nycBrackets_lo*C39)*(AD39-tb_nycBrackets_lo*C39)*tb_nycBrackets_dr))</f>
        <v/>
      </c>
      <c r="AF39" s="7">
        <f>AC39+AE39+X39+W39</f>
        <v/>
      </c>
      <c r="AG39" s="7">
        <f>D39+F39+R39+T39+H39</f>
        <v/>
      </c>
      <c r="AH39" s="7">
        <f>AG39-AF39-O39</f>
        <v/>
      </c>
      <c r="AI39" s="7">
        <f>D39+F39+G39+H39</f>
        <v/>
      </c>
      <c r="AJ39" s="7">
        <f>loc_gastosVida*C39*g_gastos</f>
        <v/>
      </c>
      <c r="AK39" s="7">
        <f>IF(6=0,personal_liquidoInicial,DR38)</f>
        <v/>
      </c>
      <c r="AL39" s="7">
        <f>IF(6=0,0,BB38)</f>
        <v/>
      </c>
      <c r="AM39" s="7">
        <f>CHOOSE(sel_cfgIdx,loc_precio_duplex,loc_precio_inlaw,loc_precio_dosCasas,loc_precio_casaAdu,loc_precio_multi)</f>
        <v/>
      </c>
      <c r="AN39" s="7">
        <f>AM39*(1+g_appr)^(A39-2026)</f>
        <v/>
      </c>
      <c r="AO39" s="7">
        <f>IF(AND(M39=1,vivienda_prestamoMedico=1),1,0)</f>
        <v/>
      </c>
      <c r="AP39" s="7">
        <f>IF(AO39=1,0.05,vivienda_enganchePct)</f>
        <v/>
      </c>
      <c r="AQ39" s="7">
        <f>AN39*(1-AP39)</f>
        <v/>
      </c>
      <c r="AR39" s="7">
        <f>PMT(g_mortRate/12,vivienda_plazoHipoteca*12,-AQ39)</f>
        <v/>
      </c>
      <c r="AS39" s="7">
        <f>INDEX(cfg_units,sel_cfgIdx)</f>
        <v/>
      </c>
      <c r="AT39" s="7">
        <f>AS39*loc_rentaUnidad*(1+g_inf)^(A39-2026)*(1-vivienda_vacancia)</f>
        <v/>
      </c>
      <c r="AU39" s="7">
        <f>AR39+AN39*loc_impuestoPropPct/12+AM39*loc_seguroPct*(1+vivienda_inflacionSeguro)^(A39-2026)/12+IF(AND(AO39=0,AP39&lt;0.2),AQ39*vivienda_pmiTasa/12,0)</f>
        <v/>
      </c>
      <c r="AV39" s="7">
        <f>AN39*AP39+AN39*vivienda_cierrePct+general_reservaMeses/12*AJ39</f>
        <v/>
      </c>
      <c r="AW39" s="7">
        <f>(IF(6=0,MIN(personal_irsSaldo,personal_irsPagoMensual*12),MIN(CD38,personal_irsPagoMensual*12))+IF(CE39&gt;0,PMT(CF39,MAX(1,prestamos_plazoAnios-CG39),-CE39),0)+IF(CR39&gt;0,PMT(CS39,MAX(1,prestamos_plazoAnios-CT39),-CR39),0))/12</f>
        <v/>
      </c>
      <c r="AX39" s="7">
        <f>IF(OR(sel_cfg="duplex",sel_cfg="multi",sel_cfg="dosCasas"),0.75*personal_aporteFamiliaMensual,0)</f>
        <v/>
      </c>
      <c r="AY39" s="7">
        <f>AU39-0.75*AT39-AX39+AW39</f>
        <v/>
      </c>
      <c r="AZ39" s="7">
        <f>(D39+G39+H39+0.5*F39)/12</f>
        <v/>
      </c>
      <c r="BA39" s="7">
        <f>IF(AND(AL39=0,A39&gt;=vivienda_anioMinCompra,J39&lt;0.5,AI39&gt;0,AK39&gt;=AV39,AY39&lt;=vivienda_dtiMax*AZ39),1,0)</f>
        <v/>
      </c>
      <c r="BB39" s="7">
        <f>MAX(AL39,BA39)</f>
        <v/>
      </c>
      <c r="BC39" s="7">
        <f>IF(BA39=1,A39,IF(6=0,"",BC38))</f>
        <v/>
      </c>
      <c r="BD39" s="7">
        <f>AK39-IF(BA39=1,AN39*AP39+AN39*vivienda_cierrePct,0)</f>
        <v/>
      </c>
      <c r="BE39" s="7">
        <f>IF(BA39=1,AN39,IF(6=0,0,BE38))</f>
        <v/>
      </c>
      <c r="BF39" s="7">
        <f>IF(BA39=1,AR39,IF(6=0,0,BF38))</f>
        <v/>
      </c>
      <c r="BG39" s="7">
        <f>IF(BA39=1,IF(AND(AO39=0,AP39&lt;0.2),1,0),IF(6=0,0,BY38))</f>
        <v/>
      </c>
      <c r="BH39" s="7">
        <f>IF(sel_cfg="casaAdu",1,0)</f>
        <v/>
      </c>
      <c r="BI39" s="7">
        <f>IF(AND(BB39=1,BH39=1,IF(6=0,0,BJ38)=0,A39&gt;=IF(BC39="",9999,BC39)+vivienda_aduRetrasoAnios),1,0)</f>
        <v/>
      </c>
      <c r="BJ39" s="7">
        <f>MAX(IF(6=0,0,BJ38),BI39)</f>
        <v/>
      </c>
      <c r="BK39" s="7">
        <f>IF(BI39=1,PMT((g_mortRate+0.005)/12,180,-loc_precio_aduCosto*C39),IF(6=0,0,BK38))</f>
        <v/>
      </c>
      <c r="BL39" s="7">
        <f>IF(BA39=1,AN39,IF(6=0,0,DT38))+IF(BI39=1,loc_precio_aduCosto*C39,0)</f>
        <v/>
      </c>
      <c r="BM39" s="7">
        <f>IF(BA39=1,AQ39,IF(6=0,0,DU38))</f>
        <v/>
      </c>
      <c r="BN39" s="7">
        <f>IF(BM39&lt;=0,0,FV(g_mortRate/12,12,BF39,-BM39))</f>
        <v/>
      </c>
      <c r="BO39" s="7">
        <f>IF(BM39&lt;=0,0,12*BF39+MIN(0,BN39))</f>
        <v/>
      </c>
      <c r="BP39" s="7">
        <f>MAX(0,BN39)</f>
        <v/>
      </c>
      <c r="BQ39" s="7">
        <f>IF(BI39=1,loc_precio_aduCosto*C39,IF(6=0,0,DV38))</f>
        <v/>
      </c>
      <c r="BR39" s="7">
        <f>IF(BQ39&lt;=0,0,FV((g_mortRate+0.005)/12,12,BK39,-BQ39))</f>
        <v/>
      </c>
      <c r="BS39" s="7">
        <f>IF(BQ39&lt;=0,0,12*BK39+MIN(0,BR39))</f>
        <v/>
      </c>
      <c r="BT39" s="7">
        <f>MAX(0,BR39)</f>
        <v/>
      </c>
      <c r="BU39" s="7">
        <f>IF(BB39=1,AM39*loc_seguroPct*(1+vivienda_inflacionSeguro)^(A39-2026)*IF(BJ39=1,1+loc_precio_aduCosto/AM39,1),0)</f>
        <v/>
      </c>
      <c r="BV39" s="7">
        <f>BL39*loc_impuestoPropPct</f>
        <v/>
      </c>
      <c r="BW39" s="7">
        <f>BL39*vivienda_mantenimientoPct</f>
        <v/>
      </c>
      <c r="BX39" s="7">
        <f>IF(AND(BG39=1,BP39&gt;0.8*BE39),BE39*(1-vivienda_enganchePct)*vivienda_pmiTasa,0)</f>
        <v/>
      </c>
      <c r="BY39" s="7">
        <f>IF(AND(BG39=1,BP39&gt;0.8*BE39),1,0)</f>
        <v/>
      </c>
      <c r="BZ39" s="7">
        <f>IF(BB39=1,AS39*loc_rentaUnidad*12*C39*(1-vivienda_vacancia)*(1-vivienda_gestionPct),0)</f>
        <v/>
      </c>
      <c r="CA39" s="7">
        <f>IF(BB39=1,BO39+BS39+BU39+BV39+BW39+BX39,loc_rentaMensual*12*C39)</f>
        <v/>
      </c>
      <c r="CB39" s="7">
        <f>IF(BB39=1,personal_aporteFamiliaMensual*12,0)</f>
        <v/>
      </c>
      <c r="CC39" s="7">
        <f>MIN(IF(6=0,personal_irsSaldo,CD38),personal_irsPagoMensual*12)</f>
        <v/>
      </c>
      <c r="CD39" s="7">
        <f>IF(6=0,personal_irsSaldo,CD38)-CC39</f>
        <v/>
      </c>
      <c r="CE39" s="7">
        <f>IF(6=0,IF(personal_deudaEsFederal=1,personal_deudaEstudiantil,0),DW38)</f>
        <v/>
      </c>
      <c r="CF39" s="7">
        <f>IF(6=0,personal_tasaDeudaEstudiantil,DX38)</f>
        <v/>
      </c>
      <c r="CG39" s="7">
        <f>IF(6=0,0,DY38)</f>
        <v/>
      </c>
      <c r="CH39" s="7">
        <f>IF(J39&gt;=0.5,1,0)</f>
        <v/>
      </c>
      <c r="CI39" s="7">
        <f>IF(AND(CH39=0,prestamos_pslfActivo=1,K39&gt;=0.5,CE39&gt;0),1,0)</f>
        <v/>
      </c>
      <c r="CJ39" s="7">
        <f>CE39*CF39</f>
        <v/>
      </c>
      <c r="CK39" s="7">
        <f>MAX(prestamos_rapPagoMinimoAnual,IF(Y39&lt;10000,0,MIN(0.1,INT(Y39/10000)/100))*Y39)</f>
        <v/>
      </c>
      <c r="CL39" s="7">
        <f>IF(CE39&lt;=0,0,IF(CH39=1,0,IF(CI39=1,MIN(CE39+CJ39,CK39),PMT(CF39,MAX(1,prestamos_plazoAnios-CG39),-CE39))))</f>
        <v/>
      </c>
      <c r="CM39" s="7">
        <f>IF(CE39&lt;=0,0,IF(CH39=1,CE39+CJ39,IF(CI39=1,MAX(0,CE39-MAX(CL39-CJ39,MIN(600,CL39))),MAX(0,CE39*(1+CF39)-CL39))))</f>
        <v/>
      </c>
      <c r="CN39" s="7">
        <f>IF(6=0,0,CN38)+IF(CI39=1,12*MIN(1,K39),0)</f>
        <v/>
      </c>
      <c r="CO39" s="7">
        <f>IF(AND(CI39=1,CN39&gt;=prestamos_pslfPagos,CM39&gt;0),CM39,0)</f>
        <v/>
      </c>
      <c r="CP39" s="7">
        <f>CM39-CO39</f>
        <v/>
      </c>
      <c r="CQ39" s="7">
        <f>IF(AND(CE39&gt;0,CH39=0,CI39=0),CG39+1,CG39)</f>
        <v/>
      </c>
      <c r="CR39" s="7">
        <f>IF(6=0,IF(personal_deudaEsFederal=1,0,personal_deudaEstudiantil),EA38)</f>
        <v/>
      </c>
      <c r="CS39" s="7">
        <f>IF(6=0,IF(personal_deudaEsFederal=1,prestamos_tasaPrivada,personal_tasaDeudaEstudiantil),EB38)</f>
        <v/>
      </c>
      <c r="CT39" s="7">
        <f>IF(6=0,0,EC38)</f>
        <v/>
      </c>
      <c r="CU39" s="7">
        <f>IF(OR(CR39&lt;=0,CH39=1),0,PMT(CS39,MAX(1,prestamos_plazoAnios-CT39),-CR39))</f>
        <v/>
      </c>
      <c r="CV39" s="7">
        <f>IF(CR39&lt;=0,0,IF(CH39=1,CR39*(1+CS39),MAX(0,CR39*(1+CS39)-CU39)))</f>
        <v/>
      </c>
      <c r="CW39" s="7">
        <f>IF(AND(CR39&gt;0,CH39=0),CT39+1,CT39)</f>
        <v/>
      </c>
      <c r="CX39" s="7">
        <f>IF(6=0,0,ED38)*(1+general_tasaDeudaConsumo)</f>
        <v/>
      </c>
      <c r="CY39" s="7">
        <f>L39*12*tiempos_travelGastoExtraMes*C39</f>
        <v/>
      </c>
      <c r="CZ39" s="7">
        <f>AJ39+CY39+CA39+CC39+CL39+CU39+I39+N39-BZ39-CB39</f>
        <v/>
      </c>
      <c r="DA39" s="7">
        <f>AH39-CZ39</f>
        <v/>
      </c>
      <c r="DB39" s="7">
        <f>IF(6=0,0,DB38)+DA39</f>
        <v/>
      </c>
      <c r="DC39" s="7">
        <f>AN39*vivienda_enganchePct+AN39*vivienda_cierrePct+general_reservaMeses/12*AJ39</f>
        <v/>
      </c>
      <c r="DD39" s="7">
        <f>IF(BB39=1,g_ret,IF(BD39&gt;0,MIN(1,DC39/BD39),1)*g_cash+(1-IF(BD39&gt;0,MIN(1,DC39/BD39),1))*g_ret)</f>
        <v/>
      </c>
      <c r="DE39" s="7">
        <f>IF(DA39&gt;=0,MIN(CX39,DA39),0)</f>
        <v/>
      </c>
      <c r="DF39" s="7">
        <f>IF(DA39&gt;=0,(1-general_tasaAhorro)*(DA39-DE39),0)</f>
        <v/>
      </c>
      <c r="DG39" s="7">
        <f>IF(DA39&gt;=0,DA39-DE39-DF39,0)</f>
        <v/>
      </c>
      <c r="DH39" s="7">
        <f>MIN(personal_rothAnual,DG39)</f>
        <v/>
      </c>
      <c r="DI39" s="7">
        <f>IF(AND(DA39&gt;=0,BB39=1,BP39+BT39&gt;0),MIN(vivienda_prepagoPct*(DG39-DH39),BP39+BT39),0)</f>
        <v/>
      </c>
      <c r="DJ39" s="7">
        <f>MIN(DI39,BP39)</f>
        <v/>
      </c>
      <c r="DK39" s="7">
        <f>IF(DA39&lt;0,MIN(MAX(0,BD39),-DA39),0)</f>
        <v/>
      </c>
      <c r="DL39" s="7">
        <f>IF(DA39&lt;0,-DA39-DK39,0)</f>
        <v/>
      </c>
      <c r="DM39" s="7">
        <f>IF(6=0,0,DZ38)</f>
        <v/>
      </c>
      <c r="DN39" s="7">
        <f>IF(AND(DL39&gt;0,J39&gt;0),MIN(DL39,MIN(prestamos_topeAnualPosgrado*MIN(1,J39),MAX(0,prestamos_topeTotalPosgrado-DM39))),0)</f>
        <v/>
      </c>
      <c r="DO39" s="7">
        <f>IF(AND(DL39&gt;0,J39&gt;0),DL39-DN39,0)</f>
        <v/>
      </c>
      <c r="DP39" s="7">
        <f>IF(AND(DL39&gt;0,J39&lt;=0),DL39,0)</f>
        <v/>
      </c>
      <c r="DQ39" s="7">
        <f>IF(DA39&gt;=0,DG39-DH39-DI39,-DK39)</f>
        <v/>
      </c>
      <c r="DR39" s="7">
        <f>BD39*(1+DD39)+DQ39*(1+DD39/2)</f>
        <v/>
      </c>
      <c r="DS39" s="7">
        <f>IF(6=0,personal_retiroInicial,DS38)*(1+g_ret)+(O39+P39+DH39)*(1+g_ret/2)</f>
        <v/>
      </c>
      <c r="DT39" s="7">
        <f>IF(BB39=1,BL39*(1+g_appr),0)</f>
        <v/>
      </c>
      <c r="DU39" s="7">
        <f>BP39-DJ39</f>
        <v/>
      </c>
      <c r="DV39" s="7">
        <f>BT39-(DI39-DJ39)</f>
        <v/>
      </c>
      <c r="DW39" s="7">
        <f>CP39+DN39</f>
        <v/>
      </c>
      <c r="DX39" s="7">
        <f>IF(DN39&gt;0,(CP39*CF39+DN39*prestamos_tasaFederalPosgrado)/(CP39+DN39),CF39)</f>
        <v/>
      </c>
      <c r="DY39" s="7">
        <f>IF(DN39&gt;0,0,CQ39)</f>
        <v/>
      </c>
      <c r="DZ39" s="7">
        <f>DM39+DN39</f>
        <v/>
      </c>
      <c r="EA39" s="7">
        <f>CV39+DO39</f>
        <v/>
      </c>
      <c r="EB39" s="7">
        <f>IF(DO39&gt;0,(CV39*CS39+DO39*prestamos_tasaPrivada)/(CV39+DO39),CS39)</f>
        <v/>
      </c>
      <c r="EC39" s="7">
        <f>IF(DO39&gt;0,0,CW39)</f>
        <v/>
      </c>
      <c r="ED39" s="7">
        <f>CX39-DE39+DP39</f>
        <v/>
      </c>
      <c r="EE39" s="7">
        <f>IF(IF(6=0,"",EE38)&lt;&gt;"",EE38,IF(AND(BB39=1,DU39&lt;=0.5,DV39&lt;=0.5,OR(BH39=0,BJ39=1)),A39,""))</f>
        <v/>
      </c>
      <c r="EF39" s="7">
        <f>DU39+DV39+DW39+EA39+ED39+CD39</f>
        <v/>
      </c>
      <c r="EG39" s="7">
        <f>DR39+DS39+DT39-EF39</f>
        <v/>
      </c>
      <c r="EH39" s="7">
        <f>EG39/(1+g_inf)^(A39+1-2026)</f>
        <v/>
      </c>
    </row>
    <row r="40">
      <c r="A40" t="n">
        <v>2034</v>
      </c>
      <c r="B40" t="n">
        <v>7</v>
      </c>
      <c r="C40" s="7">
        <f>(1+g_inf)^(A40-2026)</f>
        <v/>
      </c>
      <c r="D40" s="7">
        <f>SUMPRODUCT($AA$5:$AA$29,$E$5:$E$29*(1+$F$5:$F$29)^(A40-2026)*$G$5:$G$29*$H$5:$H$29*(1-$N$5:$N$29*$O$5:$O$29))*g_salMult+SUMPRODUCT(($B$5:$B$29&gt;=A40)*($B$5:$B$29&lt;A40+1)*$I$5:$I$29)*g_salMult</f>
        <v/>
      </c>
      <c r="E40" s="7">
        <f>SUMPRODUCT($AA$5:$AA$29,$E$5:$E$29*(1+$F$5:$F$29)^(A40-2026)*$G$5:$G$29*$H$5:$H$29*$M$5:$M$29)*g_salMult</f>
        <v/>
      </c>
      <c r="F40" s="7">
        <f>SUMPRODUCT($AA$5:$AA$29,$E$5:$E$29*(1+$F$5:$F$29)^(A40-2026)*$G$5:$G$29*$H$5:$H$29*$N$5:$N$29*$O$5:$O$29)*g_salMult</f>
        <v/>
      </c>
      <c r="G40" s="7">
        <f>SUMPRODUCT($AA$5:$AA$29,$P$5:$P$29*(1+$F$5:$F$29)^(A40-2026))</f>
        <v/>
      </c>
      <c r="H40" s="7">
        <f>SUMPRODUCT($AA$5:$AA$29,$Q$5:$Q$29*(1+$F$5:$F$29)^(A40-2026))+IF(personal_llcActivo=1,personal_llcNeto*(1+personal_llcCrecimiento)^7,0)</f>
        <v/>
      </c>
      <c r="I40" s="7">
        <f>SUMPRODUCT($AA$5:$AA$29,$J$5:$J$29/($C$5:$C$29-$B$5:$B$29+($C$5:$C$29=$B$5:$B$29)))*C40</f>
        <v/>
      </c>
      <c r="J40" s="7">
        <f>SUMPRODUCT($AA$5:$AA$29,$K$5:$K$29)</f>
        <v/>
      </c>
      <c r="K40" s="7">
        <f>SUMPRODUCT($AA$5:$AA$29,$L$5:$L$29)</f>
        <v/>
      </c>
      <c r="L40" s="7">
        <f>SUMPRODUCT($AA$5:$AA$29,$N$5:$N$29)</f>
        <v/>
      </c>
      <c r="M40" s="7">
        <f>IF(SUMPRODUCT($AA$5:$AA$29,$R$5:$R$29)&gt;0,1,0)</f>
        <v/>
      </c>
      <c r="N40" s="7">
        <f>SUMPRODUCT(($AO$5:$AO$24&gt;=A40)*($AO$5:$AO$24&lt;A40+1)*$AP$5:$AP$24)*C40+IF(7=0,IF(sel_loc&lt;&gt;"miami",personal_costoMudanzaInicial,0),0)</f>
        <v/>
      </c>
      <c r="O40" s="7">
        <f>MIN(personal_aporte403bPct*D40,retiro_limite403b*C40)</f>
        <v/>
      </c>
      <c r="P40" s="7">
        <f>MIN(personal_aporte403bPct,personal_match403bPct)*E40</f>
        <v/>
      </c>
      <c r="Q40" s="7">
        <f>IF(G40&gt;0,MAX(0,G40-impuestos_scorpCostoAnual*C40),0)</f>
        <v/>
      </c>
      <c r="R40" s="7">
        <f>Q40*impuestos_scorpSalarioPct/(1+impuestos_ssTasa+impuestos_medicareTasa)</f>
        <v/>
      </c>
      <c r="S40" s="7">
        <f>impuestos_ssTasa*MIN(R40,MAX(0,impuestos_ssTope*C40-D40))+impuestos_medicareTasa*R40</f>
        <v/>
      </c>
      <c r="T40" s="7">
        <f>Q40-R40-S40</f>
        <v/>
      </c>
      <c r="U40" s="7">
        <f>D40+R40</f>
        <v/>
      </c>
      <c r="V40" s="7">
        <f>H40*0.9235</f>
        <v/>
      </c>
      <c r="W40" s="7">
        <f>IF(H40&gt;0,2*impuestos_ssTasa*MIN(V40,MAX(0,impuestos_ssTope*C40-U40))+2*impuestos_medicareTasa*V40,0)</f>
        <v/>
      </c>
      <c r="X40" s="7">
        <f>impuestos_ssTasa*MIN(U40,impuestos_ssTope*C40)+impuestos_medicareTasa*U40+impuestos_medicareAdicional*MAX(0,U40+H40*0.9235-impuestos_medicareUmbral)</f>
        <v/>
      </c>
      <c r="Y40" s="7">
        <f>MAX(0,D40-O40+R40+T40+H40-W40/2)</f>
        <v/>
      </c>
      <c r="Z40" s="7">
        <f>MAX(0,Y40-impuestos_deduccionEstandar*C40)</f>
        <v/>
      </c>
      <c r="AA40" s="7">
        <f>MIN(0.2*MAX(0,T40+H40-W40/2)*MAX(0,MIN(1,1-(Z40-impuestos_qbiUmbral*C40)/(impuestos_qbiRango*C40))),0.2*Z40)</f>
        <v/>
      </c>
      <c r="AB40" s="7">
        <f>MAX(0,Z40-AA40)</f>
        <v/>
      </c>
      <c r="AC40" s="7">
        <f>SUMPRODUCT((AB40&gt;tb_federalBrackets_lo*C40)*(AB40-tb_federalBrackets_lo*C40)*tb_federalBrackets_dr)</f>
        <v/>
      </c>
      <c r="AD40" s="7">
        <f>MAX(0,Y40-impuestos_nyDeduccion*C40)</f>
        <v/>
      </c>
      <c r="AE40" s="7">
        <f>CHOOSE(loc_taxcode,0,impuestos_ohTasa*MAX(0,Y40-impuestos_ohExento*C40)+impuestos_ohMunicipal*U40,SUMPRODUCT((AD40&gt;tb_nyBrackets_lo*C40)*(AD40-tb_nyBrackets_lo*C40)*tb_nyBrackets_dr)+loc_nyc*SUMPRODUCT((AD40&gt;tb_nycBrackets_lo*C40)*(AD40-tb_nycBrackets_lo*C40)*tb_nycBrackets_dr))</f>
        <v/>
      </c>
      <c r="AF40" s="7">
        <f>AC40+AE40+X40+W40</f>
        <v/>
      </c>
      <c r="AG40" s="7">
        <f>D40+F40+R40+T40+H40</f>
        <v/>
      </c>
      <c r="AH40" s="7">
        <f>AG40-AF40-O40</f>
        <v/>
      </c>
      <c r="AI40" s="7">
        <f>D40+F40+G40+H40</f>
        <v/>
      </c>
      <c r="AJ40" s="7">
        <f>loc_gastosVida*C40*g_gastos</f>
        <v/>
      </c>
      <c r="AK40" s="7">
        <f>IF(7=0,personal_liquidoInicial,DR39)</f>
        <v/>
      </c>
      <c r="AL40" s="7">
        <f>IF(7=0,0,BB39)</f>
        <v/>
      </c>
      <c r="AM40" s="7">
        <f>CHOOSE(sel_cfgIdx,loc_precio_duplex,loc_precio_inlaw,loc_precio_dosCasas,loc_precio_casaAdu,loc_precio_multi)</f>
        <v/>
      </c>
      <c r="AN40" s="7">
        <f>AM40*(1+g_appr)^(A40-2026)</f>
        <v/>
      </c>
      <c r="AO40" s="7">
        <f>IF(AND(M40=1,vivienda_prestamoMedico=1),1,0)</f>
        <v/>
      </c>
      <c r="AP40" s="7">
        <f>IF(AO40=1,0.05,vivienda_enganchePct)</f>
        <v/>
      </c>
      <c r="AQ40" s="7">
        <f>AN40*(1-AP40)</f>
        <v/>
      </c>
      <c r="AR40" s="7">
        <f>PMT(g_mortRate/12,vivienda_plazoHipoteca*12,-AQ40)</f>
        <v/>
      </c>
      <c r="AS40" s="7">
        <f>INDEX(cfg_units,sel_cfgIdx)</f>
        <v/>
      </c>
      <c r="AT40" s="7">
        <f>AS40*loc_rentaUnidad*(1+g_inf)^(A40-2026)*(1-vivienda_vacancia)</f>
        <v/>
      </c>
      <c r="AU40" s="7">
        <f>AR40+AN40*loc_impuestoPropPct/12+AM40*loc_seguroPct*(1+vivienda_inflacionSeguro)^(A40-2026)/12+IF(AND(AO40=0,AP40&lt;0.2),AQ40*vivienda_pmiTasa/12,0)</f>
        <v/>
      </c>
      <c r="AV40" s="7">
        <f>AN40*AP40+AN40*vivienda_cierrePct+general_reservaMeses/12*AJ40</f>
        <v/>
      </c>
      <c r="AW40" s="7">
        <f>(IF(7=0,MIN(personal_irsSaldo,personal_irsPagoMensual*12),MIN(CD39,personal_irsPagoMensual*12))+IF(CE40&gt;0,PMT(CF40,MAX(1,prestamos_plazoAnios-CG40),-CE40),0)+IF(CR40&gt;0,PMT(CS40,MAX(1,prestamos_plazoAnios-CT40),-CR40),0))/12</f>
        <v/>
      </c>
      <c r="AX40" s="7">
        <f>IF(OR(sel_cfg="duplex",sel_cfg="multi",sel_cfg="dosCasas"),0.75*personal_aporteFamiliaMensual,0)</f>
        <v/>
      </c>
      <c r="AY40" s="7">
        <f>AU40-0.75*AT40-AX40+AW40</f>
        <v/>
      </c>
      <c r="AZ40" s="7">
        <f>(D40+G40+H40+0.5*F40)/12</f>
        <v/>
      </c>
      <c r="BA40" s="7">
        <f>IF(AND(AL40=0,A40&gt;=vivienda_anioMinCompra,J40&lt;0.5,AI40&gt;0,AK40&gt;=AV40,AY40&lt;=vivienda_dtiMax*AZ40),1,0)</f>
        <v/>
      </c>
      <c r="BB40" s="7">
        <f>MAX(AL40,BA40)</f>
        <v/>
      </c>
      <c r="BC40" s="7">
        <f>IF(BA40=1,A40,IF(7=0,"",BC39))</f>
        <v/>
      </c>
      <c r="BD40" s="7">
        <f>AK40-IF(BA40=1,AN40*AP40+AN40*vivienda_cierrePct,0)</f>
        <v/>
      </c>
      <c r="BE40" s="7">
        <f>IF(BA40=1,AN40,IF(7=0,0,BE39))</f>
        <v/>
      </c>
      <c r="BF40" s="7">
        <f>IF(BA40=1,AR40,IF(7=0,0,BF39))</f>
        <v/>
      </c>
      <c r="BG40" s="7">
        <f>IF(BA40=1,IF(AND(AO40=0,AP40&lt;0.2),1,0),IF(7=0,0,BY39))</f>
        <v/>
      </c>
      <c r="BH40" s="7">
        <f>IF(sel_cfg="casaAdu",1,0)</f>
        <v/>
      </c>
      <c r="BI40" s="7">
        <f>IF(AND(BB40=1,BH40=1,IF(7=0,0,BJ39)=0,A40&gt;=IF(BC40="",9999,BC40)+vivienda_aduRetrasoAnios),1,0)</f>
        <v/>
      </c>
      <c r="BJ40" s="7">
        <f>MAX(IF(7=0,0,BJ39),BI40)</f>
        <v/>
      </c>
      <c r="BK40" s="7">
        <f>IF(BI40=1,PMT((g_mortRate+0.005)/12,180,-loc_precio_aduCosto*C40),IF(7=0,0,BK39))</f>
        <v/>
      </c>
      <c r="BL40" s="7">
        <f>IF(BA40=1,AN40,IF(7=0,0,DT39))+IF(BI40=1,loc_precio_aduCosto*C40,0)</f>
        <v/>
      </c>
      <c r="BM40" s="7">
        <f>IF(BA40=1,AQ40,IF(7=0,0,DU39))</f>
        <v/>
      </c>
      <c r="BN40" s="7">
        <f>IF(BM40&lt;=0,0,FV(g_mortRate/12,12,BF40,-BM40))</f>
        <v/>
      </c>
      <c r="BO40" s="7">
        <f>IF(BM40&lt;=0,0,12*BF40+MIN(0,BN40))</f>
        <v/>
      </c>
      <c r="BP40" s="7">
        <f>MAX(0,BN40)</f>
        <v/>
      </c>
      <c r="BQ40" s="7">
        <f>IF(BI40=1,loc_precio_aduCosto*C40,IF(7=0,0,DV39))</f>
        <v/>
      </c>
      <c r="BR40" s="7">
        <f>IF(BQ40&lt;=0,0,FV((g_mortRate+0.005)/12,12,BK40,-BQ40))</f>
        <v/>
      </c>
      <c r="BS40" s="7">
        <f>IF(BQ40&lt;=0,0,12*BK40+MIN(0,BR40))</f>
        <v/>
      </c>
      <c r="BT40" s="7">
        <f>MAX(0,BR40)</f>
        <v/>
      </c>
      <c r="BU40" s="7">
        <f>IF(BB40=1,AM40*loc_seguroPct*(1+vivienda_inflacionSeguro)^(A40-2026)*IF(BJ40=1,1+loc_precio_aduCosto/AM40,1),0)</f>
        <v/>
      </c>
      <c r="BV40" s="7">
        <f>BL40*loc_impuestoPropPct</f>
        <v/>
      </c>
      <c r="BW40" s="7">
        <f>BL40*vivienda_mantenimientoPct</f>
        <v/>
      </c>
      <c r="BX40" s="7">
        <f>IF(AND(BG40=1,BP40&gt;0.8*BE40),BE40*(1-vivienda_enganchePct)*vivienda_pmiTasa,0)</f>
        <v/>
      </c>
      <c r="BY40" s="7">
        <f>IF(AND(BG40=1,BP40&gt;0.8*BE40),1,0)</f>
        <v/>
      </c>
      <c r="BZ40" s="7">
        <f>IF(BB40=1,AS40*loc_rentaUnidad*12*C40*(1-vivienda_vacancia)*(1-vivienda_gestionPct),0)</f>
        <v/>
      </c>
      <c r="CA40" s="7">
        <f>IF(BB40=1,BO40+BS40+BU40+BV40+BW40+BX40,loc_rentaMensual*12*C40)</f>
        <v/>
      </c>
      <c r="CB40" s="7">
        <f>IF(BB40=1,personal_aporteFamiliaMensual*12,0)</f>
        <v/>
      </c>
      <c r="CC40" s="7">
        <f>MIN(IF(7=0,personal_irsSaldo,CD39),personal_irsPagoMensual*12)</f>
        <v/>
      </c>
      <c r="CD40" s="7">
        <f>IF(7=0,personal_irsSaldo,CD39)-CC40</f>
        <v/>
      </c>
      <c r="CE40" s="7">
        <f>IF(7=0,IF(personal_deudaEsFederal=1,personal_deudaEstudiantil,0),DW39)</f>
        <v/>
      </c>
      <c r="CF40" s="7">
        <f>IF(7=0,personal_tasaDeudaEstudiantil,DX39)</f>
        <v/>
      </c>
      <c r="CG40" s="7">
        <f>IF(7=0,0,DY39)</f>
        <v/>
      </c>
      <c r="CH40" s="7">
        <f>IF(J40&gt;=0.5,1,0)</f>
        <v/>
      </c>
      <c r="CI40" s="7">
        <f>IF(AND(CH40=0,prestamos_pslfActivo=1,K40&gt;=0.5,CE40&gt;0),1,0)</f>
        <v/>
      </c>
      <c r="CJ40" s="7">
        <f>CE40*CF40</f>
        <v/>
      </c>
      <c r="CK40" s="7">
        <f>MAX(prestamos_rapPagoMinimoAnual,IF(Y40&lt;10000,0,MIN(0.1,INT(Y40/10000)/100))*Y40)</f>
        <v/>
      </c>
      <c r="CL40" s="7">
        <f>IF(CE40&lt;=0,0,IF(CH40=1,0,IF(CI40=1,MIN(CE40+CJ40,CK40),PMT(CF40,MAX(1,prestamos_plazoAnios-CG40),-CE40))))</f>
        <v/>
      </c>
      <c r="CM40" s="7">
        <f>IF(CE40&lt;=0,0,IF(CH40=1,CE40+CJ40,IF(CI40=1,MAX(0,CE40-MAX(CL40-CJ40,MIN(600,CL40))),MAX(0,CE40*(1+CF40)-CL40))))</f>
        <v/>
      </c>
      <c r="CN40" s="7">
        <f>IF(7=0,0,CN39)+IF(CI40=1,12*MIN(1,K40),0)</f>
        <v/>
      </c>
      <c r="CO40" s="7">
        <f>IF(AND(CI40=1,CN40&gt;=prestamos_pslfPagos,CM40&gt;0),CM40,0)</f>
        <v/>
      </c>
      <c r="CP40" s="7">
        <f>CM40-CO40</f>
        <v/>
      </c>
      <c r="CQ40" s="7">
        <f>IF(AND(CE40&gt;0,CH40=0,CI40=0),CG40+1,CG40)</f>
        <v/>
      </c>
      <c r="CR40" s="7">
        <f>IF(7=0,IF(personal_deudaEsFederal=1,0,personal_deudaEstudiantil),EA39)</f>
        <v/>
      </c>
      <c r="CS40" s="7">
        <f>IF(7=0,IF(personal_deudaEsFederal=1,prestamos_tasaPrivada,personal_tasaDeudaEstudiantil),EB39)</f>
        <v/>
      </c>
      <c r="CT40" s="7">
        <f>IF(7=0,0,EC39)</f>
        <v/>
      </c>
      <c r="CU40" s="7">
        <f>IF(OR(CR40&lt;=0,CH40=1),0,PMT(CS40,MAX(1,prestamos_plazoAnios-CT40),-CR40))</f>
        <v/>
      </c>
      <c r="CV40" s="7">
        <f>IF(CR40&lt;=0,0,IF(CH40=1,CR40*(1+CS40),MAX(0,CR40*(1+CS40)-CU40)))</f>
        <v/>
      </c>
      <c r="CW40" s="7">
        <f>IF(AND(CR40&gt;0,CH40=0),CT40+1,CT40)</f>
        <v/>
      </c>
      <c r="CX40" s="7">
        <f>IF(7=0,0,ED39)*(1+general_tasaDeudaConsumo)</f>
        <v/>
      </c>
      <c r="CY40" s="7">
        <f>L40*12*tiempos_travelGastoExtraMes*C40</f>
        <v/>
      </c>
      <c r="CZ40" s="7">
        <f>AJ40+CY40+CA40+CC40+CL40+CU40+I40+N40-BZ40-CB40</f>
        <v/>
      </c>
      <c r="DA40" s="7">
        <f>AH40-CZ40</f>
        <v/>
      </c>
      <c r="DB40" s="7">
        <f>IF(7=0,0,DB39)+DA40</f>
        <v/>
      </c>
      <c r="DC40" s="7">
        <f>AN40*vivienda_enganchePct+AN40*vivienda_cierrePct+general_reservaMeses/12*AJ40</f>
        <v/>
      </c>
      <c r="DD40" s="7">
        <f>IF(BB40=1,g_ret,IF(BD40&gt;0,MIN(1,DC40/BD40),1)*g_cash+(1-IF(BD40&gt;0,MIN(1,DC40/BD40),1))*g_ret)</f>
        <v/>
      </c>
      <c r="DE40" s="7">
        <f>IF(DA40&gt;=0,MIN(CX40,DA40),0)</f>
        <v/>
      </c>
      <c r="DF40" s="7">
        <f>IF(DA40&gt;=0,(1-general_tasaAhorro)*(DA40-DE40),0)</f>
        <v/>
      </c>
      <c r="DG40" s="7">
        <f>IF(DA40&gt;=0,DA40-DE40-DF40,0)</f>
        <v/>
      </c>
      <c r="DH40" s="7">
        <f>MIN(personal_rothAnual,DG40)</f>
        <v/>
      </c>
      <c r="DI40" s="7">
        <f>IF(AND(DA40&gt;=0,BB40=1,BP40+BT40&gt;0),MIN(vivienda_prepagoPct*(DG40-DH40),BP40+BT40),0)</f>
        <v/>
      </c>
      <c r="DJ40" s="7">
        <f>MIN(DI40,BP40)</f>
        <v/>
      </c>
      <c r="DK40" s="7">
        <f>IF(DA40&lt;0,MIN(MAX(0,BD40),-DA40),0)</f>
        <v/>
      </c>
      <c r="DL40" s="7">
        <f>IF(DA40&lt;0,-DA40-DK40,0)</f>
        <v/>
      </c>
      <c r="DM40" s="7">
        <f>IF(7=0,0,DZ39)</f>
        <v/>
      </c>
      <c r="DN40" s="7">
        <f>IF(AND(DL40&gt;0,J40&gt;0),MIN(DL40,MIN(prestamos_topeAnualPosgrado*MIN(1,J40),MAX(0,prestamos_topeTotalPosgrado-DM40))),0)</f>
        <v/>
      </c>
      <c r="DO40" s="7">
        <f>IF(AND(DL40&gt;0,J40&gt;0),DL40-DN40,0)</f>
        <v/>
      </c>
      <c r="DP40" s="7">
        <f>IF(AND(DL40&gt;0,J40&lt;=0),DL40,0)</f>
        <v/>
      </c>
      <c r="DQ40" s="7">
        <f>IF(DA40&gt;=0,DG40-DH40-DI40,-DK40)</f>
        <v/>
      </c>
      <c r="DR40" s="7">
        <f>BD40*(1+DD40)+DQ40*(1+DD40/2)</f>
        <v/>
      </c>
      <c r="DS40" s="7">
        <f>IF(7=0,personal_retiroInicial,DS39)*(1+g_ret)+(O40+P40+DH40)*(1+g_ret/2)</f>
        <v/>
      </c>
      <c r="DT40" s="7">
        <f>IF(BB40=1,BL40*(1+g_appr),0)</f>
        <v/>
      </c>
      <c r="DU40" s="7">
        <f>BP40-DJ40</f>
        <v/>
      </c>
      <c r="DV40" s="7">
        <f>BT40-(DI40-DJ40)</f>
        <v/>
      </c>
      <c r="DW40" s="7">
        <f>CP40+DN40</f>
        <v/>
      </c>
      <c r="DX40" s="7">
        <f>IF(DN40&gt;0,(CP40*CF40+DN40*prestamos_tasaFederalPosgrado)/(CP40+DN40),CF40)</f>
        <v/>
      </c>
      <c r="DY40" s="7">
        <f>IF(DN40&gt;0,0,CQ40)</f>
        <v/>
      </c>
      <c r="DZ40" s="7">
        <f>DM40+DN40</f>
        <v/>
      </c>
      <c r="EA40" s="7">
        <f>CV40+DO40</f>
        <v/>
      </c>
      <c r="EB40" s="7">
        <f>IF(DO40&gt;0,(CV40*CS40+DO40*prestamos_tasaPrivada)/(CV40+DO40),CS40)</f>
        <v/>
      </c>
      <c r="EC40" s="7">
        <f>IF(DO40&gt;0,0,CW40)</f>
        <v/>
      </c>
      <c r="ED40" s="7">
        <f>CX40-DE40+DP40</f>
        <v/>
      </c>
      <c r="EE40" s="7">
        <f>IF(IF(7=0,"",EE39)&lt;&gt;"",EE39,IF(AND(BB40=1,DU40&lt;=0.5,DV40&lt;=0.5,OR(BH40=0,BJ40=1)),A40,""))</f>
        <v/>
      </c>
      <c r="EF40" s="7">
        <f>DU40+DV40+DW40+EA40+ED40+CD40</f>
        <v/>
      </c>
      <c r="EG40" s="7">
        <f>DR40+DS40+DT40-EF40</f>
        <v/>
      </c>
      <c r="EH40" s="7">
        <f>EG40/(1+g_inf)^(A40+1-2026)</f>
        <v/>
      </c>
    </row>
    <row r="41">
      <c r="A41" t="n">
        <v>2035</v>
      </c>
      <c r="B41" t="n">
        <v>8</v>
      </c>
      <c r="C41" s="7">
        <f>(1+g_inf)^(A41-2026)</f>
        <v/>
      </c>
      <c r="D41" s="7">
        <f>SUMPRODUCT($AB$5:$AB$29,$E$5:$E$29*(1+$F$5:$F$29)^(A41-2026)*$G$5:$G$29*$H$5:$H$29*(1-$N$5:$N$29*$O$5:$O$29))*g_salMult+SUMPRODUCT(($B$5:$B$29&gt;=A41)*($B$5:$B$29&lt;A41+1)*$I$5:$I$29)*g_salMult</f>
        <v/>
      </c>
      <c r="E41" s="7">
        <f>SUMPRODUCT($AB$5:$AB$29,$E$5:$E$29*(1+$F$5:$F$29)^(A41-2026)*$G$5:$G$29*$H$5:$H$29*$M$5:$M$29)*g_salMult</f>
        <v/>
      </c>
      <c r="F41" s="7">
        <f>SUMPRODUCT($AB$5:$AB$29,$E$5:$E$29*(1+$F$5:$F$29)^(A41-2026)*$G$5:$G$29*$H$5:$H$29*$N$5:$N$29*$O$5:$O$29)*g_salMult</f>
        <v/>
      </c>
      <c r="G41" s="7">
        <f>SUMPRODUCT($AB$5:$AB$29,$P$5:$P$29*(1+$F$5:$F$29)^(A41-2026))</f>
        <v/>
      </c>
      <c r="H41" s="7">
        <f>SUMPRODUCT($AB$5:$AB$29,$Q$5:$Q$29*(1+$F$5:$F$29)^(A41-2026))+IF(personal_llcActivo=1,personal_llcNeto*(1+personal_llcCrecimiento)^8,0)</f>
        <v/>
      </c>
      <c r="I41" s="7">
        <f>SUMPRODUCT($AB$5:$AB$29,$J$5:$J$29/($C$5:$C$29-$B$5:$B$29+($C$5:$C$29=$B$5:$B$29)))*C41</f>
        <v/>
      </c>
      <c r="J41" s="7">
        <f>SUMPRODUCT($AB$5:$AB$29,$K$5:$K$29)</f>
        <v/>
      </c>
      <c r="K41" s="7">
        <f>SUMPRODUCT($AB$5:$AB$29,$L$5:$L$29)</f>
        <v/>
      </c>
      <c r="L41" s="7">
        <f>SUMPRODUCT($AB$5:$AB$29,$N$5:$N$29)</f>
        <v/>
      </c>
      <c r="M41" s="7">
        <f>IF(SUMPRODUCT($AB$5:$AB$29,$R$5:$R$29)&gt;0,1,0)</f>
        <v/>
      </c>
      <c r="N41" s="7">
        <f>SUMPRODUCT(($AO$5:$AO$24&gt;=A41)*($AO$5:$AO$24&lt;A41+1)*$AP$5:$AP$24)*C41+IF(8=0,IF(sel_loc&lt;&gt;"miami",personal_costoMudanzaInicial,0),0)</f>
        <v/>
      </c>
      <c r="O41" s="7">
        <f>MIN(personal_aporte403bPct*D41,retiro_limite403b*C41)</f>
        <v/>
      </c>
      <c r="P41" s="7">
        <f>MIN(personal_aporte403bPct,personal_match403bPct)*E41</f>
        <v/>
      </c>
      <c r="Q41" s="7">
        <f>IF(G41&gt;0,MAX(0,G41-impuestos_scorpCostoAnual*C41),0)</f>
        <v/>
      </c>
      <c r="R41" s="7">
        <f>Q41*impuestos_scorpSalarioPct/(1+impuestos_ssTasa+impuestos_medicareTasa)</f>
        <v/>
      </c>
      <c r="S41" s="7">
        <f>impuestos_ssTasa*MIN(R41,MAX(0,impuestos_ssTope*C41-D41))+impuestos_medicareTasa*R41</f>
        <v/>
      </c>
      <c r="T41" s="7">
        <f>Q41-R41-S41</f>
        <v/>
      </c>
      <c r="U41" s="7">
        <f>D41+R41</f>
        <v/>
      </c>
      <c r="V41" s="7">
        <f>H41*0.9235</f>
        <v/>
      </c>
      <c r="W41" s="7">
        <f>IF(H41&gt;0,2*impuestos_ssTasa*MIN(V41,MAX(0,impuestos_ssTope*C41-U41))+2*impuestos_medicareTasa*V41,0)</f>
        <v/>
      </c>
      <c r="X41" s="7">
        <f>impuestos_ssTasa*MIN(U41,impuestos_ssTope*C41)+impuestos_medicareTasa*U41+impuestos_medicareAdicional*MAX(0,U41+H41*0.9235-impuestos_medicareUmbral)</f>
        <v/>
      </c>
      <c r="Y41" s="7">
        <f>MAX(0,D41-O41+R41+T41+H41-W41/2)</f>
        <v/>
      </c>
      <c r="Z41" s="7">
        <f>MAX(0,Y41-impuestos_deduccionEstandar*C41)</f>
        <v/>
      </c>
      <c r="AA41" s="7">
        <f>MIN(0.2*MAX(0,T41+H41-W41/2)*MAX(0,MIN(1,1-(Z41-impuestos_qbiUmbral*C41)/(impuestos_qbiRango*C41))),0.2*Z41)</f>
        <v/>
      </c>
      <c r="AB41" s="7">
        <f>MAX(0,Z41-AA41)</f>
        <v/>
      </c>
      <c r="AC41" s="7">
        <f>SUMPRODUCT((AB41&gt;tb_federalBrackets_lo*C41)*(AB41-tb_federalBrackets_lo*C41)*tb_federalBrackets_dr)</f>
        <v/>
      </c>
      <c r="AD41" s="7">
        <f>MAX(0,Y41-impuestos_nyDeduccion*C41)</f>
        <v/>
      </c>
      <c r="AE41" s="7">
        <f>CHOOSE(loc_taxcode,0,impuestos_ohTasa*MAX(0,Y41-impuestos_ohExento*C41)+impuestos_ohMunicipal*U41,SUMPRODUCT((AD41&gt;tb_nyBrackets_lo*C41)*(AD41-tb_nyBrackets_lo*C41)*tb_nyBrackets_dr)+loc_nyc*SUMPRODUCT((AD41&gt;tb_nycBrackets_lo*C41)*(AD41-tb_nycBrackets_lo*C41)*tb_nycBrackets_dr))</f>
        <v/>
      </c>
      <c r="AF41" s="7">
        <f>AC41+AE41+X41+W41</f>
        <v/>
      </c>
      <c r="AG41" s="7">
        <f>D41+F41+R41+T41+H41</f>
        <v/>
      </c>
      <c r="AH41" s="7">
        <f>AG41-AF41-O41</f>
        <v/>
      </c>
      <c r="AI41" s="7">
        <f>D41+F41+G41+H41</f>
        <v/>
      </c>
      <c r="AJ41" s="7">
        <f>loc_gastosVida*C41*g_gastos</f>
        <v/>
      </c>
      <c r="AK41" s="7">
        <f>IF(8=0,personal_liquidoInicial,DR40)</f>
        <v/>
      </c>
      <c r="AL41" s="7">
        <f>IF(8=0,0,BB40)</f>
        <v/>
      </c>
      <c r="AM41" s="7">
        <f>CHOOSE(sel_cfgIdx,loc_precio_duplex,loc_precio_inlaw,loc_precio_dosCasas,loc_precio_casaAdu,loc_precio_multi)</f>
        <v/>
      </c>
      <c r="AN41" s="7">
        <f>AM41*(1+g_appr)^(A41-2026)</f>
        <v/>
      </c>
      <c r="AO41" s="7">
        <f>IF(AND(M41=1,vivienda_prestamoMedico=1),1,0)</f>
        <v/>
      </c>
      <c r="AP41" s="7">
        <f>IF(AO41=1,0.05,vivienda_enganchePct)</f>
        <v/>
      </c>
      <c r="AQ41" s="7">
        <f>AN41*(1-AP41)</f>
        <v/>
      </c>
      <c r="AR41" s="7">
        <f>PMT(g_mortRate/12,vivienda_plazoHipoteca*12,-AQ41)</f>
        <v/>
      </c>
      <c r="AS41" s="7">
        <f>INDEX(cfg_units,sel_cfgIdx)</f>
        <v/>
      </c>
      <c r="AT41" s="7">
        <f>AS41*loc_rentaUnidad*(1+g_inf)^(A41-2026)*(1-vivienda_vacancia)</f>
        <v/>
      </c>
      <c r="AU41" s="7">
        <f>AR41+AN41*loc_impuestoPropPct/12+AM41*loc_seguroPct*(1+vivienda_inflacionSeguro)^(A41-2026)/12+IF(AND(AO41=0,AP41&lt;0.2),AQ41*vivienda_pmiTasa/12,0)</f>
        <v/>
      </c>
      <c r="AV41" s="7">
        <f>AN41*AP41+AN41*vivienda_cierrePct+general_reservaMeses/12*AJ41</f>
        <v/>
      </c>
      <c r="AW41" s="7">
        <f>(IF(8=0,MIN(personal_irsSaldo,personal_irsPagoMensual*12),MIN(CD40,personal_irsPagoMensual*12))+IF(CE41&gt;0,PMT(CF41,MAX(1,prestamos_plazoAnios-CG41),-CE41),0)+IF(CR41&gt;0,PMT(CS41,MAX(1,prestamos_plazoAnios-CT41),-CR41),0))/12</f>
        <v/>
      </c>
      <c r="AX41" s="7">
        <f>IF(OR(sel_cfg="duplex",sel_cfg="multi",sel_cfg="dosCasas"),0.75*personal_aporteFamiliaMensual,0)</f>
        <v/>
      </c>
      <c r="AY41" s="7">
        <f>AU41-0.75*AT41-AX41+AW41</f>
        <v/>
      </c>
      <c r="AZ41" s="7">
        <f>(D41+G41+H41+0.5*F41)/12</f>
        <v/>
      </c>
      <c r="BA41" s="7">
        <f>IF(AND(AL41=0,A41&gt;=vivienda_anioMinCompra,J41&lt;0.5,AI41&gt;0,AK41&gt;=AV41,AY41&lt;=vivienda_dtiMax*AZ41),1,0)</f>
        <v/>
      </c>
      <c r="BB41" s="7">
        <f>MAX(AL41,BA41)</f>
        <v/>
      </c>
      <c r="BC41" s="7">
        <f>IF(BA41=1,A41,IF(8=0,"",BC40))</f>
        <v/>
      </c>
      <c r="BD41" s="7">
        <f>AK41-IF(BA41=1,AN41*AP41+AN41*vivienda_cierrePct,0)</f>
        <v/>
      </c>
      <c r="BE41" s="7">
        <f>IF(BA41=1,AN41,IF(8=0,0,BE40))</f>
        <v/>
      </c>
      <c r="BF41" s="7">
        <f>IF(BA41=1,AR41,IF(8=0,0,BF40))</f>
        <v/>
      </c>
      <c r="BG41" s="7">
        <f>IF(BA41=1,IF(AND(AO41=0,AP41&lt;0.2),1,0),IF(8=0,0,BY40))</f>
        <v/>
      </c>
      <c r="BH41" s="7">
        <f>IF(sel_cfg="casaAdu",1,0)</f>
        <v/>
      </c>
      <c r="BI41" s="7">
        <f>IF(AND(BB41=1,BH41=1,IF(8=0,0,BJ40)=0,A41&gt;=IF(BC41="",9999,BC41)+vivienda_aduRetrasoAnios),1,0)</f>
        <v/>
      </c>
      <c r="BJ41" s="7">
        <f>MAX(IF(8=0,0,BJ40),BI41)</f>
        <v/>
      </c>
      <c r="BK41" s="7">
        <f>IF(BI41=1,PMT((g_mortRate+0.005)/12,180,-loc_precio_aduCosto*C41),IF(8=0,0,BK40))</f>
        <v/>
      </c>
      <c r="BL41" s="7">
        <f>IF(BA41=1,AN41,IF(8=0,0,DT40))+IF(BI41=1,loc_precio_aduCosto*C41,0)</f>
        <v/>
      </c>
      <c r="BM41" s="7">
        <f>IF(BA41=1,AQ41,IF(8=0,0,DU40))</f>
        <v/>
      </c>
      <c r="BN41" s="7">
        <f>IF(BM41&lt;=0,0,FV(g_mortRate/12,12,BF41,-BM41))</f>
        <v/>
      </c>
      <c r="BO41" s="7">
        <f>IF(BM41&lt;=0,0,12*BF41+MIN(0,BN41))</f>
        <v/>
      </c>
      <c r="BP41" s="7">
        <f>MAX(0,BN41)</f>
        <v/>
      </c>
      <c r="BQ41" s="7">
        <f>IF(BI41=1,loc_precio_aduCosto*C41,IF(8=0,0,DV40))</f>
        <v/>
      </c>
      <c r="BR41" s="7">
        <f>IF(BQ41&lt;=0,0,FV((g_mortRate+0.005)/12,12,BK41,-BQ41))</f>
        <v/>
      </c>
      <c r="BS41" s="7">
        <f>IF(BQ41&lt;=0,0,12*BK41+MIN(0,BR41))</f>
        <v/>
      </c>
      <c r="BT41" s="7">
        <f>MAX(0,BR41)</f>
        <v/>
      </c>
      <c r="BU41" s="7">
        <f>IF(BB41=1,AM41*loc_seguroPct*(1+vivienda_inflacionSeguro)^(A41-2026)*IF(BJ41=1,1+loc_precio_aduCosto/AM41,1),0)</f>
        <v/>
      </c>
      <c r="BV41" s="7">
        <f>BL41*loc_impuestoPropPct</f>
        <v/>
      </c>
      <c r="BW41" s="7">
        <f>BL41*vivienda_mantenimientoPct</f>
        <v/>
      </c>
      <c r="BX41" s="7">
        <f>IF(AND(BG41=1,BP41&gt;0.8*BE41),BE41*(1-vivienda_enganchePct)*vivienda_pmiTasa,0)</f>
        <v/>
      </c>
      <c r="BY41" s="7">
        <f>IF(AND(BG41=1,BP41&gt;0.8*BE41),1,0)</f>
        <v/>
      </c>
      <c r="BZ41" s="7">
        <f>IF(BB41=1,AS41*loc_rentaUnidad*12*C41*(1-vivienda_vacancia)*(1-vivienda_gestionPct),0)</f>
        <v/>
      </c>
      <c r="CA41" s="7">
        <f>IF(BB41=1,BO41+BS41+BU41+BV41+BW41+BX41,loc_rentaMensual*12*C41)</f>
        <v/>
      </c>
      <c r="CB41" s="7">
        <f>IF(BB41=1,personal_aporteFamiliaMensual*12,0)</f>
        <v/>
      </c>
      <c r="CC41" s="7">
        <f>MIN(IF(8=0,personal_irsSaldo,CD40),personal_irsPagoMensual*12)</f>
        <v/>
      </c>
      <c r="CD41" s="7">
        <f>IF(8=0,personal_irsSaldo,CD40)-CC41</f>
        <v/>
      </c>
      <c r="CE41" s="7">
        <f>IF(8=0,IF(personal_deudaEsFederal=1,personal_deudaEstudiantil,0),DW40)</f>
        <v/>
      </c>
      <c r="CF41" s="7">
        <f>IF(8=0,personal_tasaDeudaEstudiantil,DX40)</f>
        <v/>
      </c>
      <c r="CG41" s="7">
        <f>IF(8=0,0,DY40)</f>
        <v/>
      </c>
      <c r="CH41" s="7">
        <f>IF(J41&gt;=0.5,1,0)</f>
        <v/>
      </c>
      <c r="CI41" s="7">
        <f>IF(AND(CH41=0,prestamos_pslfActivo=1,K41&gt;=0.5,CE41&gt;0),1,0)</f>
        <v/>
      </c>
      <c r="CJ41" s="7">
        <f>CE41*CF41</f>
        <v/>
      </c>
      <c r="CK41" s="7">
        <f>MAX(prestamos_rapPagoMinimoAnual,IF(Y41&lt;10000,0,MIN(0.1,INT(Y41/10000)/100))*Y41)</f>
        <v/>
      </c>
      <c r="CL41" s="7">
        <f>IF(CE41&lt;=0,0,IF(CH41=1,0,IF(CI41=1,MIN(CE41+CJ41,CK41),PMT(CF41,MAX(1,prestamos_plazoAnios-CG41),-CE41))))</f>
        <v/>
      </c>
      <c r="CM41" s="7">
        <f>IF(CE41&lt;=0,0,IF(CH41=1,CE41+CJ41,IF(CI41=1,MAX(0,CE41-MAX(CL41-CJ41,MIN(600,CL41))),MAX(0,CE41*(1+CF41)-CL41))))</f>
        <v/>
      </c>
      <c r="CN41" s="7">
        <f>IF(8=0,0,CN40)+IF(CI41=1,12*MIN(1,K41),0)</f>
        <v/>
      </c>
      <c r="CO41" s="7">
        <f>IF(AND(CI41=1,CN41&gt;=prestamos_pslfPagos,CM41&gt;0),CM41,0)</f>
        <v/>
      </c>
      <c r="CP41" s="7">
        <f>CM41-CO41</f>
        <v/>
      </c>
      <c r="CQ41" s="7">
        <f>IF(AND(CE41&gt;0,CH41=0,CI41=0),CG41+1,CG41)</f>
        <v/>
      </c>
      <c r="CR41" s="7">
        <f>IF(8=0,IF(personal_deudaEsFederal=1,0,personal_deudaEstudiantil),EA40)</f>
        <v/>
      </c>
      <c r="CS41" s="7">
        <f>IF(8=0,IF(personal_deudaEsFederal=1,prestamos_tasaPrivada,personal_tasaDeudaEstudiantil),EB40)</f>
        <v/>
      </c>
      <c r="CT41" s="7">
        <f>IF(8=0,0,EC40)</f>
        <v/>
      </c>
      <c r="CU41" s="7">
        <f>IF(OR(CR41&lt;=0,CH41=1),0,PMT(CS41,MAX(1,prestamos_plazoAnios-CT41),-CR41))</f>
        <v/>
      </c>
      <c r="CV41" s="7">
        <f>IF(CR41&lt;=0,0,IF(CH41=1,CR41*(1+CS41),MAX(0,CR41*(1+CS41)-CU41)))</f>
        <v/>
      </c>
      <c r="CW41" s="7">
        <f>IF(AND(CR41&gt;0,CH41=0),CT41+1,CT41)</f>
        <v/>
      </c>
      <c r="CX41" s="7">
        <f>IF(8=0,0,ED40)*(1+general_tasaDeudaConsumo)</f>
        <v/>
      </c>
      <c r="CY41" s="7">
        <f>L41*12*tiempos_travelGastoExtraMes*C41</f>
        <v/>
      </c>
      <c r="CZ41" s="7">
        <f>AJ41+CY41+CA41+CC41+CL41+CU41+I41+N41-BZ41-CB41</f>
        <v/>
      </c>
      <c r="DA41" s="7">
        <f>AH41-CZ41</f>
        <v/>
      </c>
      <c r="DB41" s="7">
        <f>IF(8=0,0,DB40)+DA41</f>
        <v/>
      </c>
      <c r="DC41" s="7">
        <f>AN41*vivienda_enganchePct+AN41*vivienda_cierrePct+general_reservaMeses/12*AJ41</f>
        <v/>
      </c>
      <c r="DD41" s="7">
        <f>IF(BB41=1,g_ret,IF(BD41&gt;0,MIN(1,DC41/BD41),1)*g_cash+(1-IF(BD41&gt;0,MIN(1,DC41/BD41),1))*g_ret)</f>
        <v/>
      </c>
      <c r="DE41" s="7">
        <f>IF(DA41&gt;=0,MIN(CX41,DA41),0)</f>
        <v/>
      </c>
      <c r="DF41" s="7">
        <f>IF(DA41&gt;=0,(1-general_tasaAhorro)*(DA41-DE41),0)</f>
        <v/>
      </c>
      <c r="DG41" s="7">
        <f>IF(DA41&gt;=0,DA41-DE41-DF41,0)</f>
        <v/>
      </c>
      <c r="DH41" s="7">
        <f>MIN(personal_rothAnual,DG41)</f>
        <v/>
      </c>
      <c r="DI41" s="7">
        <f>IF(AND(DA41&gt;=0,BB41=1,BP41+BT41&gt;0),MIN(vivienda_prepagoPct*(DG41-DH41),BP41+BT41),0)</f>
        <v/>
      </c>
      <c r="DJ41" s="7">
        <f>MIN(DI41,BP41)</f>
        <v/>
      </c>
      <c r="DK41" s="7">
        <f>IF(DA41&lt;0,MIN(MAX(0,BD41),-DA41),0)</f>
        <v/>
      </c>
      <c r="DL41" s="7">
        <f>IF(DA41&lt;0,-DA41-DK41,0)</f>
        <v/>
      </c>
      <c r="DM41" s="7">
        <f>IF(8=0,0,DZ40)</f>
        <v/>
      </c>
      <c r="DN41" s="7">
        <f>IF(AND(DL41&gt;0,J41&gt;0),MIN(DL41,MIN(prestamos_topeAnualPosgrado*MIN(1,J41),MAX(0,prestamos_topeTotalPosgrado-DM41))),0)</f>
        <v/>
      </c>
      <c r="DO41" s="7">
        <f>IF(AND(DL41&gt;0,J41&gt;0),DL41-DN41,0)</f>
        <v/>
      </c>
      <c r="DP41" s="7">
        <f>IF(AND(DL41&gt;0,J41&lt;=0),DL41,0)</f>
        <v/>
      </c>
      <c r="DQ41" s="7">
        <f>IF(DA41&gt;=0,DG41-DH41-DI41,-DK41)</f>
        <v/>
      </c>
      <c r="DR41" s="7">
        <f>BD41*(1+DD41)+DQ41*(1+DD41/2)</f>
        <v/>
      </c>
      <c r="DS41" s="7">
        <f>IF(8=0,personal_retiroInicial,DS40)*(1+g_ret)+(O41+P41+DH41)*(1+g_ret/2)</f>
        <v/>
      </c>
      <c r="DT41" s="7">
        <f>IF(BB41=1,BL41*(1+g_appr),0)</f>
        <v/>
      </c>
      <c r="DU41" s="7">
        <f>BP41-DJ41</f>
        <v/>
      </c>
      <c r="DV41" s="7">
        <f>BT41-(DI41-DJ41)</f>
        <v/>
      </c>
      <c r="DW41" s="7">
        <f>CP41+DN41</f>
        <v/>
      </c>
      <c r="DX41" s="7">
        <f>IF(DN41&gt;0,(CP41*CF41+DN41*prestamos_tasaFederalPosgrado)/(CP41+DN41),CF41)</f>
        <v/>
      </c>
      <c r="DY41" s="7">
        <f>IF(DN41&gt;0,0,CQ41)</f>
        <v/>
      </c>
      <c r="DZ41" s="7">
        <f>DM41+DN41</f>
        <v/>
      </c>
      <c r="EA41" s="7">
        <f>CV41+DO41</f>
        <v/>
      </c>
      <c r="EB41" s="7">
        <f>IF(DO41&gt;0,(CV41*CS41+DO41*prestamos_tasaPrivada)/(CV41+DO41),CS41)</f>
        <v/>
      </c>
      <c r="EC41" s="7">
        <f>IF(DO41&gt;0,0,CW41)</f>
        <v/>
      </c>
      <c r="ED41" s="7">
        <f>CX41-DE41+DP41</f>
        <v/>
      </c>
      <c r="EE41" s="7">
        <f>IF(IF(8=0,"",EE40)&lt;&gt;"",EE40,IF(AND(BB41=1,DU41&lt;=0.5,DV41&lt;=0.5,OR(BH41=0,BJ41=1)),A41,""))</f>
        <v/>
      </c>
      <c r="EF41" s="7">
        <f>DU41+DV41+DW41+EA41+ED41+CD41</f>
        <v/>
      </c>
      <c r="EG41" s="7">
        <f>DR41+DS41+DT41-EF41</f>
        <v/>
      </c>
      <c r="EH41" s="7">
        <f>EG41/(1+g_inf)^(A41+1-2026)</f>
        <v/>
      </c>
    </row>
    <row r="42">
      <c r="A42" t="n">
        <v>2036</v>
      </c>
      <c r="B42" t="n">
        <v>9</v>
      </c>
      <c r="C42" s="7">
        <f>(1+g_inf)^(A42-2026)</f>
        <v/>
      </c>
      <c r="D42" s="7">
        <f>SUMPRODUCT($AC$5:$AC$29,$E$5:$E$29*(1+$F$5:$F$29)^(A42-2026)*$G$5:$G$29*$H$5:$H$29*(1-$N$5:$N$29*$O$5:$O$29))*g_salMult+SUMPRODUCT(($B$5:$B$29&gt;=A42)*($B$5:$B$29&lt;A42+1)*$I$5:$I$29)*g_salMult</f>
        <v/>
      </c>
      <c r="E42" s="7">
        <f>SUMPRODUCT($AC$5:$AC$29,$E$5:$E$29*(1+$F$5:$F$29)^(A42-2026)*$G$5:$G$29*$H$5:$H$29*$M$5:$M$29)*g_salMult</f>
        <v/>
      </c>
      <c r="F42" s="7">
        <f>SUMPRODUCT($AC$5:$AC$29,$E$5:$E$29*(1+$F$5:$F$29)^(A42-2026)*$G$5:$G$29*$H$5:$H$29*$N$5:$N$29*$O$5:$O$29)*g_salMult</f>
        <v/>
      </c>
      <c r="G42" s="7">
        <f>SUMPRODUCT($AC$5:$AC$29,$P$5:$P$29*(1+$F$5:$F$29)^(A42-2026))</f>
        <v/>
      </c>
      <c r="H42" s="7">
        <f>SUMPRODUCT($AC$5:$AC$29,$Q$5:$Q$29*(1+$F$5:$F$29)^(A42-2026))+IF(personal_llcActivo=1,personal_llcNeto*(1+personal_llcCrecimiento)^9,0)</f>
        <v/>
      </c>
      <c r="I42" s="7">
        <f>SUMPRODUCT($AC$5:$AC$29,$J$5:$J$29/($C$5:$C$29-$B$5:$B$29+($C$5:$C$29=$B$5:$B$29)))*C42</f>
        <v/>
      </c>
      <c r="J42" s="7">
        <f>SUMPRODUCT($AC$5:$AC$29,$K$5:$K$29)</f>
        <v/>
      </c>
      <c r="K42" s="7">
        <f>SUMPRODUCT($AC$5:$AC$29,$L$5:$L$29)</f>
        <v/>
      </c>
      <c r="L42" s="7">
        <f>SUMPRODUCT($AC$5:$AC$29,$N$5:$N$29)</f>
        <v/>
      </c>
      <c r="M42" s="7">
        <f>IF(SUMPRODUCT($AC$5:$AC$29,$R$5:$R$29)&gt;0,1,0)</f>
        <v/>
      </c>
      <c r="N42" s="7">
        <f>SUMPRODUCT(($AO$5:$AO$24&gt;=A42)*($AO$5:$AO$24&lt;A42+1)*$AP$5:$AP$24)*C42+IF(9=0,IF(sel_loc&lt;&gt;"miami",personal_costoMudanzaInicial,0),0)</f>
        <v/>
      </c>
      <c r="O42" s="7">
        <f>MIN(personal_aporte403bPct*D42,retiro_limite403b*C42)</f>
        <v/>
      </c>
      <c r="P42" s="7">
        <f>MIN(personal_aporte403bPct,personal_match403bPct)*E42</f>
        <v/>
      </c>
      <c r="Q42" s="7">
        <f>IF(G42&gt;0,MAX(0,G42-impuestos_scorpCostoAnual*C42),0)</f>
        <v/>
      </c>
      <c r="R42" s="7">
        <f>Q42*impuestos_scorpSalarioPct/(1+impuestos_ssTasa+impuestos_medicareTasa)</f>
        <v/>
      </c>
      <c r="S42" s="7">
        <f>impuestos_ssTasa*MIN(R42,MAX(0,impuestos_ssTope*C42-D42))+impuestos_medicareTasa*R42</f>
        <v/>
      </c>
      <c r="T42" s="7">
        <f>Q42-R42-S42</f>
        <v/>
      </c>
      <c r="U42" s="7">
        <f>D42+R42</f>
        <v/>
      </c>
      <c r="V42" s="7">
        <f>H42*0.9235</f>
        <v/>
      </c>
      <c r="W42" s="7">
        <f>IF(H42&gt;0,2*impuestos_ssTasa*MIN(V42,MAX(0,impuestos_ssTope*C42-U42))+2*impuestos_medicareTasa*V42,0)</f>
        <v/>
      </c>
      <c r="X42" s="7">
        <f>impuestos_ssTasa*MIN(U42,impuestos_ssTope*C42)+impuestos_medicareTasa*U42+impuestos_medicareAdicional*MAX(0,U42+H42*0.9235-impuestos_medicareUmbral)</f>
        <v/>
      </c>
      <c r="Y42" s="7">
        <f>MAX(0,D42-O42+R42+T42+H42-W42/2)</f>
        <v/>
      </c>
      <c r="Z42" s="7">
        <f>MAX(0,Y42-impuestos_deduccionEstandar*C42)</f>
        <v/>
      </c>
      <c r="AA42" s="7">
        <f>MIN(0.2*MAX(0,T42+H42-W42/2)*MAX(0,MIN(1,1-(Z42-impuestos_qbiUmbral*C42)/(impuestos_qbiRango*C42))),0.2*Z42)</f>
        <v/>
      </c>
      <c r="AB42" s="7">
        <f>MAX(0,Z42-AA42)</f>
        <v/>
      </c>
      <c r="AC42" s="7">
        <f>SUMPRODUCT((AB42&gt;tb_federalBrackets_lo*C42)*(AB42-tb_federalBrackets_lo*C42)*tb_federalBrackets_dr)</f>
        <v/>
      </c>
      <c r="AD42" s="7">
        <f>MAX(0,Y42-impuestos_nyDeduccion*C42)</f>
        <v/>
      </c>
      <c r="AE42" s="7">
        <f>CHOOSE(loc_taxcode,0,impuestos_ohTasa*MAX(0,Y42-impuestos_ohExento*C42)+impuestos_ohMunicipal*U42,SUMPRODUCT((AD42&gt;tb_nyBrackets_lo*C42)*(AD42-tb_nyBrackets_lo*C42)*tb_nyBrackets_dr)+loc_nyc*SUMPRODUCT((AD42&gt;tb_nycBrackets_lo*C42)*(AD42-tb_nycBrackets_lo*C42)*tb_nycBrackets_dr))</f>
        <v/>
      </c>
      <c r="AF42" s="7">
        <f>AC42+AE42+X42+W42</f>
        <v/>
      </c>
      <c r="AG42" s="7">
        <f>D42+F42+R42+T42+H42</f>
        <v/>
      </c>
      <c r="AH42" s="7">
        <f>AG42-AF42-O42</f>
        <v/>
      </c>
      <c r="AI42" s="7">
        <f>D42+F42+G42+H42</f>
        <v/>
      </c>
      <c r="AJ42" s="7">
        <f>loc_gastosVida*C42*g_gastos</f>
        <v/>
      </c>
      <c r="AK42" s="7">
        <f>IF(9=0,personal_liquidoInicial,DR41)</f>
        <v/>
      </c>
      <c r="AL42" s="7">
        <f>IF(9=0,0,BB41)</f>
        <v/>
      </c>
      <c r="AM42" s="7">
        <f>CHOOSE(sel_cfgIdx,loc_precio_duplex,loc_precio_inlaw,loc_precio_dosCasas,loc_precio_casaAdu,loc_precio_multi)</f>
        <v/>
      </c>
      <c r="AN42" s="7">
        <f>AM42*(1+g_appr)^(A42-2026)</f>
        <v/>
      </c>
      <c r="AO42" s="7">
        <f>IF(AND(M42=1,vivienda_prestamoMedico=1),1,0)</f>
        <v/>
      </c>
      <c r="AP42" s="7">
        <f>IF(AO42=1,0.05,vivienda_enganchePct)</f>
        <v/>
      </c>
      <c r="AQ42" s="7">
        <f>AN42*(1-AP42)</f>
        <v/>
      </c>
      <c r="AR42" s="7">
        <f>PMT(g_mortRate/12,vivienda_plazoHipoteca*12,-AQ42)</f>
        <v/>
      </c>
      <c r="AS42" s="7">
        <f>INDEX(cfg_units,sel_cfgIdx)</f>
        <v/>
      </c>
      <c r="AT42" s="7">
        <f>AS42*loc_rentaUnidad*(1+g_inf)^(A42-2026)*(1-vivienda_vacancia)</f>
        <v/>
      </c>
      <c r="AU42" s="7">
        <f>AR42+AN42*loc_impuestoPropPct/12+AM42*loc_seguroPct*(1+vivienda_inflacionSeguro)^(A42-2026)/12+IF(AND(AO42=0,AP42&lt;0.2),AQ42*vivienda_pmiTasa/12,0)</f>
        <v/>
      </c>
      <c r="AV42" s="7">
        <f>AN42*AP42+AN42*vivienda_cierrePct+general_reservaMeses/12*AJ42</f>
        <v/>
      </c>
      <c r="AW42" s="7">
        <f>(IF(9=0,MIN(personal_irsSaldo,personal_irsPagoMensual*12),MIN(CD41,personal_irsPagoMensual*12))+IF(CE42&gt;0,PMT(CF42,MAX(1,prestamos_plazoAnios-CG42),-CE42),0)+IF(CR42&gt;0,PMT(CS42,MAX(1,prestamos_plazoAnios-CT42),-CR42),0))/12</f>
        <v/>
      </c>
      <c r="AX42" s="7">
        <f>IF(OR(sel_cfg="duplex",sel_cfg="multi",sel_cfg="dosCasas"),0.75*personal_aporteFamiliaMensual,0)</f>
        <v/>
      </c>
      <c r="AY42" s="7">
        <f>AU42-0.75*AT42-AX42+AW42</f>
        <v/>
      </c>
      <c r="AZ42" s="7">
        <f>(D42+G42+H42+0.5*F42)/12</f>
        <v/>
      </c>
      <c r="BA42" s="7">
        <f>IF(AND(AL42=0,A42&gt;=vivienda_anioMinCompra,J42&lt;0.5,AI42&gt;0,AK42&gt;=AV42,AY42&lt;=vivienda_dtiMax*AZ42),1,0)</f>
        <v/>
      </c>
      <c r="BB42" s="7">
        <f>MAX(AL42,BA42)</f>
        <v/>
      </c>
      <c r="BC42" s="7">
        <f>IF(BA42=1,A42,IF(9=0,"",BC41))</f>
        <v/>
      </c>
      <c r="BD42" s="7">
        <f>AK42-IF(BA42=1,AN42*AP42+AN42*vivienda_cierrePct,0)</f>
        <v/>
      </c>
      <c r="BE42" s="7">
        <f>IF(BA42=1,AN42,IF(9=0,0,BE41))</f>
        <v/>
      </c>
      <c r="BF42" s="7">
        <f>IF(BA42=1,AR42,IF(9=0,0,BF41))</f>
        <v/>
      </c>
      <c r="BG42" s="7">
        <f>IF(BA42=1,IF(AND(AO42=0,AP42&lt;0.2),1,0),IF(9=0,0,BY41))</f>
        <v/>
      </c>
      <c r="BH42" s="7">
        <f>IF(sel_cfg="casaAdu",1,0)</f>
        <v/>
      </c>
      <c r="BI42" s="7">
        <f>IF(AND(BB42=1,BH42=1,IF(9=0,0,BJ41)=0,A42&gt;=IF(BC42="",9999,BC42)+vivienda_aduRetrasoAnios),1,0)</f>
        <v/>
      </c>
      <c r="BJ42" s="7">
        <f>MAX(IF(9=0,0,BJ41),BI42)</f>
        <v/>
      </c>
      <c r="BK42" s="7">
        <f>IF(BI42=1,PMT((g_mortRate+0.005)/12,180,-loc_precio_aduCosto*C42),IF(9=0,0,BK41))</f>
        <v/>
      </c>
      <c r="BL42" s="7">
        <f>IF(BA42=1,AN42,IF(9=0,0,DT41))+IF(BI42=1,loc_precio_aduCosto*C42,0)</f>
        <v/>
      </c>
      <c r="BM42" s="7">
        <f>IF(BA42=1,AQ42,IF(9=0,0,DU41))</f>
        <v/>
      </c>
      <c r="BN42" s="7">
        <f>IF(BM42&lt;=0,0,FV(g_mortRate/12,12,BF42,-BM42))</f>
        <v/>
      </c>
      <c r="BO42" s="7">
        <f>IF(BM42&lt;=0,0,12*BF42+MIN(0,BN42))</f>
        <v/>
      </c>
      <c r="BP42" s="7">
        <f>MAX(0,BN42)</f>
        <v/>
      </c>
      <c r="BQ42" s="7">
        <f>IF(BI42=1,loc_precio_aduCosto*C42,IF(9=0,0,DV41))</f>
        <v/>
      </c>
      <c r="BR42" s="7">
        <f>IF(BQ42&lt;=0,0,FV((g_mortRate+0.005)/12,12,BK42,-BQ42))</f>
        <v/>
      </c>
      <c r="BS42" s="7">
        <f>IF(BQ42&lt;=0,0,12*BK42+MIN(0,BR42))</f>
        <v/>
      </c>
      <c r="BT42" s="7">
        <f>MAX(0,BR42)</f>
        <v/>
      </c>
      <c r="BU42" s="7">
        <f>IF(BB42=1,AM42*loc_seguroPct*(1+vivienda_inflacionSeguro)^(A42-2026)*IF(BJ42=1,1+loc_precio_aduCosto/AM42,1),0)</f>
        <v/>
      </c>
      <c r="BV42" s="7">
        <f>BL42*loc_impuestoPropPct</f>
        <v/>
      </c>
      <c r="BW42" s="7">
        <f>BL42*vivienda_mantenimientoPct</f>
        <v/>
      </c>
      <c r="BX42" s="7">
        <f>IF(AND(BG42=1,BP42&gt;0.8*BE42),BE42*(1-vivienda_enganchePct)*vivienda_pmiTasa,0)</f>
        <v/>
      </c>
      <c r="BY42" s="7">
        <f>IF(AND(BG42=1,BP42&gt;0.8*BE42),1,0)</f>
        <v/>
      </c>
      <c r="BZ42" s="7">
        <f>IF(BB42=1,AS42*loc_rentaUnidad*12*C42*(1-vivienda_vacancia)*(1-vivienda_gestionPct),0)</f>
        <v/>
      </c>
      <c r="CA42" s="7">
        <f>IF(BB42=1,BO42+BS42+BU42+BV42+BW42+BX42,loc_rentaMensual*12*C42)</f>
        <v/>
      </c>
      <c r="CB42" s="7">
        <f>IF(BB42=1,personal_aporteFamiliaMensual*12,0)</f>
        <v/>
      </c>
      <c r="CC42" s="7">
        <f>MIN(IF(9=0,personal_irsSaldo,CD41),personal_irsPagoMensual*12)</f>
        <v/>
      </c>
      <c r="CD42" s="7">
        <f>IF(9=0,personal_irsSaldo,CD41)-CC42</f>
        <v/>
      </c>
      <c r="CE42" s="7">
        <f>IF(9=0,IF(personal_deudaEsFederal=1,personal_deudaEstudiantil,0),DW41)</f>
        <v/>
      </c>
      <c r="CF42" s="7">
        <f>IF(9=0,personal_tasaDeudaEstudiantil,DX41)</f>
        <v/>
      </c>
      <c r="CG42" s="7">
        <f>IF(9=0,0,DY41)</f>
        <v/>
      </c>
      <c r="CH42" s="7">
        <f>IF(J42&gt;=0.5,1,0)</f>
        <v/>
      </c>
      <c r="CI42" s="7">
        <f>IF(AND(CH42=0,prestamos_pslfActivo=1,K42&gt;=0.5,CE42&gt;0),1,0)</f>
        <v/>
      </c>
      <c r="CJ42" s="7">
        <f>CE42*CF42</f>
        <v/>
      </c>
      <c r="CK42" s="7">
        <f>MAX(prestamos_rapPagoMinimoAnual,IF(Y42&lt;10000,0,MIN(0.1,INT(Y42/10000)/100))*Y42)</f>
        <v/>
      </c>
      <c r="CL42" s="7">
        <f>IF(CE42&lt;=0,0,IF(CH42=1,0,IF(CI42=1,MIN(CE42+CJ42,CK42),PMT(CF42,MAX(1,prestamos_plazoAnios-CG42),-CE42))))</f>
        <v/>
      </c>
      <c r="CM42" s="7">
        <f>IF(CE42&lt;=0,0,IF(CH42=1,CE42+CJ42,IF(CI42=1,MAX(0,CE42-MAX(CL42-CJ42,MIN(600,CL42))),MAX(0,CE42*(1+CF42)-CL42))))</f>
        <v/>
      </c>
      <c r="CN42" s="7">
        <f>IF(9=0,0,CN41)+IF(CI42=1,12*MIN(1,K42),0)</f>
        <v/>
      </c>
      <c r="CO42" s="7">
        <f>IF(AND(CI42=1,CN42&gt;=prestamos_pslfPagos,CM42&gt;0),CM42,0)</f>
        <v/>
      </c>
      <c r="CP42" s="7">
        <f>CM42-CO42</f>
        <v/>
      </c>
      <c r="CQ42" s="7">
        <f>IF(AND(CE42&gt;0,CH42=0,CI42=0),CG42+1,CG42)</f>
        <v/>
      </c>
      <c r="CR42" s="7">
        <f>IF(9=0,IF(personal_deudaEsFederal=1,0,personal_deudaEstudiantil),EA41)</f>
        <v/>
      </c>
      <c r="CS42" s="7">
        <f>IF(9=0,IF(personal_deudaEsFederal=1,prestamos_tasaPrivada,personal_tasaDeudaEstudiantil),EB41)</f>
        <v/>
      </c>
      <c r="CT42" s="7">
        <f>IF(9=0,0,EC41)</f>
        <v/>
      </c>
      <c r="CU42" s="7">
        <f>IF(OR(CR42&lt;=0,CH42=1),0,PMT(CS42,MAX(1,prestamos_plazoAnios-CT42),-CR42))</f>
        <v/>
      </c>
      <c r="CV42" s="7">
        <f>IF(CR42&lt;=0,0,IF(CH42=1,CR42*(1+CS42),MAX(0,CR42*(1+CS42)-CU42)))</f>
        <v/>
      </c>
      <c r="CW42" s="7">
        <f>IF(AND(CR42&gt;0,CH42=0),CT42+1,CT42)</f>
        <v/>
      </c>
      <c r="CX42" s="7">
        <f>IF(9=0,0,ED41)*(1+general_tasaDeudaConsumo)</f>
        <v/>
      </c>
      <c r="CY42" s="7">
        <f>L42*12*tiempos_travelGastoExtraMes*C42</f>
        <v/>
      </c>
      <c r="CZ42" s="7">
        <f>AJ42+CY42+CA42+CC42+CL42+CU42+I42+N42-BZ42-CB42</f>
        <v/>
      </c>
      <c r="DA42" s="7">
        <f>AH42-CZ42</f>
        <v/>
      </c>
      <c r="DB42" s="7">
        <f>IF(9=0,0,DB41)+DA42</f>
        <v/>
      </c>
      <c r="DC42" s="7">
        <f>AN42*vivienda_enganchePct+AN42*vivienda_cierrePct+general_reservaMeses/12*AJ42</f>
        <v/>
      </c>
      <c r="DD42" s="7">
        <f>IF(BB42=1,g_ret,IF(BD42&gt;0,MIN(1,DC42/BD42),1)*g_cash+(1-IF(BD42&gt;0,MIN(1,DC42/BD42),1))*g_ret)</f>
        <v/>
      </c>
      <c r="DE42" s="7">
        <f>IF(DA42&gt;=0,MIN(CX42,DA42),0)</f>
        <v/>
      </c>
      <c r="DF42" s="7">
        <f>IF(DA42&gt;=0,(1-general_tasaAhorro)*(DA42-DE42),0)</f>
        <v/>
      </c>
      <c r="DG42" s="7">
        <f>IF(DA42&gt;=0,DA42-DE42-DF42,0)</f>
        <v/>
      </c>
      <c r="DH42" s="7">
        <f>MIN(personal_rothAnual,DG42)</f>
        <v/>
      </c>
      <c r="DI42" s="7">
        <f>IF(AND(DA42&gt;=0,BB42=1,BP42+BT42&gt;0),MIN(vivienda_prepagoPct*(DG42-DH42),BP42+BT42),0)</f>
        <v/>
      </c>
      <c r="DJ42" s="7">
        <f>MIN(DI42,BP42)</f>
        <v/>
      </c>
      <c r="DK42" s="7">
        <f>IF(DA42&lt;0,MIN(MAX(0,BD42),-DA42),0)</f>
        <v/>
      </c>
      <c r="DL42" s="7">
        <f>IF(DA42&lt;0,-DA42-DK42,0)</f>
        <v/>
      </c>
      <c r="DM42" s="7">
        <f>IF(9=0,0,DZ41)</f>
        <v/>
      </c>
      <c r="DN42" s="7">
        <f>IF(AND(DL42&gt;0,J42&gt;0),MIN(DL42,MIN(prestamos_topeAnualPosgrado*MIN(1,J42),MAX(0,prestamos_topeTotalPosgrado-DM42))),0)</f>
        <v/>
      </c>
      <c r="DO42" s="7">
        <f>IF(AND(DL42&gt;0,J42&gt;0),DL42-DN42,0)</f>
        <v/>
      </c>
      <c r="DP42" s="7">
        <f>IF(AND(DL42&gt;0,J42&lt;=0),DL42,0)</f>
        <v/>
      </c>
      <c r="DQ42" s="7">
        <f>IF(DA42&gt;=0,DG42-DH42-DI42,-DK42)</f>
        <v/>
      </c>
      <c r="DR42" s="7">
        <f>BD42*(1+DD42)+DQ42*(1+DD42/2)</f>
        <v/>
      </c>
      <c r="DS42" s="7">
        <f>IF(9=0,personal_retiroInicial,DS41)*(1+g_ret)+(O42+P42+DH42)*(1+g_ret/2)</f>
        <v/>
      </c>
      <c r="DT42" s="7">
        <f>IF(BB42=1,BL42*(1+g_appr),0)</f>
        <v/>
      </c>
      <c r="DU42" s="7">
        <f>BP42-DJ42</f>
        <v/>
      </c>
      <c r="DV42" s="7">
        <f>BT42-(DI42-DJ42)</f>
        <v/>
      </c>
      <c r="DW42" s="7">
        <f>CP42+DN42</f>
        <v/>
      </c>
      <c r="DX42" s="7">
        <f>IF(DN42&gt;0,(CP42*CF42+DN42*prestamos_tasaFederalPosgrado)/(CP42+DN42),CF42)</f>
        <v/>
      </c>
      <c r="DY42" s="7">
        <f>IF(DN42&gt;0,0,CQ42)</f>
        <v/>
      </c>
      <c r="DZ42" s="7">
        <f>DM42+DN42</f>
        <v/>
      </c>
      <c r="EA42" s="7">
        <f>CV42+DO42</f>
        <v/>
      </c>
      <c r="EB42" s="7">
        <f>IF(DO42&gt;0,(CV42*CS42+DO42*prestamos_tasaPrivada)/(CV42+DO42),CS42)</f>
        <v/>
      </c>
      <c r="EC42" s="7">
        <f>IF(DO42&gt;0,0,CW42)</f>
        <v/>
      </c>
      <c r="ED42" s="7">
        <f>CX42-DE42+DP42</f>
        <v/>
      </c>
      <c r="EE42" s="7">
        <f>IF(IF(9=0,"",EE41)&lt;&gt;"",EE41,IF(AND(BB42=1,DU42&lt;=0.5,DV42&lt;=0.5,OR(BH42=0,BJ42=1)),A42,""))</f>
        <v/>
      </c>
      <c r="EF42" s="7">
        <f>DU42+DV42+DW42+EA42+ED42+CD42</f>
        <v/>
      </c>
      <c r="EG42" s="7">
        <f>DR42+DS42+DT42-EF42</f>
        <v/>
      </c>
      <c r="EH42" s="7">
        <f>EG42/(1+g_inf)^(A42+1-2026)</f>
        <v/>
      </c>
    </row>
    <row r="43">
      <c r="A43" t="n">
        <v>2037</v>
      </c>
      <c r="B43" t="n">
        <v>10</v>
      </c>
      <c r="C43" s="7">
        <f>(1+g_inf)^(A43-2026)</f>
        <v/>
      </c>
      <c r="D43" s="7">
        <f>SUMPRODUCT($AD$5:$AD$29,$E$5:$E$29*(1+$F$5:$F$29)^(A43-2026)*$G$5:$G$29*$H$5:$H$29*(1-$N$5:$N$29*$O$5:$O$29))*g_salMult+SUMPRODUCT(($B$5:$B$29&gt;=A43)*($B$5:$B$29&lt;A43+1)*$I$5:$I$29)*g_salMult</f>
        <v/>
      </c>
      <c r="E43" s="7">
        <f>SUMPRODUCT($AD$5:$AD$29,$E$5:$E$29*(1+$F$5:$F$29)^(A43-2026)*$G$5:$G$29*$H$5:$H$29*$M$5:$M$29)*g_salMult</f>
        <v/>
      </c>
      <c r="F43" s="7">
        <f>SUMPRODUCT($AD$5:$AD$29,$E$5:$E$29*(1+$F$5:$F$29)^(A43-2026)*$G$5:$G$29*$H$5:$H$29*$N$5:$N$29*$O$5:$O$29)*g_salMult</f>
        <v/>
      </c>
      <c r="G43" s="7">
        <f>SUMPRODUCT($AD$5:$AD$29,$P$5:$P$29*(1+$F$5:$F$29)^(A43-2026))</f>
        <v/>
      </c>
      <c r="H43" s="7">
        <f>SUMPRODUCT($AD$5:$AD$29,$Q$5:$Q$29*(1+$F$5:$F$29)^(A43-2026))+IF(personal_llcActivo=1,personal_llcNeto*(1+personal_llcCrecimiento)^10,0)</f>
        <v/>
      </c>
      <c r="I43" s="7">
        <f>SUMPRODUCT($AD$5:$AD$29,$J$5:$J$29/($C$5:$C$29-$B$5:$B$29+($C$5:$C$29=$B$5:$B$29)))*C43</f>
        <v/>
      </c>
      <c r="J43" s="7">
        <f>SUMPRODUCT($AD$5:$AD$29,$K$5:$K$29)</f>
        <v/>
      </c>
      <c r="K43" s="7">
        <f>SUMPRODUCT($AD$5:$AD$29,$L$5:$L$29)</f>
        <v/>
      </c>
      <c r="L43" s="7">
        <f>SUMPRODUCT($AD$5:$AD$29,$N$5:$N$29)</f>
        <v/>
      </c>
      <c r="M43" s="7">
        <f>IF(SUMPRODUCT($AD$5:$AD$29,$R$5:$R$29)&gt;0,1,0)</f>
        <v/>
      </c>
      <c r="N43" s="7">
        <f>SUMPRODUCT(($AO$5:$AO$24&gt;=A43)*($AO$5:$AO$24&lt;A43+1)*$AP$5:$AP$24)*C43+IF(10=0,IF(sel_loc&lt;&gt;"miami",personal_costoMudanzaInicial,0),0)</f>
        <v/>
      </c>
      <c r="O43" s="7">
        <f>MIN(personal_aporte403bPct*D43,retiro_limite403b*C43)</f>
        <v/>
      </c>
      <c r="P43" s="7">
        <f>MIN(personal_aporte403bPct,personal_match403bPct)*E43</f>
        <v/>
      </c>
      <c r="Q43" s="7">
        <f>IF(G43&gt;0,MAX(0,G43-impuestos_scorpCostoAnual*C43),0)</f>
        <v/>
      </c>
      <c r="R43" s="7">
        <f>Q43*impuestos_scorpSalarioPct/(1+impuestos_ssTasa+impuestos_medicareTasa)</f>
        <v/>
      </c>
      <c r="S43" s="7">
        <f>impuestos_ssTasa*MIN(R43,MAX(0,impuestos_ssTope*C43-D43))+impuestos_medicareTasa*R43</f>
        <v/>
      </c>
      <c r="T43" s="7">
        <f>Q43-R43-S43</f>
        <v/>
      </c>
      <c r="U43" s="7">
        <f>D43+R43</f>
        <v/>
      </c>
      <c r="V43" s="7">
        <f>H43*0.9235</f>
        <v/>
      </c>
      <c r="W43" s="7">
        <f>IF(H43&gt;0,2*impuestos_ssTasa*MIN(V43,MAX(0,impuestos_ssTope*C43-U43))+2*impuestos_medicareTasa*V43,0)</f>
        <v/>
      </c>
      <c r="X43" s="7">
        <f>impuestos_ssTasa*MIN(U43,impuestos_ssTope*C43)+impuestos_medicareTasa*U43+impuestos_medicareAdicional*MAX(0,U43+H43*0.9235-impuestos_medicareUmbral)</f>
        <v/>
      </c>
      <c r="Y43" s="7">
        <f>MAX(0,D43-O43+R43+T43+H43-W43/2)</f>
        <v/>
      </c>
      <c r="Z43" s="7">
        <f>MAX(0,Y43-impuestos_deduccionEstandar*C43)</f>
        <v/>
      </c>
      <c r="AA43" s="7">
        <f>MIN(0.2*MAX(0,T43+H43-W43/2)*MAX(0,MIN(1,1-(Z43-impuestos_qbiUmbral*C43)/(impuestos_qbiRango*C43))),0.2*Z43)</f>
        <v/>
      </c>
      <c r="AB43" s="7">
        <f>MAX(0,Z43-AA43)</f>
        <v/>
      </c>
      <c r="AC43" s="7">
        <f>SUMPRODUCT((AB43&gt;tb_federalBrackets_lo*C43)*(AB43-tb_federalBrackets_lo*C43)*tb_federalBrackets_dr)</f>
        <v/>
      </c>
      <c r="AD43" s="7">
        <f>MAX(0,Y43-impuestos_nyDeduccion*C43)</f>
        <v/>
      </c>
      <c r="AE43" s="7">
        <f>CHOOSE(loc_taxcode,0,impuestos_ohTasa*MAX(0,Y43-impuestos_ohExento*C43)+impuestos_ohMunicipal*U43,SUMPRODUCT((AD43&gt;tb_nyBrackets_lo*C43)*(AD43-tb_nyBrackets_lo*C43)*tb_nyBrackets_dr)+loc_nyc*SUMPRODUCT((AD43&gt;tb_nycBrackets_lo*C43)*(AD43-tb_nycBrackets_lo*C43)*tb_nycBrackets_dr))</f>
        <v/>
      </c>
      <c r="AF43" s="7">
        <f>AC43+AE43+X43+W43</f>
        <v/>
      </c>
      <c r="AG43" s="7">
        <f>D43+F43+R43+T43+H43</f>
        <v/>
      </c>
      <c r="AH43" s="7">
        <f>AG43-AF43-O43</f>
        <v/>
      </c>
      <c r="AI43" s="7">
        <f>D43+F43+G43+H43</f>
        <v/>
      </c>
      <c r="AJ43" s="7">
        <f>loc_gastosVida*C43*g_gastos</f>
        <v/>
      </c>
      <c r="AK43" s="7">
        <f>IF(10=0,personal_liquidoInicial,DR42)</f>
        <v/>
      </c>
      <c r="AL43" s="7">
        <f>IF(10=0,0,BB42)</f>
        <v/>
      </c>
      <c r="AM43" s="7">
        <f>CHOOSE(sel_cfgIdx,loc_precio_duplex,loc_precio_inlaw,loc_precio_dosCasas,loc_precio_casaAdu,loc_precio_multi)</f>
        <v/>
      </c>
      <c r="AN43" s="7">
        <f>AM43*(1+g_appr)^(A43-2026)</f>
        <v/>
      </c>
      <c r="AO43" s="7">
        <f>IF(AND(M43=1,vivienda_prestamoMedico=1),1,0)</f>
        <v/>
      </c>
      <c r="AP43" s="7">
        <f>IF(AO43=1,0.05,vivienda_enganchePct)</f>
        <v/>
      </c>
      <c r="AQ43" s="7">
        <f>AN43*(1-AP43)</f>
        <v/>
      </c>
      <c r="AR43" s="7">
        <f>PMT(g_mortRate/12,vivienda_plazoHipoteca*12,-AQ43)</f>
        <v/>
      </c>
      <c r="AS43" s="7">
        <f>INDEX(cfg_units,sel_cfgIdx)</f>
        <v/>
      </c>
      <c r="AT43" s="7">
        <f>AS43*loc_rentaUnidad*(1+g_inf)^(A43-2026)*(1-vivienda_vacancia)</f>
        <v/>
      </c>
      <c r="AU43" s="7">
        <f>AR43+AN43*loc_impuestoPropPct/12+AM43*loc_seguroPct*(1+vivienda_inflacionSeguro)^(A43-2026)/12+IF(AND(AO43=0,AP43&lt;0.2),AQ43*vivienda_pmiTasa/12,0)</f>
        <v/>
      </c>
      <c r="AV43" s="7">
        <f>AN43*AP43+AN43*vivienda_cierrePct+general_reservaMeses/12*AJ43</f>
        <v/>
      </c>
      <c r="AW43" s="7">
        <f>(IF(10=0,MIN(personal_irsSaldo,personal_irsPagoMensual*12),MIN(CD42,personal_irsPagoMensual*12))+IF(CE43&gt;0,PMT(CF43,MAX(1,prestamos_plazoAnios-CG43),-CE43),0)+IF(CR43&gt;0,PMT(CS43,MAX(1,prestamos_plazoAnios-CT43),-CR43),0))/12</f>
        <v/>
      </c>
      <c r="AX43" s="7">
        <f>IF(OR(sel_cfg="duplex",sel_cfg="multi",sel_cfg="dosCasas"),0.75*personal_aporteFamiliaMensual,0)</f>
        <v/>
      </c>
      <c r="AY43" s="7">
        <f>AU43-0.75*AT43-AX43+AW43</f>
        <v/>
      </c>
      <c r="AZ43" s="7">
        <f>(D43+G43+H43+0.5*F43)/12</f>
        <v/>
      </c>
      <c r="BA43" s="7">
        <f>IF(AND(AL43=0,A43&gt;=vivienda_anioMinCompra,J43&lt;0.5,AI43&gt;0,AK43&gt;=AV43,AY43&lt;=vivienda_dtiMax*AZ43),1,0)</f>
        <v/>
      </c>
      <c r="BB43" s="7">
        <f>MAX(AL43,BA43)</f>
        <v/>
      </c>
      <c r="BC43" s="7">
        <f>IF(BA43=1,A43,IF(10=0,"",BC42))</f>
        <v/>
      </c>
      <c r="BD43" s="7">
        <f>AK43-IF(BA43=1,AN43*AP43+AN43*vivienda_cierrePct,0)</f>
        <v/>
      </c>
      <c r="BE43" s="7">
        <f>IF(BA43=1,AN43,IF(10=0,0,BE42))</f>
        <v/>
      </c>
      <c r="BF43" s="7">
        <f>IF(BA43=1,AR43,IF(10=0,0,BF42))</f>
        <v/>
      </c>
      <c r="BG43" s="7">
        <f>IF(BA43=1,IF(AND(AO43=0,AP43&lt;0.2),1,0),IF(10=0,0,BY42))</f>
        <v/>
      </c>
      <c r="BH43" s="7">
        <f>IF(sel_cfg="casaAdu",1,0)</f>
        <v/>
      </c>
      <c r="BI43" s="7">
        <f>IF(AND(BB43=1,BH43=1,IF(10=0,0,BJ42)=0,A43&gt;=IF(BC43="",9999,BC43)+vivienda_aduRetrasoAnios),1,0)</f>
        <v/>
      </c>
      <c r="BJ43" s="7">
        <f>MAX(IF(10=0,0,BJ42),BI43)</f>
        <v/>
      </c>
      <c r="BK43" s="7">
        <f>IF(BI43=1,PMT((g_mortRate+0.005)/12,180,-loc_precio_aduCosto*C43),IF(10=0,0,BK42))</f>
        <v/>
      </c>
      <c r="BL43" s="7">
        <f>IF(BA43=1,AN43,IF(10=0,0,DT42))+IF(BI43=1,loc_precio_aduCosto*C43,0)</f>
        <v/>
      </c>
      <c r="BM43" s="7">
        <f>IF(BA43=1,AQ43,IF(10=0,0,DU42))</f>
        <v/>
      </c>
      <c r="BN43" s="7">
        <f>IF(BM43&lt;=0,0,FV(g_mortRate/12,12,BF43,-BM43))</f>
        <v/>
      </c>
      <c r="BO43" s="7">
        <f>IF(BM43&lt;=0,0,12*BF43+MIN(0,BN43))</f>
        <v/>
      </c>
      <c r="BP43" s="7">
        <f>MAX(0,BN43)</f>
        <v/>
      </c>
      <c r="BQ43" s="7">
        <f>IF(BI43=1,loc_precio_aduCosto*C43,IF(10=0,0,DV42))</f>
        <v/>
      </c>
      <c r="BR43" s="7">
        <f>IF(BQ43&lt;=0,0,FV((g_mortRate+0.005)/12,12,BK43,-BQ43))</f>
        <v/>
      </c>
      <c r="BS43" s="7">
        <f>IF(BQ43&lt;=0,0,12*BK43+MIN(0,BR43))</f>
        <v/>
      </c>
      <c r="BT43" s="7">
        <f>MAX(0,BR43)</f>
        <v/>
      </c>
      <c r="BU43" s="7">
        <f>IF(BB43=1,AM43*loc_seguroPct*(1+vivienda_inflacionSeguro)^(A43-2026)*IF(BJ43=1,1+loc_precio_aduCosto/AM43,1),0)</f>
        <v/>
      </c>
      <c r="BV43" s="7">
        <f>BL43*loc_impuestoPropPct</f>
        <v/>
      </c>
      <c r="BW43" s="7">
        <f>BL43*vivienda_mantenimientoPct</f>
        <v/>
      </c>
      <c r="BX43" s="7">
        <f>IF(AND(BG43=1,BP43&gt;0.8*BE43),BE43*(1-vivienda_enganchePct)*vivienda_pmiTasa,0)</f>
        <v/>
      </c>
      <c r="BY43" s="7">
        <f>IF(AND(BG43=1,BP43&gt;0.8*BE43),1,0)</f>
        <v/>
      </c>
      <c r="BZ43" s="7">
        <f>IF(BB43=1,AS43*loc_rentaUnidad*12*C43*(1-vivienda_vacancia)*(1-vivienda_gestionPct),0)</f>
        <v/>
      </c>
      <c r="CA43" s="7">
        <f>IF(BB43=1,BO43+BS43+BU43+BV43+BW43+BX43,loc_rentaMensual*12*C43)</f>
        <v/>
      </c>
      <c r="CB43" s="7">
        <f>IF(BB43=1,personal_aporteFamiliaMensual*12,0)</f>
        <v/>
      </c>
      <c r="CC43" s="7">
        <f>MIN(IF(10=0,personal_irsSaldo,CD42),personal_irsPagoMensual*12)</f>
        <v/>
      </c>
      <c r="CD43" s="7">
        <f>IF(10=0,personal_irsSaldo,CD42)-CC43</f>
        <v/>
      </c>
      <c r="CE43" s="7">
        <f>IF(10=0,IF(personal_deudaEsFederal=1,personal_deudaEstudiantil,0),DW42)</f>
        <v/>
      </c>
      <c r="CF43" s="7">
        <f>IF(10=0,personal_tasaDeudaEstudiantil,DX42)</f>
        <v/>
      </c>
      <c r="CG43" s="7">
        <f>IF(10=0,0,DY42)</f>
        <v/>
      </c>
      <c r="CH43" s="7">
        <f>IF(J43&gt;=0.5,1,0)</f>
        <v/>
      </c>
      <c r="CI43" s="7">
        <f>IF(AND(CH43=0,prestamos_pslfActivo=1,K43&gt;=0.5,CE43&gt;0),1,0)</f>
        <v/>
      </c>
      <c r="CJ43" s="7">
        <f>CE43*CF43</f>
        <v/>
      </c>
      <c r="CK43" s="7">
        <f>MAX(prestamos_rapPagoMinimoAnual,IF(Y43&lt;10000,0,MIN(0.1,INT(Y43/10000)/100))*Y43)</f>
        <v/>
      </c>
      <c r="CL43" s="7">
        <f>IF(CE43&lt;=0,0,IF(CH43=1,0,IF(CI43=1,MIN(CE43+CJ43,CK43),PMT(CF43,MAX(1,prestamos_plazoAnios-CG43),-CE43))))</f>
        <v/>
      </c>
      <c r="CM43" s="7">
        <f>IF(CE43&lt;=0,0,IF(CH43=1,CE43+CJ43,IF(CI43=1,MAX(0,CE43-MAX(CL43-CJ43,MIN(600,CL43))),MAX(0,CE43*(1+CF43)-CL43))))</f>
        <v/>
      </c>
      <c r="CN43" s="7">
        <f>IF(10=0,0,CN42)+IF(CI43=1,12*MIN(1,K43),0)</f>
        <v/>
      </c>
      <c r="CO43" s="7">
        <f>IF(AND(CI43=1,CN43&gt;=prestamos_pslfPagos,CM43&gt;0),CM43,0)</f>
        <v/>
      </c>
      <c r="CP43" s="7">
        <f>CM43-CO43</f>
        <v/>
      </c>
      <c r="CQ43" s="7">
        <f>IF(AND(CE43&gt;0,CH43=0,CI43=0),CG43+1,CG43)</f>
        <v/>
      </c>
      <c r="CR43" s="7">
        <f>IF(10=0,IF(personal_deudaEsFederal=1,0,personal_deudaEstudiantil),EA42)</f>
        <v/>
      </c>
      <c r="CS43" s="7">
        <f>IF(10=0,IF(personal_deudaEsFederal=1,prestamos_tasaPrivada,personal_tasaDeudaEstudiantil),EB42)</f>
        <v/>
      </c>
      <c r="CT43" s="7">
        <f>IF(10=0,0,EC42)</f>
        <v/>
      </c>
      <c r="CU43" s="7">
        <f>IF(OR(CR43&lt;=0,CH43=1),0,PMT(CS43,MAX(1,prestamos_plazoAnios-CT43),-CR43))</f>
        <v/>
      </c>
      <c r="CV43" s="7">
        <f>IF(CR43&lt;=0,0,IF(CH43=1,CR43*(1+CS43),MAX(0,CR43*(1+CS43)-CU43)))</f>
        <v/>
      </c>
      <c r="CW43" s="7">
        <f>IF(AND(CR43&gt;0,CH43=0),CT43+1,CT43)</f>
        <v/>
      </c>
      <c r="CX43" s="7">
        <f>IF(10=0,0,ED42)*(1+general_tasaDeudaConsumo)</f>
        <v/>
      </c>
      <c r="CY43" s="7">
        <f>L43*12*tiempos_travelGastoExtraMes*C43</f>
        <v/>
      </c>
      <c r="CZ43" s="7">
        <f>AJ43+CY43+CA43+CC43+CL43+CU43+I43+N43-BZ43-CB43</f>
        <v/>
      </c>
      <c r="DA43" s="7">
        <f>AH43-CZ43</f>
        <v/>
      </c>
      <c r="DB43" s="7">
        <f>IF(10=0,0,DB42)+DA43</f>
        <v/>
      </c>
      <c r="DC43" s="7">
        <f>AN43*vivienda_enganchePct+AN43*vivienda_cierrePct+general_reservaMeses/12*AJ43</f>
        <v/>
      </c>
      <c r="DD43" s="7">
        <f>IF(BB43=1,g_ret,IF(BD43&gt;0,MIN(1,DC43/BD43),1)*g_cash+(1-IF(BD43&gt;0,MIN(1,DC43/BD43),1))*g_ret)</f>
        <v/>
      </c>
      <c r="DE43" s="7">
        <f>IF(DA43&gt;=0,MIN(CX43,DA43),0)</f>
        <v/>
      </c>
      <c r="DF43" s="7">
        <f>IF(DA43&gt;=0,(1-general_tasaAhorro)*(DA43-DE43),0)</f>
        <v/>
      </c>
      <c r="DG43" s="7">
        <f>IF(DA43&gt;=0,DA43-DE43-DF43,0)</f>
        <v/>
      </c>
      <c r="DH43" s="7">
        <f>MIN(personal_rothAnual,DG43)</f>
        <v/>
      </c>
      <c r="DI43" s="7">
        <f>IF(AND(DA43&gt;=0,BB43=1,BP43+BT43&gt;0),MIN(vivienda_prepagoPct*(DG43-DH43),BP43+BT43),0)</f>
        <v/>
      </c>
      <c r="DJ43" s="7">
        <f>MIN(DI43,BP43)</f>
        <v/>
      </c>
      <c r="DK43" s="7">
        <f>IF(DA43&lt;0,MIN(MAX(0,BD43),-DA43),0)</f>
        <v/>
      </c>
      <c r="DL43" s="7">
        <f>IF(DA43&lt;0,-DA43-DK43,0)</f>
        <v/>
      </c>
      <c r="DM43" s="7">
        <f>IF(10=0,0,DZ42)</f>
        <v/>
      </c>
      <c r="DN43" s="7">
        <f>IF(AND(DL43&gt;0,J43&gt;0),MIN(DL43,MIN(prestamos_topeAnualPosgrado*MIN(1,J43),MAX(0,prestamos_topeTotalPosgrado-DM43))),0)</f>
        <v/>
      </c>
      <c r="DO43" s="7">
        <f>IF(AND(DL43&gt;0,J43&gt;0),DL43-DN43,0)</f>
        <v/>
      </c>
      <c r="DP43" s="7">
        <f>IF(AND(DL43&gt;0,J43&lt;=0),DL43,0)</f>
        <v/>
      </c>
      <c r="DQ43" s="7">
        <f>IF(DA43&gt;=0,DG43-DH43-DI43,-DK43)</f>
        <v/>
      </c>
      <c r="DR43" s="7">
        <f>BD43*(1+DD43)+DQ43*(1+DD43/2)</f>
        <v/>
      </c>
      <c r="DS43" s="7">
        <f>IF(10=0,personal_retiroInicial,DS42)*(1+g_ret)+(O43+P43+DH43)*(1+g_ret/2)</f>
        <v/>
      </c>
      <c r="DT43" s="7">
        <f>IF(BB43=1,BL43*(1+g_appr),0)</f>
        <v/>
      </c>
      <c r="DU43" s="7">
        <f>BP43-DJ43</f>
        <v/>
      </c>
      <c r="DV43" s="7">
        <f>BT43-(DI43-DJ43)</f>
        <v/>
      </c>
      <c r="DW43" s="7">
        <f>CP43+DN43</f>
        <v/>
      </c>
      <c r="DX43" s="7">
        <f>IF(DN43&gt;0,(CP43*CF43+DN43*prestamos_tasaFederalPosgrado)/(CP43+DN43),CF43)</f>
        <v/>
      </c>
      <c r="DY43" s="7">
        <f>IF(DN43&gt;0,0,CQ43)</f>
        <v/>
      </c>
      <c r="DZ43" s="7">
        <f>DM43+DN43</f>
        <v/>
      </c>
      <c r="EA43" s="7">
        <f>CV43+DO43</f>
        <v/>
      </c>
      <c r="EB43" s="7">
        <f>IF(DO43&gt;0,(CV43*CS43+DO43*prestamos_tasaPrivada)/(CV43+DO43),CS43)</f>
        <v/>
      </c>
      <c r="EC43" s="7">
        <f>IF(DO43&gt;0,0,CW43)</f>
        <v/>
      </c>
      <c r="ED43" s="7">
        <f>CX43-DE43+DP43</f>
        <v/>
      </c>
      <c r="EE43" s="7">
        <f>IF(IF(10=0,"",EE42)&lt;&gt;"",EE42,IF(AND(BB43=1,DU43&lt;=0.5,DV43&lt;=0.5,OR(BH43=0,BJ43=1)),A43,""))</f>
        <v/>
      </c>
      <c r="EF43" s="7">
        <f>DU43+DV43+DW43+EA43+ED43+CD43</f>
        <v/>
      </c>
      <c r="EG43" s="7">
        <f>DR43+DS43+DT43-EF43</f>
        <v/>
      </c>
      <c r="EH43" s="7">
        <f>EG43/(1+g_inf)^(A43+1-2026)</f>
        <v/>
      </c>
    </row>
    <row r="44">
      <c r="A44" t="n">
        <v>2038</v>
      </c>
      <c r="B44" t="n">
        <v>11</v>
      </c>
      <c r="C44" s="7">
        <f>(1+g_inf)^(A44-2026)</f>
        <v/>
      </c>
      <c r="D44" s="7">
        <f>SUMPRODUCT($AE$5:$AE$29,$E$5:$E$29*(1+$F$5:$F$29)^(A44-2026)*$G$5:$G$29*$H$5:$H$29*(1-$N$5:$N$29*$O$5:$O$29))*g_salMult+SUMPRODUCT(($B$5:$B$29&gt;=A44)*($B$5:$B$29&lt;A44+1)*$I$5:$I$29)*g_salMult</f>
        <v/>
      </c>
      <c r="E44" s="7">
        <f>SUMPRODUCT($AE$5:$AE$29,$E$5:$E$29*(1+$F$5:$F$29)^(A44-2026)*$G$5:$G$29*$H$5:$H$29*$M$5:$M$29)*g_salMult</f>
        <v/>
      </c>
      <c r="F44" s="7">
        <f>SUMPRODUCT($AE$5:$AE$29,$E$5:$E$29*(1+$F$5:$F$29)^(A44-2026)*$G$5:$G$29*$H$5:$H$29*$N$5:$N$29*$O$5:$O$29)*g_salMult</f>
        <v/>
      </c>
      <c r="G44" s="7">
        <f>SUMPRODUCT($AE$5:$AE$29,$P$5:$P$29*(1+$F$5:$F$29)^(A44-2026))</f>
        <v/>
      </c>
      <c r="H44" s="7">
        <f>SUMPRODUCT($AE$5:$AE$29,$Q$5:$Q$29*(1+$F$5:$F$29)^(A44-2026))+IF(personal_llcActivo=1,personal_llcNeto*(1+personal_llcCrecimiento)^11,0)</f>
        <v/>
      </c>
      <c r="I44" s="7">
        <f>SUMPRODUCT($AE$5:$AE$29,$J$5:$J$29/($C$5:$C$29-$B$5:$B$29+($C$5:$C$29=$B$5:$B$29)))*C44</f>
        <v/>
      </c>
      <c r="J44" s="7">
        <f>SUMPRODUCT($AE$5:$AE$29,$K$5:$K$29)</f>
        <v/>
      </c>
      <c r="K44" s="7">
        <f>SUMPRODUCT($AE$5:$AE$29,$L$5:$L$29)</f>
        <v/>
      </c>
      <c r="L44" s="7">
        <f>SUMPRODUCT($AE$5:$AE$29,$N$5:$N$29)</f>
        <v/>
      </c>
      <c r="M44" s="7">
        <f>IF(SUMPRODUCT($AE$5:$AE$29,$R$5:$R$29)&gt;0,1,0)</f>
        <v/>
      </c>
      <c r="N44" s="7">
        <f>SUMPRODUCT(($AO$5:$AO$24&gt;=A44)*($AO$5:$AO$24&lt;A44+1)*$AP$5:$AP$24)*C44+IF(11=0,IF(sel_loc&lt;&gt;"miami",personal_costoMudanzaInicial,0),0)</f>
        <v/>
      </c>
      <c r="O44" s="7">
        <f>MIN(personal_aporte403bPct*D44,retiro_limite403b*C44)</f>
        <v/>
      </c>
      <c r="P44" s="7">
        <f>MIN(personal_aporte403bPct,personal_match403bPct)*E44</f>
        <v/>
      </c>
      <c r="Q44" s="7">
        <f>IF(G44&gt;0,MAX(0,G44-impuestos_scorpCostoAnual*C44),0)</f>
        <v/>
      </c>
      <c r="R44" s="7">
        <f>Q44*impuestos_scorpSalarioPct/(1+impuestos_ssTasa+impuestos_medicareTasa)</f>
        <v/>
      </c>
      <c r="S44" s="7">
        <f>impuestos_ssTasa*MIN(R44,MAX(0,impuestos_ssTope*C44-D44))+impuestos_medicareTasa*R44</f>
        <v/>
      </c>
      <c r="T44" s="7">
        <f>Q44-R44-S44</f>
        <v/>
      </c>
      <c r="U44" s="7">
        <f>D44+R44</f>
        <v/>
      </c>
      <c r="V44" s="7">
        <f>H44*0.9235</f>
        <v/>
      </c>
      <c r="W44" s="7">
        <f>IF(H44&gt;0,2*impuestos_ssTasa*MIN(V44,MAX(0,impuestos_ssTope*C44-U44))+2*impuestos_medicareTasa*V44,0)</f>
        <v/>
      </c>
      <c r="X44" s="7">
        <f>impuestos_ssTasa*MIN(U44,impuestos_ssTope*C44)+impuestos_medicareTasa*U44+impuestos_medicareAdicional*MAX(0,U44+H44*0.9235-impuestos_medicareUmbral)</f>
        <v/>
      </c>
      <c r="Y44" s="7">
        <f>MAX(0,D44-O44+R44+T44+H44-W44/2)</f>
        <v/>
      </c>
      <c r="Z44" s="7">
        <f>MAX(0,Y44-impuestos_deduccionEstandar*C44)</f>
        <v/>
      </c>
      <c r="AA44" s="7">
        <f>MIN(0.2*MAX(0,T44+H44-W44/2)*MAX(0,MIN(1,1-(Z44-impuestos_qbiUmbral*C44)/(impuestos_qbiRango*C44))),0.2*Z44)</f>
        <v/>
      </c>
      <c r="AB44" s="7">
        <f>MAX(0,Z44-AA44)</f>
        <v/>
      </c>
      <c r="AC44" s="7">
        <f>SUMPRODUCT((AB44&gt;tb_federalBrackets_lo*C44)*(AB44-tb_federalBrackets_lo*C44)*tb_federalBrackets_dr)</f>
        <v/>
      </c>
      <c r="AD44" s="7">
        <f>MAX(0,Y44-impuestos_nyDeduccion*C44)</f>
        <v/>
      </c>
      <c r="AE44" s="7">
        <f>CHOOSE(loc_taxcode,0,impuestos_ohTasa*MAX(0,Y44-impuestos_ohExento*C44)+impuestos_ohMunicipal*U44,SUMPRODUCT((AD44&gt;tb_nyBrackets_lo*C44)*(AD44-tb_nyBrackets_lo*C44)*tb_nyBrackets_dr)+loc_nyc*SUMPRODUCT((AD44&gt;tb_nycBrackets_lo*C44)*(AD44-tb_nycBrackets_lo*C44)*tb_nycBrackets_dr))</f>
        <v/>
      </c>
      <c r="AF44" s="7">
        <f>AC44+AE44+X44+W44</f>
        <v/>
      </c>
      <c r="AG44" s="7">
        <f>D44+F44+R44+T44+H44</f>
        <v/>
      </c>
      <c r="AH44" s="7">
        <f>AG44-AF44-O44</f>
        <v/>
      </c>
      <c r="AI44" s="7">
        <f>D44+F44+G44+H44</f>
        <v/>
      </c>
      <c r="AJ44" s="7">
        <f>loc_gastosVida*C44*g_gastos</f>
        <v/>
      </c>
      <c r="AK44" s="7">
        <f>IF(11=0,personal_liquidoInicial,DR43)</f>
        <v/>
      </c>
      <c r="AL44" s="7">
        <f>IF(11=0,0,BB43)</f>
        <v/>
      </c>
      <c r="AM44" s="7">
        <f>CHOOSE(sel_cfgIdx,loc_precio_duplex,loc_precio_inlaw,loc_precio_dosCasas,loc_precio_casaAdu,loc_precio_multi)</f>
        <v/>
      </c>
      <c r="AN44" s="7">
        <f>AM44*(1+g_appr)^(A44-2026)</f>
        <v/>
      </c>
      <c r="AO44" s="7">
        <f>IF(AND(M44=1,vivienda_prestamoMedico=1),1,0)</f>
        <v/>
      </c>
      <c r="AP44" s="7">
        <f>IF(AO44=1,0.05,vivienda_enganchePct)</f>
        <v/>
      </c>
      <c r="AQ44" s="7">
        <f>AN44*(1-AP44)</f>
        <v/>
      </c>
      <c r="AR44" s="7">
        <f>PMT(g_mortRate/12,vivienda_plazoHipoteca*12,-AQ44)</f>
        <v/>
      </c>
      <c r="AS44" s="7">
        <f>INDEX(cfg_units,sel_cfgIdx)</f>
        <v/>
      </c>
      <c r="AT44" s="7">
        <f>AS44*loc_rentaUnidad*(1+g_inf)^(A44-2026)*(1-vivienda_vacancia)</f>
        <v/>
      </c>
      <c r="AU44" s="7">
        <f>AR44+AN44*loc_impuestoPropPct/12+AM44*loc_seguroPct*(1+vivienda_inflacionSeguro)^(A44-2026)/12+IF(AND(AO44=0,AP44&lt;0.2),AQ44*vivienda_pmiTasa/12,0)</f>
        <v/>
      </c>
      <c r="AV44" s="7">
        <f>AN44*AP44+AN44*vivienda_cierrePct+general_reservaMeses/12*AJ44</f>
        <v/>
      </c>
      <c r="AW44" s="7">
        <f>(IF(11=0,MIN(personal_irsSaldo,personal_irsPagoMensual*12),MIN(CD43,personal_irsPagoMensual*12))+IF(CE44&gt;0,PMT(CF44,MAX(1,prestamos_plazoAnios-CG44),-CE44),0)+IF(CR44&gt;0,PMT(CS44,MAX(1,prestamos_plazoAnios-CT44),-CR44),0))/12</f>
        <v/>
      </c>
      <c r="AX44" s="7">
        <f>IF(OR(sel_cfg="duplex",sel_cfg="multi",sel_cfg="dosCasas"),0.75*personal_aporteFamiliaMensual,0)</f>
        <v/>
      </c>
      <c r="AY44" s="7">
        <f>AU44-0.75*AT44-AX44+AW44</f>
        <v/>
      </c>
      <c r="AZ44" s="7">
        <f>(D44+G44+H44+0.5*F44)/12</f>
        <v/>
      </c>
      <c r="BA44" s="7">
        <f>IF(AND(AL44=0,A44&gt;=vivienda_anioMinCompra,J44&lt;0.5,AI44&gt;0,AK44&gt;=AV44,AY44&lt;=vivienda_dtiMax*AZ44),1,0)</f>
        <v/>
      </c>
      <c r="BB44" s="7">
        <f>MAX(AL44,BA44)</f>
        <v/>
      </c>
      <c r="BC44" s="7">
        <f>IF(BA44=1,A44,IF(11=0,"",BC43))</f>
        <v/>
      </c>
      <c r="BD44" s="7">
        <f>AK44-IF(BA44=1,AN44*AP44+AN44*vivienda_cierrePct,0)</f>
        <v/>
      </c>
      <c r="BE44" s="7">
        <f>IF(BA44=1,AN44,IF(11=0,0,BE43))</f>
        <v/>
      </c>
      <c r="BF44" s="7">
        <f>IF(BA44=1,AR44,IF(11=0,0,BF43))</f>
        <v/>
      </c>
      <c r="BG44" s="7">
        <f>IF(BA44=1,IF(AND(AO44=0,AP44&lt;0.2),1,0),IF(11=0,0,BY43))</f>
        <v/>
      </c>
      <c r="BH44" s="7">
        <f>IF(sel_cfg="casaAdu",1,0)</f>
        <v/>
      </c>
      <c r="BI44" s="7">
        <f>IF(AND(BB44=1,BH44=1,IF(11=0,0,BJ43)=0,A44&gt;=IF(BC44="",9999,BC44)+vivienda_aduRetrasoAnios),1,0)</f>
        <v/>
      </c>
      <c r="BJ44" s="7">
        <f>MAX(IF(11=0,0,BJ43),BI44)</f>
        <v/>
      </c>
      <c r="BK44" s="7">
        <f>IF(BI44=1,PMT((g_mortRate+0.005)/12,180,-loc_precio_aduCosto*C44),IF(11=0,0,BK43))</f>
        <v/>
      </c>
      <c r="BL44" s="7">
        <f>IF(BA44=1,AN44,IF(11=0,0,DT43))+IF(BI44=1,loc_precio_aduCosto*C44,0)</f>
        <v/>
      </c>
      <c r="BM44" s="7">
        <f>IF(BA44=1,AQ44,IF(11=0,0,DU43))</f>
        <v/>
      </c>
      <c r="BN44" s="7">
        <f>IF(BM44&lt;=0,0,FV(g_mortRate/12,12,BF44,-BM44))</f>
        <v/>
      </c>
      <c r="BO44" s="7">
        <f>IF(BM44&lt;=0,0,12*BF44+MIN(0,BN44))</f>
        <v/>
      </c>
      <c r="BP44" s="7">
        <f>MAX(0,BN44)</f>
        <v/>
      </c>
      <c r="BQ44" s="7">
        <f>IF(BI44=1,loc_precio_aduCosto*C44,IF(11=0,0,DV43))</f>
        <v/>
      </c>
      <c r="BR44" s="7">
        <f>IF(BQ44&lt;=0,0,FV((g_mortRate+0.005)/12,12,BK44,-BQ44))</f>
        <v/>
      </c>
      <c r="BS44" s="7">
        <f>IF(BQ44&lt;=0,0,12*BK44+MIN(0,BR44))</f>
        <v/>
      </c>
      <c r="BT44" s="7">
        <f>MAX(0,BR44)</f>
        <v/>
      </c>
      <c r="BU44" s="7">
        <f>IF(BB44=1,AM44*loc_seguroPct*(1+vivienda_inflacionSeguro)^(A44-2026)*IF(BJ44=1,1+loc_precio_aduCosto/AM44,1),0)</f>
        <v/>
      </c>
      <c r="BV44" s="7">
        <f>BL44*loc_impuestoPropPct</f>
        <v/>
      </c>
      <c r="BW44" s="7">
        <f>BL44*vivienda_mantenimientoPct</f>
        <v/>
      </c>
      <c r="BX44" s="7">
        <f>IF(AND(BG44=1,BP44&gt;0.8*BE44),BE44*(1-vivienda_enganchePct)*vivienda_pmiTasa,0)</f>
        <v/>
      </c>
      <c r="BY44" s="7">
        <f>IF(AND(BG44=1,BP44&gt;0.8*BE44),1,0)</f>
        <v/>
      </c>
      <c r="BZ44" s="7">
        <f>IF(BB44=1,AS44*loc_rentaUnidad*12*C44*(1-vivienda_vacancia)*(1-vivienda_gestionPct),0)</f>
        <v/>
      </c>
      <c r="CA44" s="7">
        <f>IF(BB44=1,BO44+BS44+BU44+BV44+BW44+BX44,loc_rentaMensual*12*C44)</f>
        <v/>
      </c>
      <c r="CB44" s="7">
        <f>IF(BB44=1,personal_aporteFamiliaMensual*12,0)</f>
        <v/>
      </c>
      <c r="CC44" s="7">
        <f>MIN(IF(11=0,personal_irsSaldo,CD43),personal_irsPagoMensual*12)</f>
        <v/>
      </c>
      <c r="CD44" s="7">
        <f>IF(11=0,personal_irsSaldo,CD43)-CC44</f>
        <v/>
      </c>
      <c r="CE44" s="7">
        <f>IF(11=0,IF(personal_deudaEsFederal=1,personal_deudaEstudiantil,0),DW43)</f>
        <v/>
      </c>
      <c r="CF44" s="7">
        <f>IF(11=0,personal_tasaDeudaEstudiantil,DX43)</f>
        <v/>
      </c>
      <c r="CG44" s="7">
        <f>IF(11=0,0,DY43)</f>
        <v/>
      </c>
      <c r="CH44" s="7">
        <f>IF(J44&gt;=0.5,1,0)</f>
        <v/>
      </c>
      <c r="CI44" s="7">
        <f>IF(AND(CH44=0,prestamos_pslfActivo=1,K44&gt;=0.5,CE44&gt;0),1,0)</f>
        <v/>
      </c>
      <c r="CJ44" s="7">
        <f>CE44*CF44</f>
        <v/>
      </c>
      <c r="CK44" s="7">
        <f>MAX(prestamos_rapPagoMinimoAnual,IF(Y44&lt;10000,0,MIN(0.1,INT(Y44/10000)/100))*Y44)</f>
        <v/>
      </c>
      <c r="CL44" s="7">
        <f>IF(CE44&lt;=0,0,IF(CH44=1,0,IF(CI44=1,MIN(CE44+CJ44,CK44),PMT(CF44,MAX(1,prestamos_plazoAnios-CG44),-CE44))))</f>
        <v/>
      </c>
      <c r="CM44" s="7">
        <f>IF(CE44&lt;=0,0,IF(CH44=1,CE44+CJ44,IF(CI44=1,MAX(0,CE44-MAX(CL44-CJ44,MIN(600,CL44))),MAX(0,CE44*(1+CF44)-CL44))))</f>
        <v/>
      </c>
      <c r="CN44" s="7">
        <f>IF(11=0,0,CN43)+IF(CI44=1,12*MIN(1,K44),0)</f>
        <v/>
      </c>
      <c r="CO44" s="7">
        <f>IF(AND(CI44=1,CN44&gt;=prestamos_pslfPagos,CM44&gt;0),CM44,0)</f>
        <v/>
      </c>
      <c r="CP44" s="7">
        <f>CM44-CO44</f>
        <v/>
      </c>
      <c r="CQ44" s="7">
        <f>IF(AND(CE44&gt;0,CH44=0,CI44=0),CG44+1,CG44)</f>
        <v/>
      </c>
      <c r="CR44" s="7">
        <f>IF(11=0,IF(personal_deudaEsFederal=1,0,personal_deudaEstudiantil),EA43)</f>
        <v/>
      </c>
      <c r="CS44" s="7">
        <f>IF(11=0,IF(personal_deudaEsFederal=1,prestamos_tasaPrivada,personal_tasaDeudaEstudiantil),EB43)</f>
        <v/>
      </c>
      <c r="CT44" s="7">
        <f>IF(11=0,0,EC43)</f>
        <v/>
      </c>
      <c r="CU44" s="7">
        <f>IF(OR(CR44&lt;=0,CH44=1),0,PMT(CS44,MAX(1,prestamos_plazoAnios-CT44),-CR44))</f>
        <v/>
      </c>
      <c r="CV44" s="7">
        <f>IF(CR44&lt;=0,0,IF(CH44=1,CR44*(1+CS44),MAX(0,CR44*(1+CS44)-CU44)))</f>
        <v/>
      </c>
      <c r="CW44" s="7">
        <f>IF(AND(CR44&gt;0,CH44=0),CT44+1,CT44)</f>
        <v/>
      </c>
      <c r="CX44" s="7">
        <f>IF(11=0,0,ED43)*(1+general_tasaDeudaConsumo)</f>
        <v/>
      </c>
      <c r="CY44" s="7">
        <f>L44*12*tiempos_travelGastoExtraMes*C44</f>
        <v/>
      </c>
      <c r="CZ44" s="7">
        <f>AJ44+CY44+CA44+CC44+CL44+CU44+I44+N44-BZ44-CB44</f>
        <v/>
      </c>
      <c r="DA44" s="7">
        <f>AH44-CZ44</f>
        <v/>
      </c>
      <c r="DB44" s="7">
        <f>IF(11=0,0,DB43)+DA44</f>
        <v/>
      </c>
      <c r="DC44" s="7">
        <f>AN44*vivienda_enganchePct+AN44*vivienda_cierrePct+general_reservaMeses/12*AJ44</f>
        <v/>
      </c>
      <c r="DD44" s="7">
        <f>IF(BB44=1,g_ret,IF(BD44&gt;0,MIN(1,DC44/BD44),1)*g_cash+(1-IF(BD44&gt;0,MIN(1,DC44/BD44),1))*g_ret)</f>
        <v/>
      </c>
      <c r="DE44" s="7">
        <f>IF(DA44&gt;=0,MIN(CX44,DA44),0)</f>
        <v/>
      </c>
      <c r="DF44" s="7">
        <f>IF(DA44&gt;=0,(1-general_tasaAhorro)*(DA44-DE44),0)</f>
        <v/>
      </c>
      <c r="DG44" s="7">
        <f>IF(DA44&gt;=0,DA44-DE44-DF44,0)</f>
        <v/>
      </c>
      <c r="DH44" s="7">
        <f>MIN(personal_rothAnual,DG44)</f>
        <v/>
      </c>
      <c r="DI44" s="7">
        <f>IF(AND(DA44&gt;=0,BB44=1,BP44+BT44&gt;0),MIN(vivienda_prepagoPct*(DG44-DH44),BP44+BT44),0)</f>
        <v/>
      </c>
      <c r="DJ44" s="7">
        <f>MIN(DI44,BP44)</f>
        <v/>
      </c>
      <c r="DK44" s="7">
        <f>IF(DA44&lt;0,MIN(MAX(0,BD44),-DA44),0)</f>
        <v/>
      </c>
      <c r="DL44" s="7">
        <f>IF(DA44&lt;0,-DA44-DK44,0)</f>
        <v/>
      </c>
      <c r="DM44" s="7">
        <f>IF(11=0,0,DZ43)</f>
        <v/>
      </c>
      <c r="DN44" s="7">
        <f>IF(AND(DL44&gt;0,J44&gt;0),MIN(DL44,MIN(prestamos_topeAnualPosgrado*MIN(1,J44),MAX(0,prestamos_topeTotalPosgrado-DM44))),0)</f>
        <v/>
      </c>
      <c r="DO44" s="7">
        <f>IF(AND(DL44&gt;0,J44&gt;0),DL44-DN44,0)</f>
        <v/>
      </c>
      <c r="DP44" s="7">
        <f>IF(AND(DL44&gt;0,J44&lt;=0),DL44,0)</f>
        <v/>
      </c>
      <c r="DQ44" s="7">
        <f>IF(DA44&gt;=0,DG44-DH44-DI44,-DK44)</f>
        <v/>
      </c>
      <c r="DR44" s="7">
        <f>BD44*(1+DD44)+DQ44*(1+DD44/2)</f>
        <v/>
      </c>
      <c r="DS44" s="7">
        <f>IF(11=0,personal_retiroInicial,DS43)*(1+g_ret)+(O44+P44+DH44)*(1+g_ret/2)</f>
        <v/>
      </c>
      <c r="DT44" s="7">
        <f>IF(BB44=1,BL44*(1+g_appr),0)</f>
        <v/>
      </c>
      <c r="DU44" s="7">
        <f>BP44-DJ44</f>
        <v/>
      </c>
      <c r="DV44" s="7">
        <f>BT44-(DI44-DJ44)</f>
        <v/>
      </c>
      <c r="DW44" s="7">
        <f>CP44+DN44</f>
        <v/>
      </c>
      <c r="DX44" s="7">
        <f>IF(DN44&gt;0,(CP44*CF44+DN44*prestamos_tasaFederalPosgrado)/(CP44+DN44),CF44)</f>
        <v/>
      </c>
      <c r="DY44" s="7">
        <f>IF(DN44&gt;0,0,CQ44)</f>
        <v/>
      </c>
      <c r="DZ44" s="7">
        <f>DM44+DN44</f>
        <v/>
      </c>
      <c r="EA44" s="7">
        <f>CV44+DO44</f>
        <v/>
      </c>
      <c r="EB44" s="7">
        <f>IF(DO44&gt;0,(CV44*CS44+DO44*prestamos_tasaPrivada)/(CV44+DO44),CS44)</f>
        <v/>
      </c>
      <c r="EC44" s="7">
        <f>IF(DO44&gt;0,0,CW44)</f>
        <v/>
      </c>
      <c r="ED44" s="7">
        <f>CX44-DE44+DP44</f>
        <v/>
      </c>
      <c r="EE44" s="7">
        <f>IF(IF(11=0,"",EE43)&lt;&gt;"",EE43,IF(AND(BB44=1,DU44&lt;=0.5,DV44&lt;=0.5,OR(BH44=0,BJ44=1)),A44,""))</f>
        <v/>
      </c>
      <c r="EF44" s="7">
        <f>DU44+DV44+DW44+EA44+ED44+CD44</f>
        <v/>
      </c>
      <c r="EG44" s="7">
        <f>DR44+DS44+DT44-EF44</f>
        <v/>
      </c>
      <c r="EH44" s="7">
        <f>EG44/(1+g_inf)^(A44+1-2026)</f>
        <v/>
      </c>
    </row>
    <row r="45">
      <c r="A45" t="n">
        <v>2039</v>
      </c>
      <c r="B45" t="n">
        <v>12</v>
      </c>
      <c r="C45" s="7">
        <f>(1+g_inf)^(A45-2026)</f>
        <v/>
      </c>
      <c r="D45" s="7">
        <f>SUMPRODUCT($AF$5:$AF$29,$E$5:$E$29*(1+$F$5:$F$29)^(A45-2026)*$G$5:$G$29*$H$5:$H$29*(1-$N$5:$N$29*$O$5:$O$29))*g_salMult+SUMPRODUCT(($B$5:$B$29&gt;=A45)*($B$5:$B$29&lt;A45+1)*$I$5:$I$29)*g_salMult</f>
        <v/>
      </c>
      <c r="E45" s="7">
        <f>SUMPRODUCT($AF$5:$AF$29,$E$5:$E$29*(1+$F$5:$F$29)^(A45-2026)*$G$5:$G$29*$H$5:$H$29*$M$5:$M$29)*g_salMult</f>
        <v/>
      </c>
      <c r="F45" s="7">
        <f>SUMPRODUCT($AF$5:$AF$29,$E$5:$E$29*(1+$F$5:$F$29)^(A45-2026)*$G$5:$G$29*$H$5:$H$29*$N$5:$N$29*$O$5:$O$29)*g_salMult</f>
        <v/>
      </c>
      <c r="G45" s="7">
        <f>SUMPRODUCT($AF$5:$AF$29,$P$5:$P$29*(1+$F$5:$F$29)^(A45-2026))</f>
        <v/>
      </c>
      <c r="H45" s="7">
        <f>SUMPRODUCT($AF$5:$AF$29,$Q$5:$Q$29*(1+$F$5:$F$29)^(A45-2026))+IF(personal_llcActivo=1,personal_llcNeto*(1+personal_llcCrecimiento)^12,0)</f>
        <v/>
      </c>
      <c r="I45" s="7">
        <f>SUMPRODUCT($AF$5:$AF$29,$J$5:$J$29/($C$5:$C$29-$B$5:$B$29+($C$5:$C$29=$B$5:$B$29)))*C45</f>
        <v/>
      </c>
      <c r="J45" s="7">
        <f>SUMPRODUCT($AF$5:$AF$29,$K$5:$K$29)</f>
        <v/>
      </c>
      <c r="K45" s="7">
        <f>SUMPRODUCT($AF$5:$AF$29,$L$5:$L$29)</f>
        <v/>
      </c>
      <c r="L45" s="7">
        <f>SUMPRODUCT($AF$5:$AF$29,$N$5:$N$29)</f>
        <v/>
      </c>
      <c r="M45" s="7">
        <f>IF(SUMPRODUCT($AF$5:$AF$29,$R$5:$R$29)&gt;0,1,0)</f>
        <v/>
      </c>
      <c r="N45" s="7">
        <f>SUMPRODUCT(($AO$5:$AO$24&gt;=A45)*($AO$5:$AO$24&lt;A45+1)*$AP$5:$AP$24)*C45+IF(12=0,IF(sel_loc&lt;&gt;"miami",personal_costoMudanzaInicial,0),0)</f>
        <v/>
      </c>
      <c r="O45" s="7">
        <f>MIN(personal_aporte403bPct*D45,retiro_limite403b*C45)</f>
        <v/>
      </c>
      <c r="P45" s="7">
        <f>MIN(personal_aporte403bPct,personal_match403bPct)*E45</f>
        <v/>
      </c>
      <c r="Q45" s="7">
        <f>IF(G45&gt;0,MAX(0,G45-impuestos_scorpCostoAnual*C45),0)</f>
        <v/>
      </c>
      <c r="R45" s="7">
        <f>Q45*impuestos_scorpSalarioPct/(1+impuestos_ssTasa+impuestos_medicareTasa)</f>
        <v/>
      </c>
      <c r="S45" s="7">
        <f>impuestos_ssTasa*MIN(R45,MAX(0,impuestos_ssTope*C45-D45))+impuestos_medicareTasa*R45</f>
        <v/>
      </c>
      <c r="T45" s="7">
        <f>Q45-R45-S45</f>
        <v/>
      </c>
      <c r="U45" s="7">
        <f>D45+R45</f>
        <v/>
      </c>
      <c r="V45" s="7">
        <f>H45*0.9235</f>
        <v/>
      </c>
      <c r="W45" s="7">
        <f>IF(H45&gt;0,2*impuestos_ssTasa*MIN(V45,MAX(0,impuestos_ssTope*C45-U45))+2*impuestos_medicareTasa*V45,0)</f>
        <v/>
      </c>
      <c r="X45" s="7">
        <f>impuestos_ssTasa*MIN(U45,impuestos_ssTope*C45)+impuestos_medicareTasa*U45+impuestos_medicareAdicional*MAX(0,U45+H45*0.9235-impuestos_medicareUmbral)</f>
        <v/>
      </c>
      <c r="Y45" s="7">
        <f>MAX(0,D45-O45+R45+T45+H45-W45/2)</f>
        <v/>
      </c>
      <c r="Z45" s="7">
        <f>MAX(0,Y45-impuestos_deduccionEstandar*C45)</f>
        <v/>
      </c>
      <c r="AA45" s="7">
        <f>MIN(0.2*MAX(0,T45+H45-W45/2)*MAX(0,MIN(1,1-(Z45-impuestos_qbiUmbral*C45)/(impuestos_qbiRango*C45))),0.2*Z45)</f>
        <v/>
      </c>
      <c r="AB45" s="7">
        <f>MAX(0,Z45-AA45)</f>
        <v/>
      </c>
      <c r="AC45" s="7">
        <f>SUMPRODUCT((AB45&gt;tb_federalBrackets_lo*C45)*(AB45-tb_federalBrackets_lo*C45)*tb_federalBrackets_dr)</f>
        <v/>
      </c>
      <c r="AD45" s="7">
        <f>MAX(0,Y45-impuestos_nyDeduccion*C45)</f>
        <v/>
      </c>
      <c r="AE45" s="7">
        <f>CHOOSE(loc_taxcode,0,impuestos_ohTasa*MAX(0,Y45-impuestos_ohExento*C45)+impuestos_ohMunicipal*U45,SUMPRODUCT((AD45&gt;tb_nyBrackets_lo*C45)*(AD45-tb_nyBrackets_lo*C45)*tb_nyBrackets_dr)+loc_nyc*SUMPRODUCT((AD45&gt;tb_nycBrackets_lo*C45)*(AD45-tb_nycBrackets_lo*C45)*tb_nycBrackets_dr))</f>
        <v/>
      </c>
      <c r="AF45" s="7">
        <f>AC45+AE45+X45+W45</f>
        <v/>
      </c>
      <c r="AG45" s="7">
        <f>D45+F45+R45+T45+H45</f>
        <v/>
      </c>
      <c r="AH45" s="7">
        <f>AG45-AF45-O45</f>
        <v/>
      </c>
      <c r="AI45" s="7">
        <f>D45+F45+G45+H45</f>
        <v/>
      </c>
      <c r="AJ45" s="7">
        <f>loc_gastosVida*C45*g_gastos</f>
        <v/>
      </c>
      <c r="AK45" s="7">
        <f>IF(12=0,personal_liquidoInicial,DR44)</f>
        <v/>
      </c>
      <c r="AL45" s="7">
        <f>IF(12=0,0,BB44)</f>
        <v/>
      </c>
      <c r="AM45" s="7">
        <f>CHOOSE(sel_cfgIdx,loc_precio_duplex,loc_precio_inlaw,loc_precio_dosCasas,loc_precio_casaAdu,loc_precio_multi)</f>
        <v/>
      </c>
      <c r="AN45" s="7">
        <f>AM45*(1+g_appr)^(A45-2026)</f>
        <v/>
      </c>
      <c r="AO45" s="7">
        <f>IF(AND(M45=1,vivienda_prestamoMedico=1),1,0)</f>
        <v/>
      </c>
      <c r="AP45" s="7">
        <f>IF(AO45=1,0.05,vivienda_enganchePct)</f>
        <v/>
      </c>
      <c r="AQ45" s="7">
        <f>AN45*(1-AP45)</f>
        <v/>
      </c>
      <c r="AR45" s="7">
        <f>PMT(g_mortRate/12,vivienda_plazoHipoteca*12,-AQ45)</f>
        <v/>
      </c>
      <c r="AS45" s="7">
        <f>INDEX(cfg_units,sel_cfgIdx)</f>
        <v/>
      </c>
      <c r="AT45" s="7">
        <f>AS45*loc_rentaUnidad*(1+g_inf)^(A45-2026)*(1-vivienda_vacancia)</f>
        <v/>
      </c>
      <c r="AU45" s="7">
        <f>AR45+AN45*loc_impuestoPropPct/12+AM45*loc_seguroPct*(1+vivienda_inflacionSeguro)^(A45-2026)/12+IF(AND(AO45=0,AP45&lt;0.2),AQ45*vivienda_pmiTasa/12,0)</f>
        <v/>
      </c>
      <c r="AV45" s="7">
        <f>AN45*AP45+AN45*vivienda_cierrePct+general_reservaMeses/12*AJ45</f>
        <v/>
      </c>
      <c r="AW45" s="7">
        <f>(IF(12=0,MIN(personal_irsSaldo,personal_irsPagoMensual*12),MIN(CD44,personal_irsPagoMensual*12))+IF(CE45&gt;0,PMT(CF45,MAX(1,prestamos_plazoAnios-CG45),-CE45),0)+IF(CR45&gt;0,PMT(CS45,MAX(1,prestamos_plazoAnios-CT45),-CR45),0))/12</f>
        <v/>
      </c>
      <c r="AX45" s="7">
        <f>IF(OR(sel_cfg="duplex",sel_cfg="multi",sel_cfg="dosCasas"),0.75*personal_aporteFamiliaMensual,0)</f>
        <v/>
      </c>
      <c r="AY45" s="7">
        <f>AU45-0.75*AT45-AX45+AW45</f>
        <v/>
      </c>
      <c r="AZ45" s="7">
        <f>(D45+G45+H45+0.5*F45)/12</f>
        <v/>
      </c>
      <c r="BA45" s="7">
        <f>IF(AND(AL45=0,A45&gt;=vivienda_anioMinCompra,J45&lt;0.5,AI45&gt;0,AK45&gt;=AV45,AY45&lt;=vivienda_dtiMax*AZ45),1,0)</f>
        <v/>
      </c>
      <c r="BB45" s="7">
        <f>MAX(AL45,BA45)</f>
        <v/>
      </c>
      <c r="BC45" s="7">
        <f>IF(BA45=1,A45,IF(12=0,"",BC44))</f>
        <v/>
      </c>
      <c r="BD45" s="7">
        <f>AK45-IF(BA45=1,AN45*AP45+AN45*vivienda_cierrePct,0)</f>
        <v/>
      </c>
      <c r="BE45" s="7">
        <f>IF(BA45=1,AN45,IF(12=0,0,BE44))</f>
        <v/>
      </c>
      <c r="BF45" s="7">
        <f>IF(BA45=1,AR45,IF(12=0,0,BF44))</f>
        <v/>
      </c>
      <c r="BG45" s="7">
        <f>IF(BA45=1,IF(AND(AO45=0,AP45&lt;0.2),1,0),IF(12=0,0,BY44))</f>
        <v/>
      </c>
      <c r="BH45" s="7">
        <f>IF(sel_cfg="casaAdu",1,0)</f>
        <v/>
      </c>
      <c r="BI45" s="7">
        <f>IF(AND(BB45=1,BH45=1,IF(12=0,0,BJ44)=0,A45&gt;=IF(BC45="",9999,BC45)+vivienda_aduRetrasoAnios),1,0)</f>
        <v/>
      </c>
      <c r="BJ45" s="7">
        <f>MAX(IF(12=0,0,BJ44),BI45)</f>
        <v/>
      </c>
      <c r="BK45" s="7">
        <f>IF(BI45=1,PMT((g_mortRate+0.005)/12,180,-loc_precio_aduCosto*C45),IF(12=0,0,BK44))</f>
        <v/>
      </c>
      <c r="BL45" s="7">
        <f>IF(BA45=1,AN45,IF(12=0,0,DT44))+IF(BI45=1,loc_precio_aduCosto*C45,0)</f>
        <v/>
      </c>
      <c r="BM45" s="7">
        <f>IF(BA45=1,AQ45,IF(12=0,0,DU44))</f>
        <v/>
      </c>
      <c r="BN45" s="7">
        <f>IF(BM45&lt;=0,0,FV(g_mortRate/12,12,BF45,-BM45))</f>
        <v/>
      </c>
      <c r="BO45" s="7">
        <f>IF(BM45&lt;=0,0,12*BF45+MIN(0,BN45))</f>
        <v/>
      </c>
      <c r="BP45" s="7">
        <f>MAX(0,BN45)</f>
        <v/>
      </c>
      <c r="BQ45" s="7">
        <f>IF(BI45=1,loc_precio_aduCosto*C45,IF(12=0,0,DV44))</f>
        <v/>
      </c>
      <c r="BR45" s="7">
        <f>IF(BQ45&lt;=0,0,FV((g_mortRate+0.005)/12,12,BK45,-BQ45))</f>
        <v/>
      </c>
      <c r="BS45" s="7">
        <f>IF(BQ45&lt;=0,0,12*BK45+MIN(0,BR45))</f>
        <v/>
      </c>
      <c r="BT45" s="7">
        <f>MAX(0,BR45)</f>
        <v/>
      </c>
      <c r="BU45" s="7">
        <f>IF(BB45=1,AM45*loc_seguroPct*(1+vivienda_inflacionSeguro)^(A45-2026)*IF(BJ45=1,1+loc_precio_aduCosto/AM45,1),0)</f>
        <v/>
      </c>
      <c r="BV45" s="7">
        <f>BL45*loc_impuestoPropPct</f>
        <v/>
      </c>
      <c r="BW45" s="7">
        <f>BL45*vivienda_mantenimientoPct</f>
        <v/>
      </c>
      <c r="BX45" s="7">
        <f>IF(AND(BG45=1,BP45&gt;0.8*BE45),BE45*(1-vivienda_enganchePct)*vivienda_pmiTasa,0)</f>
        <v/>
      </c>
      <c r="BY45" s="7">
        <f>IF(AND(BG45=1,BP45&gt;0.8*BE45),1,0)</f>
        <v/>
      </c>
      <c r="BZ45" s="7">
        <f>IF(BB45=1,AS45*loc_rentaUnidad*12*C45*(1-vivienda_vacancia)*(1-vivienda_gestionPct),0)</f>
        <v/>
      </c>
      <c r="CA45" s="7">
        <f>IF(BB45=1,BO45+BS45+BU45+BV45+BW45+BX45,loc_rentaMensual*12*C45)</f>
        <v/>
      </c>
      <c r="CB45" s="7">
        <f>IF(BB45=1,personal_aporteFamiliaMensual*12,0)</f>
        <v/>
      </c>
      <c r="CC45" s="7">
        <f>MIN(IF(12=0,personal_irsSaldo,CD44),personal_irsPagoMensual*12)</f>
        <v/>
      </c>
      <c r="CD45" s="7">
        <f>IF(12=0,personal_irsSaldo,CD44)-CC45</f>
        <v/>
      </c>
      <c r="CE45" s="7">
        <f>IF(12=0,IF(personal_deudaEsFederal=1,personal_deudaEstudiantil,0),DW44)</f>
        <v/>
      </c>
      <c r="CF45" s="7">
        <f>IF(12=0,personal_tasaDeudaEstudiantil,DX44)</f>
        <v/>
      </c>
      <c r="CG45" s="7">
        <f>IF(12=0,0,DY44)</f>
        <v/>
      </c>
      <c r="CH45" s="7">
        <f>IF(J45&gt;=0.5,1,0)</f>
        <v/>
      </c>
      <c r="CI45" s="7">
        <f>IF(AND(CH45=0,prestamos_pslfActivo=1,K45&gt;=0.5,CE45&gt;0),1,0)</f>
        <v/>
      </c>
      <c r="CJ45" s="7">
        <f>CE45*CF45</f>
        <v/>
      </c>
      <c r="CK45" s="7">
        <f>MAX(prestamos_rapPagoMinimoAnual,IF(Y45&lt;10000,0,MIN(0.1,INT(Y45/10000)/100))*Y45)</f>
        <v/>
      </c>
      <c r="CL45" s="7">
        <f>IF(CE45&lt;=0,0,IF(CH45=1,0,IF(CI45=1,MIN(CE45+CJ45,CK45),PMT(CF45,MAX(1,prestamos_plazoAnios-CG45),-CE45))))</f>
        <v/>
      </c>
      <c r="CM45" s="7">
        <f>IF(CE45&lt;=0,0,IF(CH45=1,CE45+CJ45,IF(CI45=1,MAX(0,CE45-MAX(CL45-CJ45,MIN(600,CL45))),MAX(0,CE45*(1+CF45)-CL45))))</f>
        <v/>
      </c>
      <c r="CN45" s="7">
        <f>IF(12=0,0,CN44)+IF(CI45=1,12*MIN(1,K45),0)</f>
        <v/>
      </c>
      <c r="CO45" s="7">
        <f>IF(AND(CI45=1,CN45&gt;=prestamos_pslfPagos,CM45&gt;0),CM45,0)</f>
        <v/>
      </c>
      <c r="CP45" s="7">
        <f>CM45-CO45</f>
        <v/>
      </c>
      <c r="CQ45" s="7">
        <f>IF(AND(CE45&gt;0,CH45=0,CI45=0),CG45+1,CG45)</f>
        <v/>
      </c>
      <c r="CR45" s="7">
        <f>IF(12=0,IF(personal_deudaEsFederal=1,0,personal_deudaEstudiantil),EA44)</f>
        <v/>
      </c>
      <c r="CS45" s="7">
        <f>IF(12=0,IF(personal_deudaEsFederal=1,prestamos_tasaPrivada,personal_tasaDeudaEstudiantil),EB44)</f>
        <v/>
      </c>
      <c r="CT45" s="7">
        <f>IF(12=0,0,EC44)</f>
        <v/>
      </c>
      <c r="CU45" s="7">
        <f>IF(OR(CR45&lt;=0,CH45=1),0,PMT(CS45,MAX(1,prestamos_plazoAnios-CT45),-CR45))</f>
        <v/>
      </c>
      <c r="CV45" s="7">
        <f>IF(CR45&lt;=0,0,IF(CH45=1,CR45*(1+CS45),MAX(0,CR45*(1+CS45)-CU45)))</f>
        <v/>
      </c>
      <c r="CW45" s="7">
        <f>IF(AND(CR45&gt;0,CH45=0),CT45+1,CT45)</f>
        <v/>
      </c>
      <c r="CX45" s="7">
        <f>IF(12=0,0,ED44)*(1+general_tasaDeudaConsumo)</f>
        <v/>
      </c>
      <c r="CY45" s="7">
        <f>L45*12*tiempos_travelGastoExtraMes*C45</f>
        <v/>
      </c>
      <c r="CZ45" s="7">
        <f>AJ45+CY45+CA45+CC45+CL45+CU45+I45+N45-BZ45-CB45</f>
        <v/>
      </c>
      <c r="DA45" s="7">
        <f>AH45-CZ45</f>
        <v/>
      </c>
      <c r="DB45" s="7">
        <f>IF(12=0,0,DB44)+DA45</f>
        <v/>
      </c>
      <c r="DC45" s="7">
        <f>AN45*vivienda_enganchePct+AN45*vivienda_cierrePct+general_reservaMeses/12*AJ45</f>
        <v/>
      </c>
      <c r="DD45" s="7">
        <f>IF(BB45=1,g_ret,IF(BD45&gt;0,MIN(1,DC45/BD45),1)*g_cash+(1-IF(BD45&gt;0,MIN(1,DC45/BD45),1))*g_ret)</f>
        <v/>
      </c>
      <c r="DE45" s="7">
        <f>IF(DA45&gt;=0,MIN(CX45,DA45),0)</f>
        <v/>
      </c>
      <c r="DF45" s="7">
        <f>IF(DA45&gt;=0,(1-general_tasaAhorro)*(DA45-DE45),0)</f>
        <v/>
      </c>
      <c r="DG45" s="7">
        <f>IF(DA45&gt;=0,DA45-DE45-DF45,0)</f>
        <v/>
      </c>
      <c r="DH45" s="7">
        <f>MIN(personal_rothAnual,DG45)</f>
        <v/>
      </c>
      <c r="DI45" s="7">
        <f>IF(AND(DA45&gt;=0,BB45=1,BP45+BT45&gt;0),MIN(vivienda_prepagoPct*(DG45-DH45),BP45+BT45),0)</f>
        <v/>
      </c>
      <c r="DJ45" s="7">
        <f>MIN(DI45,BP45)</f>
        <v/>
      </c>
      <c r="DK45" s="7">
        <f>IF(DA45&lt;0,MIN(MAX(0,BD45),-DA45),0)</f>
        <v/>
      </c>
      <c r="DL45" s="7">
        <f>IF(DA45&lt;0,-DA45-DK45,0)</f>
        <v/>
      </c>
      <c r="DM45" s="7">
        <f>IF(12=0,0,DZ44)</f>
        <v/>
      </c>
      <c r="DN45" s="7">
        <f>IF(AND(DL45&gt;0,J45&gt;0),MIN(DL45,MIN(prestamos_topeAnualPosgrado*MIN(1,J45),MAX(0,prestamos_topeTotalPosgrado-DM45))),0)</f>
        <v/>
      </c>
      <c r="DO45" s="7">
        <f>IF(AND(DL45&gt;0,J45&gt;0),DL45-DN45,0)</f>
        <v/>
      </c>
      <c r="DP45" s="7">
        <f>IF(AND(DL45&gt;0,J45&lt;=0),DL45,0)</f>
        <v/>
      </c>
      <c r="DQ45" s="7">
        <f>IF(DA45&gt;=0,DG45-DH45-DI45,-DK45)</f>
        <v/>
      </c>
      <c r="DR45" s="7">
        <f>BD45*(1+DD45)+DQ45*(1+DD45/2)</f>
        <v/>
      </c>
      <c r="DS45" s="7">
        <f>IF(12=0,personal_retiroInicial,DS44)*(1+g_ret)+(O45+P45+DH45)*(1+g_ret/2)</f>
        <v/>
      </c>
      <c r="DT45" s="7">
        <f>IF(BB45=1,BL45*(1+g_appr),0)</f>
        <v/>
      </c>
      <c r="DU45" s="7">
        <f>BP45-DJ45</f>
        <v/>
      </c>
      <c r="DV45" s="7">
        <f>BT45-(DI45-DJ45)</f>
        <v/>
      </c>
      <c r="DW45" s="7">
        <f>CP45+DN45</f>
        <v/>
      </c>
      <c r="DX45" s="7">
        <f>IF(DN45&gt;0,(CP45*CF45+DN45*prestamos_tasaFederalPosgrado)/(CP45+DN45),CF45)</f>
        <v/>
      </c>
      <c r="DY45" s="7">
        <f>IF(DN45&gt;0,0,CQ45)</f>
        <v/>
      </c>
      <c r="DZ45" s="7">
        <f>DM45+DN45</f>
        <v/>
      </c>
      <c r="EA45" s="7">
        <f>CV45+DO45</f>
        <v/>
      </c>
      <c r="EB45" s="7">
        <f>IF(DO45&gt;0,(CV45*CS45+DO45*prestamos_tasaPrivada)/(CV45+DO45),CS45)</f>
        <v/>
      </c>
      <c r="EC45" s="7">
        <f>IF(DO45&gt;0,0,CW45)</f>
        <v/>
      </c>
      <c r="ED45" s="7">
        <f>CX45-DE45+DP45</f>
        <v/>
      </c>
      <c r="EE45" s="7">
        <f>IF(IF(12=0,"",EE44)&lt;&gt;"",EE44,IF(AND(BB45=1,DU45&lt;=0.5,DV45&lt;=0.5,OR(BH45=0,BJ45=1)),A45,""))</f>
        <v/>
      </c>
      <c r="EF45" s="7">
        <f>DU45+DV45+DW45+EA45+ED45+CD45</f>
        <v/>
      </c>
      <c r="EG45" s="7">
        <f>DR45+DS45+DT45-EF45</f>
        <v/>
      </c>
      <c r="EH45" s="7">
        <f>EG45/(1+g_inf)^(A45+1-2026)</f>
        <v/>
      </c>
    </row>
    <row r="46">
      <c r="A46" t="n">
        <v>2040</v>
      </c>
      <c r="B46" t="n">
        <v>13</v>
      </c>
      <c r="C46" s="7">
        <f>(1+g_inf)^(A46-2026)</f>
        <v/>
      </c>
      <c r="D46" s="7">
        <f>SUMPRODUCT($AG$5:$AG$29,$E$5:$E$29*(1+$F$5:$F$29)^(A46-2026)*$G$5:$G$29*$H$5:$H$29*(1-$N$5:$N$29*$O$5:$O$29))*g_salMult+SUMPRODUCT(($B$5:$B$29&gt;=A46)*($B$5:$B$29&lt;A46+1)*$I$5:$I$29)*g_salMult</f>
        <v/>
      </c>
      <c r="E46" s="7">
        <f>SUMPRODUCT($AG$5:$AG$29,$E$5:$E$29*(1+$F$5:$F$29)^(A46-2026)*$G$5:$G$29*$H$5:$H$29*$M$5:$M$29)*g_salMult</f>
        <v/>
      </c>
      <c r="F46" s="7">
        <f>SUMPRODUCT($AG$5:$AG$29,$E$5:$E$29*(1+$F$5:$F$29)^(A46-2026)*$G$5:$G$29*$H$5:$H$29*$N$5:$N$29*$O$5:$O$29)*g_salMult</f>
        <v/>
      </c>
      <c r="G46" s="7">
        <f>SUMPRODUCT($AG$5:$AG$29,$P$5:$P$29*(1+$F$5:$F$29)^(A46-2026))</f>
        <v/>
      </c>
      <c r="H46" s="7">
        <f>SUMPRODUCT($AG$5:$AG$29,$Q$5:$Q$29*(1+$F$5:$F$29)^(A46-2026))+IF(personal_llcActivo=1,personal_llcNeto*(1+personal_llcCrecimiento)^13,0)</f>
        <v/>
      </c>
      <c r="I46" s="7">
        <f>SUMPRODUCT($AG$5:$AG$29,$J$5:$J$29/($C$5:$C$29-$B$5:$B$29+($C$5:$C$29=$B$5:$B$29)))*C46</f>
        <v/>
      </c>
      <c r="J46" s="7">
        <f>SUMPRODUCT($AG$5:$AG$29,$K$5:$K$29)</f>
        <v/>
      </c>
      <c r="K46" s="7">
        <f>SUMPRODUCT($AG$5:$AG$29,$L$5:$L$29)</f>
        <v/>
      </c>
      <c r="L46" s="7">
        <f>SUMPRODUCT($AG$5:$AG$29,$N$5:$N$29)</f>
        <v/>
      </c>
      <c r="M46" s="7">
        <f>IF(SUMPRODUCT($AG$5:$AG$29,$R$5:$R$29)&gt;0,1,0)</f>
        <v/>
      </c>
      <c r="N46" s="7">
        <f>SUMPRODUCT(($AO$5:$AO$24&gt;=A46)*($AO$5:$AO$24&lt;A46+1)*$AP$5:$AP$24)*C46+IF(13=0,IF(sel_loc&lt;&gt;"miami",personal_costoMudanzaInicial,0),0)</f>
        <v/>
      </c>
      <c r="O46" s="7">
        <f>MIN(personal_aporte403bPct*D46,retiro_limite403b*C46)</f>
        <v/>
      </c>
      <c r="P46" s="7">
        <f>MIN(personal_aporte403bPct,personal_match403bPct)*E46</f>
        <v/>
      </c>
      <c r="Q46" s="7">
        <f>IF(G46&gt;0,MAX(0,G46-impuestos_scorpCostoAnual*C46),0)</f>
        <v/>
      </c>
      <c r="R46" s="7">
        <f>Q46*impuestos_scorpSalarioPct/(1+impuestos_ssTasa+impuestos_medicareTasa)</f>
        <v/>
      </c>
      <c r="S46" s="7">
        <f>impuestos_ssTasa*MIN(R46,MAX(0,impuestos_ssTope*C46-D46))+impuestos_medicareTasa*R46</f>
        <v/>
      </c>
      <c r="T46" s="7">
        <f>Q46-R46-S46</f>
        <v/>
      </c>
      <c r="U46" s="7">
        <f>D46+R46</f>
        <v/>
      </c>
      <c r="V46" s="7">
        <f>H46*0.9235</f>
        <v/>
      </c>
      <c r="W46" s="7">
        <f>IF(H46&gt;0,2*impuestos_ssTasa*MIN(V46,MAX(0,impuestos_ssTope*C46-U46))+2*impuestos_medicareTasa*V46,0)</f>
        <v/>
      </c>
      <c r="X46" s="7">
        <f>impuestos_ssTasa*MIN(U46,impuestos_ssTope*C46)+impuestos_medicareTasa*U46+impuestos_medicareAdicional*MAX(0,U46+H46*0.9235-impuestos_medicareUmbral)</f>
        <v/>
      </c>
      <c r="Y46" s="7">
        <f>MAX(0,D46-O46+R46+T46+H46-W46/2)</f>
        <v/>
      </c>
      <c r="Z46" s="7">
        <f>MAX(0,Y46-impuestos_deduccionEstandar*C46)</f>
        <v/>
      </c>
      <c r="AA46" s="7">
        <f>MIN(0.2*MAX(0,T46+H46-W46/2)*MAX(0,MIN(1,1-(Z46-impuestos_qbiUmbral*C46)/(impuestos_qbiRango*C46))),0.2*Z46)</f>
        <v/>
      </c>
      <c r="AB46" s="7">
        <f>MAX(0,Z46-AA46)</f>
        <v/>
      </c>
      <c r="AC46" s="7">
        <f>SUMPRODUCT((AB46&gt;tb_federalBrackets_lo*C46)*(AB46-tb_federalBrackets_lo*C46)*tb_federalBrackets_dr)</f>
        <v/>
      </c>
      <c r="AD46" s="7">
        <f>MAX(0,Y46-impuestos_nyDeduccion*C46)</f>
        <v/>
      </c>
      <c r="AE46" s="7">
        <f>CHOOSE(loc_taxcode,0,impuestos_ohTasa*MAX(0,Y46-impuestos_ohExento*C46)+impuestos_ohMunicipal*U46,SUMPRODUCT((AD46&gt;tb_nyBrackets_lo*C46)*(AD46-tb_nyBrackets_lo*C46)*tb_nyBrackets_dr)+loc_nyc*SUMPRODUCT((AD46&gt;tb_nycBrackets_lo*C46)*(AD46-tb_nycBrackets_lo*C46)*tb_nycBrackets_dr))</f>
        <v/>
      </c>
      <c r="AF46" s="7">
        <f>AC46+AE46+X46+W46</f>
        <v/>
      </c>
      <c r="AG46" s="7">
        <f>D46+F46+R46+T46+H46</f>
        <v/>
      </c>
      <c r="AH46" s="7">
        <f>AG46-AF46-O46</f>
        <v/>
      </c>
      <c r="AI46" s="7">
        <f>D46+F46+G46+H46</f>
        <v/>
      </c>
      <c r="AJ46" s="7">
        <f>loc_gastosVida*C46*g_gastos</f>
        <v/>
      </c>
      <c r="AK46" s="7">
        <f>IF(13=0,personal_liquidoInicial,DR45)</f>
        <v/>
      </c>
      <c r="AL46" s="7">
        <f>IF(13=0,0,BB45)</f>
        <v/>
      </c>
      <c r="AM46" s="7">
        <f>CHOOSE(sel_cfgIdx,loc_precio_duplex,loc_precio_inlaw,loc_precio_dosCasas,loc_precio_casaAdu,loc_precio_multi)</f>
        <v/>
      </c>
      <c r="AN46" s="7">
        <f>AM46*(1+g_appr)^(A46-2026)</f>
        <v/>
      </c>
      <c r="AO46" s="7">
        <f>IF(AND(M46=1,vivienda_prestamoMedico=1),1,0)</f>
        <v/>
      </c>
      <c r="AP46" s="7">
        <f>IF(AO46=1,0.05,vivienda_enganchePct)</f>
        <v/>
      </c>
      <c r="AQ46" s="7">
        <f>AN46*(1-AP46)</f>
        <v/>
      </c>
      <c r="AR46" s="7">
        <f>PMT(g_mortRate/12,vivienda_plazoHipoteca*12,-AQ46)</f>
        <v/>
      </c>
      <c r="AS46" s="7">
        <f>INDEX(cfg_units,sel_cfgIdx)</f>
        <v/>
      </c>
      <c r="AT46" s="7">
        <f>AS46*loc_rentaUnidad*(1+g_inf)^(A46-2026)*(1-vivienda_vacancia)</f>
        <v/>
      </c>
      <c r="AU46" s="7">
        <f>AR46+AN46*loc_impuestoPropPct/12+AM46*loc_seguroPct*(1+vivienda_inflacionSeguro)^(A46-2026)/12+IF(AND(AO46=0,AP46&lt;0.2),AQ46*vivienda_pmiTasa/12,0)</f>
        <v/>
      </c>
      <c r="AV46" s="7">
        <f>AN46*AP46+AN46*vivienda_cierrePct+general_reservaMeses/12*AJ46</f>
        <v/>
      </c>
      <c r="AW46" s="7">
        <f>(IF(13=0,MIN(personal_irsSaldo,personal_irsPagoMensual*12),MIN(CD45,personal_irsPagoMensual*12))+IF(CE46&gt;0,PMT(CF46,MAX(1,prestamos_plazoAnios-CG46),-CE46),0)+IF(CR46&gt;0,PMT(CS46,MAX(1,prestamos_plazoAnios-CT46),-CR46),0))/12</f>
        <v/>
      </c>
      <c r="AX46" s="7">
        <f>IF(OR(sel_cfg="duplex",sel_cfg="multi",sel_cfg="dosCasas"),0.75*personal_aporteFamiliaMensual,0)</f>
        <v/>
      </c>
      <c r="AY46" s="7">
        <f>AU46-0.75*AT46-AX46+AW46</f>
        <v/>
      </c>
      <c r="AZ46" s="7">
        <f>(D46+G46+H46+0.5*F46)/12</f>
        <v/>
      </c>
      <c r="BA46" s="7">
        <f>IF(AND(AL46=0,A46&gt;=vivienda_anioMinCompra,J46&lt;0.5,AI46&gt;0,AK46&gt;=AV46,AY46&lt;=vivienda_dtiMax*AZ46),1,0)</f>
        <v/>
      </c>
      <c r="BB46" s="7">
        <f>MAX(AL46,BA46)</f>
        <v/>
      </c>
      <c r="BC46" s="7">
        <f>IF(BA46=1,A46,IF(13=0,"",BC45))</f>
        <v/>
      </c>
      <c r="BD46" s="7">
        <f>AK46-IF(BA46=1,AN46*AP46+AN46*vivienda_cierrePct,0)</f>
        <v/>
      </c>
      <c r="BE46" s="7">
        <f>IF(BA46=1,AN46,IF(13=0,0,BE45))</f>
        <v/>
      </c>
      <c r="BF46" s="7">
        <f>IF(BA46=1,AR46,IF(13=0,0,BF45))</f>
        <v/>
      </c>
      <c r="BG46" s="7">
        <f>IF(BA46=1,IF(AND(AO46=0,AP46&lt;0.2),1,0),IF(13=0,0,BY45))</f>
        <v/>
      </c>
      <c r="BH46" s="7">
        <f>IF(sel_cfg="casaAdu",1,0)</f>
        <v/>
      </c>
      <c r="BI46" s="7">
        <f>IF(AND(BB46=1,BH46=1,IF(13=0,0,BJ45)=0,A46&gt;=IF(BC46="",9999,BC46)+vivienda_aduRetrasoAnios),1,0)</f>
        <v/>
      </c>
      <c r="BJ46" s="7">
        <f>MAX(IF(13=0,0,BJ45),BI46)</f>
        <v/>
      </c>
      <c r="BK46" s="7">
        <f>IF(BI46=1,PMT((g_mortRate+0.005)/12,180,-loc_precio_aduCosto*C46),IF(13=0,0,BK45))</f>
        <v/>
      </c>
      <c r="BL46" s="7">
        <f>IF(BA46=1,AN46,IF(13=0,0,DT45))+IF(BI46=1,loc_precio_aduCosto*C46,0)</f>
        <v/>
      </c>
      <c r="BM46" s="7">
        <f>IF(BA46=1,AQ46,IF(13=0,0,DU45))</f>
        <v/>
      </c>
      <c r="BN46" s="7">
        <f>IF(BM46&lt;=0,0,FV(g_mortRate/12,12,BF46,-BM46))</f>
        <v/>
      </c>
      <c r="BO46" s="7">
        <f>IF(BM46&lt;=0,0,12*BF46+MIN(0,BN46))</f>
        <v/>
      </c>
      <c r="BP46" s="7">
        <f>MAX(0,BN46)</f>
        <v/>
      </c>
      <c r="BQ46" s="7">
        <f>IF(BI46=1,loc_precio_aduCosto*C46,IF(13=0,0,DV45))</f>
        <v/>
      </c>
      <c r="BR46" s="7">
        <f>IF(BQ46&lt;=0,0,FV((g_mortRate+0.005)/12,12,BK46,-BQ46))</f>
        <v/>
      </c>
      <c r="BS46" s="7">
        <f>IF(BQ46&lt;=0,0,12*BK46+MIN(0,BR46))</f>
        <v/>
      </c>
      <c r="BT46" s="7">
        <f>MAX(0,BR46)</f>
        <v/>
      </c>
      <c r="BU46" s="7">
        <f>IF(BB46=1,AM46*loc_seguroPct*(1+vivienda_inflacionSeguro)^(A46-2026)*IF(BJ46=1,1+loc_precio_aduCosto/AM46,1),0)</f>
        <v/>
      </c>
      <c r="BV46" s="7">
        <f>BL46*loc_impuestoPropPct</f>
        <v/>
      </c>
      <c r="BW46" s="7">
        <f>BL46*vivienda_mantenimientoPct</f>
        <v/>
      </c>
      <c r="BX46" s="7">
        <f>IF(AND(BG46=1,BP46&gt;0.8*BE46),BE46*(1-vivienda_enganchePct)*vivienda_pmiTasa,0)</f>
        <v/>
      </c>
      <c r="BY46" s="7">
        <f>IF(AND(BG46=1,BP46&gt;0.8*BE46),1,0)</f>
        <v/>
      </c>
      <c r="BZ46" s="7">
        <f>IF(BB46=1,AS46*loc_rentaUnidad*12*C46*(1-vivienda_vacancia)*(1-vivienda_gestionPct),0)</f>
        <v/>
      </c>
      <c r="CA46" s="7">
        <f>IF(BB46=1,BO46+BS46+BU46+BV46+BW46+BX46,loc_rentaMensual*12*C46)</f>
        <v/>
      </c>
      <c r="CB46" s="7">
        <f>IF(BB46=1,personal_aporteFamiliaMensual*12,0)</f>
        <v/>
      </c>
      <c r="CC46" s="7">
        <f>MIN(IF(13=0,personal_irsSaldo,CD45),personal_irsPagoMensual*12)</f>
        <v/>
      </c>
      <c r="CD46" s="7">
        <f>IF(13=0,personal_irsSaldo,CD45)-CC46</f>
        <v/>
      </c>
      <c r="CE46" s="7">
        <f>IF(13=0,IF(personal_deudaEsFederal=1,personal_deudaEstudiantil,0),DW45)</f>
        <v/>
      </c>
      <c r="CF46" s="7">
        <f>IF(13=0,personal_tasaDeudaEstudiantil,DX45)</f>
        <v/>
      </c>
      <c r="CG46" s="7">
        <f>IF(13=0,0,DY45)</f>
        <v/>
      </c>
      <c r="CH46" s="7">
        <f>IF(J46&gt;=0.5,1,0)</f>
        <v/>
      </c>
      <c r="CI46" s="7">
        <f>IF(AND(CH46=0,prestamos_pslfActivo=1,K46&gt;=0.5,CE46&gt;0),1,0)</f>
        <v/>
      </c>
      <c r="CJ46" s="7">
        <f>CE46*CF46</f>
        <v/>
      </c>
      <c r="CK46" s="7">
        <f>MAX(prestamos_rapPagoMinimoAnual,IF(Y46&lt;10000,0,MIN(0.1,INT(Y46/10000)/100))*Y46)</f>
        <v/>
      </c>
      <c r="CL46" s="7">
        <f>IF(CE46&lt;=0,0,IF(CH46=1,0,IF(CI46=1,MIN(CE46+CJ46,CK46),PMT(CF46,MAX(1,prestamos_plazoAnios-CG46),-CE46))))</f>
        <v/>
      </c>
      <c r="CM46" s="7">
        <f>IF(CE46&lt;=0,0,IF(CH46=1,CE46+CJ46,IF(CI46=1,MAX(0,CE46-MAX(CL46-CJ46,MIN(600,CL46))),MAX(0,CE46*(1+CF46)-CL46))))</f>
        <v/>
      </c>
      <c r="CN46" s="7">
        <f>IF(13=0,0,CN45)+IF(CI46=1,12*MIN(1,K46),0)</f>
        <v/>
      </c>
      <c r="CO46" s="7">
        <f>IF(AND(CI46=1,CN46&gt;=prestamos_pslfPagos,CM46&gt;0),CM46,0)</f>
        <v/>
      </c>
      <c r="CP46" s="7">
        <f>CM46-CO46</f>
        <v/>
      </c>
      <c r="CQ46" s="7">
        <f>IF(AND(CE46&gt;0,CH46=0,CI46=0),CG46+1,CG46)</f>
        <v/>
      </c>
      <c r="CR46" s="7">
        <f>IF(13=0,IF(personal_deudaEsFederal=1,0,personal_deudaEstudiantil),EA45)</f>
        <v/>
      </c>
      <c r="CS46" s="7">
        <f>IF(13=0,IF(personal_deudaEsFederal=1,prestamos_tasaPrivada,personal_tasaDeudaEstudiantil),EB45)</f>
        <v/>
      </c>
      <c r="CT46" s="7">
        <f>IF(13=0,0,EC45)</f>
        <v/>
      </c>
      <c r="CU46" s="7">
        <f>IF(OR(CR46&lt;=0,CH46=1),0,PMT(CS46,MAX(1,prestamos_plazoAnios-CT46),-CR46))</f>
        <v/>
      </c>
      <c r="CV46" s="7">
        <f>IF(CR46&lt;=0,0,IF(CH46=1,CR46*(1+CS46),MAX(0,CR46*(1+CS46)-CU46)))</f>
        <v/>
      </c>
      <c r="CW46" s="7">
        <f>IF(AND(CR46&gt;0,CH46=0),CT46+1,CT46)</f>
        <v/>
      </c>
      <c r="CX46" s="7">
        <f>IF(13=0,0,ED45)*(1+general_tasaDeudaConsumo)</f>
        <v/>
      </c>
      <c r="CY46" s="7">
        <f>L46*12*tiempos_travelGastoExtraMes*C46</f>
        <v/>
      </c>
      <c r="CZ46" s="7">
        <f>AJ46+CY46+CA46+CC46+CL46+CU46+I46+N46-BZ46-CB46</f>
        <v/>
      </c>
      <c r="DA46" s="7">
        <f>AH46-CZ46</f>
        <v/>
      </c>
      <c r="DB46" s="7">
        <f>IF(13=0,0,DB45)+DA46</f>
        <v/>
      </c>
      <c r="DC46" s="7">
        <f>AN46*vivienda_enganchePct+AN46*vivienda_cierrePct+general_reservaMeses/12*AJ46</f>
        <v/>
      </c>
      <c r="DD46" s="7">
        <f>IF(BB46=1,g_ret,IF(BD46&gt;0,MIN(1,DC46/BD46),1)*g_cash+(1-IF(BD46&gt;0,MIN(1,DC46/BD46),1))*g_ret)</f>
        <v/>
      </c>
      <c r="DE46" s="7">
        <f>IF(DA46&gt;=0,MIN(CX46,DA46),0)</f>
        <v/>
      </c>
      <c r="DF46" s="7">
        <f>IF(DA46&gt;=0,(1-general_tasaAhorro)*(DA46-DE46),0)</f>
        <v/>
      </c>
      <c r="DG46" s="7">
        <f>IF(DA46&gt;=0,DA46-DE46-DF46,0)</f>
        <v/>
      </c>
      <c r="DH46" s="7">
        <f>MIN(personal_rothAnual,DG46)</f>
        <v/>
      </c>
      <c r="DI46" s="7">
        <f>IF(AND(DA46&gt;=0,BB46=1,BP46+BT46&gt;0),MIN(vivienda_prepagoPct*(DG46-DH46),BP46+BT46),0)</f>
        <v/>
      </c>
      <c r="DJ46" s="7">
        <f>MIN(DI46,BP46)</f>
        <v/>
      </c>
      <c r="DK46" s="7">
        <f>IF(DA46&lt;0,MIN(MAX(0,BD46),-DA46),0)</f>
        <v/>
      </c>
      <c r="DL46" s="7">
        <f>IF(DA46&lt;0,-DA46-DK46,0)</f>
        <v/>
      </c>
      <c r="DM46" s="7">
        <f>IF(13=0,0,DZ45)</f>
        <v/>
      </c>
      <c r="DN46" s="7">
        <f>IF(AND(DL46&gt;0,J46&gt;0),MIN(DL46,MIN(prestamos_topeAnualPosgrado*MIN(1,J46),MAX(0,prestamos_topeTotalPosgrado-DM46))),0)</f>
        <v/>
      </c>
      <c r="DO46" s="7">
        <f>IF(AND(DL46&gt;0,J46&gt;0),DL46-DN46,0)</f>
        <v/>
      </c>
      <c r="DP46" s="7">
        <f>IF(AND(DL46&gt;0,J46&lt;=0),DL46,0)</f>
        <v/>
      </c>
      <c r="DQ46" s="7">
        <f>IF(DA46&gt;=0,DG46-DH46-DI46,-DK46)</f>
        <v/>
      </c>
      <c r="DR46" s="7">
        <f>BD46*(1+DD46)+DQ46*(1+DD46/2)</f>
        <v/>
      </c>
      <c r="DS46" s="7">
        <f>IF(13=0,personal_retiroInicial,DS45)*(1+g_ret)+(O46+P46+DH46)*(1+g_ret/2)</f>
        <v/>
      </c>
      <c r="DT46" s="7">
        <f>IF(BB46=1,BL46*(1+g_appr),0)</f>
        <v/>
      </c>
      <c r="DU46" s="7">
        <f>BP46-DJ46</f>
        <v/>
      </c>
      <c r="DV46" s="7">
        <f>BT46-(DI46-DJ46)</f>
        <v/>
      </c>
      <c r="DW46" s="7">
        <f>CP46+DN46</f>
        <v/>
      </c>
      <c r="DX46" s="7">
        <f>IF(DN46&gt;0,(CP46*CF46+DN46*prestamos_tasaFederalPosgrado)/(CP46+DN46),CF46)</f>
        <v/>
      </c>
      <c r="DY46" s="7">
        <f>IF(DN46&gt;0,0,CQ46)</f>
        <v/>
      </c>
      <c r="DZ46" s="7">
        <f>DM46+DN46</f>
        <v/>
      </c>
      <c r="EA46" s="7">
        <f>CV46+DO46</f>
        <v/>
      </c>
      <c r="EB46" s="7">
        <f>IF(DO46&gt;0,(CV46*CS46+DO46*prestamos_tasaPrivada)/(CV46+DO46),CS46)</f>
        <v/>
      </c>
      <c r="EC46" s="7">
        <f>IF(DO46&gt;0,0,CW46)</f>
        <v/>
      </c>
      <c r="ED46" s="7">
        <f>CX46-DE46+DP46</f>
        <v/>
      </c>
      <c r="EE46" s="7">
        <f>IF(IF(13=0,"",EE45)&lt;&gt;"",EE45,IF(AND(BB46=1,DU46&lt;=0.5,DV46&lt;=0.5,OR(BH46=0,BJ46=1)),A46,""))</f>
        <v/>
      </c>
      <c r="EF46" s="7">
        <f>DU46+DV46+DW46+EA46+ED46+CD46</f>
        <v/>
      </c>
      <c r="EG46" s="7">
        <f>DR46+DS46+DT46-EF46</f>
        <v/>
      </c>
      <c r="EH46" s="7">
        <f>EG46/(1+g_inf)^(A46+1-2026)</f>
        <v/>
      </c>
    </row>
    <row r="47">
      <c r="A47" t="n">
        <v>2041</v>
      </c>
      <c r="B47" t="n">
        <v>14</v>
      </c>
      <c r="C47" s="7">
        <f>(1+g_inf)^(A47-2026)</f>
        <v/>
      </c>
      <c r="D47" s="7">
        <f>SUMPRODUCT($AH$5:$AH$29,$E$5:$E$29*(1+$F$5:$F$29)^(A47-2026)*$G$5:$G$29*$H$5:$H$29*(1-$N$5:$N$29*$O$5:$O$29))*g_salMult+SUMPRODUCT(($B$5:$B$29&gt;=A47)*($B$5:$B$29&lt;A47+1)*$I$5:$I$29)*g_salMult</f>
        <v/>
      </c>
      <c r="E47" s="7">
        <f>SUMPRODUCT($AH$5:$AH$29,$E$5:$E$29*(1+$F$5:$F$29)^(A47-2026)*$G$5:$G$29*$H$5:$H$29*$M$5:$M$29)*g_salMult</f>
        <v/>
      </c>
      <c r="F47" s="7">
        <f>SUMPRODUCT($AH$5:$AH$29,$E$5:$E$29*(1+$F$5:$F$29)^(A47-2026)*$G$5:$G$29*$H$5:$H$29*$N$5:$N$29*$O$5:$O$29)*g_salMult</f>
        <v/>
      </c>
      <c r="G47" s="7">
        <f>SUMPRODUCT($AH$5:$AH$29,$P$5:$P$29*(1+$F$5:$F$29)^(A47-2026))</f>
        <v/>
      </c>
      <c r="H47" s="7">
        <f>SUMPRODUCT($AH$5:$AH$29,$Q$5:$Q$29*(1+$F$5:$F$29)^(A47-2026))+IF(personal_llcActivo=1,personal_llcNeto*(1+personal_llcCrecimiento)^14,0)</f>
        <v/>
      </c>
      <c r="I47" s="7">
        <f>SUMPRODUCT($AH$5:$AH$29,$J$5:$J$29/($C$5:$C$29-$B$5:$B$29+($C$5:$C$29=$B$5:$B$29)))*C47</f>
        <v/>
      </c>
      <c r="J47" s="7">
        <f>SUMPRODUCT($AH$5:$AH$29,$K$5:$K$29)</f>
        <v/>
      </c>
      <c r="K47" s="7">
        <f>SUMPRODUCT($AH$5:$AH$29,$L$5:$L$29)</f>
        <v/>
      </c>
      <c r="L47" s="7">
        <f>SUMPRODUCT($AH$5:$AH$29,$N$5:$N$29)</f>
        <v/>
      </c>
      <c r="M47" s="7">
        <f>IF(SUMPRODUCT($AH$5:$AH$29,$R$5:$R$29)&gt;0,1,0)</f>
        <v/>
      </c>
      <c r="N47" s="7">
        <f>SUMPRODUCT(($AO$5:$AO$24&gt;=A47)*($AO$5:$AO$24&lt;A47+1)*$AP$5:$AP$24)*C47+IF(14=0,IF(sel_loc&lt;&gt;"miami",personal_costoMudanzaInicial,0),0)</f>
        <v/>
      </c>
      <c r="O47" s="7">
        <f>MIN(personal_aporte403bPct*D47,retiro_limite403b*C47)</f>
        <v/>
      </c>
      <c r="P47" s="7">
        <f>MIN(personal_aporte403bPct,personal_match403bPct)*E47</f>
        <v/>
      </c>
      <c r="Q47" s="7">
        <f>IF(G47&gt;0,MAX(0,G47-impuestos_scorpCostoAnual*C47),0)</f>
        <v/>
      </c>
      <c r="R47" s="7">
        <f>Q47*impuestos_scorpSalarioPct/(1+impuestos_ssTasa+impuestos_medicareTasa)</f>
        <v/>
      </c>
      <c r="S47" s="7">
        <f>impuestos_ssTasa*MIN(R47,MAX(0,impuestos_ssTope*C47-D47))+impuestos_medicareTasa*R47</f>
        <v/>
      </c>
      <c r="T47" s="7">
        <f>Q47-R47-S47</f>
        <v/>
      </c>
      <c r="U47" s="7">
        <f>D47+R47</f>
        <v/>
      </c>
      <c r="V47" s="7">
        <f>H47*0.9235</f>
        <v/>
      </c>
      <c r="W47" s="7">
        <f>IF(H47&gt;0,2*impuestos_ssTasa*MIN(V47,MAX(0,impuestos_ssTope*C47-U47))+2*impuestos_medicareTasa*V47,0)</f>
        <v/>
      </c>
      <c r="X47" s="7">
        <f>impuestos_ssTasa*MIN(U47,impuestos_ssTope*C47)+impuestos_medicareTasa*U47+impuestos_medicareAdicional*MAX(0,U47+H47*0.9235-impuestos_medicareUmbral)</f>
        <v/>
      </c>
      <c r="Y47" s="7">
        <f>MAX(0,D47-O47+R47+T47+H47-W47/2)</f>
        <v/>
      </c>
      <c r="Z47" s="7">
        <f>MAX(0,Y47-impuestos_deduccionEstandar*C47)</f>
        <v/>
      </c>
      <c r="AA47" s="7">
        <f>MIN(0.2*MAX(0,T47+H47-W47/2)*MAX(0,MIN(1,1-(Z47-impuestos_qbiUmbral*C47)/(impuestos_qbiRango*C47))),0.2*Z47)</f>
        <v/>
      </c>
      <c r="AB47" s="7">
        <f>MAX(0,Z47-AA47)</f>
        <v/>
      </c>
      <c r="AC47" s="7">
        <f>SUMPRODUCT((AB47&gt;tb_federalBrackets_lo*C47)*(AB47-tb_federalBrackets_lo*C47)*tb_federalBrackets_dr)</f>
        <v/>
      </c>
      <c r="AD47" s="7">
        <f>MAX(0,Y47-impuestos_nyDeduccion*C47)</f>
        <v/>
      </c>
      <c r="AE47" s="7">
        <f>CHOOSE(loc_taxcode,0,impuestos_ohTasa*MAX(0,Y47-impuestos_ohExento*C47)+impuestos_ohMunicipal*U47,SUMPRODUCT((AD47&gt;tb_nyBrackets_lo*C47)*(AD47-tb_nyBrackets_lo*C47)*tb_nyBrackets_dr)+loc_nyc*SUMPRODUCT((AD47&gt;tb_nycBrackets_lo*C47)*(AD47-tb_nycBrackets_lo*C47)*tb_nycBrackets_dr))</f>
        <v/>
      </c>
      <c r="AF47" s="7">
        <f>AC47+AE47+X47+W47</f>
        <v/>
      </c>
      <c r="AG47" s="7">
        <f>D47+F47+R47+T47+H47</f>
        <v/>
      </c>
      <c r="AH47" s="7">
        <f>AG47-AF47-O47</f>
        <v/>
      </c>
      <c r="AI47" s="7">
        <f>D47+F47+G47+H47</f>
        <v/>
      </c>
      <c r="AJ47" s="7">
        <f>loc_gastosVida*C47*g_gastos</f>
        <v/>
      </c>
      <c r="AK47" s="7">
        <f>IF(14=0,personal_liquidoInicial,DR46)</f>
        <v/>
      </c>
      <c r="AL47" s="7">
        <f>IF(14=0,0,BB46)</f>
        <v/>
      </c>
      <c r="AM47" s="7">
        <f>CHOOSE(sel_cfgIdx,loc_precio_duplex,loc_precio_inlaw,loc_precio_dosCasas,loc_precio_casaAdu,loc_precio_multi)</f>
        <v/>
      </c>
      <c r="AN47" s="7">
        <f>AM47*(1+g_appr)^(A47-2026)</f>
        <v/>
      </c>
      <c r="AO47" s="7">
        <f>IF(AND(M47=1,vivienda_prestamoMedico=1),1,0)</f>
        <v/>
      </c>
      <c r="AP47" s="7">
        <f>IF(AO47=1,0.05,vivienda_enganchePct)</f>
        <v/>
      </c>
      <c r="AQ47" s="7">
        <f>AN47*(1-AP47)</f>
        <v/>
      </c>
      <c r="AR47" s="7">
        <f>PMT(g_mortRate/12,vivienda_plazoHipoteca*12,-AQ47)</f>
        <v/>
      </c>
      <c r="AS47" s="7">
        <f>INDEX(cfg_units,sel_cfgIdx)</f>
        <v/>
      </c>
      <c r="AT47" s="7">
        <f>AS47*loc_rentaUnidad*(1+g_inf)^(A47-2026)*(1-vivienda_vacancia)</f>
        <v/>
      </c>
      <c r="AU47" s="7">
        <f>AR47+AN47*loc_impuestoPropPct/12+AM47*loc_seguroPct*(1+vivienda_inflacionSeguro)^(A47-2026)/12+IF(AND(AO47=0,AP47&lt;0.2),AQ47*vivienda_pmiTasa/12,0)</f>
        <v/>
      </c>
      <c r="AV47" s="7">
        <f>AN47*AP47+AN47*vivienda_cierrePct+general_reservaMeses/12*AJ47</f>
        <v/>
      </c>
      <c r="AW47" s="7">
        <f>(IF(14=0,MIN(personal_irsSaldo,personal_irsPagoMensual*12),MIN(CD46,personal_irsPagoMensual*12))+IF(CE47&gt;0,PMT(CF47,MAX(1,prestamos_plazoAnios-CG47),-CE47),0)+IF(CR47&gt;0,PMT(CS47,MAX(1,prestamos_plazoAnios-CT47),-CR47),0))/12</f>
        <v/>
      </c>
      <c r="AX47" s="7">
        <f>IF(OR(sel_cfg="duplex",sel_cfg="multi",sel_cfg="dosCasas"),0.75*personal_aporteFamiliaMensual,0)</f>
        <v/>
      </c>
      <c r="AY47" s="7">
        <f>AU47-0.75*AT47-AX47+AW47</f>
        <v/>
      </c>
      <c r="AZ47" s="7">
        <f>(D47+G47+H47+0.5*F47)/12</f>
        <v/>
      </c>
      <c r="BA47" s="7">
        <f>IF(AND(AL47=0,A47&gt;=vivienda_anioMinCompra,J47&lt;0.5,AI47&gt;0,AK47&gt;=AV47,AY47&lt;=vivienda_dtiMax*AZ47),1,0)</f>
        <v/>
      </c>
      <c r="BB47" s="7">
        <f>MAX(AL47,BA47)</f>
        <v/>
      </c>
      <c r="BC47" s="7">
        <f>IF(BA47=1,A47,IF(14=0,"",BC46))</f>
        <v/>
      </c>
      <c r="BD47" s="7">
        <f>AK47-IF(BA47=1,AN47*AP47+AN47*vivienda_cierrePct,0)</f>
        <v/>
      </c>
      <c r="BE47" s="7">
        <f>IF(BA47=1,AN47,IF(14=0,0,BE46))</f>
        <v/>
      </c>
      <c r="BF47" s="7">
        <f>IF(BA47=1,AR47,IF(14=0,0,BF46))</f>
        <v/>
      </c>
      <c r="BG47" s="7">
        <f>IF(BA47=1,IF(AND(AO47=0,AP47&lt;0.2),1,0),IF(14=0,0,BY46))</f>
        <v/>
      </c>
      <c r="BH47" s="7">
        <f>IF(sel_cfg="casaAdu",1,0)</f>
        <v/>
      </c>
      <c r="BI47" s="7">
        <f>IF(AND(BB47=1,BH47=1,IF(14=0,0,BJ46)=0,A47&gt;=IF(BC47="",9999,BC47)+vivienda_aduRetrasoAnios),1,0)</f>
        <v/>
      </c>
      <c r="BJ47" s="7">
        <f>MAX(IF(14=0,0,BJ46),BI47)</f>
        <v/>
      </c>
      <c r="BK47" s="7">
        <f>IF(BI47=1,PMT((g_mortRate+0.005)/12,180,-loc_precio_aduCosto*C47),IF(14=0,0,BK46))</f>
        <v/>
      </c>
      <c r="BL47" s="7">
        <f>IF(BA47=1,AN47,IF(14=0,0,DT46))+IF(BI47=1,loc_precio_aduCosto*C47,0)</f>
        <v/>
      </c>
      <c r="BM47" s="7">
        <f>IF(BA47=1,AQ47,IF(14=0,0,DU46))</f>
        <v/>
      </c>
      <c r="BN47" s="7">
        <f>IF(BM47&lt;=0,0,FV(g_mortRate/12,12,BF47,-BM47))</f>
        <v/>
      </c>
      <c r="BO47" s="7">
        <f>IF(BM47&lt;=0,0,12*BF47+MIN(0,BN47))</f>
        <v/>
      </c>
      <c r="BP47" s="7">
        <f>MAX(0,BN47)</f>
        <v/>
      </c>
      <c r="BQ47" s="7">
        <f>IF(BI47=1,loc_precio_aduCosto*C47,IF(14=0,0,DV46))</f>
        <v/>
      </c>
      <c r="BR47" s="7">
        <f>IF(BQ47&lt;=0,0,FV((g_mortRate+0.005)/12,12,BK47,-BQ47))</f>
        <v/>
      </c>
      <c r="BS47" s="7">
        <f>IF(BQ47&lt;=0,0,12*BK47+MIN(0,BR47))</f>
        <v/>
      </c>
      <c r="BT47" s="7">
        <f>MAX(0,BR47)</f>
        <v/>
      </c>
      <c r="BU47" s="7">
        <f>IF(BB47=1,AM47*loc_seguroPct*(1+vivienda_inflacionSeguro)^(A47-2026)*IF(BJ47=1,1+loc_precio_aduCosto/AM47,1),0)</f>
        <v/>
      </c>
      <c r="BV47" s="7">
        <f>BL47*loc_impuestoPropPct</f>
        <v/>
      </c>
      <c r="BW47" s="7">
        <f>BL47*vivienda_mantenimientoPct</f>
        <v/>
      </c>
      <c r="BX47" s="7">
        <f>IF(AND(BG47=1,BP47&gt;0.8*BE47),BE47*(1-vivienda_enganchePct)*vivienda_pmiTasa,0)</f>
        <v/>
      </c>
      <c r="BY47" s="7">
        <f>IF(AND(BG47=1,BP47&gt;0.8*BE47),1,0)</f>
        <v/>
      </c>
      <c r="BZ47" s="7">
        <f>IF(BB47=1,AS47*loc_rentaUnidad*12*C47*(1-vivienda_vacancia)*(1-vivienda_gestionPct),0)</f>
        <v/>
      </c>
      <c r="CA47" s="7">
        <f>IF(BB47=1,BO47+BS47+BU47+BV47+BW47+BX47,loc_rentaMensual*12*C47)</f>
        <v/>
      </c>
      <c r="CB47" s="7">
        <f>IF(BB47=1,personal_aporteFamiliaMensual*12,0)</f>
        <v/>
      </c>
      <c r="CC47" s="7">
        <f>MIN(IF(14=0,personal_irsSaldo,CD46),personal_irsPagoMensual*12)</f>
        <v/>
      </c>
      <c r="CD47" s="7">
        <f>IF(14=0,personal_irsSaldo,CD46)-CC47</f>
        <v/>
      </c>
      <c r="CE47" s="7">
        <f>IF(14=0,IF(personal_deudaEsFederal=1,personal_deudaEstudiantil,0),DW46)</f>
        <v/>
      </c>
      <c r="CF47" s="7">
        <f>IF(14=0,personal_tasaDeudaEstudiantil,DX46)</f>
        <v/>
      </c>
      <c r="CG47" s="7">
        <f>IF(14=0,0,DY46)</f>
        <v/>
      </c>
      <c r="CH47" s="7">
        <f>IF(J47&gt;=0.5,1,0)</f>
        <v/>
      </c>
      <c r="CI47" s="7">
        <f>IF(AND(CH47=0,prestamos_pslfActivo=1,K47&gt;=0.5,CE47&gt;0),1,0)</f>
        <v/>
      </c>
      <c r="CJ47" s="7">
        <f>CE47*CF47</f>
        <v/>
      </c>
      <c r="CK47" s="7">
        <f>MAX(prestamos_rapPagoMinimoAnual,IF(Y47&lt;10000,0,MIN(0.1,INT(Y47/10000)/100))*Y47)</f>
        <v/>
      </c>
      <c r="CL47" s="7">
        <f>IF(CE47&lt;=0,0,IF(CH47=1,0,IF(CI47=1,MIN(CE47+CJ47,CK47),PMT(CF47,MAX(1,prestamos_plazoAnios-CG47),-CE47))))</f>
        <v/>
      </c>
      <c r="CM47" s="7">
        <f>IF(CE47&lt;=0,0,IF(CH47=1,CE47+CJ47,IF(CI47=1,MAX(0,CE47-MAX(CL47-CJ47,MIN(600,CL47))),MAX(0,CE47*(1+CF47)-CL47))))</f>
        <v/>
      </c>
      <c r="CN47" s="7">
        <f>IF(14=0,0,CN46)+IF(CI47=1,12*MIN(1,K47),0)</f>
        <v/>
      </c>
      <c r="CO47" s="7">
        <f>IF(AND(CI47=1,CN47&gt;=prestamos_pslfPagos,CM47&gt;0),CM47,0)</f>
        <v/>
      </c>
      <c r="CP47" s="7">
        <f>CM47-CO47</f>
        <v/>
      </c>
      <c r="CQ47" s="7">
        <f>IF(AND(CE47&gt;0,CH47=0,CI47=0),CG47+1,CG47)</f>
        <v/>
      </c>
      <c r="CR47" s="7">
        <f>IF(14=0,IF(personal_deudaEsFederal=1,0,personal_deudaEstudiantil),EA46)</f>
        <v/>
      </c>
      <c r="CS47" s="7">
        <f>IF(14=0,IF(personal_deudaEsFederal=1,prestamos_tasaPrivada,personal_tasaDeudaEstudiantil),EB46)</f>
        <v/>
      </c>
      <c r="CT47" s="7">
        <f>IF(14=0,0,EC46)</f>
        <v/>
      </c>
      <c r="CU47" s="7">
        <f>IF(OR(CR47&lt;=0,CH47=1),0,PMT(CS47,MAX(1,prestamos_plazoAnios-CT47),-CR47))</f>
        <v/>
      </c>
      <c r="CV47" s="7">
        <f>IF(CR47&lt;=0,0,IF(CH47=1,CR47*(1+CS47),MAX(0,CR47*(1+CS47)-CU47)))</f>
        <v/>
      </c>
      <c r="CW47" s="7">
        <f>IF(AND(CR47&gt;0,CH47=0),CT47+1,CT47)</f>
        <v/>
      </c>
      <c r="CX47" s="7">
        <f>IF(14=0,0,ED46)*(1+general_tasaDeudaConsumo)</f>
        <v/>
      </c>
      <c r="CY47" s="7">
        <f>L47*12*tiempos_travelGastoExtraMes*C47</f>
        <v/>
      </c>
      <c r="CZ47" s="7">
        <f>AJ47+CY47+CA47+CC47+CL47+CU47+I47+N47-BZ47-CB47</f>
        <v/>
      </c>
      <c r="DA47" s="7">
        <f>AH47-CZ47</f>
        <v/>
      </c>
      <c r="DB47" s="7">
        <f>IF(14=0,0,DB46)+DA47</f>
        <v/>
      </c>
      <c r="DC47" s="7">
        <f>AN47*vivienda_enganchePct+AN47*vivienda_cierrePct+general_reservaMeses/12*AJ47</f>
        <v/>
      </c>
      <c r="DD47" s="7">
        <f>IF(BB47=1,g_ret,IF(BD47&gt;0,MIN(1,DC47/BD47),1)*g_cash+(1-IF(BD47&gt;0,MIN(1,DC47/BD47),1))*g_ret)</f>
        <v/>
      </c>
      <c r="DE47" s="7">
        <f>IF(DA47&gt;=0,MIN(CX47,DA47),0)</f>
        <v/>
      </c>
      <c r="DF47" s="7">
        <f>IF(DA47&gt;=0,(1-general_tasaAhorro)*(DA47-DE47),0)</f>
        <v/>
      </c>
      <c r="DG47" s="7">
        <f>IF(DA47&gt;=0,DA47-DE47-DF47,0)</f>
        <v/>
      </c>
      <c r="DH47" s="7">
        <f>MIN(personal_rothAnual,DG47)</f>
        <v/>
      </c>
      <c r="DI47" s="7">
        <f>IF(AND(DA47&gt;=0,BB47=1,BP47+BT47&gt;0),MIN(vivienda_prepagoPct*(DG47-DH47),BP47+BT47),0)</f>
        <v/>
      </c>
      <c r="DJ47" s="7">
        <f>MIN(DI47,BP47)</f>
        <v/>
      </c>
      <c r="DK47" s="7">
        <f>IF(DA47&lt;0,MIN(MAX(0,BD47),-DA47),0)</f>
        <v/>
      </c>
      <c r="DL47" s="7">
        <f>IF(DA47&lt;0,-DA47-DK47,0)</f>
        <v/>
      </c>
      <c r="DM47" s="7">
        <f>IF(14=0,0,DZ46)</f>
        <v/>
      </c>
      <c r="DN47" s="7">
        <f>IF(AND(DL47&gt;0,J47&gt;0),MIN(DL47,MIN(prestamos_topeAnualPosgrado*MIN(1,J47),MAX(0,prestamos_topeTotalPosgrado-DM47))),0)</f>
        <v/>
      </c>
      <c r="DO47" s="7">
        <f>IF(AND(DL47&gt;0,J47&gt;0),DL47-DN47,0)</f>
        <v/>
      </c>
      <c r="DP47" s="7">
        <f>IF(AND(DL47&gt;0,J47&lt;=0),DL47,0)</f>
        <v/>
      </c>
      <c r="DQ47" s="7">
        <f>IF(DA47&gt;=0,DG47-DH47-DI47,-DK47)</f>
        <v/>
      </c>
      <c r="DR47" s="7">
        <f>BD47*(1+DD47)+DQ47*(1+DD47/2)</f>
        <v/>
      </c>
      <c r="DS47" s="7">
        <f>IF(14=0,personal_retiroInicial,DS46)*(1+g_ret)+(O47+P47+DH47)*(1+g_ret/2)</f>
        <v/>
      </c>
      <c r="DT47" s="7">
        <f>IF(BB47=1,BL47*(1+g_appr),0)</f>
        <v/>
      </c>
      <c r="DU47" s="7">
        <f>BP47-DJ47</f>
        <v/>
      </c>
      <c r="DV47" s="7">
        <f>BT47-(DI47-DJ47)</f>
        <v/>
      </c>
      <c r="DW47" s="7">
        <f>CP47+DN47</f>
        <v/>
      </c>
      <c r="DX47" s="7">
        <f>IF(DN47&gt;0,(CP47*CF47+DN47*prestamos_tasaFederalPosgrado)/(CP47+DN47),CF47)</f>
        <v/>
      </c>
      <c r="DY47" s="7">
        <f>IF(DN47&gt;0,0,CQ47)</f>
        <v/>
      </c>
      <c r="DZ47" s="7">
        <f>DM47+DN47</f>
        <v/>
      </c>
      <c r="EA47" s="7">
        <f>CV47+DO47</f>
        <v/>
      </c>
      <c r="EB47" s="7">
        <f>IF(DO47&gt;0,(CV47*CS47+DO47*prestamos_tasaPrivada)/(CV47+DO47),CS47)</f>
        <v/>
      </c>
      <c r="EC47" s="7">
        <f>IF(DO47&gt;0,0,CW47)</f>
        <v/>
      </c>
      <c r="ED47" s="7">
        <f>CX47-DE47+DP47</f>
        <v/>
      </c>
      <c r="EE47" s="7">
        <f>IF(IF(14=0,"",EE46)&lt;&gt;"",EE46,IF(AND(BB47=1,DU47&lt;=0.5,DV47&lt;=0.5,OR(BH47=0,BJ47=1)),A47,""))</f>
        <v/>
      </c>
      <c r="EF47" s="7">
        <f>DU47+DV47+DW47+EA47+ED47+CD47</f>
        <v/>
      </c>
      <c r="EG47" s="7">
        <f>DR47+DS47+DT47-EF47</f>
        <v/>
      </c>
      <c r="EH47" s="7">
        <f>EG47/(1+g_inf)^(A47+1-2026)</f>
        <v/>
      </c>
    </row>
    <row r="48">
      <c r="A48" t="n">
        <v>2042</v>
      </c>
      <c r="B48" t="n">
        <v>15</v>
      </c>
      <c r="C48" s="7">
        <f>(1+g_inf)^(A48-2026)</f>
        <v/>
      </c>
      <c r="D48" s="7">
        <f>SUMPRODUCT($AI$5:$AI$29,$E$5:$E$29*(1+$F$5:$F$29)^(A48-2026)*$G$5:$G$29*$H$5:$H$29*(1-$N$5:$N$29*$O$5:$O$29))*g_salMult+SUMPRODUCT(($B$5:$B$29&gt;=A48)*($B$5:$B$29&lt;A48+1)*$I$5:$I$29)*g_salMult</f>
        <v/>
      </c>
      <c r="E48" s="7">
        <f>SUMPRODUCT($AI$5:$AI$29,$E$5:$E$29*(1+$F$5:$F$29)^(A48-2026)*$G$5:$G$29*$H$5:$H$29*$M$5:$M$29)*g_salMult</f>
        <v/>
      </c>
      <c r="F48" s="7">
        <f>SUMPRODUCT($AI$5:$AI$29,$E$5:$E$29*(1+$F$5:$F$29)^(A48-2026)*$G$5:$G$29*$H$5:$H$29*$N$5:$N$29*$O$5:$O$29)*g_salMult</f>
        <v/>
      </c>
      <c r="G48" s="7">
        <f>SUMPRODUCT($AI$5:$AI$29,$P$5:$P$29*(1+$F$5:$F$29)^(A48-2026))</f>
        <v/>
      </c>
      <c r="H48" s="7">
        <f>SUMPRODUCT($AI$5:$AI$29,$Q$5:$Q$29*(1+$F$5:$F$29)^(A48-2026))+IF(personal_llcActivo=1,personal_llcNeto*(1+personal_llcCrecimiento)^15,0)</f>
        <v/>
      </c>
      <c r="I48" s="7">
        <f>SUMPRODUCT($AI$5:$AI$29,$J$5:$J$29/($C$5:$C$29-$B$5:$B$29+($C$5:$C$29=$B$5:$B$29)))*C48</f>
        <v/>
      </c>
      <c r="J48" s="7">
        <f>SUMPRODUCT($AI$5:$AI$29,$K$5:$K$29)</f>
        <v/>
      </c>
      <c r="K48" s="7">
        <f>SUMPRODUCT($AI$5:$AI$29,$L$5:$L$29)</f>
        <v/>
      </c>
      <c r="L48" s="7">
        <f>SUMPRODUCT($AI$5:$AI$29,$N$5:$N$29)</f>
        <v/>
      </c>
      <c r="M48" s="7">
        <f>IF(SUMPRODUCT($AI$5:$AI$29,$R$5:$R$29)&gt;0,1,0)</f>
        <v/>
      </c>
      <c r="N48" s="7">
        <f>SUMPRODUCT(($AO$5:$AO$24&gt;=A48)*($AO$5:$AO$24&lt;A48+1)*$AP$5:$AP$24)*C48+IF(15=0,IF(sel_loc&lt;&gt;"miami",personal_costoMudanzaInicial,0),0)</f>
        <v/>
      </c>
      <c r="O48" s="7">
        <f>MIN(personal_aporte403bPct*D48,retiro_limite403b*C48)</f>
        <v/>
      </c>
      <c r="P48" s="7">
        <f>MIN(personal_aporte403bPct,personal_match403bPct)*E48</f>
        <v/>
      </c>
      <c r="Q48" s="7">
        <f>IF(G48&gt;0,MAX(0,G48-impuestos_scorpCostoAnual*C48),0)</f>
        <v/>
      </c>
      <c r="R48" s="7">
        <f>Q48*impuestos_scorpSalarioPct/(1+impuestos_ssTasa+impuestos_medicareTasa)</f>
        <v/>
      </c>
      <c r="S48" s="7">
        <f>impuestos_ssTasa*MIN(R48,MAX(0,impuestos_ssTope*C48-D48))+impuestos_medicareTasa*R48</f>
        <v/>
      </c>
      <c r="T48" s="7">
        <f>Q48-R48-S48</f>
        <v/>
      </c>
      <c r="U48" s="7">
        <f>D48+R48</f>
        <v/>
      </c>
      <c r="V48" s="7">
        <f>H48*0.9235</f>
        <v/>
      </c>
      <c r="W48" s="7">
        <f>IF(H48&gt;0,2*impuestos_ssTasa*MIN(V48,MAX(0,impuestos_ssTope*C48-U48))+2*impuestos_medicareTasa*V48,0)</f>
        <v/>
      </c>
      <c r="X48" s="7">
        <f>impuestos_ssTasa*MIN(U48,impuestos_ssTope*C48)+impuestos_medicareTasa*U48+impuestos_medicareAdicional*MAX(0,U48+H48*0.9235-impuestos_medicareUmbral)</f>
        <v/>
      </c>
      <c r="Y48" s="7">
        <f>MAX(0,D48-O48+R48+T48+H48-W48/2)</f>
        <v/>
      </c>
      <c r="Z48" s="7">
        <f>MAX(0,Y48-impuestos_deduccionEstandar*C48)</f>
        <v/>
      </c>
      <c r="AA48" s="7">
        <f>MIN(0.2*MAX(0,T48+H48-W48/2)*MAX(0,MIN(1,1-(Z48-impuestos_qbiUmbral*C48)/(impuestos_qbiRango*C48))),0.2*Z48)</f>
        <v/>
      </c>
      <c r="AB48" s="7">
        <f>MAX(0,Z48-AA48)</f>
        <v/>
      </c>
      <c r="AC48" s="7">
        <f>SUMPRODUCT((AB48&gt;tb_federalBrackets_lo*C48)*(AB48-tb_federalBrackets_lo*C48)*tb_federalBrackets_dr)</f>
        <v/>
      </c>
      <c r="AD48" s="7">
        <f>MAX(0,Y48-impuestos_nyDeduccion*C48)</f>
        <v/>
      </c>
      <c r="AE48" s="7">
        <f>CHOOSE(loc_taxcode,0,impuestos_ohTasa*MAX(0,Y48-impuestos_ohExento*C48)+impuestos_ohMunicipal*U48,SUMPRODUCT((AD48&gt;tb_nyBrackets_lo*C48)*(AD48-tb_nyBrackets_lo*C48)*tb_nyBrackets_dr)+loc_nyc*SUMPRODUCT((AD48&gt;tb_nycBrackets_lo*C48)*(AD48-tb_nycBrackets_lo*C48)*tb_nycBrackets_dr))</f>
        <v/>
      </c>
      <c r="AF48" s="7">
        <f>AC48+AE48+X48+W48</f>
        <v/>
      </c>
      <c r="AG48" s="7">
        <f>D48+F48+R48+T48+H48</f>
        <v/>
      </c>
      <c r="AH48" s="7">
        <f>AG48-AF48-O48</f>
        <v/>
      </c>
      <c r="AI48" s="7">
        <f>D48+F48+G48+H48</f>
        <v/>
      </c>
      <c r="AJ48" s="7">
        <f>loc_gastosVida*C48*g_gastos</f>
        <v/>
      </c>
      <c r="AK48" s="7">
        <f>IF(15=0,personal_liquidoInicial,DR47)</f>
        <v/>
      </c>
      <c r="AL48" s="7">
        <f>IF(15=0,0,BB47)</f>
        <v/>
      </c>
      <c r="AM48" s="7">
        <f>CHOOSE(sel_cfgIdx,loc_precio_duplex,loc_precio_inlaw,loc_precio_dosCasas,loc_precio_casaAdu,loc_precio_multi)</f>
        <v/>
      </c>
      <c r="AN48" s="7">
        <f>AM48*(1+g_appr)^(A48-2026)</f>
        <v/>
      </c>
      <c r="AO48" s="7">
        <f>IF(AND(M48=1,vivienda_prestamoMedico=1),1,0)</f>
        <v/>
      </c>
      <c r="AP48" s="7">
        <f>IF(AO48=1,0.05,vivienda_enganchePct)</f>
        <v/>
      </c>
      <c r="AQ48" s="7">
        <f>AN48*(1-AP48)</f>
        <v/>
      </c>
      <c r="AR48" s="7">
        <f>PMT(g_mortRate/12,vivienda_plazoHipoteca*12,-AQ48)</f>
        <v/>
      </c>
      <c r="AS48" s="7">
        <f>INDEX(cfg_units,sel_cfgIdx)</f>
        <v/>
      </c>
      <c r="AT48" s="7">
        <f>AS48*loc_rentaUnidad*(1+g_inf)^(A48-2026)*(1-vivienda_vacancia)</f>
        <v/>
      </c>
      <c r="AU48" s="7">
        <f>AR48+AN48*loc_impuestoPropPct/12+AM48*loc_seguroPct*(1+vivienda_inflacionSeguro)^(A48-2026)/12+IF(AND(AO48=0,AP48&lt;0.2),AQ48*vivienda_pmiTasa/12,0)</f>
        <v/>
      </c>
      <c r="AV48" s="7">
        <f>AN48*AP48+AN48*vivienda_cierrePct+general_reservaMeses/12*AJ48</f>
        <v/>
      </c>
      <c r="AW48" s="7">
        <f>(IF(15=0,MIN(personal_irsSaldo,personal_irsPagoMensual*12),MIN(CD47,personal_irsPagoMensual*12))+IF(CE48&gt;0,PMT(CF48,MAX(1,prestamos_plazoAnios-CG48),-CE48),0)+IF(CR48&gt;0,PMT(CS48,MAX(1,prestamos_plazoAnios-CT48),-CR48),0))/12</f>
        <v/>
      </c>
      <c r="AX48" s="7">
        <f>IF(OR(sel_cfg="duplex",sel_cfg="multi",sel_cfg="dosCasas"),0.75*personal_aporteFamiliaMensual,0)</f>
        <v/>
      </c>
      <c r="AY48" s="7">
        <f>AU48-0.75*AT48-AX48+AW48</f>
        <v/>
      </c>
      <c r="AZ48" s="7">
        <f>(D48+G48+H48+0.5*F48)/12</f>
        <v/>
      </c>
      <c r="BA48" s="7">
        <f>IF(AND(AL48=0,A48&gt;=vivienda_anioMinCompra,J48&lt;0.5,AI48&gt;0,AK48&gt;=AV48,AY48&lt;=vivienda_dtiMax*AZ48),1,0)</f>
        <v/>
      </c>
      <c r="BB48" s="7">
        <f>MAX(AL48,BA48)</f>
        <v/>
      </c>
      <c r="BC48" s="7">
        <f>IF(BA48=1,A48,IF(15=0,"",BC47))</f>
        <v/>
      </c>
      <c r="BD48" s="7">
        <f>AK48-IF(BA48=1,AN48*AP48+AN48*vivienda_cierrePct,0)</f>
        <v/>
      </c>
      <c r="BE48" s="7">
        <f>IF(BA48=1,AN48,IF(15=0,0,BE47))</f>
        <v/>
      </c>
      <c r="BF48" s="7">
        <f>IF(BA48=1,AR48,IF(15=0,0,BF47))</f>
        <v/>
      </c>
      <c r="BG48" s="7">
        <f>IF(BA48=1,IF(AND(AO48=0,AP48&lt;0.2),1,0),IF(15=0,0,BY47))</f>
        <v/>
      </c>
      <c r="BH48" s="7">
        <f>IF(sel_cfg="casaAdu",1,0)</f>
        <v/>
      </c>
      <c r="BI48" s="7">
        <f>IF(AND(BB48=1,BH48=1,IF(15=0,0,BJ47)=0,A48&gt;=IF(BC48="",9999,BC48)+vivienda_aduRetrasoAnios),1,0)</f>
        <v/>
      </c>
      <c r="BJ48" s="7">
        <f>MAX(IF(15=0,0,BJ47),BI48)</f>
        <v/>
      </c>
      <c r="BK48" s="7">
        <f>IF(BI48=1,PMT((g_mortRate+0.005)/12,180,-loc_precio_aduCosto*C48),IF(15=0,0,BK47))</f>
        <v/>
      </c>
      <c r="BL48" s="7">
        <f>IF(BA48=1,AN48,IF(15=0,0,DT47))+IF(BI48=1,loc_precio_aduCosto*C48,0)</f>
        <v/>
      </c>
      <c r="BM48" s="7">
        <f>IF(BA48=1,AQ48,IF(15=0,0,DU47))</f>
        <v/>
      </c>
      <c r="BN48" s="7">
        <f>IF(BM48&lt;=0,0,FV(g_mortRate/12,12,BF48,-BM48))</f>
        <v/>
      </c>
      <c r="BO48" s="7">
        <f>IF(BM48&lt;=0,0,12*BF48+MIN(0,BN48))</f>
        <v/>
      </c>
      <c r="BP48" s="7">
        <f>MAX(0,BN48)</f>
        <v/>
      </c>
      <c r="BQ48" s="7">
        <f>IF(BI48=1,loc_precio_aduCosto*C48,IF(15=0,0,DV47))</f>
        <v/>
      </c>
      <c r="BR48" s="7">
        <f>IF(BQ48&lt;=0,0,FV((g_mortRate+0.005)/12,12,BK48,-BQ48))</f>
        <v/>
      </c>
      <c r="BS48" s="7">
        <f>IF(BQ48&lt;=0,0,12*BK48+MIN(0,BR48))</f>
        <v/>
      </c>
      <c r="BT48" s="7">
        <f>MAX(0,BR48)</f>
        <v/>
      </c>
      <c r="BU48" s="7">
        <f>IF(BB48=1,AM48*loc_seguroPct*(1+vivienda_inflacionSeguro)^(A48-2026)*IF(BJ48=1,1+loc_precio_aduCosto/AM48,1),0)</f>
        <v/>
      </c>
      <c r="BV48" s="7">
        <f>BL48*loc_impuestoPropPct</f>
        <v/>
      </c>
      <c r="BW48" s="7">
        <f>BL48*vivienda_mantenimientoPct</f>
        <v/>
      </c>
      <c r="BX48" s="7">
        <f>IF(AND(BG48=1,BP48&gt;0.8*BE48),BE48*(1-vivienda_enganchePct)*vivienda_pmiTasa,0)</f>
        <v/>
      </c>
      <c r="BY48" s="7">
        <f>IF(AND(BG48=1,BP48&gt;0.8*BE48),1,0)</f>
        <v/>
      </c>
      <c r="BZ48" s="7">
        <f>IF(BB48=1,AS48*loc_rentaUnidad*12*C48*(1-vivienda_vacancia)*(1-vivienda_gestionPct),0)</f>
        <v/>
      </c>
      <c r="CA48" s="7">
        <f>IF(BB48=1,BO48+BS48+BU48+BV48+BW48+BX48,loc_rentaMensual*12*C48)</f>
        <v/>
      </c>
      <c r="CB48" s="7">
        <f>IF(BB48=1,personal_aporteFamiliaMensual*12,0)</f>
        <v/>
      </c>
      <c r="CC48" s="7">
        <f>MIN(IF(15=0,personal_irsSaldo,CD47),personal_irsPagoMensual*12)</f>
        <v/>
      </c>
      <c r="CD48" s="7">
        <f>IF(15=0,personal_irsSaldo,CD47)-CC48</f>
        <v/>
      </c>
      <c r="CE48" s="7">
        <f>IF(15=0,IF(personal_deudaEsFederal=1,personal_deudaEstudiantil,0),DW47)</f>
        <v/>
      </c>
      <c r="CF48" s="7">
        <f>IF(15=0,personal_tasaDeudaEstudiantil,DX47)</f>
        <v/>
      </c>
      <c r="CG48" s="7">
        <f>IF(15=0,0,DY47)</f>
        <v/>
      </c>
      <c r="CH48" s="7">
        <f>IF(J48&gt;=0.5,1,0)</f>
        <v/>
      </c>
      <c r="CI48" s="7">
        <f>IF(AND(CH48=0,prestamos_pslfActivo=1,K48&gt;=0.5,CE48&gt;0),1,0)</f>
        <v/>
      </c>
      <c r="CJ48" s="7">
        <f>CE48*CF48</f>
        <v/>
      </c>
      <c r="CK48" s="7">
        <f>MAX(prestamos_rapPagoMinimoAnual,IF(Y48&lt;10000,0,MIN(0.1,INT(Y48/10000)/100))*Y48)</f>
        <v/>
      </c>
      <c r="CL48" s="7">
        <f>IF(CE48&lt;=0,0,IF(CH48=1,0,IF(CI48=1,MIN(CE48+CJ48,CK48),PMT(CF48,MAX(1,prestamos_plazoAnios-CG48),-CE48))))</f>
        <v/>
      </c>
      <c r="CM48" s="7">
        <f>IF(CE48&lt;=0,0,IF(CH48=1,CE48+CJ48,IF(CI48=1,MAX(0,CE48-MAX(CL48-CJ48,MIN(600,CL48))),MAX(0,CE48*(1+CF48)-CL48))))</f>
        <v/>
      </c>
      <c r="CN48" s="7">
        <f>IF(15=0,0,CN47)+IF(CI48=1,12*MIN(1,K48),0)</f>
        <v/>
      </c>
      <c r="CO48" s="7">
        <f>IF(AND(CI48=1,CN48&gt;=prestamos_pslfPagos,CM48&gt;0),CM48,0)</f>
        <v/>
      </c>
      <c r="CP48" s="7">
        <f>CM48-CO48</f>
        <v/>
      </c>
      <c r="CQ48" s="7">
        <f>IF(AND(CE48&gt;0,CH48=0,CI48=0),CG48+1,CG48)</f>
        <v/>
      </c>
      <c r="CR48" s="7">
        <f>IF(15=0,IF(personal_deudaEsFederal=1,0,personal_deudaEstudiantil),EA47)</f>
        <v/>
      </c>
      <c r="CS48" s="7">
        <f>IF(15=0,IF(personal_deudaEsFederal=1,prestamos_tasaPrivada,personal_tasaDeudaEstudiantil),EB47)</f>
        <v/>
      </c>
      <c r="CT48" s="7">
        <f>IF(15=0,0,EC47)</f>
        <v/>
      </c>
      <c r="CU48" s="7">
        <f>IF(OR(CR48&lt;=0,CH48=1),0,PMT(CS48,MAX(1,prestamos_plazoAnios-CT48),-CR48))</f>
        <v/>
      </c>
      <c r="CV48" s="7">
        <f>IF(CR48&lt;=0,0,IF(CH48=1,CR48*(1+CS48),MAX(0,CR48*(1+CS48)-CU48)))</f>
        <v/>
      </c>
      <c r="CW48" s="7">
        <f>IF(AND(CR48&gt;0,CH48=0),CT48+1,CT48)</f>
        <v/>
      </c>
      <c r="CX48" s="7">
        <f>IF(15=0,0,ED47)*(1+general_tasaDeudaConsumo)</f>
        <v/>
      </c>
      <c r="CY48" s="7">
        <f>L48*12*tiempos_travelGastoExtraMes*C48</f>
        <v/>
      </c>
      <c r="CZ48" s="7">
        <f>AJ48+CY48+CA48+CC48+CL48+CU48+I48+N48-BZ48-CB48</f>
        <v/>
      </c>
      <c r="DA48" s="7">
        <f>AH48-CZ48</f>
        <v/>
      </c>
      <c r="DB48" s="7">
        <f>IF(15=0,0,DB47)+DA48</f>
        <v/>
      </c>
      <c r="DC48" s="7">
        <f>AN48*vivienda_enganchePct+AN48*vivienda_cierrePct+general_reservaMeses/12*AJ48</f>
        <v/>
      </c>
      <c r="DD48" s="7">
        <f>IF(BB48=1,g_ret,IF(BD48&gt;0,MIN(1,DC48/BD48),1)*g_cash+(1-IF(BD48&gt;0,MIN(1,DC48/BD48),1))*g_ret)</f>
        <v/>
      </c>
      <c r="DE48" s="7">
        <f>IF(DA48&gt;=0,MIN(CX48,DA48),0)</f>
        <v/>
      </c>
      <c r="DF48" s="7">
        <f>IF(DA48&gt;=0,(1-general_tasaAhorro)*(DA48-DE48),0)</f>
        <v/>
      </c>
      <c r="DG48" s="7">
        <f>IF(DA48&gt;=0,DA48-DE48-DF48,0)</f>
        <v/>
      </c>
      <c r="DH48" s="7">
        <f>MIN(personal_rothAnual,DG48)</f>
        <v/>
      </c>
      <c r="DI48" s="7">
        <f>IF(AND(DA48&gt;=0,BB48=1,BP48+BT48&gt;0),MIN(vivienda_prepagoPct*(DG48-DH48),BP48+BT48),0)</f>
        <v/>
      </c>
      <c r="DJ48" s="7">
        <f>MIN(DI48,BP48)</f>
        <v/>
      </c>
      <c r="DK48" s="7">
        <f>IF(DA48&lt;0,MIN(MAX(0,BD48),-DA48),0)</f>
        <v/>
      </c>
      <c r="DL48" s="7">
        <f>IF(DA48&lt;0,-DA48-DK48,0)</f>
        <v/>
      </c>
      <c r="DM48" s="7">
        <f>IF(15=0,0,DZ47)</f>
        <v/>
      </c>
      <c r="DN48" s="7">
        <f>IF(AND(DL48&gt;0,J48&gt;0),MIN(DL48,MIN(prestamos_topeAnualPosgrado*MIN(1,J48),MAX(0,prestamos_topeTotalPosgrado-DM48))),0)</f>
        <v/>
      </c>
      <c r="DO48" s="7">
        <f>IF(AND(DL48&gt;0,J48&gt;0),DL48-DN48,0)</f>
        <v/>
      </c>
      <c r="DP48" s="7">
        <f>IF(AND(DL48&gt;0,J48&lt;=0),DL48,0)</f>
        <v/>
      </c>
      <c r="DQ48" s="7">
        <f>IF(DA48&gt;=0,DG48-DH48-DI48,-DK48)</f>
        <v/>
      </c>
      <c r="DR48" s="7">
        <f>BD48*(1+DD48)+DQ48*(1+DD48/2)</f>
        <v/>
      </c>
      <c r="DS48" s="7">
        <f>IF(15=0,personal_retiroInicial,DS47)*(1+g_ret)+(O48+P48+DH48)*(1+g_ret/2)</f>
        <v/>
      </c>
      <c r="DT48" s="7">
        <f>IF(BB48=1,BL48*(1+g_appr),0)</f>
        <v/>
      </c>
      <c r="DU48" s="7">
        <f>BP48-DJ48</f>
        <v/>
      </c>
      <c r="DV48" s="7">
        <f>BT48-(DI48-DJ48)</f>
        <v/>
      </c>
      <c r="DW48" s="7">
        <f>CP48+DN48</f>
        <v/>
      </c>
      <c r="DX48" s="7">
        <f>IF(DN48&gt;0,(CP48*CF48+DN48*prestamos_tasaFederalPosgrado)/(CP48+DN48),CF48)</f>
        <v/>
      </c>
      <c r="DY48" s="7">
        <f>IF(DN48&gt;0,0,CQ48)</f>
        <v/>
      </c>
      <c r="DZ48" s="7">
        <f>DM48+DN48</f>
        <v/>
      </c>
      <c r="EA48" s="7">
        <f>CV48+DO48</f>
        <v/>
      </c>
      <c r="EB48" s="7">
        <f>IF(DO48&gt;0,(CV48*CS48+DO48*prestamos_tasaPrivada)/(CV48+DO48),CS48)</f>
        <v/>
      </c>
      <c r="EC48" s="7">
        <f>IF(DO48&gt;0,0,CW48)</f>
        <v/>
      </c>
      <c r="ED48" s="7">
        <f>CX48-DE48+DP48</f>
        <v/>
      </c>
      <c r="EE48" s="7">
        <f>IF(IF(15=0,"",EE47)&lt;&gt;"",EE47,IF(AND(BB48=1,DU48&lt;=0.5,DV48&lt;=0.5,OR(BH48=0,BJ48=1)),A48,""))</f>
        <v/>
      </c>
      <c r="EF48" s="7">
        <f>DU48+DV48+DW48+EA48+ED48+CD48</f>
        <v/>
      </c>
      <c r="EG48" s="7">
        <f>DR48+DS48+DT48-EF48</f>
        <v/>
      </c>
      <c r="EH48" s="7">
        <f>EG48/(1+g_inf)^(A48+1-2026)</f>
        <v/>
      </c>
    </row>
    <row r="49">
      <c r="A49" t="n">
        <v>2043</v>
      </c>
      <c r="B49" t="n">
        <v>16</v>
      </c>
      <c r="C49" s="7">
        <f>(1+g_inf)^(A49-2026)</f>
        <v/>
      </c>
      <c r="D49" s="7">
        <f>SUMPRODUCT($AJ$5:$AJ$29,$E$5:$E$29*(1+$F$5:$F$29)^(A49-2026)*$G$5:$G$29*$H$5:$H$29*(1-$N$5:$N$29*$O$5:$O$29))*g_salMult+SUMPRODUCT(($B$5:$B$29&gt;=A49)*($B$5:$B$29&lt;A49+1)*$I$5:$I$29)*g_salMult</f>
        <v/>
      </c>
      <c r="E49" s="7">
        <f>SUMPRODUCT($AJ$5:$AJ$29,$E$5:$E$29*(1+$F$5:$F$29)^(A49-2026)*$G$5:$G$29*$H$5:$H$29*$M$5:$M$29)*g_salMult</f>
        <v/>
      </c>
      <c r="F49" s="7">
        <f>SUMPRODUCT($AJ$5:$AJ$29,$E$5:$E$29*(1+$F$5:$F$29)^(A49-2026)*$G$5:$G$29*$H$5:$H$29*$N$5:$N$29*$O$5:$O$29)*g_salMult</f>
        <v/>
      </c>
      <c r="G49" s="7">
        <f>SUMPRODUCT($AJ$5:$AJ$29,$P$5:$P$29*(1+$F$5:$F$29)^(A49-2026))</f>
        <v/>
      </c>
      <c r="H49" s="7">
        <f>SUMPRODUCT($AJ$5:$AJ$29,$Q$5:$Q$29*(1+$F$5:$F$29)^(A49-2026))+IF(personal_llcActivo=1,personal_llcNeto*(1+personal_llcCrecimiento)^16,0)</f>
        <v/>
      </c>
      <c r="I49" s="7">
        <f>SUMPRODUCT($AJ$5:$AJ$29,$J$5:$J$29/($C$5:$C$29-$B$5:$B$29+($C$5:$C$29=$B$5:$B$29)))*C49</f>
        <v/>
      </c>
      <c r="J49" s="7">
        <f>SUMPRODUCT($AJ$5:$AJ$29,$K$5:$K$29)</f>
        <v/>
      </c>
      <c r="K49" s="7">
        <f>SUMPRODUCT($AJ$5:$AJ$29,$L$5:$L$29)</f>
        <v/>
      </c>
      <c r="L49" s="7">
        <f>SUMPRODUCT($AJ$5:$AJ$29,$N$5:$N$29)</f>
        <v/>
      </c>
      <c r="M49" s="7">
        <f>IF(SUMPRODUCT($AJ$5:$AJ$29,$R$5:$R$29)&gt;0,1,0)</f>
        <v/>
      </c>
      <c r="N49" s="7">
        <f>SUMPRODUCT(($AO$5:$AO$24&gt;=A49)*($AO$5:$AO$24&lt;A49+1)*$AP$5:$AP$24)*C49+IF(16=0,IF(sel_loc&lt;&gt;"miami",personal_costoMudanzaInicial,0),0)</f>
        <v/>
      </c>
      <c r="O49" s="7">
        <f>MIN(personal_aporte403bPct*D49,retiro_limite403b*C49)</f>
        <v/>
      </c>
      <c r="P49" s="7">
        <f>MIN(personal_aporte403bPct,personal_match403bPct)*E49</f>
        <v/>
      </c>
      <c r="Q49" s="7">
        <f>IF(G49&gt;0,MAX(0,G49-impuestos_scorpCostoAnual*C49),0)</f>
        <v/>
      </c>
      <c r="R49" s="7">
        <f>Q49*impuestos_scorpSalarioPct/(1+impuestos_ssTasa+impuestos_medicareTasa)</f>
        <v/>
      </c>
      <c r="S49" s="7">
        <f>impuestos_ssTasa*MIN(R49,MAX(0,impuestos_ssTope*C49-D49))+impuestos_medicareTasa*R49</f>
        <v/>
      </c>
      <c r="T49" s="7">
        <f>Q49-R49-S49</f>
        <v/>
      </c>
      <c r="U49" s="7">
        <f>D49+R49</f>
        <v/>
      </c>
      <c r="V49" s="7">
        <f>H49*0.9235</f>
        <v/>
      </c>
      <c r="W49" s="7">
        <f>IF(H49&gt;0,2*impuestos_ssTasa*MIN(V49,MAX(0,impuestos_ssTope*C49-U49))+2*impuestos_medicareTasa*V49,0)</f>
        <v/>
      </c>
      <c r="X49" s="7">
        <f>impuestos_ssTasa*MIN(U49,impuestos_ssTope*C49)+impuestos_medicareTasa*U49+impuestos_medicareAdicional*MAX(0,U49+H49*0.9235-impuestos_medicareUmbral)</f>
        <v/>
      </c>
      <c r="Y49" s="7">
        <f>MAX(0,D49-O49+R49+T49+H49-W49/2)</f>
        <v/>
      </c>
      <c r="Z49" s="7">
        <f>MAX(0,Y49-impuestos_deduccionEstandar*C49)</f>
        <v/>
      </c>
      <c r="AA49" s="7">
        <f>MIN(0.2*MAX(0,T49+H49-W49/2)*MAX(0,MIN(1,1-(Z49-impuestos_qbiUmbral*C49)/(impuestos_qbiRango*C49))),0.2*Z49)</f>
        <v/>
      </c>
      <c r="AB49" s="7">
        <f>MAX(0,Z49-AA49)</f>
        <v/>
      </c>
      <c r="AC49" s="7">
        <f>SUMPRODUCT((AB49&gt;tb_federalBrackets_lo*C49)*(AB49-tb_federalBrackets_lo*C49)*tb_federalBrackets_dr)</f>
        <v/>
      </c>
      <c r="AD49" s="7">
        <f>MAX(0,Y49-impuestos_nyDeduccion*C49)</f>
        <v/>
      </c>
      <c r="AE49" s="7">
        <f>CHOOSE(loc_taxcode,0,impuestos_ohTasa*MAX(0,Y49-impuestos_ohExento*C49)+impuestos_ohMunicipal*U49,SUMPRODUCT((AD49&gt;tb_nyBrackets_lo*C49)*(AD49-tb_nyBrackets_lo*C49)*tb_nyBrackets_dr)+loc_nyc*SUMPRODUCT((AD49&gt;tb_nycBrackets_lo*C49)*(AD49-tb_nycBrackets_lo*C49)*tb_nycBrackets_dr))</f>
        <v/>
      </c>
      <c r="AF49" s="7">
        <f>AC49+AE49+X49+W49</f>
        <v/>
      </c>
      <c r="AG49" s="7">
        <f>D49+F49+R49+T49+H49</f>
        <v/>
      </c>
      <c r="AH49" s="7">
        <f>AG49-AF49-O49</f>
        <v/>
      </c>
      <c r="AI49" s="7">
        <f>D49+F49+G49+H49</f>
        <v/>
      </c>
      <c r="AJ49" s="7">
        <f>loc_gastosVida*C49*g_gastos</f>
        <v/>
      </c>
      <c r="AK49" s="7">
        <f>IF(16=0,personal_liquidoInicial,DR48)</f>
        <v/>
      </c>
      <c r="AL49" s="7">
        <f>IF(16=0,0,BB48)</f>
        <v/>
      </c>
      <c r="AM49" s="7">
        <f>CHOOSE(sel_cfgIdx,loc_precio_duplex,loc_precio_inlaw,loc_precio_dosCasas,loc_precio_casaAdu,loc_precio_multi)</f>
        <v/>
      </c>
      <c r="AN49" s="7">
        <f>AM49*(1+g_appr)^(A49-2026)</f>
        <v/>
      </c>
      <c r="AO49" s="7">
        <f>IF(AND(M49=1,vivienda_prestamoMedico=1),1,0)</f>
        <v/>
      </c>
      <c r="AP49" s="7">
        <f>IF(AO49=1,0.05,vivienda_enganchePct)</f>
        <v/>
      </c>
      <c r="AQ49" s="7">
        <f>AN49*(1-AP49)</f>
        <v/>
      </c>
      <c r="AR49" s="7">
        <f>PMT(g_mortRate/12,vivienda_plazoHipoteca*12,-AQ49)</f>
        <v/>
      </c>
      <c r="AS49" s="7">
        <f>INDEX(cfg_units,sel_cfgIdx)</f>
        <v/>
      </c>
      <c r="AT49" s="7">
        <f>AS49*loc_rentaUnidad*(1+g_inf)^(A49-2026)*(1-vivienda_vacancia)</f>
        <v/>
      </c>
      <c r="AU49" s="7">
        <f>AR49+AN49*loc_impuestoPropPct/12+AM49*loc_seguroPct*(1+vivienda_inflacionSeguro)^(A49-2026)/12+IF(AND(AO49=0,AP49&lt;0.2),AQ49*vivienda_pmiTasa/12,0)</f>
        <v/>
      </c>
      <c r="AV49" s="7">
        <f>AN49*AP49+AN49*vivienda_cierrePct+general_reservaMeses/12*AJ49</f>
        <v/>
      </c>
      <c r="AW49" s="7">
        <f>(IF(16=0,MIN(personal_irsSaldo,personal_irsPagoMensual*12),MIN(CD48,personal_irsPagoMensual*12))+IF(CE49&gt;0,PMT(CF49,MAX(1,prestamos_plazoAnios-CG49),-CE49),0)+IF(CR49&gt;0,PMT(CS49,MAX(1,prestamos_plazoAnios-CT49),-CR49),0))/12</f>
        <v/>
      </c>
      <c r="AX49" s="7">
        <f>IF(OR(sel_cfg="duplex",sel_cfg="multi",sel_cfg="dosCasas"),0.75*personal_aporteFamiliaMensual,0)</f>
        <v/>
      </c>
      <c r="AY49" s="7">
        <f>AU49-0.75*AT49-AX49+AW49</f>
        <v/>
      </c>
      <c r="AZ49" s="7">
        <f>(D49+G49+H49+0.5*F49)/12</f>
        <v/>
      </c>
      <c r="BA49" s="7">
        <f>IF(AND(AL49=0,A49&gt;=vivienda_anioMinCompra,J49&lt;0.5,AI49&gt;0,AK49&gt;=AV49,AY49&lt;=vivienda_dtiMax*AZ49),1,0)</f>
        <v/>
      </c>
      <c r="BB49" s="7">
        <f>MAX(AL49,BA49)</f>
        <v/>
      </c>
      <c r="BC49" s="7">
        <f>IF(BA49=1,A49,IF(16=0,"",BC48))</f>
        <v/>
      </c>
      <c r="BD49" s="7">
        <f>AK49-IF(BA49=1,AN49*AP49+AN49*vivienda_cierrePct,0)</f>
        <v/>
      </c>
      <c r="BE49" s="7">
        <f>IF(BA49=1,AN49,IF(16=0,0,BE48))</f>
        <v/>
      </c>
      <c r="BF49" s="7">
        <f>IF(BA49=1,AR49,IF(16=0,0,BF48))</f>
        <v/>
      </c>
      <c r="BG49" s="7">
        <f>IF(BA49=1,IF(AND(AO49=0,AP49&lt;0.2),1,0),IF(16=0,0,BY48))</f>
        <v/>
      </c>
      <c r="BH49" s="7">
        <f>IF(sel_cfg="casaAdu",1,0)</f>
        <v/>
      </c>
      <c r="BI49" s="7">
        <f>IF(AND(BB49=1,BH49=1,IF(16=0,0,BJ48)=0,A49&gt;=IF(BC49="",9999,BC49)+vivienda_aduRetrasoAnios),1,0)</f>
        <v/>
      </c>
      <c r="BJ49" s="7">
        <f>MAX(IF(16=0,0,BJ48),BI49)</f>
        <v/>
      </c>
      <c r="BK49" s="7">
        <f>IF(BI49=1,PMT((g_mortRate+0.005)/12,180,-loc_precio_aduCosto*C49),IF(16=0,0,BK48))</f>
        <v/>
      </c>
      <c r="BL49" s="7">
        <f>IF(BA49=1,AN49,IF(16=0,0,DT48))+IF(BI49=1,loc_precio_aduCosto*C49,0)</f>
        <v/>
      </c>
      <c r="BM49" s="7">
        <f>IF(BA49=1,AQ49,IF(16=0,0,DU48))</f>
        <v/>
      </c>
      <c r="BN49" s="7">
        <f>IF(BM49&lt;=0,0,FV(g_mortRate/12,12,BF49,-BM49))</f>
        <v/>
      </c>
      <c r="BO49" s="7">
        <f>IF(BM49&lt;=0,0,12*BF49+MIN(0,BN49))</f>
        <v/>
      </c>
      <c r="BP49" s="7">
        <f>MAX(0,BN49)</f>
        <v/>
      </c>
      <c r="BQ49" s="7">
        <f>IF(BI49=1,loc_precio_aduCosto*C49,IF(16=0,0,DV48))</f>
        <v/>
      </c>
      <c r="BR49" s="7">
        <f>IF(BQ49&lt;=0,0,FV((g_mortRate+0.005)/12,12,BK49,-BQ49))</f>
        <v/>
      </c>
      <c r="BS49" s="7">
        <f>IF(BQ49&lt;=0,0,12*BK49+MIN(0,BR49))</f>
        <v/>
      </c>
      <c r="BT49" s="7">
        <f>MAX(0,BR49)</f>
        <v/>
      </c>
      <c r="BU49" s="7">
        <f>IF(BB49=1,AM49*loc_seguroPct*(1+vivienda_inflacionSeguro)^(A49-2026)*IF(BJ49=1,1+loc_precio_aduCosto/AM49,1),0)</f>
        <v/>
      </c>
      <c r="BV49" s="7">
        <f>BL49*loc_impuestoPropPct</f>
        <v/>
      </c>
      <c r="BW49" s="7">
        <f>BL49*vivienda_mantenimientoPct</f>
        <v/>
      </c>
      <c r="BX49" s="7">
        <f>IF(AND(BG49=1,BP49&gt;0.8*BE49),BE49*(1-vivienda_enganchePct)*vivienda_pmiTasa,0)</f>
        <v/>
      </c>
      <c r="BY49" s="7">
        <f>IF(AND(BG49=1,BP49&gt;0.8*BE49),1,0)</f>
        <v/>
      </c>
      <c r="BZ49" s="7">
        <f>IF(BB49=1,AS49*loc_rentaUnidad*12*C49*(1-vivienda_vacancia)*(1-vivienda_gestionPct),0)</f>
        <v/>
      </c>
      <c r="CA49" s="7">
        <f>IF(BB49=1,BO49+BS49+BU49+BV49+BW49+BX49,loc_rentaMensual*12*C49)</f>
        <v/>
      </c>
      <c r="CB49" s="7">
        <f>IF(BB49=1,personal_aporteFamiliaMensual*12,0)</f>
        <v/>
      </c>
      <c r="CC49" s="7">
        <f>MIN(IF(16=0,personal_irsSaldo,CD48),personal_irsPagoMensual*12)</f>
        <v/>
      </c>
      <c r="CD49" s="7">
        <f>IF(16=0,personal_irsSaldo,CD48)-CC49</f>
        <v/>
      </c>
      <c r="CE49" s="7">
        <f>IF(16=0,IF(personal_deudaEsFederal=1,personal_deudaEstudiantil,0),DW48)</f>
        <v/>
      </c>
      <c r="CF49" s="7">
        <f>IF(16=0,personal_tasaDeudaEstudiantil,DX48)</f>
        <v/>
      </c>
      <c r="CG49" s="7">
        <f>IF(16=0,0,DY48)</f>
        <v/>
      </c>
      <c r="CH49" s="7">
        <f>IF(J49&gt;=0.5,1,0)</f>
        <v/>
      </c>
      <c r="CI49" s="7">
        <f>IF(AND(CH49=0,prestamos_pslfActivo=1,K49&gt;=0.5,CE49&gt;0),1,0)</f>
        <v/>
      </c>
      <c r="CJ49" s="7">
        <f>CE49*CF49</f>
        <v/>
      </c>
      <c r="CK49" s="7">
        <f>MAX(prestamos_rapPagoMinimoAnual,IF(Y49&lt;10000,0,MIN(0.1,INT(Y49/10000)/100))*Y49)</f>
        <v/>
      </c>
      <c r="CL49" s="7">
        <f>IF(CE49&lt;=0,0,IF(CH49=1,0,IF(CI49=1,MIN(CE49+CJ49,CK49),PMT(CF49,MAX(1,prestamos_plazoAnios-CG49),-CE49))))</f>
        <v/>
      </c>
      <c r="CM49" s="7">
        <f>IF(CE49&lt;=0,0,IF(CH49=1,CE49+CJ49,IF(CI49=1,MAX(0,CE49-MAX(CL49-CJ49,MIN(600,CL49))),MAX(0,CE49*(1+CF49)-CL49))))</f>
        <v/>
      </c>
      <c r="CN49" s="7">
        <f>IF(16=0,0,CN48)+IF(CI49=1,12*MIN(1,K49),0)</f>
        <v/>
      </c>
      <c r="CO49" s="7">
        <f>IF(AND(CI49=1,CN49&gt;=prestamos_pslfPagos,CM49&gt;0),CM49,0)</f>
        <v/>
      </c>
      <c r="CP49" s="7">
        <f>CM49-CO49</f>
        <v/>
      </c>
      <c r="CQ49" s="7">
        <f>IF(AND(CE49&gt;0,CH49=0,CI49=0),CG49+1,CG49)</f>
        <v/>
      </c>
      <c r="CR49" s="7">
        <f>IF(16=0,IF(personal_deudaEsFederal=1,0,personal_deudaEstudiantil),EA48)</f>
        <v/>
      </c>
      <c r="CS49" s="7">
        <f>IF(16=0,IF(personal_deudaEsFederal=1,prestamos_tasaPrivada,personal_tasaDeudaEstudiantil),EB48)</f>
        <v/>
      </c>
      <c r="CT49" s="7">
        <f>IF(16=0,0,EC48)</f>
        <v/>
      </c>
      <c r="CU49" s="7">
        <f>IF(OR(CR49&lt;=0,CH49=1),0,PMT(CS49,MAX(1,prestamos_plazoAnios-CT49),-CR49))</f>
        <v/>
      </c>
      <c r="CV49" s="7">
        <f>IF(CR49&lt;=0,0,IF(CH49=1,CR49*(1+CS49),MAX(0,CR49*(1+CS49)-CU49)))</f>
        <v/>
      </c>
      <c r="CW49" s="7">
        <f>IF(AND(CR49&gt;0,CH49=0),CT49+1,CT49)</f>
        <v/>
      </c>
      <c r="CX49" s="7">
        <f>IF(16=0,0,ED48)*(1+general_tasaDeudaConsumo)</f>
        <v/>
      </c>
      <c r="CY49" s="7">
        <f>L49*12*tiempos_travelGastoExtraMes*C49</f>
        <v/>
      </c>
      <c r="CZ49" s="7">
        <f>AJ49+CY49+CA49+CC49+CL49+CU49+I49+N49-BZ49-CB49</f>
        <v/>
      </c>
      <c r="DA49" s="7">
        <f>AH49-CZ49</f>
        <v/>
      </c>
      <c r="DB49" s="7">
        <f>IF(16=0,0,DB48)+DA49</f>
        <v/>
      </c>
      <c r="DC49" s="7">
        <f>AN49*vivienda_enganchePct+AN49*vivienda_cierrePct+general_reservaMeses/12*AJ49</f>
        <v/>
      </c>
      <c r="DD49" s="7">
        <f>IF(BB49=1,g_ret,IF(BD49&gt;0,MIN(1,DC49/BD49),1)*g_cash+(1-IF(BD49&gt;0,MIN(1,DC49/BD49),1))*g_ret)</f>
        <v/>
      </c>
      <c r="DE49" s="7">
        <f>IF(DA49&gt;=0,MIN(CX49,DA49),0)</f>
        <v/>
      </c>
      <c r="DF49" s="7">
        <f>IF(DA49&gt;=0,(1-general_tasaAhorro)*(DA49-DE49),0)</f>
        <v/>
      </c>
      <c r="DG49" s="7">
        <f>IF(DA49&gt;=0,DA49-DE49-DF49,0)</f>
        <v/>
      </c>
      <c r="DH49" s="7">
        <f>MIN(personal_rothAnual,DG49)</f>
        <v/>
      </c>
      <c r="DI49" s="7">
        <f>IF(AND(DA49&gt;=0,BB49=1,BP49+BT49&gt;0),MIN(vivienda_prepagoPct*(DG49-DH49),BP49+BT49),0)</f>
        <v/>
      </c>
      <c r="DJ49" s="7">
        <f>MIN(DI49,BP49)</f>
        <v/>
      </c>
      <c r="DK49" s="7">
        <f>IF(DA49&lt;0,MIN(MAX(0,BD49),-DA49),0)</f>
        <v/>
      </c>
      <c r="DL49" s="7">
        <f>IF(DA49&lt;0,-DA49-DK49,0)</f>
        <v/>
      </c>
      <c r="DM49" s="7">
        <f>IF(16=0,0,DZ48)</f>
        <v/>
      </c>
      <c r="DN49" s="7">
        <f>IF(AND(DL49&gt;0,J49&gt;0),MIN(DL49,MIN(prestamos_topeAnualPosgrado*MIN(1,J49),MAX(0,prestamos_topeTotalPosgrado-DM49))),0)</f>
        <v/>
      </c>
      <c r="DO49" s="7">
        <f>IF(AND(DL49&gt;0,J49&gt;0),DL49-DN49,0)</f>
        <v/>
      </c>
      <c r="DP49" s="7">
        <f>IF(AND(DL49&gt;0,J49&lt;=0),DL49,0)</f>
        <v/>
      </c>
      <c r="DQ49" s="7">
        <f>IF(DA49&gt;=0,DG49-DH49-DI49,-DK49)</f>
        <v/>
      </c>
      <c r="DR49" s="7">
        <f>BD49*(1+DD49)+DQ49*(1+DD49/2)</f>
        <v/>
      </c>
      <c r="DS49" s="7">
        <f>IF(16=0,personal_retiroInicial,DS48)*(1+g_ret)+(O49+P49+DH49)*(1+g_ret/2)</f>
        <v/>
      </c>
      <c r="DT49" s="7">
        <f>IF(BB49=1,BL49*(1+g_appr),0)</f>
        <v/>
      </c>
      <c r="DU49" s="7">
        <f>BP49-DJ49</f>
        <v/>
      </c>
      <c r="DV49" s="7">
        <f>BT49-(DI49-DJ49)</f>
        <v/>
      </c>
      <c r="DW49" s="7">
        <f>CP49+DN49</f>
        <v/>
      </c>
      <c r="DX49" s="7">
        <f>IF(DN49&gt;0,(CP49*CF49+DN49*prestamos_tasaFederalPosgrado)/(CP49+DN49),CF49)</f>
        <v/>
      </c>
      <c r="DY49" s="7">
        <f>IF(DN49&gt;0,0,CQ49)</f>
        <v/>
      </c>
      <c r="DZ49" s="7">
        <f>DM49+DN49</f>
        <v/>
      </c>
      <c r="EA49" s="7">
        <f>CV49+DO49</f>
        <v/>
      </c>
      <c r="EB49" s="7">
        <f>IF(DO49&gt;0,(CV49*CS49+DO49*prestamos_tasaPrivada)/(CV49+DO49),CS49)</f>
        <v/>
      </c>
      <c r="EC49" s="7">
        <f>IF(DO49&gt;0,0,CW49)</f>
        <v/>
      </c>
      <c r="ED49" s="7">
        <f>CX49-DE49+DP49</f>
        <v/>
      </c>
      <c r="EE49" s="7">
        <f>IF(IF(16=0,"",EE48)&lt;&gt;"",EE48,IF(AND(BB49=1,DU49&lt;=0.5,DV49&lt;=0.5,OR(BH49=0,BJ49=1)),A49,""))</f>
        <v/>
      </c>
      <c r="EF49" s="7">
        <f>DU49+DV49+DW49+EA49+ED49+CD49</f>
        <v/>
      </c>
      <c r="EG49" s="7">
        <f>DR49+DS49+DT49-EF49</f>
        <v/>
      </c>
      <c r="EH49" s="7">
        <f>EG49/(1+g_inf)^(A49+1-2026)</f>
        <v/>
      </c>
    </row>
    <row r="50">
      <c r="A50" t="n">
        <v>2044</v>
      </c>
      <c r="B50" t="n">
        <v>17</v>
      </c>
      <c r="C50" s="7">
        <f>(1+g_inf)^(A50-2026)</f>
        <v/>
      </c>
      <c r="D50" s="7">
        <f>SUMPRODUCT($AK$5:$AK$29,$E$5:$E$29*(1+$F$5:$F$29)^(A50-2026)*$G$5:$G$29*$H$5:$H$29*(1-$N$5:$N$29*$O$5:$O$29))*g_salMult+SUMPRODUCT(($B$5:$B$29&gt;=A50)*($B$5:$B$29&lt;A50+1)*$I$5:$I$29)*g_salMult</f>
        <v/>
      </c>
      <c r="E50" s="7">
        <f>SUMPRODUCT($AK$5:$AK$29,$E$5:$E$29*(1+$F$5:$F$29)^(A50-2026)*$G$5:$G$29*$H$5:$H$29*$M$5:$M$29)*g_salMult</f>
        <v/>
      </c>
      <c r="F50" s="7">
        <f>SUMPRODUCT($AK$5:$AK$29,$E$5:$E$29*(1+$F$5:$F$29)^(A50-2026)*$G$5:$G$29*$H$5:$H$29*$N$5:$N$29*$O$5:$O$29)*g_salMult</f>
        <v/>
      </c>
      <c r="G50" s="7">
        <f>SUMPRODUCT($AK$5:$AK$29,$P$5:$P$29*(1+$F$5:$F$29)^(A50-2026))</f>
        <v/>
      </c>
      <c r="H50" s="7">
        <f>SUMPRODUCT($AK$5:$AK$29,$Q$5:$Q$29*(1+$F$5:$F$29)^(A50-2026))+IF(personal_llcActivo=1,personal_llcNeto*(1+personal_llcCrecimiento)^17,0)</f>
        <v/>
      </c>
      <c r="I50" s="7">
        <f>SUMPRODUCT($AK$5:$AK$29,$J$5:$J$29/($C$5:$C$29-$B$5:$B$29+($C$5:$C$29=$B$5:$B$29)))*C50</f>
        <v/>
      </c>
      <c r="J50" s="7">
        <f>SUMPRODUCT($AK$5:$AK$29,$K$5:$K$29)</f>
        <v/>
      </c>
      <c r="K50" s="7">
        <f>SUMPRODUCT($AK$5:$AK$29,$L$5:$L$29)</f>
        <v/>
      </c>
      <c r="L50" s="7">
        <f>SUMPRODUCT($AK$5:$AK$29,$N$5:$N$29)</f>
        <v/>
      </c>
      <c r="M50" s="7">
        <f>IF(SUMPRODUCT($AK$5:$AK$29,$R$5:$R$29)&gt;0,1,0)</f>
        <v/>
      </c>
      <c r="N50" s="7">
        <f>SUMPRODUCT(($AO$5:$AO$24&gt;=A50)*($AO$5:$AO$24&lt;A50+1)*$AP$5:$AP$24)*C50+IF(17=0,IF(sel_loc&lt;&gt;"miami",personal_costoMudanzaInicial,0),0)</f>
        <v/>
      </c>
      <c r="O50" s="7">
        <f>MIN(personal_aporte403bPct*D50,retiro_limite403b*C50)</f>
        <v/>
      </c>
      <c r="P50" s="7">
        <f>MIN(personal_aporte403bPct,personal_match403bPct)*E50</f>
        <v/>
      </c>
      <c r="Q50" s="7">
        <f>IF(G50&gt;0,MAX(0,G50-impuestos_scorpCostoAnual*C50),0)</f>
        <v/>
      </c>
      <c r="R50" s="7">
        <f>Q50*impuestos_scorpSalarioPct/(1+impuestos_ssTasa+impuestos_medicareTasa)</f>
        <v/>
      </c>
      <c r="S50" s="7">
        <f>impuestos_ssTasa*MIN(R50,MAX(0,impuestos_ssTope*C50-D50))+impuestos_medicareTasa*R50</f>
        <v/>
      </c>
      <c r="T50" s="7">
        <f>Q50-R50-S50</f>
        <v/>
      </c>
      <c r="U50" s="7">
        <f>D50+R50</f>
        <v/>
      </c>
      <c r="V50" s="7">
        <f>H50*0.9235</f>
        <v/>
      </c>
      <c r="W50" s="7">
        <f>IF(H50&gt;0,2*impuestos_ssTasa*MIN(V50,MAX(0,impuestos_ssTope*C50-U50))+2*impuestos_medicareTasa*V50,0)</f>
        <v/>
      </c>
      <c r="X50" s="7">
        <f>impuestos_ssTasa*MIN(U50,impuestos_ssTope*C50)+impuestos_medicareTasa*U50+impuestos_medicareAdicional*MAX(0,U50+H50*0.9235-impuestos_medicareUmbral)</f>
        <v/>
      </c>
      <c r="Y50" s="7">
        <f>MAX(0,D50-O50+R50+T50+H50-W50/2)</f>
        <v/>
      </c>
      <c r="Z50" s="7">
        <f>MAX(0,Y50-impuestos_deduccionEstandar*C50)</f>
        <v/>
      </c>
      <c r="AA50" s="7">
        <f>MIN(0.2*MAX(0,T50+H50-W50/2)*MAX(0,MIN(1,1-(Z50-impuestos_qbiUmbral*C50)/(impuestos_qbiRango*C50))),0.2*Z50)</f>
        <v/>
      </c>
      <c r="AB50" s="7">
        <f>MAX(0,Z50-AA50)</f>
        <v/>
      </c>
      <c r="AC50" s="7">
        <f>SUMPRODUCT((AB50&gt;tb_federalBrackets_lo*C50)*(AB50-tb_federalBrackets_lo*C50)*tb_federalBrackets_dr)</f>
        <v/>
      </c>
      <c r="AD50" s="7">
        <f>MAX(0,Y50-impuestos_nyDeduccion*C50)</f>
        <v/>
      </c>
      <c r="AE50" s="7">
        <f>CHOOSE(loc_taxcode,0,impuestos_ohTasa*MAX(0,Y50-impuestos_ohExento*C50)+impuestos_ohMunicipal*U50,SUMPRODUCT((AD50&gt;tb_nyBrackets_lo*C50)*(AD50-tb_nyBrackets_lo*C50)*tb_nyBrackets_dr)+loc_nyc*SUMPRODUCT((AD50&gt;tb_nycBrackets_lo*C50)*(AD50-tb_nycBrackets_lo*C50)*tb_nycBrackets_dr))</f>
        <v/>
      </c>
      <c r="AF50" s="7">
        <f>AC50+AE50+X50+W50</f>
        <v/>
      </c>
      <c r="AG50" s="7">
        <f>D50+F50+R50+T50+H50</f>
        <v/>
      </c>
      <c r="AH50" s="7">
        <f>AG50-AF50-O50</f>
        <v/>
      </c>
      <c r="AI50" s="7">
        <f>D50+F50+G50+H50</f>
        <v/>
      </c>
      <c r="AJ50" s="7">
        <f>loc_gastosVida*C50*g_gastos</f>
        <v/>
      </c>
      <c r="AK50" s="7">
        <f>IF(17=0,personal_liquidoInicial,DR49)</f>
        <v/>
      </c>
      <c r="AL50" s="7">
        <f>IF(17=0,0,BB49)</f>
        <v/>
      </c>
      <c r="AM50" s="7">
        <f>CHOOSE(sel_cfgIdx,loc_precio_duplex,loc_precio_inlaw,loc_precio_dosCasas,loc_precio_casaAdu,loc_precio_multi)</f>
        <v/>
      </c>
      <c r="AN50" s="7">
        <f>AM50*(1+g_appr)^(A50-2026)</f>
        <v/>
      </c>
      <c r="AO50" s="7">
        <f>IF(AND(M50=1,vivienda_prestamoMedico=1),1,0)</f>
        <v/>
      </c>
      <c r="AP50" s="7">
        <f>IF(AO50=1,0.05,vivienda_enganchePct)</f>
        <v/>
      </c>
      <c r="AQ50" s="7">
        <f>AN50*(1-AP50)</f>
        <v/>
      </c>
      <c r="AR50" s="7">
        <f>PMT(g_mortRate/12,vivienda_plazoHipoteca*12,-AQ50)</f>
        <v/>
      </c>
      <c r="AS50" s="7">
        <f>INDEX(cfg_units,sel_cfgIdx)</f>
        <v/>
      </c>
      <c r="AT50" s="7">
        <f>AS50*loc_rentaUnidad*(1+g_inf)^(A50-2026)*(1-vivienda_vacancia)</f>
        <v/>
      </c>
      <c r="AU50" s="7">
        <f>AR50+AN50*loc_impuestoPropPct/12+AM50*loc_seguroPct*(1+vivienda_inflacionSeguro)^(A50-2026)/12+IF(AND(AO50=0,AP50&lt;0.2),AQ50*vivienda_pmiTasa/12,0)</f>
        <v/>
      </c>
      <c r="AV50" s="7">
        <f>AN50*AP50+AN50*vivienda_cierrePct+general_reservaMeses/12*AJ50</f>
        <v/>
      </c>
      <c r="AW50" s="7">
        <f>(IF(17=0,MIN(personal_irsSaldo,personal_irsPagoMensual*12),MIN(CD49,personal_irsPagoMensual*12))+IF(CE50&gt;0,PMT(CF50,MAX(1,prestamos_plazoAnios-CG50),-CE50),0)+IF(CR50&gt;0,PMT(CS50,MAX(1,prestamos_plazoAnios-CT50),-CR50),0))/12</f>
        <v/>
      </c>
      <c r="AX50" s="7">
        <f>IF(OR(sel_cfg="duplex",sel_cfg="multi",sel_cfg="dosCasas"),0.75*personal_aporteFamiliaMensual,0)</f>
        <v/>
      </c>
      <c r="AY50" s="7">
        <f>AU50-0.75*AT50-AX50+AW50</f>
        <v/>
      </c>
      <c r="AZ50" s="7">
        <f>(D50+G50+H50+0.5*F50)/12</f>
        <v/>
      </c>
      <c r="BA50" s="7">
        <f>IF(AND(AL50=0,A50&gt;=vivienda_anioMinCompra,J50&lt;0.5,AI50&gt;0,AK50&gt;=AV50,AY50&lt;=vivienda_dtiMax*AZ50),1,0)</f>
        <v/>
      </c>
      <c r="BB50" s="7">
        <f>MAX(AL50,BA50)</f>
        <v/>
      </c>
      <c r="BC50" s="7">
        <f>IF(BA50=1,A50,IF(17=0,"",BC49))</f>
        <v/>
      </c>
      <c r="BD50" s="7">
        <f>AK50-IF(BA50=1,AN50*AP50+AN50*vivienda_cierrePct,0)</f>
        <v/>
      </c>
      <c r="BE50" s="7">
        <f>IF(BA50=1,AN50,IF(17=0,0,BE49))</f>
        <v/>
      </c>
      <c r="BF50" s="7">
        <f>IF(BA50=1,AR50,IF(17=0,0,BF49))</f>
        <v/>
      </c>
      <c r="BG50" s="7">
        <f>IF(BA50=1,IF(AND(AO50=0,AP50&lt;0.2),1,0),IF(17=0,0,BY49))</f>
        <v/>
      </c>
      <c r="BH50" s="7">
        <f>IF(sel_cfg="casaAdu",1,0)</f>
        <v/>
      </c>
      <c r="BI50" s="7">
        <f>IF(AND(BB50=1,BH50=1,IF(17=0,0,BJ49)=0,A50&gt;=IF(BC50="",9999,BC50)+vivienda_aduRetrasoAnios),1,0)</f>
        <v/>
      </c>
      <c r="BJ50" s="7">
        <f>MAX(IF(17=0,0,BJ49),BI50)</f>
        <v/>
      </c>
      <c r="BK50" s="7">
        <f>IF(BI50=1,PMT((g_mortRate+0.005)/12,180,-loc_precio_aduCosto*C50),IF(17=0,0,BK49))</f>
        <v/>
      </c>
      <c r="BL50" s="7">
        <f>IF(BA50=1,AN50,IF(17=0,0,DT49))+IF(BI50=1,loc_precio_aduCosto*C50,0)</f>
        <v/>
      </c>
      <c r="BM50" s="7">
        <f>IF(BA50=1,AQ50,IF(17=0,0,DU49))</f>
        <v/>
      </c>
      <c r="BN50" s="7">
        <f>IF(BM50&lt;=0,0,FV(g_mortRate/12,12,BF50,-BM50))</f>
        <v/>
      </c>
      <c r="BO50" s="7">
        <f>IF(BM50&lt;=0,0,12*BF50+MIN(0,BN50))</f>
        <v/>
      </c>
      <c r="BP50" s="7">
        <f>MAX(0,BN50)</f>
        <v/>
      </c>
      <c r="BQ50" s="7">
        <f>IF(BI50=1,loc_precio_aduCosto*C50,IF(17=0,0,DV49))</f>
        <v/>
      </c>
      <c r="BR50" s="7">
        <f>IF(BQ50&lt;=0,0,FV((g_mortRate+0.005)/12,12,BK50,-BQ50))</f>
        <v/>
      </c>
      <c r="BS50" s="7">
        <f>IF(BQ50&lt;=0,0,12*BK50+MIN(0,BR50))</f>
        <v/>
      </c>
      <c r="BT50" s="7">
        <f>MAX(0,BR50)</f>
        <v/>
      </c>
      <c r="BU50" s="7">
        <f>IF(BB50=1,AM50*loc_seguroPct*(1+vivienda_inflacionSeguro)^(A50-2026)*IF(BJ50=1,1+loc_precio_aduCosto/AM50,1),0)</f>
        <v/>
      </c>
      <c r="BV50" s="7">
        <f>BL50*loc_impuestoPropPct</f>
        <v/>
      </c>
      <c r="BW50" s="7">
        <f>BL50*vivienda_mantenimientoPct</f>
        <v/>
      </c>
      <c r="BX50" s="7">
        <f>IF(AND(BG50=1,BP50&gt;0.8*BE50),BE50*(1-vivienda_enganchePct)*vivienda_pmiTasa,0)</f>
        <v/>
      </c>
      <c r="BY50" s="7">
        <f>IF(AND(BG50=1,BP50&gt;0.8*BE50),1,0)</f>
        <v/>
      </c>
      <c r="BZ50" s="7">
        <f>IF(BB50=1,AS50*loc_rentaUnidad*12*C50*(1-vivienda_vacancia)*(1-vivienda_gestionPct),0)</f>
        <v/>
      </c>
      <c r="CA50" s="7">
        <f>IF(BB50=1,BO50+BS50+BU50+BV50+BW50+BX50,loc_rentaMensual*12*C50)</f>
        <v/>
      </c>
      <c r="CB50" s="7">
        <f>IF(BB50=1,personal_aporteFamiliaMensual*12,0)</f>
        <v/>
      </c>
      <c r="CC50" s="7">
        <f>MIN(IF(17=0,personal_irsSaldo,CD49),personal_irsPagoMensual*12)</f>
        <v/>
      </c>
      <c r="CD50" s="7">
        <f>IF(17=0,personal_irsSaldo,CD49)-CC50</f>
        <v/>
      </c>
      <c r="CE50" s="7">
        <f>IF(17=0,IF(personal_deudaEsFederal=1,personal_deudaEstudiantil,0),DW49)</f>
        <v/>
      </c>
      <c r="CF50" s="7">
        <f>IF(17=0,personal_tasaDeudaEstudiantil,DX49)</f>
        <v/>
      </c>
      <c r="CG50" s="7">
        <f>IF(17=0,0,DY49)</f>
        <v/>
      </c>
      <c r="CH50" s="7">
        <f>IF(J50&gt;=0.5,1,0)</f>
        <v/>
      </c>
      <c r="CI50" s="7">
        <f>IF(AND(CH50=0,prestamos_pslfActivo=1,K50&gt;=0.5,CE50&gt;0),1,0)</f>
        <v/>
      </c>
      <c r="CJ50" s="7">
        <f>CE50*CF50</f>
        <v/>
      </c>
      <c r="CK50" s="7">
        <f>MAX(prestamos_rapPagoMinimoAnual,IF(Y50&lt;10000,0,MIN(0.1,INT(Y50/10000)/100))*Y50)</f>
        <v/>
      </c>
      <c r="CL50" s="7">
        <f>IF(CE50&lt;=0,0,IF(CH50=1,0,IF(CI50=1,MIN(CE50+CJ50,CK50),PMT(CF50,MAX(1,prestamos_plazoAnios-CG50),-CE50))))</f>
        <v/>
      </c>
      <c r="CM50" s="7">
        <f>IF(CE50&lt;=0,0,IF(CH50=1,CE50+CJ50,IF(CI50=1,MAX(0,CE50-MAX(CL50-CJ50,MIN(600,CL50))),MAX(0,CE50*(1+CF50)-CL50))))</f>
        <v/>
      </c>
      <c r="CN50" s="7">
        <f>IF(17=0,0,CN49)+IF(CI50=1,12*MIN(1,K50),0)</f>
        <v/>
      </c>
      <c r="CO50" s="7">
        <f>IF(AND(CI50=1,CN50&gt;=prestamos_pslfPagos,CM50&gt;0),CM50,0)</f>
        <v/>
      </c>
      <c r="CP50" s="7">
        <f>CM50-CO50</f>
        <v/>
      </c>
      <c r="CQ50" s="7">
        <f>IF(AND(CE50&gt;0,CH50=0,CI50=0),CG50+1,CG50)</f>
        <v/>
      </c>
      <c r="CR50" s="7">
        <f>IF(17=0,IF(personal_deudaEsFederal=1,0,personal_deudaEstudiantil),EA49)</f>
        <v/>
      </c>
      <c r="CS50" s="7">
        <f>IF(17=0,IF(personal_deudaEsFederal=1,prestamos_tasaPrivada,personal_tasaDeudaEstudiantil),EB49)</f>
        <v/>
      </c>
      <c r="CT50" s="7">
        <f>IF(17=0,0,EC49)</f>
        <v/>
      </c>
      <c r="CU50" s="7">
        <f>IF(OR(CR50&lt;=0,CH50=1),0,PMT(CS50,MAX(1,prestamos_plazoAnios-CT50),-CR50))</f>
        <v/>
      </c>
      <c r="CV50" s="7">
        <f>IF(CR50&lt;=0,0,IF(CH50=1,CR50*(1+CS50),MAX(0,CR50*(1+CS50)-CU50)))</f>
        <v/>
      </c>
      <c r="CW50" s="7">
        <f>IF(AND(CR50&gt;0,CH50=0),CT50+1,CT50)</f>
        <v/>
      </c>
      <c r="CX50" s="7">
        <f>IF(17=0,0,ED49)*(1+general_tasaDeudaConsumo)</f>
        <v/>
      </c>
      <c r="CY50" s="7">
        <f>L50*12*tiempos_travelGastoExtraMes*C50</f>
        <v/>
      </c>
      <c r="CZ50" s="7">
        <f>AJ50+CY50+CA50+CC50+CL50+CU50+I50+N50-BZ50-CB50</f>
        <v/>
      </c>
      <c r="DA50" s="7">
        <f>AH50-CZ50</f>
        <v/>
      </c>
      <c r="DB50" s="7">
        <f>IF(17=0,0,DB49)+DA50</f>
        <v/>
      </c>
      <c r="DC50" s="7">
        <f>AN50*vivienda_enganchePct+AN50*vivienda_cierrePct+general_reservaMeses/12*AJ50</f>
        <v/>
      </c>
      <c r="DD50" s="7">
        <f>IF(BB50=1,g_ret,IF(BD50&gt;0,MIN(1,DC50/BD50),1)*g_cash+(1-IF(BD50&gt;0,MIN(1,DC50/BD50),1))*g_ret)</f>
        <v/>
      </c>
      <c r="DE50" s="7">
        <f>IF(DA50&gt;=0,MIN(CX50,DA50),0)</f>
        <v/>
      </c>
      <c r="DF50" s="7">
        <f>IF(DA50&gt;=0,(1-general_tasaAhorro)*(DA50-DE50),0)</f>
        <v/>
      </c>
      <c r="DG50" s="7">
        <f>IF(DA50&gt;=0,DA50-DE50-DF50,0)</f>
        <v/>
      </c>
      <c r="DH50" s="7">
        <f>MIN(personal_rothAnual,DG50)</f>
        <v/>
      </c>
      <c r="DI50" s="7">
        <f>IF(AND(DA50&gt;=0,BB50=1,BP50+BT50&gt;0),MIN(vivienda_prepagoPct*(DG50-DH50),BP50+BT50),0)</f>
        <v/>
      </c>
      <c r="DJ50" s="7">
        <f>MIN(DI50,BP50)</f>
        <v/>
      </c>
      <c r="DK50" s="7">
        <f>IF(DA50&lt;0,MIN(MAX(0,BD50),-DA50),0)</f>
        <v/>
      </c>
      <c r="DL50" s="7">
        <f>IF(DA50&lt;0,-DA50-DK50,0)</f>
        <v/>
      </c>
      <c r="DM50" s="7">
        <f>IF(17=0,0,DZ49)</f>
        <v/>
      </c>
      <c r="DN50" s="7">
        <f>IF(AND(DL50&gt;0,J50&gt;0),MIN(DL50,MIN(prestamos_topeAnualPosgrado*MIN(1,J50),MAX(0,prestamos_topeTotalPosgrado-DM50))),0)</f>
        <v/>
      </c>
      <c r="DO50" s="7">
        <f>IF(AND(DL50&gt;0,J50&gt;0),DL50-DN50,0)</f>
        <v/>
      </c>
      <c r="DP50" s="7">
        <f>IF(AND(DL50&gt;0,J50&lt;=0),DL50,0)</f>
        <v/>
      </c>
      <c r="DQ50" s="7">
        <f>IF(DA50&gt;=0,DG50-DH50-DI50,-DK50)</f>
        <v/>
      </c>
      <c r="DR50" s="7">
        <f>BD50*(1+DD50)+DQ50*(1+DD50/2)</f>
        <v/>
      </c>
      <c r="DS50" s="7">
        <f>IF(17=0,personal_retiroInicial,DS49)*(1+g_ret)+(O50+P50+DH50)*(1+g_ret/2)</f>
        <v/>
      </c>
      <c r="DT50" s="7">
        <f>IF(BB50=1,BL50*(1+g_appr),0)</f>
        <v/>
      </c>
      <c r="DU50" s="7">
        <f>BP50-DJ50</f>
        <v/>
      </c>
      <c r="DV50" s="7">
        <f>BT50-(DI50-DJ50)</f>
        <v/>
      </c>
      <c r="DW50" s="7">
        <f>CP50+DN50</f>
        <v/>
      </c>
      <c r="DX50" s="7">
        <f>IF(DN50&gt;0,(CP50*CF50+DN50*prestamos_tasaFederalPosgrado)/(CP50+DN50),CF50)</f>
        <v/>
      </c>
      <c r="DY50" s="7">
        <f>IF(DN50&gt;0,0,CQ50)</f>
        <v/>
      </c>
      <c r="DZ50" s="7">
        <f>DM50+DN50</f>
        <v/>
      </c>
      <c r="EA50" s="7">
        <f>CV50+DO50</f>
        <v/>
      </c>
      <c r="EB50" s="7">
        <f>IF(DO50&gt;0,(CV50*CS50+DO50*prestamos_tasaPrivada)/(CV50+DO50),CS50)</f>
        <v/>
      </c>
      <c r="EC50" s="7">
        <f>IF(DO50&gt;0,0,CW50)</f>
        <v/>
      </c>
      <c r="ED50" s="7">
        <f>CX50-DE50+DP50</f>
        <v/>
      </c>
      <c r="EE50" s="7">
        <f>IF(IF(17=0,"",EE49)&lt;&gt;"",EE49,IF(AND(BB50=1,DU50&lt;=0.5,DV50&lt;=0.5,OR(BH50=0,BJ50=1)),A50,""))</f>
        <v/>
      </c>
      <c r="EF50" s="7">
        <f>DU50+DV50+DW50+EA50+ED50+CD50</f>
        <v/>
      </c>
      <c r="EG50" s="7">
        <f>DR50+DS50+DT50-EF50</f>
        <v/>
      </c>
      <c r="EH50" s="7">
        <f>EG50/(1+g_inf)^(A50+1-2026)</f>
        <v/>
      </c>
    </row>
    <row r="51">
      <c r="A51" t="n">
        <v>2045</v>
      </c>
      <c r="B51" t="n">
        <v>18</v>
      </c>
      <c r="C51" s="7">
        <f>(1+g_inf)^(A51-2026)</f>
        <v/>
      </c>
      <c r="D51" s="7">
        <f>SUMPRODUCT($AL$5:$AL$29,$E$5:$E$29*(1+$F$5:$F$29)^(A51-2026)*$G$5:$G$29*$H$5:$H$29*(1-$N$5:$N$29*$O$5:$O$29))*g_salMult+SUMPRODUCT(($B$5:$B$29&gt;=A51)*($B$5:$B$29&lt;A51+1)*$I$5:$I$29)*g_salMult</f>
        <v/>
      </c>
      <c r="E51" s="7">
        <f>SUMPRODUCT($AL$5:$AL$29,$E$5:$E$29*(1+$F$5:$F$29)^(A51-2026)*$G$5:$G$29*$H$5:$H$29*$M$5:$M$29)*g_salMult</f>
        <v/>
      </c>
      <c r="F51" s="7">
        <f>SUMPRODUCT($AL$5:$AL$29,$E$5:$E$29*(1+$F$5:$F$29)^(A51-2026)*$G$5:$G$29*$H$5:$H$29*$N$5:$N$29*$O$5:$O$29)*g_salMult</f>
        <v/>
      </c>
      <c r="G51" s="7">
        <f>SUMPRODUCT($AL$5:$AL$29,$P$5:$P$29*(1+$F$5:$F$29)^(A51-2026))</f>
        <v/>
      </c>
      <c r="H51" s="7">
        <f>SUMPRODUCT($AL$5:$AL$29,$Q$5:$Q$29*(1+$F$5:$F$29)^(A51-2026))+IF(personal_llcActivo=1,personal_llcNeto*(1+personal_llcCrecimiento)^18,0)</f>
        <v/>
      </c>
      <c r="I51" s="7">
        <f>SUMPRODUCT($AL$5:$AL$29,$J$5:$J$29/($C$5:$C$29-$B$5:$B$29+($C$5:$C$29=$B$5:$B$29)))*C51</f>
        <v/>
      </c>
      <c r="J51" s="7">
        <f>SUMPRODUCT($AL$5:$AL$29,$K$5:$K$29)</f>
        <v/>
      </c>
      <c r="K51" s="7">
        <f>SUMPRODUCT($AL$5:$AL$29,$L$5:$L$29)</f>
        <v/>
      </c>
      <c r="L51" s="7">
        <f>SUMPRODUCT($AL$5:$AL$29,$N$5:$N$29)</f>
        <v/>
      </c>
      <c r="M51" s="7">
        <f>IF(SUMPRODUCT($AL$5:$AL$29,$R$5:$R$29)&gt;0,1,0)</f>
        <v/>
      </c>
      <c r="N51" s="7">
        <f>SUMPRODUCT(($AO$5:$AO$24&gt;=A51)*($AO$5:$AO$24&lt;A51+1)*$AP$5:$AP$24)*C51+IF(18=0,IF(sel_loc&lt;&gt;"miami",personal_costoMudanzaInicial,0),0)</f>
        <v/>
      </c>
      <c r="O51" s="7">
        <f>MIN(personal_aporte403bPct*D51,retiro_limite403b*C51)</f>
        <v/>
      </c>
      <c r="P51" s="7">
        <f>MIN(personal_aporte403bPct,personal_match403bPct)*E51</f>
        <v/>
      </c>
      <c r="Q51" s="7">
        <f>IF(G51&gt;0,MAX(0,G51-impuestos_scorpCostoAnual*C51),0)</f>
        <v/>
      </c>
      <c r="R51" s="7">
        <f>Q51*impuestos_scorpSalarioPct/(1+impuestos_ssTasa+impuestos_medicareTasa)</f>
        <v/>
      </c>
      <c r="S51" s="7">
        <f>impuestos_ssTasa*MIN(R51,MAX(0,impuestos_ssTope*C51-D51))+impuestos_medicareTasa*R51</f>
        <v/>
      </c>
      <c r="T51" s="7">
        <f>Q51-R51-S51</f>
        <v/>
      </c>
      <c r="U51" s="7">
        <f>D51+R51</f>
        <v/>
      </c>
      <c r="V51" s="7">
        <f>H51*0.9235</f>
        <v/>
      </c>
      <c r="W51" s="7">
        <f>IF(H51&gt;0,2*impuestos_ssTasa*MIN(V51,MAX(0,impuestos_ssTope*C51-U51))+2*impuestos_medicareTasa*V51,0)</f>
        <v/>
      </c>
      <c r="X51" s="7">
        <f>impuestos_ssTasa*MIN(U51,impuestos_ssTope*C51)+impuestos_medicareTasa*U51+impuestos_medicareAdicional*MAX(0,U51+H51*0.9235-impuestos_medicareUmbral)</f>
        <v/>
      </c>
      <c r="Y51" s="7">
        <f>MAX(0,D51-O51+R51+T51+H51-W51/2)</f>
        <v/>
      </c>
      <c r="Z51" s="7">
        <f>MAX(0,Y51-impuestos_deduccionEstandar*C51)</f>
        <v/>
      </c>
      <c r="AA51" s="7">
        <f>MIN(0.2*MAX(0,T51+H51-W51/2)*MAX(0,MIN(1,1-(Z51-impuestos_qbiUmbral*C51)/(impuestos_qbiRango*C51))),0.2*Z51)</f>
        <v/>
      </c>
      <c r="AB51" s="7">
        <f>MAX(0,Z51-AA51)</f>
        <v/>
      </c>
      <c r="AC51" s="7">
        <f>SUMPRODUCT((AB51&gt;tb_federalBrackets_lo*C51)*(AB51-tb_federalBrackets_lo*C51)*tb_federalBrackets_dr)</f>
        <v/>
      </c>
      <c r="AD51" s="7">
        <f>MAX(0,Y51-impuestos_nyDeduccion*C51)</f>
        <v/>
      </c>
      <c r="AE51" s="7">
        <f>CHOOSE(loc_taxcode,0,impuestos_ohTasa*MAX(0,Y51-impuestos_ohExento*C51)+impuestos_ohMunicipal*U51,SUMPRODUCT((AD51&gt;tb_nyBrackets_lo*C51)*(AD51-tb_nyBrackets_lo*C51)*tb_nyBrackets_dr)+loc_nyc*SUMPRODUCT((AD51&gt;tb_nycBrackets_lo*C51)*(AD51-tb_nycBrackets_lo*C51)*tb_nycBrackets_dr))</f>
        <v/>
      </c>
      <c r="AF51" s="7">
        <f>AC51+AE51+X51+W51</f>
        <v/>
      </c>
      <c r="AG51" s="7">
        <f>D51+F51+R51+T51+H51</f>
        <v/>
      </c>
      <c r="AH51" s="7">
        <f>AG51-AF51-O51</f>
        <v/>
      </c>
      <c r="AI51" s="7">
        <f>D51+F51+G51+H51</f>
        <v/>
      </c>
      <c r="AJ51" s="7">
        <f>loc_gastosVida*C51*g_gastos</f>
        <v/>
      </c>
      <c r="AK51" s="7">
        <f>IF(18=0,personal_liquidoInicial,DR50)</f>
        <v/>
      </c>
      <c r="AL51" s="7">
        <f>IF(18=0,0,BB50)</f>
        <v/>
      </c>
      <c r="AM51" s="7">
        <f>CHOOSE(sel_cfgIdx,loc_precio_duplex,loc_precio_inlaw,loc_precio_dosCasas,loc_precio_casaAdu,loc_precio_multi)</f>
        <v/>
      </c>
      <c r="AN51" s="7">
        <f>AM51*(1+g_appr)^(A51-2026)</f>
        <v/>
      </c>
      <c r="AO51" s="7">
        <f>IF(AND(M51=1,vivienda_prestamoMedico=1),1,0)</f>
        <v/>
      </c>
      <c r="AP51" s="7">
        <f>IF(AO51=1,0.05,vivienda_enganchePct)</f>
        <v/>
      </c>
      <c r="AQ51" s="7">
        <f>AN51*(1-AP51)</f>
        <v/>
      </c>
      <c r="AR51" s="7">
        <f>PMT(g_mortRate/12,vivienda_plazoHipoteca*12,-AQ51)</f>
        <v/>
      </c>
      <c r="AS51" s="7">
        <f>INDEX(cfg_units,sel_cfgIdx)</f>
        <v/>
      </c>
      <c r="AT51" s="7">
        <f>AS51*loc_rentaUnidad*(1+g_inf)^(A51-2026)*(1-vivienda_vacancia)</f>
        <v/>
      </c>
      <c r="AU51" s="7">
        <f>AR51+AN51*loc_impuestoPropPct/12+AM51*loc_seguroPct*(1+vivienda_inflacionSeguro)^(A51-2026)/12+IF(AND(AO51=0,AP51&lt;0.2),AQ51*vivienda_pmiTasa/12,0)</f>
        <v/>
      </c>
      <c r="AV51" s="7">
        <f>AN51*AP51+AN51*vivienda_cierrePct+general_reservaMeses/12*AJ51</f>
        <v/>
      </c>
      <c r="AW51" s="7">
        <f>(IF(18=0,MIN(personal_irsSaldo,personal_irsPagoMensual*12),MIN(CD50,personal_irsPagoMensual*12))+IF(CE51&gt;0,PMT(CF51,MAX(1,prestamos_plazoAnios-CG51),-CE51),0)+IF(CR51&gt;0,PMT(CS51,MAX(1,prestamos_plazoAnios-CT51),-CR51),0))/12</f>
        <v/>
      </c>
      <c r="AX51" s="7">
        <f>IF(OR(sel_cfg="duplex",sel_cfg="multi",sel_cfg="dosCasas"),0.75*personal_aporteFamiliaMensual,0)</f>
        <v/>
      </c>
      <c r="AY51" s="7">
        <f>AU51-0.75*AT51-AX51+AW51</f>
        <v/>
      </c>
      <c r="AZ51" s="7">
        <f>(D51+G51+H51+0.5*F51)/12</f>
        <v/>
      </c>
      <c r="BA51" s="7">
        <f>IF(AND(AL51=0,A51&gt;=vivienda_anioMinCompra,J51&lt;0.5,AI51&gt;0,AK51&gt;=AV51,AY51&lt;=vivienda_dtiMax*AZ51),1,0)</f>
        <v/>
      </c>
      <c r="BB51" s="7">
        <f>MAX(AL51,BA51)</f>
        <v/>
      </c>
      <c r="BC51" s="7">
        <f>IF(BA51=1,A51,IF(18=0,"",BC50))</f>
        <v/>
      </c>
      <c r="BD51" s="7">
        <f>AK51-IF(BA51=1,AN51*AP51+AN51*vivienda_cierrePct,0)</f>
        <v/>
      </c>
      <c r="BE51" s="7">
        <f>IF(BA51=1,AN51,IF(18=0,0,BE50))</f>
        <v/>
      </c>
      <c r="BF51" s="7">
        <f>IF(BA51=1,AR51,IF(18=0,0,BF50))</f>
        <v/>
      </c>
      <c r="BG51" s="7">
        <f>IF(BA51=1,IF(AND(AO51=0,AP51&lt;0.2),1,0),IF(18=0,0,BY50))</f>
        <v/>
      </c>
      <c r="BH51" s="7">
        <f>IF(sel_cfg="casaAdu",1,0)</f>
        <v/>
      </c>
      <c r="BI51" s="7">
        <f>IF(AND(BB51=1,BH51=1,IF(18=0,0,BJ50)=0,A51&gt;=IF(BC51="",9999,BC51)+vivienda_aduRetrasoAnios),1,0)</f>
        <v/>
      </c>
      <c r="BJ51" s="7">
        <f>MAX(IF(18=0,0,BJ50),BI51)</f>
        <v/>
      </c>
      <c r="BK51" s="7">
        <f>IF(BI51=1,PMT((g_mortRate+0.005)/12,180,-loc_precio_aduCosto*C51),IF(18=0,0,BK50))</f>
        <v/>
      </c>
      <c r="BL51" s="7">
        <f>IF(BA51=1,AN51,IF(18=0,0,DT50))+IF(BI51=1,loc_precio_aduCosto*C51,0)</f>
        <v/>
      </c>
      <c r="BM51" s="7">
        <f>IF(BA51=1,AQ51,IF(18=0,0,DU50))</f>
        <v/>
      </c>
      <c r="BN51" s="7">
        <f>IF(BM51&lt;=0,0,FV(g_mortRate/12,12,BF51,-BM51))</f>
        <v/>
      </c>
      <c r="BO51" s="7">
        <f>IF(BM51&lt;=0,0,12*BF51+MIN(0,BN51))</f>
        <v/>
      </c>
      <c r="BP51" s="7">
        <f>MAX(0,BN51)</f>
        <v/>
      </c>
      <c r="BQ51" s="7">
        <f>IF(BI51=1,loc_precio_aduCosto*C51,IF(18=0,0,DV50))</f>
        <v/>
      </c>
      <c r="BR51" s="7">
        <f>IF(BQ51&lt;=0,0,FV((g_mortRate+0.005)/12,12,BK51,-BQ51))</f>
        <v/>
      </c>
      <c r="BS51" s="7">
        <f>IF(BQ51&lt;=0,0,12*BK51+MIN(0,BR51))</f>
        <v/>
      </c>
      <c r="BT51" s="7">
        <f>MAX(0,BR51)</f>
        <v/>
      </c>
      <c r="BU51" s="7">
        <f>IF(BB51=1,AM51*loc_seguroPct*(1+vivienda_inflacionSeguro)^(A51-2026)*IF(BJ51=1,1+loc_precio_aduCosto/AM51,1),0)</f>
        <v/>
      </c>
      <c r="BV51" s="7">
        <f>BL51*loc_impuestoPropPct</f>
        <v/>
      </c>
      <c r="BW51" s="7">
        <f>BL51*vivienda_mantenimientoPct</f>
        <v/>
      </c>
      <c r="BX51" s="7">
        <f>IF(AND(BG51=1,BP51&gt;0.8*BE51),BE51*(1-vivienda_enganchePct)*vivienda_pmiTasa,0)</f>
        <v/>
      </c>
      <c r="BY51" s="7">
        <f>IF(AND(BG51=1,BP51&gt;0.8*BE51),1,0)</f>
        <v/>
      </c>
      <c r="BZ51" s="7">
        <f>IF(BB51=1,AS51*loc_rentaUnidad*12*C51*(1-vivienda_vacancia)*(1-vivienda_gestionPct),0)</f>
        <v/>
      </c>
      <c r="CA51" s="7">
        <f>IF(BB51=1,BO51+BS51+BU51+BV51+BW51+BX51,loc_rentaMensual*12*C51)</f>
        <v/>
      </c>
      <c r="CB51" s="7">
        <f>IF(BB51=1,personal_aporteFamiliaMensual*12,0)</f>
        <v/>
      </c>
      <c r="CC51" s="7">
        <f>MIN(IF(18=0,personal_irsSaldo,CD50),personal_irsPagoMensual*12)</f>
        <v/>
      </c>
      <c r="CD51" s="7">
        <f>IF(18=0,personal_irsSaldo,CD50)-CC51</f>
        <v/>
      </c>
      <c r="CE51" s="7">
        <f>IF(18=0,IF(personal_deudaEsFederal=1,personal_deudaEstudiantil,0),DW50)</f>
        <v/>
      </c>
      <c r="CF51" s="7">
        <f>IF(18=0,personal_tasaDeudaEstudiantil,DX50)</f>
        <v/>
      </c>
      <c r="CG51" s="7">
        <f>IF(18=0,0,DY50)</f>
        <v/>
      </c>
      <c r="CH51" s="7">
        <f>IF(J51&gt;=0.5,1,0)</f>
        <v/>
      </c>
      <c r="CI51" s="7">
        <f>IF(AND(CH51=0,prestamos_pslfActivo=1,K51&gt;=0.5,CE51&gt;0),1,0)</f>
        <v/>
      </c>
      <c r="CJ51" s="7">
        <f>CE51*CF51</f>
        <v/>
      </c>
      <c r="CK51" s="7">
        <f>MAX(prestamos_rapPagoMinimoAnual,IF(Y51&lt;10000,0,MIN(0.1,INT(Y51/10000)/100))*Y51)</f>
        <v/>
      </c>
      <c r="CL51" s="7">
        <f>IF(CE51&lt;=0,0,IF(CH51=1,0,IF(CI51=1,MIN(CE51+CJ51,CK51),PMT(CF51,MAX(1,prestamos_plazoAnios-CG51),-CE51))))</f>
        <v/>
      </c>
      <c r="CM51" s="7">
        <f>IF(CE51&lt;=0,0,IF(CH51=1,CE51+CJ51,IF(CI51=1,MAX(0,CE51-MAX(CL51-CJ51,MIN(600,CL51))),MAX(0,CE51*(1+CF51)-CL51))))</f>
        <v/>
      </c>
      <c r="CN51" s="7">
        <f>IF(18=0,0,CN50)+IF(CI51=1,12*MIN(1,K51),0)</f>
        <v/>
      </c>
      <c r="CO51" s="7">
        <f>IF(AND(CI51=1,CN51&gt;=prestamos_pslfPagos,CM51&gt;0),CM51,0)</f>
        <v/>
      </c>
      <c r="CP51" s="7">
        <f>CM51-CO51</f>
        <v/>
      </c>
      <c r="CQ51" s="7">
        <f>IF(AND(CE51&gt;0,CH51=0,CI51=0),CG51+1,CG51)</f>
        <v/>
      </c>
      <c r="CR51" s="7">
        <f>IF(18=0,IF(personal_deudaEsFederal=1,0,personal_deudaEstudiantil),EA50)</f>
        <v/>
      </c>
      <c r="CS51" s="7">
        <f>IF(18=0,IF(personal_deudaEsFederal=1,prestamos_tasaPrivada,personal_tasaDeudaEstudiantil),EB50)</f>
        <v/>
      </c>
      <c r="CT51" s="7">
        <f>IF(18=0,0,EC50)</f>
        <v/>
      </c>
      <c r="CU51" s="7">
        <f>IF(OR(CR51&lt;=0,CH51=1),0,PMT(CS51,MAX(1,prestamos_plazoAnios-CT51),-CR51))</f>
        <v/>
      </c>
      <c r="CV51" s="7">
        <f>IF(CR51&lt;=0,0,IF(CH51=1,CR51*(1+CS51),MAX(0,CR51*(1+CS51)-CU51)))</f>
        <v/>
      </c>
      <c r="CW51" s="7">
        <f>IF(AND(CR51&gt;0,CH51=0),CT51+1,CT51)</f>
        <v/>
      </c>
      <c r="CX51" s="7">
        <f>IF(18=0,0,ED50)*(1+general_tasaDeudaConsumo)</f>
        <v/>
      </c>
      <c r="CY51" s="7">
        <f>L51*12*tiempos_travelGastoExtraMes*C51</f>
        <v/>
      </c>
      <c r="CZ51" s="7">
        <f>AJ51+CY51+CA51+CC51+CL51+CU51+I51+N51-BZ51-CB51</f>
        <v/>
      </c>
      <c r="DA51" s="7">
        <f>AH51-CZ51</f>
        <v/>
      </c>
      <c r="DB51" s="7">
        <f>IF(18=0,0,DB50)+DA51</f>
        <v/>
      </c>
      <c r="DC51" s="7">
        <f>AN51*vivienda_enganchePct+AN51*vivienda_cierrePct+general_reservaMeses/12*AJ51</f>
        <v/>
      </c>
      <c r="DD51" s="7">
        <f>IF(BB51=1,g_ret,IF(BD51&gt;0,MIN(1,DC51/BD51),1)*g_cash+(1-IF(BD51&gt;0,MIN(1,DC51/BD51),1))*g_ret)</f>
        <v/>
      </c>
      <c r="DE51" s="7">
        <f>IF(DA51&gt;=0,MIN(CX51,DA51),0)</f>
        <v/>
      </c>
      <c r="DF51" s="7">
        <f>IF(DA51&gt;=0,(1-general_tasaAhorro)*(DA51-DE51),0)</f>
        <v/>
      </c>
      <c r="DG51" s="7">
        <f>IF(DA51&gt;=0,DA51-DE51-DF51,0)</f>
        <v/>
      </c>
      <c r="DH51" s="7">
        <f>MIN(personal_rothAnual,DG51)</f>
        <v/>
      </c>
      <c r="DI51" s="7">
        <f>IF(AND(DA51&gt;=0,BB51=1,BP51+BT51&gt;0),MIN(vivienda_prepagoPct*(DG51-DH51),BP51+BT51),0)</f>
        <v/>
      </c>
      <c r="DJ51" s="7">
        <f>MIN(DI51,BP51)</f>
        <v/>
      </c>
      <c r="DK51" s="7">
        <f>IF(DA51&lt;0,MIN(MAX(0,BD51),-DA51),0)</f>
        <v/>
      </c>
      <c r="DL51" s="7">
        <f>IF(DA51&lt;0,-DA51-DK51,0)</f>
        <v/>
      </c>
      <c r="DM51" s="7">
        <f>IF(18=0,0,DZ50)</f>
        <v/>
      </c>
      <c r="DN51" s="7">
        <f>IF(AND(DL51&gt;0,J51&gt;0),MIN(DL51,MIN(prestamos_topeAnualPosgrado*MIN(1,J51),MAX(0,prestamos_topeTotalPosgrado-DM51))),0)</f>
        <v/>
      </c>
      <c r="DO51" s="7">
        <f>IF(AND(DL51&gt;0,J51&gt;0),DL51-DN51,0)</f>
        <v/>
      </c>
      <c r="DP51" s="7">
        <f>IF(AND(DL51&gt;0,J51&lt;=0),DL51,0)</f>
        <v/>
      </c>
      <c r="DQ51" s="7">
        <f>IF(DA51&gt;=0,DG51-DH51-DI51,-DK51)</f>
        <v/>
      </c>
      <c r="DR51" s="7">
        <f>BD51*(1+DD51)+DQ51*(1+DD51/2)</f>
        <v/>
      </c>
      <c r="DS51" s="7">
        <f>IF(18=0,personal_retiroInicial,DS50)*(1+g_ret)+(O51+P51+DH51)*(1+g_ret/2)</f>
        <v/>
      </c>
      <c r="DT51" s="7">
        <f>IF(BB51=1,BL51*(1+g_appr),0)</f>
        <v/>
      </c>
      <c r="DU51" s="7">
        <f>BP51-DJ51</f>
        <v/>
      </c>
      <c r="DV51" s="7">
        <f>BT51-(DI51-DJ51)</f>
        <v/>
      </c>
      <c r="DW51" s="7">
        <f>CP51+DN51</f>
        <v/>
      </c>
      <c r="DX51" s="7">
        <f>IF(DN51&gt;0,(CP51*CF51+DN51*prestamos_tasaFederalPosgrado)/(CP51+DN51),CF51)</f>
        <v/>
      </c>
      <c r="DY51" s="7">
        <f>IF(DN51&gt;0,0,CQ51)</f>
        <v/>
      </c>
      <c r="DZ51" s="7">
        <f>DM51+DN51</f>
        <v/>
      </c>
      <c r="EA51" s="7">
        <f>CV51+DO51</f>
        <v/>
      </c>
      <c r="EB51" s="7">
        <f>IF(DO51&gt;0,(CV51*CS51+DO51*prestamos_tasaPrivada)/(CV51+DO51),CS51)</f>
        <v/>
      </c>
      <c r="EC51" s="7">
        <f>IF(DO51&gt;0,0,CW51)</f>
        <v/>
      </c>
      <c r="ED51" s="7">
        <f>CX51-DE51+DP51</f>
        <v/>
      </c>
      <c r="EE51" s="7">
        <f>IF(IF(18=0,"",EE50)&lt;&gt;"",EE50,IF(AND(BB51=1,DU51&lt;=0.5,DV51&lt;=0.5,OR(BH51=0,BJ51=1)),A51,""))</f>
        <v/>
      </c>
      <c r="EF51" s="7">
        <f>DU51+DV51+DW51+EA51+ED51+CD51</f>
        <v/>
      </c>
      <c r="EG51" s="7">
        <f>DR51+DS51+DT51-EF51</f>
        <v/>
      </c>
      <c r="EH51" s="7">
        <f>EG51/(1+g_inf)^(A51+1-2026)</f>
        <v/>
      </c>
    </row>
    <row r="52">
      <c r="A52" t="n">
        <v>2046</v>
      </c>
      <c r="B52" t="n">
        <v>19</v>
      </c>
      <c r="C52" s="7">
        <f>(1+g_inf)^(A52-2026)</f>
        <v/>
      </c>
      <c r="D52" s="7">
        <f>SUMPRODUCT($AM$5:$AM$29,$E$5:$E$29*(1+$F$5:$F$29)^(A52-2026)*$G$5:$G$29*$H$5:$H$29*(1-$N$5:$N$29*$O$5:$O$29))*g_salMult+SUMPRODUCT(($B$5:$B$29&gt;=A52)*($B$5:$B$29&lt;A52+1)*$I$5:$I$29)*g_salMult</f>
        <v/>
      </c>
      <c r="E52" s="7">
        <f>SUMPRODUCT($AM$5:$AM$29,$E$5:$E$29*(1+$F$5:$F$29)^(A52-2026)*$G$5:$G$29*$H$5:$H$29*$M$5:$M$29)*g_salMult</f>
        <v/>
      </c>
      <c r="F52" s="7">
        <f>SUMPRODUCT($AM$5:$AM$29,$E$5:$E$29*(1+$F$5:$F$29)^(A52-2026)*$G$5:$G$29*$H$5:$H$29*$N$5:$N$29*$O$5:$O$29)*g_salMult</f>
        <v/>
      </c>
      <c r="G52" s="7">
        <f>SUMPRODUCT($AM$5:$AM$29,$P$5:$P$29*(1+$F$5:$F$29)^(A52-2026))</f>
        <v/>
      </c>
      <c r="H52" s="7">
        <f>SUMPRODUCT($AM$5:$AM$29,$Q$5:$Q$29*(1+$F$5:$F$29)^(A52-2026))+IF(personal_llcActivo=1,personal_llcNeto*(1+personal_llcCrecimiento)^19,0)</f>
        <v/>
      </c>
      <c r="I52" s="7">
        <f>SUMPRODUCT($AM$5:$AM$29,$J$5:$J$29/($C$5:$C$29-$B$5:$B$29+($C$5:$C$29=$B$5:$B$29)))*C52</f>
        <v/>
      </c>
      <c r="J52" s="7">
        <f>SUMPRODUCT($AM$5:$AM$29,$K$5:$K$29)</f>
        <v/>
      </c>
      <c r="K52" s="7">
        <f>SUMPRODUCT($AM$5:$AM$29,$L$5:$L$29)</f>
        <v/>
      </c>
      <c r="L52" s="7">
        <f>SUMPRODUCT($AM$5:$AM$29,$N$5:$N$29)</f>
        <v/>
      </c>
      <c r="M52" s="7">
        <f>IF(SUMPRODUCT($AM$5:$AM$29,$R$5:$R$29)&gt;0,1,0)</f>
        <v/>
      </c>
      <c r="N52" s="7">
        <f>SUMPRODUCT(($AO$5:$AO$24&gt;=A52)*($AO$5:$AO$24&lt;A52+1)*$AP$5:$AP$24)*C52+IF(19=0,IF(sel_loc&lt;&gt;"miami",personal_costoMudanzaInicial,0),0)</f>
        <v/>
      </c>
      <c r="O52" s="7">
        <f>MIN(personal_aporte403bPct*D52,retiro_limite403b*C52)</f>
        <v/>
      </c>
      <c r="P52" s="7">
        <f>MIN(personal_aporte403bPct,personal_match403bPct)*E52</f>
        <v/>
      </c>
      <c r="Q52" s="7">
        <f>IF(G52&gt;0,MAX(0,G52-impuestos_scorpCostoAnual*C52),0)</f>
        <v/>
      </c>
      <c r="R52" s="7">
        <f>Q52*impuestos_scorpSalarioPct/(1+impuestos_ssTasa+impuestos_medicareTasa)</f>
        <v/>
      </c>
      <c r="S52" s="7">
        <f>impuestos_ssTasa*MIN(R52,MAX(0,impuestos_ssTope*C52-D52))+impuestos_medicareTasa*R52</f>
        <v/>
      </c>
      <c r="T52" s="7">
        <f>Q52-R52-S52</f>
        <v/>
      </c>
      <c r="U52" s="7">
        <f>D52+R52</f>
        <v/>
      </c>
      <c r="V52" s="7">
        <f>H52*0.9235</f>
        <v/>
      </c>
      <c r="W52" s="7">
        <f>IF(H52&gt;0,2*impuestos_ssTasa*MIN(V52,MAX(0,impuestos_ssTope*C52-U52))+2*impuestos_medicareTasa*V52,0)</f>
        <v/>
      </c>
      <c r="X52" s="7">
        <f>impuestos_ssTasa*MIN(U52,impuestos_ssTope*C52)+impuestos_medicareTasa*U52+impuestos_medicareAdicional*MAX(0,U52+H52*0.9235-impuestos_medicareUmbral)</f>
        <v/>
      </c>
      <c r="Y52" s="7">
        <f>MAX(0,D52-O52+R52+T52+H52-W52/2)</f>
        <v/>
      </c>
      <c r="Z52" s="7">
        <f>MAX(0,Y52-impuestos_deduccionEstandar*C52)</f>
        <v/>
      </c>
      <c r="AA52" s="7">
        <f>MIN(0.2*MAX(0,T52+H52-W52/2)*MAX(0,MIN(1,1-(Z52-impuestos_qbiUmbral*C52)/(impuestos_qbiRango*C52))),0.2*Z52)</f>
        <v/>
      </c>
      <c r="AB52" s="7">
        <f>MAX(0,Z52-AA52)</f>
        <v/>
      </c>
      <c r="AC52" s="7">
        <f>SUMPRODUCT((AB52&gt;tb_federalBrackets_lo*C52)*(AB52-tb_federalBrackets_lo*C52)*tb_federalBrackets_dr)</f>
        <v/>
      </c>
      <c r="AD52" s="7">
        <f>MAX(0,Y52-impuestos_nyDeduccion*C52)</f>
        <v/>
      </c>
      <c r="AE52" s="7">
        <f>CHOOSE(loc_taxcode,0,impuestos_ohTasa*MAX(0,Y52-impuestos_ohExento*C52)+impuestos_ohMunicipal*U52,SUMPRODUCT((AD52&gt;tb_nyBrackets_lo*C52)*(AD52-tb_nyBrackets_lo*C52)*tb_nyBrackets_dr)+loc_nyc*SUMPRODUCT((AD52&gt;tb_nycBrackets_lo*C52)*(AD52-tb_nycBrackets_lo*C52)*tb_nycBrackets_dr))</f>
        <v/>
      </c>
      <c r="AF52" s="7">
        <f>AC52+AE52+X52+W52</f>
        <v/>
      </c>
      <c r="AG52" s="7">
        <f>D52+F52+R52+T52+H52</f>
        <v/>
      </c>
      <c r="AH52" s="7">
        <f>AG52-AF52-O52</f>
        <v/>
      </c>
      <c r="AI52" s="7">
        <f>D52+F52+G52+H52</f>
        <v/>
      </c>
      <c r="AJ52" s="7">
        <f>loc_gastosVida*C52*g_gastos</f>
        <v/>
      </c>
      <c r="AK52" s="7">
        <f>IF(19=0,personal_liquidoInicial,DR51)</f>
        <v/>
      </c>
      <c r="AL52" s="7">
        <f>IF(19=0,0,BB51)</f>
        <v/>
      </c>
      <c r="AM52" s="7">
        <f>CHOOSE(sel_cfgIdx,loc_precio_duplex,loc_precio_inlaw,loc_precio_dosCasas,loc_precio_casaAdu,loc_precio_multi)</f>
        <v/>
      </c>
      <c r="AN52" s="7">
        <f>AM52*(1+g_appr)^(A52-2026)</f>
        <v/>
      </c>
      <c r="AO52" s="7">
        <f>IF(AND(M52=1,vivienda_prestamoMedico=1),1,0)</f>
        <v/>
      </c>
      <c r="AP52" s="7">
        <f>IF(AO52=1,0.05,vivienda_enganchePct)</f>
        <v/>
      </c>
      <c r="AQ52" s="7">
        <f>AN52*(1-AP52)</f>
        <v/>
      </c>
      <c r="AR52" s="7">
        <f>PMT(g_mortRate/12,vivienda_plazoHipoteca*12,-AQ52)</f>
        <v/>
      </c>
      <c r="AS52" s="7">
        <f>INDEX(cfg_units,sel_cfgIdx)</f>
        <v/>
      </c>
      <c r="AT52" s="7">
        <f>AS52*loc_rentaUnidad*(1+g_inf)^(A52-2026)*(1-vivienda_vacancia)</f>
        <v/>
      </c>
      <c r="AU52" s="7">
        <f>AR52+AN52*loc_impuestoPropPct/12+AM52*loc_seguroPct*(1+vivienda_inflacionSeguro)^(A52-2026)/12+IF(AND(AO52=0,AP52&lt;0.2),AQ52*vivienda_pmiTasa/12,0)</f>
        <v/>
      </c>
      <c r="AV52" s="7">
        <f>AN52*AP52+AN52*vivienda_cierrePct+general_reservaMeses/12*AJ52</f>
        <v/>
      </c>
      <c r="AW52" s="7">
        <f>(IF(19=0,MIN(personal_irsSaldo,personal_irsPagoMensual*12),MIN(CD51,personal_irsPagoMensual*12))+IF(CE52&gt;0,PMT(CF52,MAX(1,prestamos_plazoAnios-CG52),-CE52),0)+IF(CR52&gt;0,PMT(CS52,MAX(1,prestamos_plazoAnios-CT52),-CR52),0))/12</f>
        <v/>
      </c>
      <c r="AX52" s="7">
        <f>IF(OR(sel_cfg="duplex",sel_cfg="multi",sel_cfg="dosCasas"),0.75*personal_aporteFamiliaMensual,0)</f>
        <v/>
      </c>
      <c r="AY52" s="7">
        <f>AU52-0.75*AT52-AX52+AW52</f>
        <v/>
      </c>
      <c r="AZ52" s="7">
        <f>(D52+G52+H52+0.5*F52)/12</f>
        <v/>
      </c>
      <c r="BA52" s="7">
        <f>IF(AND(AL52=0,A52&gt;=vivienda_anioMinCompra,J52&lt;0.5,AI52&gt;0,AK52&gt;=AV52,AY52&lt;=vivienda_dtiMax*AZ52),1,0)</f>
        <v/>
      </c>
      <c r="BB52" s="7">
        <f>MAX(AL52,BA52)</f>
        <v/>
      </c>
      <c r="BC52" s="7">
        <f>IF(BA52=1,A52,IF(19=0,"",BC51))</f>
        <v/>
      </c>
      <c r="BD52" s="7">
        <f>AK52-IF(BA52=1,AN52*AP52+AN52*vivienda_cierrePct,0)</f>
        <v/>
      </c>
      <c r="BE52" s="7">
        <f>IF(BA52=1,AN52,IF(19=0,0,BE51))</f>
        <v/>
      </c>
      <c r="BF52" s="7">
        <f>IF(BA52=1,AR52,IF(19=0,0,BF51))</f>
        <v/>
      </c>
      <c r="BG52" s="7">
        <f>IF(BA52=1,IF(AND(AO52=0,AP52&lt;0.2),1,0),IF(19=0,0,BY51))</f>
        <v/>
      </c>
      <c r="BH52" s="7">
        <f>IF(sel_cfg="casaAdu",1,0)</f>
        <v/>
      </c>
      <c r="BI52" s="7">
        <f>IF(AND(BB52=1,BH52=1,IF(19=0,0,BJ51)=0,A52&gt;=IF(BC52="",9999,BC52)+vivienda_aduRetrasoAnios),1,0)</f>
        <v/>
      </c>
      <c r="BJ52" s="7">
        <f>MAX(IF(19=0,0,BJ51),BI52)</f>
        <v/>
      </c>
      <c r="BK52" s="7">
        <f>IF(BI52=1,PMT((g_mortRate+0.005)/12,180,-loc_precio_aduCosto*C52),IF(19=0,0,BK51))</f>
        <v/>
      </c>
      <c r="BL52" s="7">
        <f>IF(BA52=1,AN52,IF(19=0,0,DT51))+IF(BI52=1,loc_precio_aduCosto*C52,0)</f>
        <v/>
      </c>
      <c r="BM52" s="7">
        <f>IF(BA52=1,AQ52,IF(19=0,0,DU51))</f>
        <v/>
      </c>
      <c r="BN52" s="7">
        <f>IF(BM52&lt;=0,0,FV(g_mortRate/12,12,BF52,-BM52))</f>
        <v/>
      </c>
      <c r="BO52" s="7">
        <f>IF(BM52&lt;=0,0,12*BF52+MIN(0,BN52))</f>
        <v/>
      </c>
      <c r="BP52" s="7">
        <f>MAX(0,BN52)</f>
        <v/>
      </c>
      <c r="BQ52" s="7">
        <f>IF(BI52=1,loc_precio_aduCosto*C52,IF(19=0,0,DV51))</f>
        <v/>
      </c>
      <c r="BR52" s="7">
        <f>IF(BQ52&lt;=0,0,FV((g_mortRate+0.005)/12,12,BK52,-BQ52))</f>
        <v/>
      </c>
      <c r="BS52" s="7">
        <f>IF(BQ52&lt;=0,0,12*BK52+MIN(0,BR52))</f>
        <v/>
      </c>
      <c r="BT52" s="7">
        <f>MAX(0,BR52)</f>
        <v/>
      </c>
      <c r="BU52" s="7">
        <f>IF(BB52=1,AM52*loc_seguroPct*(1+vivienda_inflacionSeguro)^(A52-2026)*IF(BJ52=1,1+loc_precio_aduCosto/AM52,1),0)</f>
        <v/>
      </c>
      <c r="BV52" s="7">
        <f>BL52*loc_impuestoPropPct</f>
        <v/>
      </c>
      <c r="BW52" s="7">
        <f>BL52*vivienda_mantenimientoPct</f>
        <v/>
      </c>
      <c r="BX52" s="7">
        <f>IF(AND(BG52=1,BP52&gt;0.8*BE52),BE52*(1-vivienda_enganchePct)*vivienda_pmiTasa,0)</f>
        <v/>
      </c>
      <c r="BY52" s="7">
        <f>IF(AND(BG52=1,BP52&gt;0.8*BE52),1,0)</f>
        <v/>
      </c>
      <c r="BZ52" s="7">
        <f>IF(BB52=1,AS52*loc_rentaUnidad*12*C52*(1-vivienda_vacancia)*(1-vivienda_gestionPct),0)</f>
        <v/>
      </c>
      <c r="CA52" s="7">
        <f>IF(BB52=1,BO52+BS52+BU52+BV52+BW52+BX52,loc_rentaMensual*12*C52)</f>
        <v/>
      </c>
      <c r="CB52" s="7">
        <f>IF(BB52=1,personal_aporteFamiliaMensual*12,0)</f>
        <v/>
      </c>
      <c r="CC52" s="7">
        <f>MIN(IF(19=0,personal_irsSaldo,CD51),personal_irsPagoMensual*12)</f>
        <v/>
      </c>
      <c r="CD52" s="7">
        <f>IF(19=0,personal_irsSaldo,CD51)-CC52</f>
        <v/>
      </c>
      <c r="CE52" s="7">
        <f>IF(19=0,IF(personal_deudaEsFederal=1,personal_deudaEstudiantil,0),DW51)</f>
        <v/>
      </c>
      <c r="CF52" s="7">
        <f>IF(19=0,personal_tasaDeudaEstudiantil,DX51)</f>
        <v/>
      </c>
      <c r="CG52" s="7">
        <f>IF(19=0,0,DY51)</f>
        <v/>
      </c>
      <c r="CH52" s="7">
        <f>IF(J52&gt;=0.5,1,0)</f>
        <v/>
      </c>
      <c r="CI52" s="7">
        <f>IF(AND(CH52=0,prestamos_pslfActivo=1,K52&gt;=0.5,CE52&gt;0),1,0)</f>
        <v/>
      </c>
      <c r="CJ52" s="7">
        <f>CE52*CF52</f>
        <v/>
      </c>
      <c r="CK52" s="7">
        <f>MAX(prestamos_rapPagoMinimoAnual,IF(Y52&lt;10000,0,MIN(0.1,INT(Y52/10000)/100))*Y52)</f>
        <v/>
      </c>
      <c r="CL52" s="7">
        <f>IF(CE52&lt;=0,0,IF(CH52=1,0,IF(CI52=1,MIN(CE52+CJ52,CK52),PMT(CF52,MAX(1,prestamos_plazoAnios-CG52),-CE52))))</f>
        <v/>
      </c>
      <c r="CM52" s="7">
        <f>IF(CE52&lt;=0,0,IF(CH52=1,CE52+CJ52,IF(CI52=1,MAX(0,CE52-MAX(CL52-CJ52,MIN(600,CL52))),MAX(0,CE52*(1+CF52)-CL52))))</f>
        <v/>
      </c>
      <c r="CN52" s="7">
        <f>IF(19=0,0,CN51)+IF(CI52=1,12*MIN(1,K52),0)</f>
        <v/>
      </c>
      <c r="CO52" s="7">
        <f>IF(AND(CI52=1,CN52&gt;=prestamos_pslfPagos,CM52&gt;0),CM52,0)</f>
        <v/>
      </c>
      <c r="CP52" s="7">
        <f>CM52-CO52</f>
        <v/>
      </c>
      <c r="CQ52" s="7">
        <f>IF(AND(CE52&gt;0,CH52=0,CI52=0),CG52+1,CG52)</f>
        <v/>
      </c>
      <c r="CR52" s="7">
        <f>IF(19=0,IF(personal_deudaEsFederal=1,0,personal_deudaEstudiantil),EA51)</f>
        <v/>
      </c>
      <c r="CS52" s="7">
        <f>IF(19=0,IF(personal_deudaEsFederal=1,prestamos_tasaPrivada,personal_tasaDeudaEstudiantil),EB51)</f>
        <v/>
      </c>
      <c r="CT52" s="7">
        <f>IF(19=0,0,EC51)</f>
        <v/>
      </c>
      <c r="CU52" s="7">
        <f>IF(OR(CR52&lt;=0,CH52=1),0,PMT(CS52,MAX(1,prestamos_plazoAnios-CT52),-CR52))</f>
        <v/>
      </c>
      <c r="CV52" s="7">
        <f>IF(CR52&lt;=0,0,IF(CH52=1,CR52*(1+CS52),MAX(0,CR52*(1+CS52)-CU52)))</f>
        <v/>
      </c>
      <c r="CW52" s="7">
        <f>IF(AND(CR52&gt;0,CH52=0),CT52+1,CT52)</f>
        <v/>
      </c>
      <c r="CX52" s="7">
        <f>IF(19=0,0,ED51)*(1+general_tasaDeudaConsumo)</f>
        <v/>
      </c>
      <c r="CY52" s="7">
        <f>L52*12*tiempos_travelGastoExtraMes*C52</f>
        <v/>
      </c>
      <c r="CZ52" s="7">
        <f>AJ52+CY52+CA52+CC52+CL52+CU52+I52+N52-BZ52-CB52</f>
        <v/>
      </c>
      <c r="DA52" s="7">
        <f>AH52-CZ52</f>
        <v/>
      </c>
      <c r="DB52" s="7">
        <f>IF(19=0,0,DB51)+DA52</f>
        <v/>
      </c>
      <c r="DC52" s="7">
        <f>AN52*vivienda_enganchePct+AN52*vivienda_cierrePct+general_reservaMeses/12*AJ52</f>
        <v/>
      </c>
      <c r="DD52" s="7">
        <f>IF(BB52=1,g_ret,IF(BD52&gt;0,MIN(1,DC52/BD52),1)*g_cash+(1-IF(BD52&gt;0,MIN(1,DC52/BD52),1))*g_ret)</f>
        <v/>
      </c>
      <c r="DE52" s="7">
        <f>IF(DA52&gt;=0,MIN(CX52,DA52),0)</f>
        <v/>
      </c>
      <c r="DF52" s="7">
        <f>IF(DA52&gt;=0,(1-general_tasaAhorro)*(DA52-DE52),0)</f>
        <v/>
      </c>
      <c r="DG52" s="7">
        <f>IF(DA52&gt;=0,DA52-DE52-DF52,0)</f>
        <v/>
      </c>
      <c r="DH52" s="7">
        <f>MIN(personal_rothAnual,DG52)</f>
        <v/>
      </c>
      <c r="DI52" s="7">
        <f>IF(AND(DA52&gt;=0,BB52=1,BP52+BT52&gt;0),MIN(vivienda_prepagoPct*(DG52-DH52),BP52+BT52),0)</f>
        <v/>
      </c>
      <c r="DJ52" s="7">
        <f>MIN(DI52,BP52)</f>
        <v/>
      </c>
      <c r="DK52" s="7">
        <f>IF(DA52&lt;0,MIN(MAX(0,BD52),-DA52),0)</f>
        <v/>
      </c>
      <c r="DL52" s="7">
        <f>IF(DA52&lt;0,-DA52-DK52,0)</f>
        <v/>
      </c>
      <c r="DM52" s="7">
        <f>IF(19=0,0,DZ51)</f>
        <v/>
      </c>
      <c r="DN52" s="7">
        <f>IF(AND(DL52&gt;0,J52&gt;0),MIN(DL52,MIN(prestamos_topeAnualPosgrado*MIN(1,J52),MAX(0,prestamos_topeTotalPosgrado-DM52))),0)</f>
        <v/>
      </c>
      <c r="DO52" s="7">
        <f>IF(AND(DL52&gt;0,J52&gt;0),DL52-DN52,0)</f>
        <v/>
      </c>
      <c r="DP52" s="7">
        <f>IF(AND(DL52&gt;0,J52&lt;=0),DL52,0)</f>
        <v/>
      </c>
      <c r="DQ52" s="7">
        <f>IF(DA52&gt;=0,DG52-DH52-DI52,-DK52)</f>
        <v/>
      </c>
      <c r="DR52" s="7">
        <f>BD52*(1+DD52)+DQ52*(1+DD52/2)</f>
        <v/>
      </c>
      <c r="DS52" s="7">
        <f>IF(19=0,personal_retiroInicial,DS51)*(1+g_ret)+(O52+P52+DH52)*(1+g_ret/2)</f>
        <v/>
      </c>
      <c r="DT52" s="7">
        <f>IF(BB52=1,BL52*(1+g_appr),0)</f>
        <v/>
      </c>
      <c r="DU52" s="7">
        <f>BP52-DJ52</f>
        <v/>
      </c>
      <c r="DV52" s="7">
        <f>BT52-(DI52-DJ52)</f>
        <v/>
      </c>
      <c r="DW52" s="7">
        <f>CP52+DN52</f>
        <v/>
      </c>
      <c r="DX52" s="7">
        <f>IF(DN52&gt;0,(CP52*CF52+DN52*prestamos_tasaFederalPosgrado)/(CP52+DN52),CF52)</f>
        <v/>
      </c>
      <c r="DY52" s="7">
        <f>IF(DN52&gt;0,0,CQ52)</f>
        <v/>
      </c>
      <c r="DZ52" s="7">
        <f>DM52+DN52</f>
        <v/>
      </c>
      <c r="EA52" s="7">
        <f>CV52+DO52</f>
        <v/>
      </c>
      <c r="EB52" s="7">
        <f>IF(DO52&gt;0,(CV52*CS52+DO52*prestamos_tasaPrivada)/(CV52+DO52),CS52)</f>
        <v/>
      </c>
      <c r="EC52" s="7">
        <f>IF(DO52&gt;0,0,CW52)</f>
        <v/>
      </c>
      <c r="ED52" s="7">
        <f>CX52-DE52+DP52</f>
        <v/>
      </c>
      <c r="EE52" s="7">
        <f>IF(IF(19=0,"",EE51)&lt;&gt;"",EE51,IF(AND(BB52=1,DU52&lt;=0.5,DV52&lt;=0.5,OR(BH52=0,BJ52=1)),A52,""))</f>
        <v/>
      </c>
      <c r="EF52" s="7">
        <f>DU52+DV52+DW52+EA52+ED52+CD52</f>
        <v/>
      </c>
      <c r="EG52" s="7">
        <f>DR52+DS52+DT52-EF52</f>
        <v/>
      </c>
      <c r="EH52" s="7">
        <f>EG52/(1+g_inf)^(A52+1-2026)</f>
        <v/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H52"/>
  <sheetViews>
    <sheetView workbookViewId="0">
      <pane xSplit="1" ySplit="32" topLeftCell="B3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0" customWidth="1" min="1" max="1"/>
  </cols>
  <sheetData>
    <row r="1">
      <c r="A1" s="1" t="inlineStr">
        <is>
          <t>A4 · CDI / informática (valora tu MD)</t>
        </is>
      </c>
    </row>
    <row r="2">
      <c r="A2" s="2" t="inlineStr">
        <is>
          <t>Etapas (celdas azules editables; fechas decimales: 2027.67 = sep-2027). Traslape por año en columnas T→AM. Hitos con costo en AN→AP.</t>
        </is>
      </c>
    </row>
    <row r="4">
      <c r="A4" s="5" t="inlineStr">
        <is>
          <t>Etapa</t>
        </is>
      </c>
      <c r="B4" s="5" t="inlineStr">
        <is>
          <t>Inicio</t>
        </is>
      </c>
      <c r="C4" s="5" t="inlineStr">
        <is>
          <t>Fin</t>
        </is>
      </c>
      <c r="D4" s="5" t="inlineStr">
        <is>
          <t>Rol</t>
        </is>
      </c>
      <c r="E4" s="5" t="inlineStr">
        <is>
          <t>Salario base FT 2026 ($)</t>
        </is>
      </c>
      <c r="F4" s="5" t="inlineStr">
        <is>
          <t>Aumento anual</t>
        </is>
      </c>
      <c r="G4" s="5" t="inlineStr">
        <is>
          <t>Horas (FTE)</t>
        </is>
      </c>
      <c r="H4" s="5" t="inlineStr">
        <is>
          <t>Multiplicador</t>
        </is>
      </c>
      <c r="I4" s="5" t="inlineStr">
        <is>
          <t>Bono al inicio</t>
        </is>
      </c>
      <c r="J4" s="5" t="inlineStr">
        <is>
          <t>Matrícula total (2026$)</t>
        </is>
      </c>
      <c r="K4" s="5" t="inlineStr">
        <is>
          <t>Estudio (1/0)</t>
        </is>
      </c>
      <c r="L4" s="5" t="inlineStr">
        <is>
          <t>PSLF (1/0)</t>
        </is>
      </c>
      <c r="M4" s="5" t="inlineStr">
        <is>
          <t>Match 403b (1/0)</t>
        </is>
      </c>
      <c r="N4" s="5" t="inlineStr">
        <is>
          <t>Travel (1/0)</t>
        </is>
      </c>
      <c r="O4" s="5" t="inlineStr">
        <is>
          <t>% stipend libre</t>
        </is>
      </c>
      <c r="P4" s="5" t="inlineStr">
        <is>
          <t>S-corp anual base</t>
        </is>
      </c>
      <c r="Q4" s="5" t="inlineStr">
        <is>
          <t>Autoempleo anual base</t>
        </is>
      </c>
      <c r="R4" s="5" t="inlineStr">
        <is>
          <t>Attending (1/0)</t>
        </is>
      </c>
      <c r="T4" s="8" t="n">
        <v>2027</v>
      </c>
      <c r="U4" s="8" t="n">
        <v>2028</v>
      </c>
      <c r="V4" s="8" t="n">
        <v>2029</v>
      </c>
      <c r="W4" s="8" t="n">
        <v>2030</v>
      </c>
      <c r="X4" s="8" t="n">
        <v>2031</v>
      </c>
      <c r="Y4" s="8" t="n">
        <v>2032</v>
      </c>
      <c r="Z4" s="8" t="n">
        <v>2033</v>
      </c>
      <c r="AA4" s="8" t="n">
        <v>2034</v>
      </c>
      <c r="AB4" s="8" t="n">
        <v>2035</v>
      </c>
      <c r="AC4" s="8" t="n">
        <v>2036</v>
      </c>
      <c r="AD4" s="8" t="n">
        <v>2037</v>
      </c>
      <c r="AE4" s="8" t="n">
        <v>2038</v>
      </c>
      <c r="AF4" s="8" t="n">
        <v>2039</v>
      </c>
      <c r="AG4" s="8" t="n">
        <v>2040</v>
      </c>
      <c r="AH4" s="8" t="n">
        <v>2041</v>
      </c>
      <c r="AI4" s="8" t="n">
        <v>2042</v>
      </c>
      <c r="AJ4" s="8" t="n">
        <v>2043</v>
      </c>
      <c r="AK4" s="8" t="n">
        <v>2044</v>
      </c>
      <c r="AL4" s="8" t="n">
        <v>2045</v>
      </c>
      <c r="AM4" s="8" t="n">
        <v>2046</v>
      </c>
      <c r="AN4" s="5" t="inlineStr">
        <is>
          <t>Hito</t>
        </is>
      </c>
      <c r="AO4" s="5" t="inlineStr">
        <is>
          <t>Fecha</t>
        </is>
      </c>
      <c r="AP4" s="5" t="inlineStr">
        <is>
          <t>Costo (2026$)</t>
        </is>
      </c>
    </row>
    <row r="5">
      <c r="A5" t="inlineStr">
        <is>
          <t>Case manager RN</t>
        </is>
      </c>
      <c r="B5" s="3" t="n">
        <v>2027</v>
      </c>
      <c r="C5" s="3" t="n">
        <v>2027.5</v>
      </c>
      <c r="D5" t="inlineStr">
        <is>
          <t>cm</t>
        </is>
      </c>
      <c r="E5">
        <f>personal_tarifaHora*2080*loc_factorRN/ubic_miami_factorRN</f>
        <v/>
      </c>
      <c r="F5">
        <f>roles_cm_aumento</f>
        <v/>
      </c>
      <c r="G5">
        <f>personal_horasSemana/40</f>
        <v/>
      </c>
      <c r="H5" s="3" t="n">
        <v>1</v>
      </c>
      <c r="I5" s="3" t="n">
        <v>0</v>
      </c>
      <c r="J5" s="3" t="n">
        <v>0</v>
      </c>
      <c r="K5" s="3" t="n">
        <v>0</v>
      </c>
      <c r="L5" s="3" t="n">
        <v>1</v>
      </c>
      <c r="M5" s="3" t="n">
        <v>1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T5">
        <f>MAX(0,MIN($C5,T$4+1)-MAX($B5,T$4))</f>
        <v/>
      </c>
      <c r="U5">
        <f>MAX(0,MIN($C5,U$4+1)-MAX($B5,U$4))</f>
        <v/>
      </c>
      <c r="V5">
        <f>MAX(0,MIN($C5,V$4+1)-MAX($B5,V$4))</f>
        <v/>
      </c>
      <c r="W5">
        <f>MAX(0,MIN($C5,W$4+1)-MAX($B5,W$4))</f>
        <v/>
      </c>
      <c r="X5">
        <f>MAX(0,MIN($C5,X$4+1)-MAX($B5,X$4))</f>
        <v/>
      </c>
      <c r="Y5">
        <f>MAX(0,MIN($C5,Y$4+1)-MAX($B5,Y$4))</f>
        <v/>
      </c>
      <c r="Z5">
        <f>MAX(0,MIN($C5,Z$4+1)-MAX($B5,Z$4))</f>
        <v/>
      </c>
      <c r="AA5">
        <f>MAX(0,MIN($C5,AA$4+1)-MAX($B5,AA$4))</f>
        <v/>
      </c>
      <c r="AB5">
        <f>MAX(0,MIN($C5,AB$4+1)-MAX($B5,AB$4))</f>
        <v/>
      </c>
      <c r="AC5">
        <f>MAX(0,MIN($C5,AC$4+1)-MAX($B5,AC$4))</f>
        <v/>
      </c>
      <c r="AD5">
        <f>MAX(0,MIN($C5,AD$4+1)-MAX($B5,AD$4))</f>
        <v/>
      </c>
      <c r="AE5">
        <f>MAX(0,MIN($C5,AE$4+1)-MAX($B5,AE$4))</f>
        <v/>
      </c>
      <c r="AF5">
        <f>MAX(0,MIN($C5,AF$4+1)-MAX($B5,AF$4))</f>
        <v/>
      </c>
      <c r="AG5">
        <f>MAX(0,MIN($C5,AG$4+1)-MAX($B5,AG$4))</f>
        <v/>
      </c>
      <c r="AH5">
        <f>MAX(0,MIN($C5,AH$4+1)-MAX($B5,AH$4))</f>
        <v/>
      </c>
      <c r="AI5">
        <f>MAX(0,MIN($C5,AI$4+1)-MAX($B5,AI$4))</f>
        <v/>
      </c>
      <c r="AJ5">
        <f>MAX(0,MIN($C5,AJ$4+1)-MAX($B5,AJ$4))</f>
        <v/>
      </c>
      <c r="AK5">
        <f>MAX(0,MIN($C5,AK$4+1)-MAX($B5,AK$4))</f>
        <v/>
      </c>
      <c r="AL5">
        <f>MAX(0,MIN($C5,AL$4+1)-MAX($B5,AL$4))</f>
        <v/>
      </c>
      <c r="AM5">
        <f>MAX(0,MIN($C5,AM$4+1)-MAX($B5,AM$4))</f>
        <v/>
      </c>
      <c r="AN5" t="inlineStr">
        <is>
          <t>Graduación RN-BSN</t>
        </is>
      </c>
      <c r="AO5" s="3" t="n">
        <v>2027.5</v>
      </c>
      <c r="AP5" s="3" t="n">
        <v>0</v>
      </c>
    </row>
    <row r="6">
      <c r="A6" t="inlineStr">
        <is>
          <t>CDI / clinical liaison</t>
        </is>
      </c>
      <c r="B6" s="3" t="n">
        <v>2027.5</v>
      </c>
      <c r="C6" s="3" t="n">
        <v>2029.5</v>
      </c>
      <c r="D6" t="inlineStr">
        <is>
          <t>cdi</t>
        </is>
      </c>
      <c r="E6">
        <f>roles_cdi_base*(1+(loc_factorRN-1)*0.5)</f>
        <v/>
      </c>
      <c r="F6">
        <f>roles_cdi_aumento</f>
        <v/>
      </c>
      <c r="G6" s="3" t="n">
        <v>1</v>
      </c>
      <c r="H6" s="3" t="n">
        <v>1</v>
      </c>
      <c r="I6" s="3" t="n">
        <v>0</v>
      </c>
      <c r="J6" s="3" t="n">
        <v>0</v>
      </c>
      <c r="K6" s="3" t="n">
        <v>0</v>
      </c>
      <c r="L6" s="3" t="n">
        <v>1</v>
      </c>
      <c r="M6" s="3" t="n">
        <v>1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  <c r="T6">
        <f>MAX(0,MIN($C6,T$4+1)-MAX($B6,T$4))</f>
        <v/>
      </c>
      <c r="U6">
        <f>MAX(0,MIN($C6,U$4+1)-MAX($B6,U$4))</f>
        <v/>
      </c>
      <c r="V6">
        <f>MAX(0,MIN($C6,V$4+1)-MAX($B6,V$4))</f>
        <v/>
      </c>
      <c r="W6">
        <f>MAX(0,MIN($C6,W$4+1)-MAX($B6,W$4))</f>
        <v/>
      </c>
      <c r="X6">
        <f>MAX(0,MIN($C6,X$4+1)-MAX($B6,X$4))</f>
        <v/>
      </c>
      <c r="Y6">
        <f>MAX(0,MIN($C6,Y$4+1)-MAX($B6,Y$4))</f>
        <v/>
      </c>
      <c r="Z6">
        <f>MAX(0,MIN($C6,Z$4+1)-MAX($B6,Z$4))</f>
        <v/>
      </c>
      <c r="AA6">
        <f>MAX(0,MIN($C6,AA$4+1)-MAX($B6,AA$4))</f>
        <v/>
      </c>
      <c r="AB6">
        <f>MAX(0,MIN($C6,AB$4+1)-MAX($B6,AB$4))</f>
        <v/>
      </c>
      <c r="AC6">
        <f>MAX(0,MIN($C6,AC$4+1)-MAX($B6,AC$4))</f>
        <v/>
      </c>
      <c r="AD6">
        <f>MAX(0,MIN($C6,AD$4+1)-MAX($B6,AD$4))</f>
        <v/>
      </c>
      <c r="AE6">
        <f>MAX(0,MIN($C6,AE$4+1)-MAX($B6,AE$4))</f>
        <v/>
      </c>
      <c r="AF6">
        <f>MAX(0,MIN($C6,AF$4+1)-MAX($B6,AF$4))</f>
        <v/>
      </c>
      <c r="AG6">
        <f>MAX(0,MIN($C6,AG$4+1)-MAX($B6,AG$4))</f>
        <v/>
      </c>
      <c r="AH6">
        <f>MAX(0,MIN($C6,AH$4+1)-MAX($B6,AH$4))</f>
        <v/>
      </c>
      <c r="AI6">
        <f>MAX(0,MIN($C6,AI$4+1)-MAX($B6,AI$4))</f>
        <v/>
      </c>
      <c r="AJ6">
        <f>MAX(0,MIN($C6,AJ$4+1)-MAX($B6,AJ$4))</f>
        <v/>
      </c>
      <c r="AK6">
        <f>MAX(0,MIN($C6,AK$4+1)-MAX($B6,AK$4))</f>
        <v/>
      </c>
      <c r="AL6">
        <f>MAX(0,MIN($C6,AL$4+1)-MAX($B6,AL$4))</f>
        <v/>
      </c>
      <c r="AM6">
        <f>MAX(0,MIN($C6,AM$4+1)-MAX($B6,AM$4))</f>
        <v/>
      </c>
      <c r="AN6" t="inlineStr">
        <is>
          <t>Matrícula restante BSN</t>
        </is>
      </c>
      <c r="AO6" s="3" t="n">
        <v>2027</v>
      </c>
      <c r="AP6" s="3">
        <f>personal_bsnCostoRestante</f>
        <v/>
      </c>
    </row>
    <row r="7">
      <c r="A7" t="inlineStr">
        <is>
          <t>CDI / clinical liaison (CCDS)</t>
        </is>
      </c>
      <c r="B7" s="3" t="n">
        <v>2029.5</v>
      </c>
      <c r="C7" s="3" t="n">
        <v>2033.5</v>
      </c>
      <c r="D7" t="inlineStr">
        <is>
          <t>cdi</t>
        </is>
      </c>
      <c r="E7">
        <f>roles_cdi_base*(1+(loc_factorRN-1)*0.5)</f>
        <v/>
      </c>
      <c r="F7">
        <f>roles_cdi_aumento</f>
        <v/>
      </c>
      <c r="G7" s="3" t="n">
        <v>1</v>
      </c>
      <c r="H7">
        <f>(1+tiempos_cdiCertAumento)^1</f>
        <v/>
      </c>
      <c r="I7" s="3" t="n">
        <v>0</v>
      </c>
      <c r="J7" s="3" t="n">
        <v>0</v>
      </c>
      <c r="K7" s="3" t="n">
        <v>0</v>
      </c>
      <c r="L7" s="3" t="n">
        <v>1</v>
      </c>
      <c r="M7" s="3" t="n">
        <v>1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T7">
        <f>MAX(0,MIN($C7,T$4+1)-MAX($B7,T$4))</f>
        <v/>
      </c>
      <c r="U7">
        <f>MAX(0,MIN($C7,U$4+1)-MAX($B7,U$4))</f>
        <v/>
      </c>
      <c r="V7">
        <f>MAX(0,MIN($C7,V$4+1)-MAX($B7,V$4))</f>
        <v/>
      </c>
      <c r="W7">
        <f>MAX(0,MIN($C7,W$4+1)-MAX($B7,W$4))</f>
        <v/>
      </c>
      <c r="X7">
        <f>MAX(0,MIN($C7,X$4+1)-MAX($B7,X$4))</f>
        <v/>
      </c>
      <c r="Y7">
        <f>MAX(0,MIN($C7,Y$4+1)-MAX($B7,Y$4))</f>
        <v/>
      </c>
      <c r="Z7">
        <f>MAX(0,MIN($C7,Z$4+1)-MAX($B7,Z$4))</f>
        <v/>
      </c>
      <c r="AA7">
        <f>MAX(0,MIN($C7,AA$4+1)-MAX($B7,AA$4))</f>
        <v/>
      </c>
      <c r="AB7">
        <f>MAX(0,MIN($C7,AB$4+1)-MAX($B7,AB$4))</f>
        <v/>
      </c>
      <c r="AC7">
        <f>MAX(0,MIN($C7,AC$4+1)-MAX($B7,AC$4))</f>
        <v/>
      </c>
      <c r="AD7">
        <f>MAX(0,MIN($C7,AD$4+1)-MAX($B7,AD$4))</f>
        <v/>
      </c>
      <c r="AE7">
        <f>MAX(0,MIN($C7,AE$4+1)-MAX($B7,AE$4))</f>
        <v/>
      </c>
      <c r="AF7">
        <f>MAX(0,MIN($C7,AF$4+1)-MAX($B7,AF$4))</f>
        <v/>
      </c>
      <c r="AG7">
        <f>MAX(0,MIN($C7,AG$4+1)-MAX($B7,AG$4))</f>
        <v/>
      </c>
      <c r="AH7">
        <f>MAX(0,MIN($C7,AH$4+1)-MAX($B7,AH$4))</f>
        <v/>
      </c>
      <c r="AI7">
        <f>MAX(0,MIN($C7,AI$4+1)-MAX($B7,AI$4))</f>
        <v/>
      </c>
      <c r="AJ7">
        <f>MAX(0,MIN($C7,AJ$4+1)-MAX($B7,AJ$4))</f>
        <v/>
      </c>
      <c r="AK7">
        <f>MAX(0,MIN($C7,AK$4+1)-MAX($B7,AK$4))</f>
        <v/>
      </c>
      <c r="AL7">
        <f>MAX(0,MIN($C7,AL$4+1)-MAX($B7,AL$4))</f>
        <v/>
      </c>
      <c r="AM7">
        <f>MAX(0,MIN($C7,AM$4+1)-MAX($B7,AM$4))</f>
        <v/>
      </c>
      <c r="AN7" t="inlineStr">
        <is>
          <t>Certificación CCDS</t>
        </is>
      </c>
      <c r="AO7" s="3" t="n">
        <v>2029.5</v>
      </c>
      <c r="AP7" s="3" t="n">
        <v>1000</v>
      </c>
    </row>
    <row r="8">
      <c r="A8" t="inlineStr">
        <is>
          <t>CDI / clinical liaison (lead/senior)</t>
        </is>
      </c>
      <c r="B8" s="3" t="n">
        <v>2033.5</v>
      </c>
      <c r="C8" s="3" t="n">
        <v>2048</v>
      </c>
      <c r="D8" t="inlineStr">
        <is>
          <t>cdi</t>
        </is>
      </c>
      <c r="E8">
        <f>roles_cdi_base*(1+(loc_factorRN-1)*0.5)</f>
        <v/>
      </c>
      <c r="F8">
        <f>roles_cdi_aumento</f>
        <v/>
      </c>
      <c r="G8" s="3" t="n">
        <v>1</v>
      </c>
      <c r="H8">
        <f>(1+tiempos_cdiCertAumento)^2</f>
        <v/>
      </c>
      <c r="I8" s="3" t="n">
        <v>0</v>
      </c>
      <c r="J8" s="3" t="n">
        <v>0</v>
      </c>
      <c r="K8" s="3" t="n">
        <v>0</v>
      </c>
      <c r="L8" s="3" t="n">
        <v>1</v>
      </c>
      <c r="M8" s="3" t="n">
        <v>1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T8">
        <f>MAX(0,MIN($C8,T$4+1)-MAX($B8,T$4))</f>
        <v/>
      </c>
      <c r="U8">
        <f>MAX(0,MIN($C8,U$4+1)-MAX($B8,U$4))</f>
        <v/>
      </c>
      <c r="V8">
        <f>MAX(0,MIN($C8,V$4+1)-MAX($B8,V$4))</f>
        <v/>
      </c>
      <c r="W8">
        <f>MAX(0,MIN($C8,W$4+1)-MAX($B8,W$4))</f>
        <v/>
      </c>
      <c r="X8">
        <f>MAX(0,MIN($C8,X$4+1)-MAX($B8,X$4))</f>
        <v/>
      </c>
      <c r="Y8">
        <f>MAX(0,MIN($C8,Y$4+1)-MAX($B8,Y$4))</f>
        <v/>
      </c>
      <c r="Z8">
        <f>MAX(0,MIN($C8,Z$4+1)-MAX($B8,Z$4))</f>
        <v/>
      </c>
      <c r="AA8">
        <f>MAX(0,MIN($C8,AA$4+1)-MAX($B8,AA$4))</f>
        <v/>
      </c>
      <c r="AB8">
        <f>MAX(0,MIN($C8,AB$4+1)-MAX($B8,AB$4))</f>
        <v/>
      </c>
      <c r="AC8">
        <f>MAX(0,MIN($C8,AC$4+1)-MAX($B8,AC$4))</f>
        <v/>
      </c>
      <c r="AD8">
        <f>MAX(0,MIN($C8,AD$4+1)-MAX($B8,AD$4))</f>
        <v/>
      </c>
      <c r="AE8">
        <f>MAX(0,MIN($C8,AE$4+1)-MAX($B8,AE$4))</f>
        <v/>
      </c>
      <c r="AF8">
        <f>MAX(0,MIN($C8,AF$4+1)-MAX($B8,AF$4))</f>
        <v/>
      </c>
      <c r="AG8">
        <f>MAX(0,MIN($C8,AG$4+1)-MAX($B8,AG$4))</f>
        <v/>
      </c>
      <c r="AH8">
        <f>MAX(0,MIN($C8,AH$4+1)-MAX($B8,AH$4))</f>
        <v/>
      </c>
      <c r="AI8">
        <f>MAX(0,MIN($C8,AI$4+1)-MAX($B8,AI$4))</f>
        <v/>
      </c>
      <c r="AJ8">
        <f>MAX(0,MIN($C8,AJ$4+1)-MAX($B8,AJ$4))</f>
        <v/>
      </c>
      <c r="AK8">
        <f>MAX(0,MIN($C8,AK$4+1)-MAX($B8,AK$4))</f>
        <v/>
      </c>
      <c r="AL8">
        <f>MAX(0,MIN($C8,AL$4+1)-MAX($B8,AL$4))</f>
        <v/>
      </c>
      <c r="AM8">
        <f>MAX(0,MIN($C8,AM$4+1)-MAX($B8,AM$4))</f>
        <v/>
      </c>
      <c r="AO8" t="n">
        <v>0</v>
      </c>
      <c r="AP8" t="n">
        <v>0</v>
      </c>
    </row>
    <row r="9">
      <c r="A9" t="inlineStr"/>
      <c r="B9" s="3" t="n">
        <v>0</v>
      </c>
      <c r="C9" s="3" t="n">
        <v>0</v>
      </c>
      <c r="D9" t="inlineStr"/>
      <c r="E9" t="n">
        <v>0</v>
      </c>
      <c r="F9" t="n">
        <v>0</v>
      </c>
      <c r="G9" s="3" t="n">
        <v>0</v>
      </c>
      <c r="H9" s="3" t="n">
        <v>0</v>
      </c>
      <c r="I9" s="3" t="n">
        <v>0</v>
      </c>
      <c r="J9" s="3" t="n">
        <v>0</v>
      </c>
      <c r="K9" s="3" t="n">
        <v>0</v>
      </c>
      <c r="L9" s="3" t="n">
        <v>0</v>
      </c>
      <c r="M9" s="3" t="n">
        <v>0</v>
      </c>
      <c r="N9" s="3" t="n">
        <v>0</v>
      </c>
      <c r="O9" s="3" t="n">
        <v>0</v>
      </c>
      <c r="P9" s="3" t="n">
        <v>0</v>
      </c>
      <c r="Q9" s="3" t="n">
        <v>0</v>
      </c>
      <c r="R9" s="3" t="n">
        <v>0</v>
      </c>
      <c r="T9">
        <f>MAX(0,MIN($C9,T$4+1)-MAX($B9,T$4))</f>
        <v/>
      </c>
      <c r="U9">
        <f>MAX(0,MIN($C9,U$4+1)-MAX($B9,U$4))</f>
        <v/>
      </c>
      <c r="V9">
        <f>MAX(0,MIN($C9,V$4+1)-MAX($B9,V$4))</f>
        <v/>
      </c>
      <c r="W9">
        <f>MAX(0,MIN($C9,W$4+1)-MAX($B9,W$4))</f>
        <v/>
      </c>
      <c r="X9">
        <f>MAX(0,MIN($C9,X$4+1)-MAX($B9,X$4))</f>
        <v/>
      </c>
      <c r="Y9">
        <f>MAX(0,MIN($C9,Y$4+1)-MAX($B9,Y$4))</f>
        <v/>
      </c>
      <c r="Z9">
        <f>MAX(0,MIN($C9,Z$4+1)-MAX($B9,Z$4))</f>
        <v/>
      </c>
      <c r="AA9">
        <f>MAX(0,MIN($C9,AA$4+1)-MAX($B9,AA$4))</f>
        <v/>
      </c>
      <c r="AB9">
        <f>MAX(0,MIN($C9,AB$4+1)-MAX($B9,AB$4))</f>
        <v/>
      </c>
      <c r="AC9">
        <f>MAX(0,MIN($C9,AC$4+1)-MAX($B9,AC$4))</f>
        <v/>
      </c>
      <c r="AD9">
        <f>MAX(0,MIN($C9,AD$4+1)-MAX($B9,AD$4))</f>
        <v/>
      </c>
      <c r="AE9">
        <f>MAX(0,MIN($C9,AE$4+1)-MAX($B9,AE$4))</f>
        <v/>
      </c>
      <c r="AF9">
        <f>MAX(0,MIN($C9,AF$4+1)-MAX($B9,AF$4))</f>
        <v/>
      </c>
      <c r="AG9">
        <f>MAX(0,MIN($C9,AG$4+1)-MAX($B9,AG$4))</f>
        <v/>
      </c>
      <c r="AH9">
        <f>MAX(0,MIN($C9,AH$4+1)-MAX($B9,AH$4))</f>
        <v/>
      </c>
      <c r="AI9">
        <f>MAX(0,MIN($C9,AI$4+1)-MAX($B9,AI$4))</f>
        <v/>
      </c>
      <c r="AJ9">
        <f>MAX(0,MIN($C9,AJ$4+1)-MAX($B9,AJ$4))</f>
        <v/>
      </c>
      <c r="AK9">
        <f>MAX(0,MIN($C9,AK$4+1)-MAX($B9,AK$4))</f>
        <v/>
      </c>
      <c r="AL9">
        <f>MAX(0,MIN($C9,AL$4+1)-MAX($B9,AL$4))</f>
        <v/>
      </c>
      <c r="AM9">
        <f>MAX(0,MIN($C9,AM$4+1)-MAX($B9,AM$4))</f>
        <v/>
      </c>
      <c r="AO9" t="n">
        <v>0</v>
      </c>
      <c r="AP9" t="n">
        <v>0</v>
      </c>
    </row>
    <row r="10">
      <c r="A10" t="inlineStr"/>
      <c r="B10" s="3" t="n">
        <v>0</v>
      </c>
      <c r="C10" s="3" t="n">
        <v>0</v>
      </c>
      <c r="D10" t="inlineStr"/>
      <c r="E10" t="n">
        <v>0</v>
      </c>
      <c r="F10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T10">
        <f>MAX(0,MIN($C10,T$4+1)-MAX($B10,T$4))</f>
        <v/>
      </c>
      <c r="U10">
        <f>MAX(0,MIN($C10,U$4+1)-MAX($B10,U$4))</f>
        <v/>
      </c>
      <c r="V10">
        <f>MAX(0,MIN($C10,V$4+1)-MAX($B10,V$4))</f>
        <v/>
      </c>
      <c r="W10">
        <f>MAX(0,MIN($C10,W$4+1)-MAX($B10,W$4))</f>
        <v/>
      </c>
      <c r="X10">
        <f>MAX(0,MIN($C10,X$4+1)-MAX($B10,X$4))</f>
        <v/>
      </c>
      <c r="Y10">
        <f>MAX(0,MIN($C10,Y$4+1)-MAX($B10,Y$4))</f>
        <v/>
      </c>
      <c r="Z10">
        <f>MAX(0,MIN($C10,Z$4+1)-MAX($B10,Z$4))</f>
        <v/>
      </c>
      <c r="AA10">
        <f>MAX(0,MIN($C10,AA$4+1)-MAX($B10,AA$4))</f>
        <v/>
      </c>
      <c r="AB10">
        <f>MAX(0,MIN($C10,AB$4+1)-MAX($B10,AB$4))</f>
        <v/>
      </c>
      <c r="AC10">
        <f>MAX(0,MIN($C10,AC$4+1)-MAX($B10,AC$4))</f>
        <v/>
      </c>
      <c r="AD10">
        <f>MAX(0,MIN($C10,AD$4+1)-MAX($B10,AD$4))</f>
        <v/>
      </c>
      <c r="AE10">
        <f>MAX(0,MIN($C10,AE$4+1)-MAX($B10,AE$4))</f>
        <v/>
      </c>
      <c r="AF10">
        <f>MAX(0,MIN($C10,AF$4+1)-MAX($B10,AF$4))</f>
        <v/>
      </c>
      <c r="AG10">
        <f>MAX(0,MIN($C10,AG$4+1)-MAX($B10,AG$4))</f>
        <v/>
      </c>
      <c r="AH10">
        <f>MAX(0,MIN($C10,AH$4+1)-MAX($B10,AH$4))</f>
        <v/>
      </c>
      <c r="AI10">
        <f>MAX(0,MIN($C10,AI$4+1)-MAX($B10,AI$4))</f>
        <v/>
      </c>
      <c r="AJ10">
        <f>MAX(0,MIN($C10,AJ$4+1)-MAX($B10,AJ$4))</f>
        <v/>
      </c>
      <c r="AK10">
        <f>MAX(0,MIN($C10,AK$4+1)-MAX($B10,AK$4))</f>
        <v/>
      </c>
      <c r="AL10">
        <f>MAX(0,MIN($C10,AL$4+1)-MAX($B10,AL$4))</f>
        <v/>
      </c>
      <c r="AM10">
        <f>MAX(0,MIN($C10,AM$4+1)-MAX($B10,AM$4))</f>
        <v/>
      </c>
      <c r="AO10" t="n">
        <v>0</v>
      </c>
      <c r="AP10" t="n">
        <v>0</v>
      </c>
    </row>
    <row r="11">
      <c r="A11" t="inlineStr"/>
      <c r="B11" s="3" t="n">
        <v>0</v>
      </c>
      <c r="C11" s="3" t="n">
        <v>0</v>
      </c>
      <c r="D11" t="inlineStr"/>
      <c r="E11" t="n">
        <v>0</v>
      </c>
      <c r="F11" t="n">
        <v>0</v>
      </c>
      <c r="G11" s="3" t="n">
        <v>0</v>
      </c>
      <c r="H11" s="3" t="n">
        <v>0</v>
      </c>
      <c r="I11" s="3" t="n">
        <v>0</v>
      </c>
      <c r="J11" s="3" t="n">
        <v>0</v>
      </c>
      <c r="K11" s="3" t="n">
        <v>0</v>
      </c>
      <c r="L11" s="3" t="n">
        <v>0</v>
      </c>
      <c r="M11" s="3" t="n">
        <v>0</v>
      </c>
      <c r="N11" s="3" t="n">
        <v>0</v>
      </c>
      <c r="O11" s="3" t="n">
        <v>0</v>
      </c>
      <c r="P11" s="3" t="n">
        <v>0</v>
      </c>
      <c r="Q11" s="3" t="n">
        <v>0</v>
      </c>
      <c r="R11" s="3" t="n">
        <v>0</v>
      </c>
      <c r="T11">
        <f>MAX(0,MIN($C11,T$4+1)-MAX($B11,T$4))</f>
        <v/>
      </c>
      <c r="U11">
        <f>MAX(0,MIN($C11,U$4+1)-MAX($B11,U$4))</f>
        <v/>
      </c>
      <c r="V11">
        <f>MAX(0,MIN($C11,V$4+1)-MAX($B11,V$4))</f>
        <v/>
      </c>
      <c r="W11">
        <f>MAX(0,MIN($C11,W$4+1)-MAX($B11,W$4))</f>
        <v/>
      </c>
      <c r="X11">
        <f>MAX(0,MIN($C11,X$4+1)-MAX($B11,X$4))</f>
        <v/>
      </c>
      <c r="Y11">
        <f>MAX(0,MIN($C11,Y$4+1)-MAX($B11,Y$4))</f>
        <v/>
      </c>
      <c r="Z11">
        <f>MAX(0,MIN($C11,Z$4+1)-MAX($B11,Z$4))</f>
        <v/>
      </c>
      <c r="AA11">
        <f>MAX(0,MIN($C11,AA$4+1)-MAX($B11,AA$4))</f>
        <v/>
      </c>
      <c r="AB11">
        <f>MAX(0,MIN($C11,AB$4+1)-MAX($B11,AB$4))</f>
        <v/>
      </c>
      <c r="AC11">
        <f>MAX(0,MIN($C11,AC$4+1)-MAX($B11,AC$4))</f>
        <v/>
      </c>
      <c r="AD11">
        <f>MAX(0,MIN($C11,AD$4+1)-MAX($B11,AD$4))</f>
        <v/>
      </c>
      <c r="AE11">
        <f>MAX(0,MIN($C11,AE$4+1)-MAX($B11,AE$4))</f>
        <v/>
      </c>
      <c r="AF11">
        <f>MAX(0,MIN($C11,AF$4+1)-MAX($B11,AF$4))</f>
        <v/>
      </c>
      <c r="AG11">
        <f>MAX(0,MIN($C11,AG$4+1)-MAX($B11,AG$4))</f>
        <v/>
      </c>
      <c r="AH11">
        <f>MAX(0,MIN($C11,AH$4+1)-MAX($B11,AH$4))</f>
        <v/>
      </c>
      <c r="AI11">
        <f>MAX(0,MIN($C11,AI$4+1)-MAX($B11,AI$4))</f>
        <v/>
      </c>
      <c r="AJ11">
        <f>MAX(0,MIN($C11,AJ$4+1)-MAX($B11,AJ$4))</f>
        <v/>
      </c>
      <c r="AK11">
        <f>MAX(0,MIN($C11,AK$4+1)-MAX($B11,AK$4))</f>
        <v/>
      </c>
      <c r="AL11">
        <f>MAX(0,MIN($C11,AL$4+1)-MAX($B11,AL$4))</f>
        <v/>
      </c>
      <c r="AM11">
        <f>MAX(0,MIN($C11,AM$4+1)-MAX($B11,AM$4))</f>
        <v/>
      </c>
      <c r="AO11" t="n">
        <v>0</v>
      </c>
      <c r="AP11" t="n">
        <v>0</v>
      </c>
    </row>
    <row r="12">
      <c r="A12" t="inlineStr"/>
      <c r="B12" s="3" t="n">
        <v>0</v>
      </c>
      <c r="C12" s="3" t="n">
        <v>0</v>
      </c>
      <c r="D12" t="inlineStr"/>
      <c r="E12" t="n">
        <v>0</v>
      </c>
      <c r="F12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T12">
        <f>MAX(0,MIN($C12,T$4+1)-MAX($B12,T$4))</f>
        <v/>
      </c>
      <c r="U12">
        <f>MAX(0,MIN($C12,U$4+1)-MAX($B12,U$4))</f>
        <v/>
      </c>
      <c r="V12">
        <f>MAX(0,MIN($C12,V$4+1)-MAX($B12,V$4))</f>
        <v/>
      </c>
      <c r="W12">
        <f>MAX(0,MIN($C12,W$4+1)-MAX($B12,W$4))</f>
        <v/>
      </c>
      <c r="X12">
        <f>MAX(0,MIN($C12,X$4+1)-MAX($B12,X$4))</f>
        <v/>
      </c>
      <c r="Y12">
        <f>MAX(0,MIN($C12,Y$4+1)-MAX($B12,Y$4))</f>
        <v/>
      </c>
      <c r="Z12">
        <f>MAX(0,MIN($C12,Z$4+1)-MAX($B12,Z$4))</f>
        <v/>
      </c>
      <c r="AA12">
        <f>MAX(0,MIN($C12,AA$4+1)-MAX($B12,AA$4))</f>
        <v/>
      </c>
      <c r="AB12">
        <f>MAX(0,MIN($C12,AB$4+1)-MAX($B12,AB$4))</f>
        <v/>
      </c>
      <c r="AC12">
        <f>MAX(0,MIN($C12,AC$4+1)-MAX($B12,AC$4))</f>
        <v/>
      </c>
      <c r="AD12">
        <f>MAX(0,MIN($C12,AD$4+1)-MAX($B12,AD$4))</f>
        <v/>
      </c>
      <c r="AE12">
        <f>MAX(0,MIN($C12,AE$4+1)-MAX($B12,AE$4))</f>
        <v/>
      </c>
      <c r="AF12">
        <f>MAX(0,MIN($C12,AF$4+1)-MAX($B12,AF$4))</f>
        <v/>
      </c>
      <c r="AG12">
        <f>MAX(0,MIN($C12,AG$4+1)-MAX($B12,AG$4))</f>
        <v/>
      </c>
      <c r="AH12">
        <f>MAX(0,MIN($C12,AH$4+1)-MAX($B12,AH$4))</f>
        <v/>
      </c>
      <c r="AI12">
        <f>MAX(0,MIN($C12,AI$4+1)-MAX($B12,AI$4))</f>
        <v/>
      </c>
      <c r="AJ12">
        <f>MAX(0,MIN($C12,AJ$4+1)-MAX($B12,AJ$4))</f>
        <v/>
      </c>
      <c r="AK12">
        <f>MAX(0,MIN($C12,AK$4+1)-MAX($B12,AK$4))</f>
        <v/>
      </c>
      <c r="AL12">
        <f>MAX(0,MIN($C12,AL$4+1)-MAX($B12,AL$4))</f>
        <v/>
      </c>
      <c r="AM12">
        <f>MAX(0,MIN($C12,AM$4+1)-MAX($B12,AM$4))</f>
        <v/>
      </c>
      <c r="AO12" t="n">
        <v>0</v>
      </c>
      <c r="AP12" t="n">
        <v>0</v>
      </c>
    </row>
    <row r="13">
      <c r="A13" t="inlineStr"/>
      <c r="B13" s="3" t="n">
        <v>0</v>
      </c>
      <c r="C13" s="3" t="n">
        <v>0</v>
      </c>
      <c r="D13" t="inlineStr"/>
      <c r="E13" t="n">
        <v>0</v>
      </c>
      <c r="F1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T13">
        <f>MAX(0,MIN($C13,T$4+1)-MAX($B13,T$4))</f>
        <v/>
      </c>
      <c r="U13">
        <f>MAX(0,MIN($C13,U$4+1)-MAX($B13,U$4))</f>
        <v/>
      </c>
      <c r="V13">
        <f>MAX(0,MIN($C13,V$4+1)-MAX($B13,V$4))</f>
        <v/>
      </c>
      <c r="W13">
        <f>MAX(0,MIN($C13,W$4+1)-MAX($B13,W$4))</f>
        <v/>
      </c>
      <c r="X13">
        <f>MAX(0,MIN($C13,X$4+1)-MAX($B13,X$4))</f>
        <v/>
      </c>
      <c r="Y13">
        <f>MAX(0,MIN($C13,Y$4+1)-MAX($B13,Y$4))</f>
        <v/>
      </c>
      <c r="Z13">
        <f>MAX(0,MIN($C13,Z$4+1)-MAX($B13,Z$4))</f>
        <v/>
      </c>
      <c r="AA13">
        <f>MAX(0,MIN($C13,AA$4+1)-MAX($B13,AA$4))</f>
        <v/>
      </c>
      <c r="AB13">
        <f>MAX(0,MIN($C13,AB$4+1)-MAX($B13,AB$4))</f>
        <v/>
      </c>
      <c r="AC13">
        <f>MAX(0,MIN($C13,AC$4+1)-MAX($B13,AC$4))</f>
        <v/>
      </c>
      <c r="AD13">
        <f>MAX(0,MIN($C13,AD$4+1)-MAX($B13,AD$4))</f>
        <v/>
      </c>
      <c r="AE13">
        <f>MAX(0,MIN($C13,AE$4+1)-MAX($B13,AE$4))</f>
        <v/>
      </c>
      <c r="AF13">
        <f>MAX(0,MIN($C13,AF$4+1)-MAX($B13,AF$4))</f>
        <v/>
      </c>
      <c r="AG13">
        <f>MAX(0,MIN($C13,AG$4+1)-MAX($B13,AG$4))</f>
        <v/>
      </c>
      <c r="AH13">
        <f>MAX(0,MIN($C13,AH$4+1)-MAX($B13,AH$4))</f>
        <v/>
      </c>
      <c r="AI13">
        <f>MAX(0,MIN($C13,AI$4+1)-MAX($B13,AI$4))</f>
        <v/>
      </c>
      <c r="AJ13">
        <f>MAX(0,MIN($C13,AJ$4+1)-MAX($B13,AJ$4))</f>
        <v/>
      </c>
      <c r="AK13">
        <f>MAX(0,MIN($C13,AK$4+1)-MAX($B13,AK$4))</f>
        <v/>
      </c>
      <c r="AL13">
        <f>MAX(0,MIN($C13,AL$4+1)-MAX($B13,AL$4))</f>
        <v/>
      </c>
      <c r="AM13">
        <f>MAX(0,MIN($C13,AM$4+1)-MAX($B13,AM$4))</f>
        <v/>
      </c>
      <c r="AO13" t="n">
        <v>0</v>
      </c>
      <c r="AP13" t="n">
        <v>0</v>
      </c>
    </row>
    <row r="14">
      <c r="A14" t="inlineStr"/>
      <c r="B14" s="3" t="n">
        <v>0</v>
      </c>
      <c r="C14" s="3" t="n">
        <v>0</v>
      </c>
      <c r="D14" t="inlineStr"/>
      <c r="E14" t="n">
        <v>0</v>
      </c>
      <c r="F14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T14">
        <f>MAX(0,MIN($C14,T$4+1)-MAX($B14,T$4))</f>
        <v/>
      </c>
      <c r="U14">
        <f>MAX(0,MIN($C14,U$4+1)-MAX($B14,U$4))</f>
        <v/>
      </c>
      <c r="V14">
        <f>MAX(0,MIN($C14,V$4+1)-MAX($B14,V$4))</f>
        <v/>
      </c>
      <c r="W14">
        <f>MAX(0,MIN($C14,W$4+1)-MAX($B14,W$4))</f>
        <v/>
      </c>
      <c r="X14">
        <f>MAX(0,MIN($C14,X$4+1)-MAX($B14,X$4))</f>
        <v/>
      </c>
      <c r="Y14">
        <f>MAX(0,MIN($C14,Y$4+1)-MAX($B14,Y$4))</f>
        <v/>
      </c>
      <c r="Z14">
        <f>MAX(0,MIN($C14,Z$4+1)-MAX($B14,Z$4))</f>
        <v/>
      </c>
      <c r="AA14">
        <f>MAX(0,MIN($C14,AA$4+1)-MAX($B14,AA$4))</f>
        <v/>
      </c>
      <c r="AB14">
        <f>MAX(0,MIN($C14,AB$4+1)-MAX($B14,AB$4))</f>
        <v/>
      </c>
      <c r="AC14">
        <f>MAX(0,MIN($C14,AC$4+1)-MAX($B14,AC$4))</f>
        <v/>
      </c>
      <c r="AD14">
        <f>MAX(0,MIN($C14,AD$4+1)-MAX($B14,AD$4))</f>
        <v/>
      </c>
      <c r="AE14">
        <f>MAX(0,MIN($C14,AE$4+1)-MAX($B14,AE$4))</f>
        <v/>
      </c>
      <c r="AF14">
        <f>MAX(0,MIN($C14,AF$4+1)-MAX($B14,AF$4))</f>
        <v/>
      </c>
      <c r="AG14">
        <f>MAX(0,MIN($C14,AG$4+1)-MAX($B14,AG$4))</f>
        <v/>
      </c>
      <c r="AH14">
        <f>MAX(0,MIN($C14,AH$4+1)-MAX($B14,AH$4))</f>
        <v/>
      </c>
      <c r="AI14">
        <f>MAX(0,MIN($C14,AI$4+1)-MAX($B14,AI$4))</f>
        <v/>
      </c>
      <c r="AJ14">
        <f>MAX(0,MIN($C14,AJ$4+1)-MAX($B14,AJ$4))</f>
        <v/>
      </c>
      <c r="AK14">
        <f>MAX(0,MIN($C14,AK$4+1)-MAX($B14,AK$4))</f>
        <v/>
      </c>
      <c r="AL14">
        <f>MAX(0,MIN($C14,AL$4+1)-MAX($B14,AL$4))</f>
        <v/>
      </c>
      <c r="AM14">
        <f>MAX(0,MIN($C14,AM$4+1)-MAX($B14,AM$4))</f>
        <v/>
      </c>
      <c r="AO14" t="n">
        <v>0</v>
      </c>
      <c r="AP14" t="n">
        <v>0</v>
      </c>
    </row>
    <row r="15">
      <c r="A15" t="inlineStr"/>
      <c r="B15" s="3" t="n">
        <v>0</v>
      </c>
      <c r="C15" s="3" t="n">
        <v>0</v>
      </c>
      <c r="D15" t="inlineStr"/>
      <c r="E15" t="n">
        <v>0</v>
      </c>
      <c r="F15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T15">
        <f>MAX(0,MIN($C15,T$4+1)-MAX($B15,T$4))</f>
        <v/>
      </c>
      <c r="U15">
        <f>MAX(0,MIN($C15,U$4+1)-MAX($B15,U$4))</f>
        <v/>
      </c>
      <c r="V15">
        <f>MAX(0,MIN($C15,V$4+1)-MAX($B15,V$4))</f>
        <v/>
      </c>
      <c r="W15">
        <f>MAX(0,MIN($C15,W$4+1)-MAX($B15,W$4))</f>
        <v/>
      </c>
      <c r="X15">
        <f>MAX(0,MIN($C15,X$4+1)-MAX($B15,X$4))</f>
        <v/>
      </c>
      <c r="Y15">
        <f>MAX(0,MIN($C15,Y$4+1)-MAX($B15,Y$4))</f>
        <v/>
      </c>
      <c r="Z15">
        <f>MAX(0,MIN($C15,Z$4+1)-MAX($B15,Z$4))</f>
        <v/>
      </c>
      <c r="AA15">
        <f>MAX(0,MIN($C15,AA$4+1)-MAX($B15,AA$4))</f>
        <v/>
      </c>
      <c r="AB15">
        <f>MAX(0,MIN($C15,AB$4+1)-MAX($B15,AB$4))</f>
        <v/>
      </c>
      <c r="AC15">
        <f>MAX(0,MIN($C15,AC$4+1)-MAX($B15,AC$4))</f>
        <v/>
      </c>
      <c r="AD15">
        <f>MAX(0,MIN($C15,AD$4+1)-MAX($B15,AD$4))</f>
        <v/>
      </c>
      <c r="AE15">
        <f>MAX(0,MIN($C15,AE$4+1)-MAX($B15,AE$4))</f>
        <v/>
      </c>
      <c r="AF15">
        <f>MAX(0,MIN($C15,AF$4+1)-MAX($B15,AF$4))</f>
        <v/>
      </c>
      <c r="AG15">
        <f>MAX(0,MIN($C15,AG$4+1)-MAX($B15,AG$4))</f>
        <v/>
      </c>
      <c r="AH15">
        <f>MAX(0,MIN($C15,AH$4+1)-MAX($B15,AH$4))</f>
        <v/>
      </c>
      <c r="AI15">
        <f>MAX(0,MIN($C15,AI$4+1)-MAX($B15,AI$4))</f>
        <v/>
      </c>
      <c r="AJ15">
        <f>MAX(0,MIN($C15,AJ$4+1)-MAX($B15,AJ$4))</f>
        <v/>
      </c>
      <c r="AK15">
        <f>MAX(0,MIN($C15,AK$4+1)-MAX($B15,AK$4))</f>
        <v/>
      </c>
      <c r="AL15">
        <f>MAX(0,MIN($C15,AL$4+1)-MAX($B15,AL$4))</f>
        <v/>
      </c>
      <c r="AM15">
        <f>MAX(0,MIN($C15,AM$4+1)-MAX($B15,AM$4))</f>
        <v/>
      </c>
      <c r="AO15" t="n">
        <v>0</v>
      </c>
      <c r="AP15" t="n">
        <v>0</v>
      </c>
    </row>
    <row r="16">
      <c r="A16" t="inlineStr"/>
      <c r="B16" s="3" t="n">
        <v>0</v>
      </c>
      <c r="C16" s="3" t="n">
        <v>0</v>
      </c>
      <c r="D16" t="inlineStr"/>
      <c r="E16" t="n">
        <v>0</v>
      </c>
      <c r="F16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0</v>
      </c>
      <c r="T16">
        <f>MAX(0,MIN($C16,T$4+1)-MAX($B16,T$4))</f>
        <v/>
      </c>
      <c r="U16">
        <f>MAX(0,MIN($C16,U$4+1)-MAX($B16,U$4))</f>
        <v/>
      </c>
      <c r="V16">
        <f>MAX(0,MIN($C16,V$4+1)-MAX($B16,V$4))</f>
        <v/>
      </c>
      <c r="W16">
        <f>MAX(0,MIN($C16,W$4+1)-MAX($B16,W$4))</f>
        <v/>
      </c>
      <c r="X16">
        <f>MAX(0,MIN($C16,X$4+1)-MAX($B16,X$4))</f>
        <v/>
      </c>
      <c r="Y16">
        <f>MAX(0,MIN($C16,Y$4+1)-MAX($B16,Y$4))</f>
        <v/>
      </c>
      <c r="Z16">
        <f>MAX(0,MIN($C16,Z$4+1)-MAX($B16,Z$4))</f>
        <v/>
      </c>
      <c r="AA16">
        <f>MAX(0,MIN($C16,AA$4+1)-MAX($B16,AA$4))</f>
        <v/>
      </c>
      <c r="AB16">
        <f>MAX(0,MIN($C16,AB$4+1)-MAX($B16,AB$4))</f>
        <v/>
      </c>
      <c r="AC16">
        <f>MAX(0,MIN($C16,AC$4+1)-MAX($B16,AC$4))</f>
        <v/>
      </c>
      <c r="AD16">
        <f>MAX(0,MIN($C16,AD$4+1)-MAX($B16,AD$4))</f>
        <v/>
      </c>
      <c r="AE16">
        <f>MAX(0,MIN($C16,AE$4+1)-MAX($B16,AE$4))</f>
        <v/>
      </c>
      <c r="AF16">
        <f>MAX(0,MIN($C16,AF$4+1)-MAX($B16,AF$4))</f>
        <v/>
      </c>
      <c r="AG16">
        <f>MAX(0,MIN($C16,AG$4+1)-MAX($B16,AG$4))</f>
        <v/>
      </c>
      <c r="AH16">
        <f>MAX(0,MIN($C16,AH$4+1)-MAX($B16,AH$4))</f>
        <v/>
      </c>
      <c r="AI16">
        <f>MAX(0,MIN($C16,AI$4+1)-MAX($B16,AI$4))</f>
        <v/>
      </c>
      <c r="AJ16">
        <f>MAX(0,MIN($C16,AJ$4+1)-MAX($B16,AJ$4))</f>
        <v/>
      </c>
      <c r="AK16">
        <f>MAX(0,MIN($C16,AK$4+1)-MAX($B16,AK$4))</f>
        <v/>
      </c>
      <c r="AL16">
        <f>MAX(0,MIN($C16,AL$4+1)-MAX($B16,AL$4))</f>
        <v/>
      </c>
      <c r="AM16">
        <f>MAX(0,MIN($C16,AM$4+1)-MAX($B16,AM$4))</f>
        <v/>
      </c>
      <c r="AO16" t="n">
        <v>0</v>
      </c>
      <c r="AP16" t="n">
        <v>0</v>
      </c>
    </row>
    <row r="17">
      <c r="A17" t="inlineStr"/>
      <c r="B17" s="3" t="n">
        <v>0</v>
      </c>
      <c r="C17" s="3" t="n">
        <v>0</v>
      </c>
      <c r="D17" t="inlineStr"/>
      <c r="E17" t="n">
        <v>0</v>
      </c>
      <c r="F17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T17">
        <f>MAX(0,MIN($C17,T$4+1)-MAX($B17,T$4))</f>
        <v/>
      </c>
      <c r="U17">
        <f>MAX(0,MIN($C17,U$4+1)-MAX($B17,U$4))</f>
        <v/>
      </c>
      <c r="V17">
        <f>MAX(0,MIN($C17,V$4+1)-MAX($B17,V$4))</f>
        <v/>
      </c>
      <c r="W17">
        <f>MAX(0,MIN($C17,W$4+1)-MAX($B17,W$4))</f>
        <v/>
      </c>
      <c r="X17">
        <f>MAX(0,MIN($C17,X$4+1)-MAX($B17,X$4))</f>
        <v/>
      </c>
      <c r="Y17">
        <f>MAX(0,MIN($C17,Y$4+1)-MAX($B17,Y$4))</f>
        <v/>
      </c>
      <c r="Z17">
        <f>MAX(0,MIN($C17,Z$4+1)-MAX($B17,Z$4))</f>
        <v/>
      </c>
      <c r="AA17">
        <f>MAX(0,MIN($C17,AA$4+1)-MAX($B17,AA$4))</f>
        <v/>
      </c>
      <c r="AB17">
        <f>MAX(0,MIN($C17,AB$4+1)-MAX($B17,AB$4))</f>
        <v/>
      </c>
      <c r="AC17">
        <f>MAX(0,MIN($C17,AC$4+1)-MAX($B17,AC$4))</f>
        <v/>
      </c>
      <c r="AD17">
        <f>MAX(0,MIN($C17,AD$4+1)-MAX($B17,AD$4))</f>
        <v/>
      </c>
      <c r="AE17">
        <f>MAX(0,MIN($C17,AE$4+1)-MAX($B17,AE$4))</f>
        <v/>
      </c>
      <c r="AF17">
        <f>MAX(0,MIN($C17,AF$4+1)-MAX($B17,AF$4))</f>
        <v/>
      </c>
      <c r="AG17">
        <f>MAX(0,MIN($C17,AG$4+1)-MAX($B17,AG$4))</f>
        <v/>
      </c>
      <c r="AH17">
        <f>MAX(0,MIN($C17,AH$4+1)-MAX($B17,AH$4))</f>
        <v/>
      </c>
      <c r="AI17">
        <f>MAX(0,MIN($C17,AI$4+1)-MAX($B17,AI$4))</f>
        <v/>
      </c>
      <c r="AJ17">
        <f>MAX(0,MIN($C17,AJ$4+1)-MAX($B17,AJ$4))</f>
        <v/>
      </c>
      <c r="AK17">
        <f>MAX(0,MIN($C17,AK$4+1)-MAX($B17,AK$4))</f>
        <v/>
      </c>
      <c r="AL17">
        <f>MAX(0,MIN($C17,AL$4+1)-MAX($B17,AL$4))</f>
        <v/>
      </c>
      <c r="AM17">
        <f>MAX(0,MIN($C17,AM$4+1)-MAX($B17,AM$4))</f>
        <v/>
      </c>
      <c r="AO17" t="n">
        <v>0</v>
      </c>
      <c r="AP17" t="n">
        <v>0</v>
      </c>
    </row>
    <row r="18">
      <c r="A18" t="inlineStr"/>
      <c r="B18" s="3" t="n">
        <v>0</v>
      </c>
      <c r="C18" s="3" t="n">
        <v>0</v>
      </c>
      <c r="D18" t="inlineStr"/>
      <c r="E18" t="n">
        <v>0</v>
      </c>
      <c r="F18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T18">
        <f>MAX(0,MIN($C18,T$4+1)-MAX($B18,T$4))</f>
        <v/>
      </c>
      <c r="U18">
        <f>MAX(0,MIN($C18,U$4+1)-MAX($B18,U$4))</f>
        <v/>
      </c>
      <c r="V18">
        <f>MAX(0,MIN($C18,V$4+1)-MAX($B18,V$4))</f>
        <v/>
      </c>
      <c r="W18">
        <f>MAX(0,MIN($C18,W$4+1)-MAX($B18,W$4))</f>
        <v/>
      </c>
      <c r="X18">
        <f>MAX(0,MIN($C18,X$4+1)-MAX($B18,X$4))</f>
        <v/>
      </c>
      <c r="Y18">
        <f>MAX(0,MIN($C18,Y$4+1)-MAX($B18,Y$4))</f>
        <v/>
      </c>
      <c r="Z18">
        <f>MAX(0,MIN($C18,Z$4+1)-MAX($B18,Z$4))</f>
        <v/>
      </c>
      <c r="AA18">
        <f>MAX(0,MIN($C18,AA$4+1)-MAX($B18,AA$4))</f>
        <v/>
      </c>
      <c r="AB18">
        <f>MAX(0,MIN($C18,AB$4+1)-MAX($B18,AB$4))</f>
        <v/>
      </c>
      <c r="AC18">
        <f>MAX(0,MIN($C18,AC$4+1)-MAX($B18,AC$4))</f>
        <v/>
      </c>
      <c r="AD18">
        <f>MAX(0,MIN($C18,AD$4+1)-MAX($B18,AD$4))</f>
        <v/>
      </c>
      <c r="AE18">
        <f>MAX(0,MIN($C18,AE$4+1)-MAX($B18,AE$4))</f>
        <v/>
      </c>
      <c r="AF18">
        <f>MAX(0,MIN($C18,AF$4+1)-MAX($B18,AF$4))</f>
        <v/>
      </c>
      <c r="AG18">
        <f>MAX(0,MIN($C18,AG$4+1)-MAX($B18,AG$4))</f>
        <v/>
      </c>
      <c r="AH18">
        <f>MAX(0,MIN($C18,AH$4+1)-MAX($B18,AH$4))</f>
        <v/>
      </c>
      <c r="AI18">
        <f>MAX(0,MIN($C18,AI$4+1)-MAX($B18,AI$4))</f>
        <v/>
      </c>
      <c r="AJ18">
        <f>MAX(0,MIN($C18,AJ$4+1)-MAX($B18,AJ$4))</f>
        <v/>
      </c>
      <c r="AK18">
        <f>MAX(0,MIN($C18,AK$4+1)-MAX($B18,AK$4))</f>
        <v/>
      </c>
      <c r="AL18">
        <f>MAX(0,MIN($C18,AL$4+1)-MAX($B18,AL$4))</f>
        <v/>
      </c>
      <c r="AM18">
        <f>MAX(0,MIN($C18,AM$4+1)-MAX($B18,AM$4))</f>
        <v/>
      </c>
      <c r="AO18" t="n">
        <v>0</v>
      </c>
      <c r="AP18" t="n">
        <v>0</v>
      </c>
    </row>
    <row r="19">
      <c r="A19" t="inlineStr"/>
      <c r="B19" s="3" t="n">
        <v>0</v>
      </c>
      <c r="C19" s="3" t="n">
        <v>0</v>
      </c>
      <c r="D19" t="inlineStr"/>
      <c r="E19" t="n">
        <v>0</v>
      </c>
      <c r="F19" t="n">
        <v>0</v>
      </c>
      <c r="G19" s="3" t="n">
        <v>0</v>
      </c>
      <c r="H19" s="3" t="n">
        <v>0</v>
      </c>
      <c r="I19" s="3" t="n">
        <v>0</v>
      </c>
      <c r="J19" s="3" t="n">
        <v>0</v>
      </c>
      <c r="K19" s="3" t="n">
        <v>0</v>
      </c>
      <c r="L19" s="3" t="n">
        <v>0</v>
      </c>
      <c r="M19" s="3" t="n">
        <v>0</v>
      </c>
      <c r="N19" s="3" t="n">
        <v>0</v>
      </c>
      <c r="O19" s="3" t="n">
        <v>0</v>
      </c>
      <c r="P19" s="3" t="n">
        <v>0</v>
      </c>
      <c r="Q19" s="3" t="n">
        <v>0</v>
      </c>
      <c r="R19" s="3" t="n">
        <v>0</v>
      </c>
      <c r="T19">
        <f>MAX(0,MIN($C19,T$4+1)-MAX($B19,T$4))</f>
        <v/>
      </c>
      <c r="U19">
        <f>MAX(0,MIN($C19,U$4+1)-MAX($B19,U$4))</f>
        <v/>
      </c>
      <c r="V19">
        <f>MAX(0,MIN($C19,V$4+1)-MAX($B19,V$4))</f>
        <v/>
      </c>
      <c r="W19">
        <f>MAX(0,MIN($C19,W$4+1)-MAX($B19,W$4))</f>
        <v/>
      </c>
      <c r="X19">
        <f>MAX(0,MIN($C19,X$4+1)-MAX($B19,X$4))</f>
        <v/>
      </c>
      <c r="Y19">
        <f>MAX(0,MIN($C19,Y$4+1)-MAX($B19,Y$4))</f>
        <v/>
      </c>
      <c r="Z19">
        <f>MAX(0,MIN($C19,Z$4+1)-MAX($B19,Z$4))</f>
        <v/>
      </c>
      <c r="AA19">
        <f>MAX(0,MIN($C19,AA$4+1)-MAX($B19,AA$4))</f>
        <v/>
      </c>
      <c r="AB19">
        <f>MAX(0,MIN($C19,AB$4+1)-MAX($B19,AB$4))</f>
        <v/>
      </c>
      <c r="AC19">
        <f>MAX(0,MIN($C19,AC$4+1)-MAX($B19,AC$4))</f>
        <v/>
      </c>
      <c r="AD19">
        <f>MAX(0,MIN($C19,AD$4+1)-MAX($B19,AD$4))</f>
        <v/>
      </c>
      <c r="AE19">
        <f>MAX(0,MIN($C19,AE$4+1)-MAX($B19,AE$4))</f>
        <v/>
      </c>
      <c r="AF19">
        <f>MAX(0,MIN($C19,AF$4+1)-MAX($B19,AF$4))</f>
        <v/>
      </c>
      <c r="AG19">
        <f>MAX(0,MIN($C19,AG$4+1)-MAX($B19,AG$4))</f>
        <v/>
      </c>
      <c r="AH19">
        <f>MAX(0,MIN($C19,AH$4+1)-MAX($B19,AH$4))</f>
        <v/>
      </c>
      <c r="AI19">
        <f>MAX(0,MIN($C19,AI$4+1)-MAX($B19,AI$4))</f>
        <v/>
      </c>
      <c r="AJ19">
        <f>MAX(0,MIN($C19,AJ$4+1)-MAX($B19,AJ$4))</f>
        <v/>
      </c>
      <c r="AK19">
        <f>MAX(0,MIN($C19,AK$4+1)-MAX($B19,AK$4))</f>
        <v/>
      </c>
      <c r="AL19">
        <f>MAX(0,MIN($C19,AL$4+1)-MAX($B19,AL$4))</f>
        <v/>
      </c>
      <c r="AM19">
        <f>MAX(0,MIN($C19,AM$4+1)-MAX($B19,AM$4))</f>
        <v/>
      </c>
      <c r="AO19" t="n">
        <v>0</v>
      </c>
      <c r="AP19" t="n">
        <v>0</v>
      </c>
    </row>
    <row r="20">
      <c r="A20" t="inlineStr"/>
      <c r="B20" s="3" t="n">
        <v>0</v>
      </c>
      <c r="C20" s="3" t="n">
        <v>0</v>
      </c>
      <c r="D20" t="inlineStr"/>
      <c r="E20" t="n">
        <v>0</v>
      </c>
      <c r="F20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T20">
        <f>MAX(0,MIN($C20,T$4+1)-MAX($B20,T$4))</f>
        <v/>
      </c>
      <c r="U20">
        <f>MAX(0,MIN($C20,U$4+1)-MAX($B20,U$4))</f>
        <v/>
      </c>
      <c r="V20">
        <f>MAX(0,MIN($C20,V$4+1)-MAX($B20,V$4))</f>
        <v/>
      </c>
      <c r="W20">
        <f>MAX(0,MIN($C20,W$4+1)-MAX($B20,W$4))</f>
        <v/>
      </c>
      <c r="X20">
        <f>MAX(0,MIN($C20,X$4+1)-MAX($B20,X$4))</f>
        <v/>
      </c>
      <c r="Y20">
        <f>MAX(0,MIN($C20,Y$4+1)-MAX($B20,Y$4))</f>
        <v/>
      </c>
      <c r="Z20">
        <f>MAX(0,MIN($C20,Z$4+1)-MAX($B20,Z$4))</f>
        <v/>
      </c>
      <c r="AA20">
        <f>MAX(0,MIN($C20,AA$4+1)-MAX($B20,AA$4))</f>
        <v/>
      </c>
      <c r="AB20">
        <f>MAX(0,MIN($C20,AB$4+1)-MAX($B20,AB$4))</f>
        <v/>
      </c>
      <c r="AC20">
        <f>MAX(0,MIN($C20,AC$4+1)-MAX($B20,AC$4))</f>
        <v/>
      </c>
      <c r="AD20">
        <f>MAX(0,MIN($C20,AD$4+1)-MAX($B20,AD$4))</f>
        <v/>
      </c>
      <c r="AE20">
        <f>MAX(0,MIN($C20,AE$4+1)-MAX($B20,AE$4))</f>
        <v/>
      </c>
      <c r="AF20">
        <f>MAX(0,MIN($C20,AF$4+1)-MAX($B20,AF$4))</f>
        <v/>
      </c>
      <c r="AG20">
        <f>MAX(0,MIN($C20,AG$4+1)-MAX($B20,AG$4))</f>
        <v/>
      </c>
      <c r="AH20">
        <f>MAX(0,MIN($C20,AH$4+1)-MAX($B20,AH$4))</f>
        <v/>
      </c>
      <c r="AI20">
        <f>MAX(0,MIN($C20,AI$4+1)-MAX($B20,AI$4))</f>
        <v/>
      </c>
      <c r="AJ20">
        <f>MAX(0,MIN($C20,AJ$4+1)-MAX($B20,AJ$4))</f>
        <v/>
      </c>
      <c r="AK20">
        <f>MAX(0,MIN($C20,AK$4+1)-MAX($B20,AK$4))</f>
        <v/>
      </c>
      <c r="AL20">
        <f>MAX(0,MIN($C20,AL$4+1)-MAX($B20,AL$4))</f>
        <v/>
      </c>
      <c r="AM20">
        <f>MAX(0,MIN($C20,AM$4+1)-MAX($B20,AM$4))</f>
        <v/>
      </c>
      <c r="AO20" t="n">
        <v>0</v>
      </c>
      <c r="AP20" t="n">
        <v>0</v>
      </c>
    </row>
    <row r="21">
      <c r="A21" t="inlineStr"/>
      <c r="B21" s="3" t="n">
        <v>0</v>
      </c>
      <c r="C21" s="3" t="n">
        <v>0</v>
      </c>
      <c r="D21" t="inlineStr"/>
      <c r="E21" t="n">
        <v>0</v>
      </c>
      <c r="F21" t="n">
        <v>0</v>
      </c>
      <c r="G21" s="3" t="n">
        <v>0</v>
      </c>
      <c r="H21" s="3" t="n">
        <v>0</v>
      </c>
      <c r="I21" s="3" t="n">
        <v>0</v>
      </c>
      <c r="J21" s="3" t="n">
        <v>0</v>
      </c>
      <c r="K21" s="3" t="n">
        <v>0</v>
      </c>
      <c r="L21" s="3" t="n">
        <v>0</v>
      </c>
      <c r="M21" s="3" t="n">
        <v>0</v>
      </c>
      <c r="N21" s="3" t="n">
        <v>0</v>
      </c>
      <c r="O21" s="3" t="n">
        <v>0</v>
      </c>
      <c r="P21" s="3" t="n">
        <v>0</v>
      </c>
      <c r="Q21" s="3" t="n">
        <v>0</v>
      </c>
      <c r="R21" s="3" t="n">
        <v>0</v>
      </c>
      <c r="T21">
        <f>MAX(0,MIN($C21,T$4+1)-MAX($B21,T$4))</f>
        <v/>
      </c>
      <c r="U21">
        <f>MAX(0,MIN($C21,U$4+1)-MAX($B21,U$4))</f>
        <v/>
      </c>
      <c r="V21">
        <f>MAX(0,MIN($C21,V$4+1)-MAX($B21,V$4))</f>
        <v/>
      </c>
      <c r="W21">
        <f>MAX(0,MIN($C21,W$4+1)-MAX($B21,W$4))</f>
        <v/>
      </c>
      <c r="X21">
        <f>MAX(0,MIN($C21,X$4+1)-MAX($B21,X$4))</f>
        <v/>
      </c>
      <c r="Y21">
        <f>MAX(0,MIN($C21,Y$4+1)-MAX($B21,Y$4))</f>
        <v/>
      </c>
      <c r="Z21">
        <f>MAX(0,MIN($C21,Z$4+1)-MAX($B21,Z$4))</f>
        <v/>
      </c>
      <c r="AA21">
        <f>MAX(0,MIN($C21,AA$4+1)-MAX($B21,AA$4))</f>
        <v/>
      </c>
      <c r="AB21">
        <f>MAX(0,MIN($C21,AB$4+1)-MAX($B21,AB$4))</f>
        <v/>
      </c>
      <c r="AC21">
        <f>MAX(0,MIN($C21,AC$4+1)-MAX($B21,AC$4))</f>
        <v/>
      </c>
      <c r="AD21">
        <f>MAX(0,MIN($C21,AD$4+1)-MAX($B21,AD$4))</f>
        <v/>
      </c>
      <c r="AE21">
        <f>MAX(0,MIN($C21,AE$4+1)-MAX($B21,AE$4))</f>
        <v/>
      </c>
      <c r="AF21">
        <f>MAX(0,MIN($C21,AF$4+1)-MAX($B21,AF$4))</f>
        <v/>
      </c>
      <c r="AG21">
        <f>MAX(0,MIN($C21,AG$4+1)-MAX($B21,AG$4))</f>
        <v/>
      </c>
      <c r="AH21">
        <f>MAX(0,MIN($C21,AH$4+1)-MAX($B21,AH$4))</f>
        <v/>
      </c>
      <c r="AI21">
        <f>MAX(0,MIN($C21,AI$4+1)-MAX($B21,AI$4))</f>
        <v/>
      </c>
      <c r="AJ21">
        <f>MAX(0,MIN($C21,AJ$4+1)-MAX($B21,AJ$4))</f>
        <v/>
      </c>
      <c r="AK21">
        <f>MAX(0,MIN($C21,AK$4+1)-MAX($B21,AK$4))</f>
        <v/>
      </c>
      <c r="AL21">
        <f>MAX(0,MIN($C21,AL$4+1)-MAX($B21,AL$4))</f>
        <v/>
      </c>
      <c r="AM21">
        <f>MAX(0,MIN($C21,AM$4+1)-MAX($B21,AM$4))</f>
        <v/>
      </c>
      <c r="AO21" t="n">
        <v>0</v>
      </c>
      <c r="AP21" t="n">
        <v>0</v>
      </c>
    </row>
    <row r="22">
      <c r="A22" t="inlineStr"/>
      <c r="B22" s="3" t="n">
        <v>0</v>
      </c>
      <c r="C22" s="3" t="n">
        <v>0</v>
      </c>
      <c r="D22" t="inlineStr"/>
      <c r="E22" t="n">
        <v>0</v>
      </c>
      <c r="F22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T22">
        <f>MAX(0,MIN($C22,T$4+1)-MAX($B22,T$4))</f>
        <v/>
      </c>
      <c r="U22">
        <f>MAX(0,MIN($C22,U$4+1)-MAX($B22,U$4))</f>
        <v/>
      </c>
      <c r="V22">
        <f>MAX(0,MIN($C22,V$4+1)-MAX($B22,V$4))</f>
        <v/>
      </c>
      <c r="W22">
        <f>MAX(0,MIN($C22,W$4+1)-MAX($B22,W$4))</f>
        <v/>
      </c>
      <c r="X22">
        <f>MAX(0,MIN($C22,X$4+1)-MAX($B22,X$4))</f>
        <v/>
      </c>
      <c r="Y22">
        <f>MAX(0,MIN($C22,Y$4+1)-MAX($B22,Y$4))</f>
        <v/>
      </c>
      <c r="Z22">
        <f>MAX(0,MIN($C22,Z$4+1)-MAX($B22,Z$4))</f>
        <v/>
      </c>
      <c r="AA22">
        <f>MAX(0,MIN($C22,AA$4+1)-MAX($B22,AA$4))</f>
        <v/>
      </c>
      <c r="AB22">
        <f>MAX(0,MIN($C22,AB$4+1)-MAX($B22,AB$4))</f>
        <v/>
      </c>
      <c r="AC22">
        <f>MAX(0,MIN($C22,AC$4+1)-MAX($B22,AC$4))</f>
        <v/>
      </c>
      <c r="AD22">
        <f>MAX(0,MIN($C22,AD$4+1)-MAX($B22,AD$4))</f>
        <v/>
      </c>
      <c r="AE22">
        <f>MAX(0,MIN($C22,AE$4+1)-MAX($B22,AE$4))</f>
        <v/>
      </c>
      <c r="AF22">
        <f>MAX(0,MIN($C22,AF$4+1)-MAX($B22,AF$4))</f>
        <v/>
      </c>
      <c r="AG22">
        <f>MAX(0,MIN($C22,AG$4+1)-MAX($B22,AG$4))</f>
        <v/>
      </c>
      <c r="AH22">
        <f>MAX(0,MIN($C22,AH$4+1)-MAX($B22,AH$4))</f>
        <v/>
      </c>
      <c r="AI22">
        <f>MAX(0,MIN($C22,AI$4+1)-MAX($B22,AI$4))</f>
        <v/>
      </c>
      <c r="AJ22">
        <f>MAX(0,MIN($C22,AJ$4+1)-MAX($B22,AJ$4))</f>
        <v/>
      </c>
      <c r="AK22">
        <f>MAX(0,MIN($C22,AK$4+1)-MAX($B22,AK$4))</f>
        <v/>
      </c>
      <c r="AL22">
        <f>MAX(0,MIN($C22,AL$4+1)-MAX($B22,AL$4))</f>
        <v/>
      </c>
      <c r="AM22">
        <f>MAX(0,MIN($C22,AM$4+1)-MAX($B22,AM$4))</f>
        <v/>
      </c>
      <c r="AO22" t="n">
        <v>0</v>
      </c>
      <c r="AP22" t="n">
        <v>0</v>
      </c>
    </row>
    <row r="23">
      <c r="A23" t="inlineStr"/>
      <c r="B23" s="3" t="n">
        <v>0</v>
      </c>
      <c r="C23" s="3" t="n">
        <v>0</v>
      </c>
      <c r="D23" t="inlineStr"/>
      <c r="E23" t="n">
        <v>0</v>
      </c>
      <c r="F2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T23">
        <f>MAX(0,MIN($C23,T$4+1)-MAX($B23,T$4))</f>
        <v/>
      </c>
      <c r="U23">
        <f>MAX(0,MIN($C23,U$4+1)-MAX($B23,U$4))</f>
        <v/>
      </c>
      <c r="V23">
        <f>MAX(0,MIN($C23,V$4+1)-MAX($B23,V$4))</f>
        <v/>
      </c>
      <c r="W23">
        <f>MAX(0,MIN($C23,W$4+1)-MAX($B23,W$4))</f>
        <v/>
      </c>
      <c r="X23">
        <f>MAX(0,MIN($C23,X$4+1)-MAX($B23,X$4))</f>
        <v/>
      </c>
      <c r="Y23">
        <f>MAX(0,MIN($C23,Y$4+1)-MAX($B23,Y$4))</f>
        <v/>
      </c>
      <c r="Z23">
        <f>MAX(0,MIN($C23,Z$4+1)-MAX($B23,Z$4))</f>
        <v/>
      </c>
      <c r="AA23">
        <f>MAX(0,MIN($C23,AA$4+1)-MAX($B23,AA$4))</f>
        <v/>
      </c>
      <c r="AB23">
        <f>MAX(0,MIN($C23,AB$4+1)-MAX($B23,AB$4))</f>
        <v/>
      </c>
      <c r="AC23">
        <f>MAX(0,MIN($C23,AC$4+1)-MAX($B23,AC$4))</f>
        <v/>
      </c>
      <c r="AD23">
        <f>MAX(0,MIN($C23,AD$4+1)-MAX($B23,AD$4))</f>
        <v/>
      </c>
      <c r="AE23">
        <f>MAX(0,MIN($C23,AE$4+1)-MAX($B23,AE$4))</f>
        <v/>
      </c>
      <c r="AF23">
        <f>MAX(0,MIN($C23,AF$4+1)-MAX($B23,AF$4))</f>
        <v/>
      </c>
      <c r="AG23">
        <f>MAX(0,MIN($C23,AG$4+1)-MAX($B23,AG$4))</f>
        <v/>
      </c>
      <c r="AH23">
        <f>MAX(0,MIN($C23,AH$4+1)-MAX($B23,AH$4))</f>
        <v/>
      </c>
      <c r="AI23">
        <f>MAX(0,MIN($C23,AI$4+1)-MAX($B23,AI$4))</f>
        <v/>
      </c>
      <c r="AJ23">
        <f>MAX(0,MIN($C23,AJ$4+1)-MAX($B23,AJ$4))</f>
        <v/>
      </c>
      <c r="AK23">
        <f>MAX(0,MIN($C23,AK$4+1)-MAX($B23,AK$4))</f>
        <v/>
      </c>
      <c r="AL23">
        <f>MAX(0,MIN($C23,AL$4+1)-MAX($B23,AL$4))</f>
        <v/>
      </c>
      <c r="AM23">
        <f>MAX(0,MIN($C23,AM$4+1)-MAX($B23,AM$4))</f>
        <v/>
      </c>
      <c r="AO23" t="n">
        <v>0</v>
      </c>
      <c r="AP23" t="n">
        <v>0</v>
      </c>
    </row>
    <row r="24">
      <c r="A24" t="inlineStr"/>
      <c r="B24" s="3" t="n">
        <v>0</v>
      </c>
      <c r="C24" s="3" t="n">
        <v>0</v>
      </c>
      <c r="D24" t="inlineStr"/>
      <c r="E24" t="n">
        <v>0</v>
      </c>
      <c r="F24" t="n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  <c r="P24" s="3" t="n">
        <v>0</v>
      </c>
      <c r="Q24" s="3" t="n">
        <v>0</v>
      </c>
      <c r="R24" s="3" t="n">
        <v>0</v>
      </c>
      <c r="T24">
        <f>MAX(0,MIN($C24,T$4+1)-MAX($B24,T$4))</f>
        <v/>
      </c>
      <c r="U24">
        <f>MAX(0,MIN($C24,U$4+1)-MAX($B24,U$4))</f>
        <v/>
      </c>
      <c r="V24">
        <f>MAX(0,MIN($C24,V$4+1)-MAX($B24,V$4))</f>
        <v/>
      </c>
      <c r="W24">
        <f>MAX(0,MIN($C24,W$4+1)-MAX($B24,W$4))</f>
        <v/>
      </c>
      <c r="X24">
        <f>MAX(0,MIN($C24,X$4+1)-MAX($B24,X$4))</f>
        <v/>
      </c>
      <c r="Y24">
        <f>MAX(0,MIN($C24,Y$4+1)-MAX($B24,Y$4))</f>
        <v/>
      </c>
      <c r="Z24">
        <f>MAX(0,MIN($C24,Z$4+1)-MAX($B24,Z$4))</f>
        <v/>
      </c>
      <c r="AA24">
        <f>MAX(0,MIN($C24,AA$4+1)-MAX($B24,AA$4))</f>
        <v/>
      </c>
      <c r="AB24">
        <f>MAX(0,MIN($C24,AB$4+1)-MAX($B24,AB$4))</f>
        <v/>
      </c>
      <c r="AC24">
        <f>MAX(0,MIN($C24,AC$4+1)-MAX($B24,AC$4))</f>
        <v/>
      </c>
      <c r="AD24">
        <f>MAX(0,MIN($C24,AD$4+1)-MAX($B24,AD$4))</f>
        <v/>
      </c>
      <c r="AE24">
        <f>MAX(0,MIN($C24,AE$4+1)-MAX($B24,AE$4))</f>
        <v/>
      </c>
      <c r="AF24">
        <f>MAX(0,MIN($C24,AF$4+1)-MAX($B24,AF$4))</f>
        <v/>
      </c>
      <c r="AG24">
        <f>MAX(0,MIN($C24,AG$4+1)-MAX($B24,AG$4))</f>
        <v/>
      </c>
      <c r="AH24">
        <f>MAX(0,MIN($C24,AH$4+1)-MAX($B24,AH$4))</f>
        <v/>
      </c>
      <c r="AI24">
        <f>MAX(0,MIN($C24,AI$4+1)-MAX($B24,AI$4))</f>
        <v/>
      </c>
      <c r="AJ24">
        <f>MAX(0,MIN($C24,AJ$4+1)-MAX($B24,AJ$4))</f>
        <v/>
      </c>
      <c r="AK24">
        <f>MAX(0,MIN($C24,AK$4+1)-MAX($B24,AK$4))</f>
        <v/>
      </c>
      <c r="AL24">
        <f>MAX(0,MIN($C24,AL$4+1)-MAX($B24,AL$4))</f>
        <v/>
      </c>
      <c r="AM24">
        <f>MAX(0,MIN($C24,AM$4+1)-MAX($B24,AM$4))</f>
        <v/>
      </c>
      <c r="AO24" t="n">
        <v>0</v>
      </c>
      <c r="AP24" t="n">
        <v>0</v>
      </c>
    </row>
    <row r="25">
      <c r="A25" t="inlineStr"/>
      <c r="B25" s="3" t="n">
        <v>0</v>
      </c>
      <c r="C25" s="3" t="n">
        <v>0</v>
      </c>
      <c r="D25" t="inlineStr"/>
      <c r="E25" t="n">
        <v>0</v>
      </c>
      <c r="F25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T25">
        <f>MAX(0,MIN($C25,T$4+1)-MAX($B25,T$4))</f>
        <v/>
      </c>
      <c r="U25">
        <f>MAX(0,MIN($C25,U$4+1)-MAX($B25,U$4))</f>
        <v/>
      </c>
      <c r="V25">
        <f>MAX(0,MIN($C25,V$4+1)-MAX($B25,V$4))</f>
        <v/>
      </c>
      <c r="W25">
        <f>MAX(0,MIN($C25,W$4+1)-MAX($B25,W$4))</f>
        <v/>
      </c>
      <c r="X25">
        <f>MAX(0,MIN($C25,X$4+1)-MAX($B25,X$4))</f>
        <v/>
      </c>
      <c r="Y25">
        <f>MAX(0,MIN($C25,Y$4+1)-MAX($B25,Y$4))</f>
        <v/>
      </c>
      <c r="Z25">
        <f>MAX(0,MIN($C25,Z$4+1)-MAX($B25,Z$4))</f>
        <v/>
      </c>
      <c r="AA25">
        <f>MAX(0,MIN($C25,AA$4+1)-MAX($B25,AA$4))</f>
        <v/>
      </c>
      <c r="AB25">
        <f>MAX(0,MIN($C25,AB$4+1)-MAX($B25,AB$4))</f>
        <v/>
      </c>
      <c r="AC25">
        <f>MAX(0,MIN($C25,AC$4+1)-MAX($B25,AC$4))</f>
        <v/>
      </c>
      <c r="AD25">
        <f>MAX(0,MIN($C25,AD$4+1)-MAX($B25,AD$4))</f>
        <v/>
      </c>
      <c r="AE25">
        <f>MAX(0,MIN($C25,AE$4+1)-MAX($B25,AE$4))</f>
        <v/>
      </c>
      <c r="AF25">
        <f>MAX(0,MIN($C25,AF$4+1)-MAX($B25,AF$4))</f>
        <v/>
      </c>
      <c r="AG25">
        <f>MAX(0,MIN($C25,AG$4+1)-MAX($B25,AG$4))</f>
        <v/>
      </c>
      <c r="AH25">
        <f>MAX(0,MIN($C25,AH$4+1)-MAX($B25,AH$4))</f>
        <v/>
      </c>
      <c r="AI25">
        <f>MAX(0,MIN($C25,AI$4+1)-MAX($B25,AI$4))</f>
        <v/>
      </c>
      <c r="AJ25">
        <f>MAX(0,MIN($C25,AJ$4+1)-MAX($B25,AJ$4))</f>
        <v/>
      </c>
      <c r="AK25">
        <f>MAX(0,MIN($C25,AK$4+1)-MAX($B25,AK$4))</f>
        <v/>
      </c>
      <c r="AL25">
        <f>MAX(0,MIN($C25,AL$4+1)-MAX($B25,AL$4))</f>
        <v/>
      </c>
      <c r="AM25">
        <f>MAX(0,MIN($C25,AM$4+1)-MAX($B25,AM$4))</f>
        <v/>
      </c>
    </row>
    <row r="26">
      <c r="A26" t="inlineStr"/>
      <c r="B26" s="3" t="n">
        <v>0</v>
      </c>
      <c r="C26" s="3" t="n">
        <v>0</v>
      </c>
      <c r="D26" t="inlineStr"/>
      <c r="E26" t="n">
        <v>0</v>
      </c>
      <c r="F26" t="n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  <c r="T26">
        <f>MAX(0,MIN($C26,T$4+1)-MAX($B26,T$4))</f>
        <v/>
      </c>
      <c r="U26">
        <f>MAX(0,MIN($C26,U$4+1)-MAX($B26,U$4))</f>
        <v/>
      </c>
      <c r="V26">
        <f>MAX(0,MIN($C26,V$4+1)-MAX($B26,V$4))</f>
        <v/>
      </c>
      <c r="W26">
        <f>MAX(0,MIN($C26,W$4+1)-MAX($B26,W$4))</f>
        <v/>
      </c>
      <c r="X26">
        <f>MAX(0,MIN($C26,X$4+1)-MAX($B26,X$4))</f>
        <v/>
      </c>
      <c r="Y26">
        <f>MAX(0,MIN($C26,Y$4+1)-MAX($B26,Y$4))</f>
        <v/>
      </c>
      <c r="Z26">
        <f>MAX(0,MIN($C26,Z$4+1)-MAX($B26,Z$4))</f>
        <v/>
      </c>
      <c r="AA26">
        <f>MAX(0,MIN($C26,AA$4+1)-MAX($B26,AA$4))</f>
        <v/>
      </c>
      <c r="AB26">
        <f>MAX(0,MIN($C26,AB$4+1)-MAX($B26,AB$4))</f>
        <v/>
      </c>
      <c r="AC26">
        <f>MAX(0,MIN($C26,AC$4+1)-MAX($B26,AC$4))</f>
        <v/>
      </c>
      <c r="AD26">
        <f>MAX(0,MIN($C26,AD$4+1)-MAX($B26,AD$4))</f>
        <v/>
      </c>
      <c r="AE26">
        <f>MAX(0,MIN($C26,AE$4+1)-MAX($B26,AE$4))</f>
        <v/>
      </c>
      <c r="AF26">
        <f>MAX(0,MIN($C26,AF$4+1)-MAX($B26,AF$4))</f>
        <v/>
      </c>
      <c r="AG26">
        <f>MAX(0,MIN($C26,AG$4+1)-MAX($B26,AG$4))</f>
        <v/>
      </c>
      <c r="AH26">
        <f>MAX(0,MIN($C26,AH$4+1)-MAX($B26,AH$4))</f>
        <v/>
      </c>
      <c r="AI26">
        <f>MAX(0,MIN($C26,AI$4+1)-MAX($B26,AI$4))</f>
        <v/>
      </c>
      <c r="AJ26">
        <f>MAX(0,MIN($C26,AJ$4+1)-MAX($B26,AJ$4))</f>
        <v/>
      </c>
      <c r="AK26">
        <f>MAX(0,MIN($C26,AK$4+1)-MAX($B26,AK$4))</f>
        <v/>
      </c>
      <c r="AL26">
        <f>MAX(0,MIN($C26,AL$4+1)-MAX($B26,AL$4))</f>
        <v/>
      </c>
      <c r="AM26">
        <f>MAX(0,MIN($C26,AM$4+1)-MAX($B26,AM$4))</f>
        <v/>
      </c>
    </row>
    <row r="27">
      <c r="A27" t="inlineStr"/>
      <c r="B27" s="3" t="n">
        <v>0</v>
      </c>
      <c r="C27" s="3" t="n">
        <v>0</v>
      </c>
      <c r="D27" t="inlineStr"/>
      <c r="E27" t="n">
        <v>0</v>
      </c>
      <c r="F27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T27">
        <f>MAX(0,MIN($C27,T$4+1)-MAX($B27,T$4))</f>
        <v/>
      </c>
      <c r="U27">
        <f>MAX(0,MIN($C27,U$4+1)-MAX($B27,U$4))</f>
        <v/>
      </c>
      <c r="V27">
        <f>MAX(0,MIN($C27,V$4+1)-MAX($B27,V$4))</f>
        <v/>
      </c>
      <c r="W27">
        <f>MAX(0,MIN($C27,W$4+1)-MAX($B27,W$4))</f>
        <v/>
      </c>
      <c r="X27">
        <f>MAX(0,MIN($C27,X$4+1)-MAX($B27,X$4))</f>
        <v/>
      </c>
      <c r="Y27">
        <f>MAX(0,MIN($C27,Y$4+1)-MAX($B27,Y$4))</f>
        <v/>
      </c>
      <c r="Z27">
        <f>MAX(0,MIN($C27,Z$4+1)-MAX($B27,Z$4))</f>
        <v/>
      </c>
      <c r="AA27">
        <f>MAX(0,MIN($C27,AA$4+1)-MAX($B27,AA$4))</f>
        <v/>
      </c>
      <c r="AB27">
        <f>MAX(0,MIN($C27,AB$4+1)-MAX($B27,AB$4))</f>
        <v/>
      </c>
      <c r="AC27">
        <f>MAX(0,MIN($C27,AC$4+1)-MAX($B27,AC$4))</f>
        <v/>
      </c>
      <c r="AD27">
        <f>MAX(0,MIN($C27,AD$4+1)-MAX($B27,AD$4))</f>
        <v/>
      </c>
      <c r="AE27">
        <f>MAX(0,MIN($C27,AE$4+1)-MAX($B27,AE$4))</f>
        <v/>
      </c>
      <c r="AF27">
        <f>MAX(0,MIN($C27,AF$4+1)-MAX($B27,AF$4))</f>
        <v/>
      </c>
      <c r="AG27">
        <f>MAX(0,MIN($C27,AG$4+1)-MAX($B27,AG$4))</f>
        <v/>
      </c>
      <c r="AH27">
        <f>MAX(0,MIN($C27,AH$4+1)-MAX($B27,AH$4))</f>
        <v/>
      </c>
      <c r="AI27">
        <f>MAX(0,MIN($C27,AI$4+1)-MAX($B27,AI$4))</f>
        <v/>
      </c>
      <c r="AJ27">
        <f>MAX(0,MIN($C27,AJ$4+1)-MAX($B27,AJ$4))</f>
        <v/>
      </c>
      <c r="AK27">
        <f>MAX(0,MIN($C27,AK$4+1)-MAX($B27,AK$4))</f>
        <v/>
      </c>
      <c r="AL27">
        <f>MAX(0,MIN($C27,AL$4+1)-MAX($B27,AL$4))</f>
        <v/>
      </c>
      <c r="AM27">
        <f>MAX(0,MIN($C27,AM$4+1)-MAX($B27,AM$4))</f>
        <v/>
      </c>
    </row>
    <row r="28">
      <c r="A28" t="inlineStr"/>
      <c r="B28" s="3" t="n">
        <v>0</v>
      </c>
      <c r="C28" s="3" t="n">
        <v>0</v>
      </c>
      <c r="D28" t="inlineStr"/>
      <c r="E28" t="n">
        <v>0</v>
      </c>
      <c r="F28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T28">
        <f>MAX(0,MIN($C28,T$4+1)-MAX($B28,T$4))</f>
        <v/>
      </c>
      <c r="U28">
        <f>MAX(0,MIN($C28,U$4+1)-MAX($B28,U$4))</f>
        <v/>
      </c>
      <c r="V28">
        <f>MAX(0,MIN($C28,V$4+1)-MAX($B28,V$4))</f>
        <v/>
      </c>
      <c r="W28">
        <f>MAX(0,MIN($C28,W$4+1)-MAX($B28,W$4))</f>
        <v/>
      </c>
      <c r="X28">
        <f>MAX(0,MIN($C28,X$4+1)-MAX($B28,X$4))</f>
        <v/>
      </c>
      <c r="Y28">
        <f>MAX(0,MIN($C28,Y$4+1)-MAX($B28,Y$4))</f>
        <v/>
      </c>
      <c r="Z28">
        <f>MAX(0,MIN($C28,Z$4+1)-MAX($B28,Z$4))</f>
        <v/>
      </c>
      <c r="AA28">
        <f>MAX(0,MIN($C28,AA$4+1)-MAX($B28,AA$4))</f>
        <v/>
      </c>
      <c r="AB28">
        <f>MAX(0,MIN($C28,AB$4+1)-MAX($B28,AB$4))</f>
        <v/>
      </c>
      <c r="AC28">
        <f>MAX(0,MIN($C28,AC$4+1)-MAX($B28,AC$4))</f>
        <v/>
      </c>
      <c r="AD28">
        <f>MAX(0,MIN($C28,AD$4+1)-MAX($B28,AD$4))</f>
        <v/>
      </c>
      <c r="AE28">
        <f>MAX(0,MIN($C28,AE$4+1)-MAX($B28,AE$4))</f>
        <v/>
      </c>
      <c r="AF28">
        <f>MAX(0,MIN($C28,AF$4+1)-MAX($B28,AF$4))</f>
        <v/>
      </c>
      <c r="AG28">
        <f>MAX(0,MIN($C28,AG$4+1)-MAX($B28,AG$4))</f>
        <v/>
      </c>
      <c r="AH28">
        <f>MAX(0,MIN($C28,AH$4+1)-MAX($B28,AH$4))</f>
        <v/>
      </c>
      <c r="AI28">
        <f>MAX(0,MIN($C28,AI$4+1)-MAX($B28,AI$4))</f>
        <v/>
      </c>
      <c r="AJ28">
        <f>MAX(0,MIN($C28,AJ$4+1)-MAX($B28,AJ$4))</f>
        <v/>
      </c>
      <c r="AK28">
        <f>MAX(0,MIN($C28,AK$4+1)-MAX($B28,AK$4))</f>
        <v/>
      </c>
      <c r="AL28">
        <f>MAX(0,MIN($C28,AL$4+1)-MAX($B28,AL$4))</f>
        <v/>
      </c>
      <c r="AM28">
        <f>MAX(0,MIN($C28,AM$4+1)-MAX($B28,AM$4))</f>
        <v/>
      </c>
    </row>
    <row r="29">
      <c r="A29" t="inlineStr"/>
      <c r="B29" s="3" t="n">
        <v>0</v>
      </c>
      <c r="C29" s="3" t="n">
        <v>0</v>
      </c>
      <c r="D29" t="inlineStr"/>
      <c r="E29" t="n">
        <v>0</v>
      </c>
      <c r="F29" t="n">
        <v>0</v>
      </c>
      <c r="G29" s="3" t="n">
        <v>0</v>
      </c>
      <c r="H29" s="3" t="n">
        <v>0</v>
      </c>
      <c r="I29" s="3" t="n">
        <v>0</v>
      </c>
      <c r="J29" s="3" t="n">
        <v>0</v>
      </c>
      <c r="K29" s="3" t="n">
        <v>0</v>
      </c>
      <c r="L29" s="3" t="n">
        <v>0</v>
      </c>
      <c r="M29" s="3" t="n">
        <v>0</v>
      </c>
      <c r="N29" s="3" t="n">
        <v>0</v>
      </c>
      <c r="O29" s="3" t="n">
        <v>0</v>
      </c>
      <c r="P29" s="3" t="n">
        <v>0</v>
      </c>
      <c r="Q29" s="3" t="n">
        <v>0</v>
      </c>
      <c r="R29" s="3" t="n">
        <v>0</v>
      </c>
      <c r="T29">
        <f>MAX(0,MIN($C29,T$4+1)-MAX($B29,T$4))</f>
        <v/>
      </c>
      <c r="U29">
        <f>MAX(0,MIN($C29,U$4+1)-MAX($B29,U$4))</f>
        <v/>
      </c>
      <c r="V29">
        <f>MAX(0,MIN($C29,V$4+1)-MAX($B29,V$4))</f>
        <v/>
      </c>
      <c r="W29">
        <f>MAX(0,MIN($C29,W$4+1)-MAX($B29,W$4))</f>
        <v/>
      </c>
      <c r="X29">
        <f>MAX(0,MIN($C29,X$4+1)-MAX($B29,X$4))</f>
        <v/>
      </c>
      <c r="Y29">
        <f>MAX(0,MIN($C29,Y$4+1)-MAX($B29,Y$4))</f>
        <v/>
      </c>
      <c r="Z29">
        <f>MAX(0,MIN($C29,Z$4+1)-MAX($B29,Z$4))</f>
        <v/>
      </c>
      <c r="AA29">
        <f>MAX(0,MIN($C29,AA$4+1)-MAX($B29,AA$4))</f>
        <v/>
      </c>
      <c r="AB29">
        <f>MAX(0,MIN($C29,AB$4+1)-MAX($B29,AB$4))</f>
        <v/>
      </c>
      <c r="AC29">
        <f>MAX(0,MIN($C29,AC$4+1)-MAX($B29,AC$4))</f>
        <v/>
      </c>
      <c r="AD29">
        <f>MAX(0,MIN($C29,AD$4+1)-MAX($B29,AD$4))</f>
        <v/>
      </c>
      <c r="AE29">
        <f>MAX(0,MIN($C29,AE$4+1)-MAX($B29,AE$4))</f>
        <v/>
      </c>
      <c r="AF29">
        <f>MAX(0,MIN($C29,AF$4+1)-MAX($B29,AF$4))</f>
        <v/>
      </c>
      <c r="AG29">
        <f>MAX(0,MIN($C29,AG$4+1)-MAX($B29,AG$4))</f>
        <v/>
      </c>
      <c r="AH29">
        <f>MAX(0,MIN($C29,AH$4+1)-MAX($B29,AH$4))</f>
        <v/>
      </c>
      <c r="AI29">
        <f>MAX(0,MIN($C29,AI$4+1)-MAX($B29,AI$4))</f>
        <v/>
      </c>
      <c r="AJ29">
        <f>MAX(0,MIN($C29,AJ$4+1)-MAX($B29,AJ$4))</f>
        <v/>
      </c>
      <c r="AK29">
        <f>MAX(0,MIN($C29,AK$4+1)-MAX($B29,AK$4))</f>
        <v/>
      </c>
      <c r="AL29">
        <f>MAX(0,MIN($C29,AL$4+1)-MAX($B29,AL$4))</f>
        <v/>
      </c>
      <c r="AM29">
        <f>MAX(0,MIN($C29,AM$4+1)-MAX($B29,AM$4))</f>
        <v/>
      </c>
    </row>
    <row r="31">
      <c r="A31" s="1" t="inlineStr">
        <is>
          <t>Simulación anual (todas las celdas son fórmulas)</t>
        </is>
      </c>
    </row>
    <row r="32">
      <c r="A32" s="5" t="inlineStr">
        <is>
          <t>Año</t>
        </is>
      </c>
      <c r="B32" s="5" t="inlineStr">
        <is>
          <t>k</t>
        </is>
      </c>
      <c r="C32" s="5" t="inlineStr">
        <is>
          <t>Índice inflación</t>
        </is>
      </c>
      <c r="D32" s="5" t="inlineStr">
        <is>
          <t>Salarios W-2</t>
        </is>
      </c>
      <c r="E32" s="5" t="inlineStr">
        <is>
          <t>W-2 con match</t>
        </is>
      </c>
      <c r="F32" s="5" t="inlineStr">
        <is>
          <t>Stipends libres</t>
        </is>
      </c>
      <c r="G32" s="5" t="inlineStr">
        <is>
          <t>Ingreso S-corp</t>
        </is>
      </c>
      <c r="H32" s="5" t="inlineStr">
        <is>
          <t>Autoempleo (LLC/tutoría)</t>
        </is>
      </c>
      <c r="I32" s="5" t="inlineStr">
        <is>
          <t>Matrícula</t>
        </is>
      </c>
      <c r="J32" s="5" t="inlineStr">
        <is>
          <t>Fracción estudio</t>
        </is>
      </c>
      <c r="K32" s="5" t="inlineStr">
        <is>
          <t>Fracción PSLF</t>
        </is>
      </c>
      <c r="L32" s="5" t="inlineStr">
        <is>
          <t>Fracción travel</t>
        </is>
      </c>
      <c r="M32" s="5" t="inlineStr">
        <is>
          <t>Attending</t>
        </is>
      </c>
      <c r="N32" s="5" t="inlineStr">
        <is>
          <t>Hitos (costos)</t>
        </is>
      </c>
      <c r="O32" s="5" t="inlineStr">
        <is>
          <t>Aporte 403b</t>
        </is>
      </c>
      <c r="P32" s="5" t="inlineStr">
        <is>
          <t>Match empleador</t>
        </is>
      </c>
      <c r="Q32" s="5" t="inlineStr">
        <is>
          <t>S-corp neto</t>
        </is>
      </c>
      <c r="R32" s="5" t="inlineStr">
        <is>
          <t>Salario S-corp</t>
        </is>
      </c>
      <c r="S32" s="5" t="inlineStr">
        <is>
          <t>FICA patronal S-corp</t>
        </is>
      </c>
      <c r="T32" s="5" t="inlineStr">
        <is>
          <t>Distribución S-corp</t>
        </is>
      </c>
      <c r="U32" s="5" t="inlineStr">
        <is>
          <t>Salarios totales</t>
        </is>
      </c>
      <c r="V32" s="5" t="inlineStr">
        <is>
          <t>Base autoempleo</t>
        </is>
      </c>
      <c r="W32" s="5" t="inlineStr">
        <is>
          <t>Impuesto autoempleo</t>
        </is>
      </c>
      <c r="X32" s="5" t="inlineStr">
        <is>
          <t>FICA empleado</t>
        </is>
      </c>
      <c r="Y32" s="5" t="inlineStr">
        <is>
          <t>AGI</t>
        </is>
      </c>
      <c r="Z32" s="5" t="inlineStr">
        <is>
          <t>Ingreso gravable antes QBI</t>
        </is>
      </c>
      <c r="AA32" s="5" t="inlineStr">
        <is>
          <t>Deducción QBI</t>
        </is>
      </c>
      <c r="AB32" s="5" t="inlineStr">
        <is>
          <t>Ingreso gravable</t>
        </is>
      </c>
      <c r="AC32" s="5" t="inlineStr">
        <is>
          <t>Impuesto federal</t>
        </is>
      </c>
      <c r="AD32" s="5" t="inlineStr">
        <is>
          <t>Gravable NY</t>
        </is>
      </c>
      <c r="AE32" s="5" t="inlineStr">
        <is>
          <t>Impuesto estatal/local</t>
        </is>
      </c>
      <c r="AF32" s="5" t="inlineStr">
        <is>
          <t>Impuestos totales</t>
        </is>
      </c>
      <c r="AG32" s="5" t="inlineStr">
        <is>
          <t>Ingreso personal bruto en efectivo</t>
        </is>
      </c>
      <c r="AH32" s="5" t="inlineStr">
        <is>
          <t>Efectivo neto (tras impuestos y 403b)</t>
        </is>
      </c>
      <c r="AI32" s="5" t="inlineStr">
        <is>
          <t>Ingreso bruto</t>
        </is>
      </c>
      <c r="AJ32" s="5" t="inlineStr">
        <is>
          <t>Gastos de vida</t>
        </is>
      </c>
      <c r="AK32" s="5" t="inlineStr">
        <is>
          <t>Ahorro líquido inicio</t>
        </is>
      </c>
      <c r="AL32" s="5" t="inlineStr">
        <is>
          <t>Ya era dueño</t>
        </is>
      </c>
      <c r="AM32" s="5" t="inlineStr">
        <is>
          <t>Precio base 2026</t>
        </is>
      </c>
      <c r="AN32" s="5" t="inlineStr">
        <is>
          <t>Precio en el año</t>
        </is>
      </c>
      <c r="AO32" s="5" t="inlineStr">
        <is>
          <t>Physician loan</t>
        </is>
      </c>
      <c r="AP32" s="5" t="inlineStr">
        <is>
          <t>% enganche</t>
        </is>
      </c>
      <c r="AQ32" s="5" t="inlineStr">
        <is>
          <t>Préstamo</t>
        </is>
      </c>
      <c r="AR32" s="5" t="inlineStr">
        <is>
          <t>Cuota P&amp;I mensual</t>
        </is>
      </c>
      <c r="AS32" s="5" t="inlineStr">
        <is>
          <t>Unidades rentadas</t>
        </is>
      </c>
      <c r="AT32" s="5" t="inlineStr">
        <is>
          <t>Renta mensual (cotización)</t>
        </is>
      </c>
      <c r="AU32" s="5" t="inlineStr">
        <is>
          <t>PITI mensual</t>
        </is>
      </c>
      <c r="AV32" s="5" t="inlineStr">
        <is>
          <t>Efectivo requerido</t>
        </is>
      </c>
      <c r="AW32" s="5" t="inlineStr">
        <is>
          <t>Otras deudas mensuales</t>
        </is>
      </c>
      <c r="AX32" s="5" t="inlineStr">
        <is>
          <t>Crédito aporte familiar</t>
        </is>
      </c>
      <c r="AY32" s="5" t="inlineStr">
        <is>
          <t>Carga mensual para DTI</t>
        </is>
      </c>
      <c r="AZ32" s="5" t="inlineStr">
        <is>
          <t>Ingreso mensual para DTI</t>
        </is>
      </c>
      <c r="BA32" s="5" t="inlineStr">
        <is>
          <t>Compra este año</t>
        </is>
      </c>
      <c r="BB32" s="5" t="inlineStr">
        <is>
          <t>Dueño</t>
        </is>
      </c>
      <c r="BC32" s="5" t="inlineStr">
        <is>
          <t>Año de compra</t>
        </is>
      </c>
      <c r="BD32" s="5" t="inlineStr">
        <is>
          <t>Ahorro tras enganche</t>
        </is>
      </c>
      <c r="BE32" s="5" t="inlineStr">
        <is>
          <t>Precio de compra</t>
        </is>
      </c>
      <c r="BF32" s="5" t="inlineStr">
        <is>
          <t>Cuota hipoteca</t>
        </is>
      </c>
      <c r="BG32" s="5" t="inlineStr">
        <is>
          <t>PMI activo (antes)</t>
        </is>
      </c>
      <c r="BH32" s="5" t="inlineStr">
        <is>
          <t>Config. con ADU</t>
        </is>
      </c>
      <c r="BI32" s="5" t="inlineStr">
        <is>
          <t>Construye ADU</t>
        </is>
      </c>
      <c r="BJ32" s="5" t="inlineStr">
        <is>
          <t>ADU construido</t>
        </is>
      </c>
      <c r="BK32" s="5" t="inlineStr">
        <is>
          <t>Cuota ADU</t>
        </is>
      </c>
      <c r="BL32" s="5" t="inlineStr">
        <is>
          <t>Valor vivienda inicio</t>
        </is>
      </c>
      <c r="BM32" s="5" t="inlineStr">
        <is>
          <t>Hipoteca inicio</t>
        </is>
      </c>
      <c r="BN32" s="5" t="inlineStr">
        <is>
          <t>Hipoteca tras 12 pagos</t>
        </is>
      </c>
      <c r="BO32" s="5" t="inlineStr">
        <is>
          <t>Pagado hipoteca</t>
        </is>
      </c>
      <c r="BP32" s="5" t="inlineStr">
        <is>
          <t>Hipoteca tras pagos</t>
        </is>
      </c>
      <c r="BQ32" s="5" t="inlineStr">
        <is>
          <t>ADU inicio</t>
        </is>
      </c>
      <c r="BR32" s="5" t="inlineStr">
        <is>
          <t>ADU tras 12 pagos</t>
        </is>
      </c>
      <c r="BS32" s="5" t="inlineStr">
        <is>
          <t>Pagado ADU</t>
        </is>
      </c>
      <c r="BT32" s="5" t="inlineStr">
        <is>
          <t>ADU tras pagos</t>
        </is>
      </c>
      <c r="BU32" s="5" t="inlineStr">
        <is>
          <t>Seguro</t>
        </is>
      </c>
      <c r="BV32" s="5" t="inlineStr">
        <is>
          <t>Impuesto predial</t>
        </is>
      </c>
      <c r="BW32" s="5" t="inlineStr">
        <is>
          <t>Mantenimiento</t>
        </is>
      </c>
      <c r="BX32" s="5" t="inlineStr">
        <is>
          <t>PMI</t>
        </is>
      </c>
      <c r="BY32" s="5" t="inlineStr">
        <is>
          <t>PMI activo (después)</t>
        </is>
      </c>
      <c r="BZ32" s="5" t="inlineStr">
        <is>
          <t>Renta recibida</t>
        </is>
      </c>
      <c r="CA32" s="5" t="inlineStr">
        <is>
          <t>Costo de vivienda</t>
        </is>
      </c>
      <c r="CB32" s="5" t="inlineStr">
        <is>
          <t>Aporte familiar</t>
        </is>
      </c>
      <c r="CC32" s="5" t="inlineStr">
        <is>
          <t>IRS pagado</t>
        </is>
      </c>
      <c r="CD32" s="5" t="inlineStr">
        <is>
          <t>IRS saldo</t>
        </is>
      </c>
      <c r="CE32" s="5" t="inlineStr">
        <is>
          <t>Federal inicio</t>
        </is>
      </c>
      <c r="CF32" s="5" t="inlineStr">
        <is>
          <t>Tasa federal</t>
        </is>
      </c>
      <c r="CG32" s="5" t="inlineStr">
        <is>
          <t>Años repago fed.</t>
        </is>
      </c>
      <c r="CH32" s="5" t="inlineStr">
        <is>
          <t>En estudios (≥50%)</t>
        </is>
      </c>
      <c r="CI32" s="5" t="inlineStr">
        <is>
          <t>Usa RAP/PSLF</t>
        </is>
      </c>
      <c r="CJ32" s="5" t="inlineStr">
        <is>
          <t>Interés federal</t>
        </is>
      </c>
      <c r="CK32" s="5" t="inlineStr">
        <is>
          <t>Pago RAP</t>
        </is>
      </c>
      <c r="CL32" s="5" t="inlineStr">
        <is>
          <t>Pago federal</t>
        </is>
      </c>
      <c r="CM32" s="5" t="inlineStr">
        <is>
          <t>Federal tras pago</t>
        </is>
      </c>
      <c r="CN32" s="5" t="inlineStr">
        <is>
          <t>Meses PSLF</t>
        </is>
      </c>
      <c r="CO32" s="5" t="inlineStr">
        <is>
          <t>Condonado PSLF</t>
        </is>
      </c>
      <c r="CP32" s="5" t="inlineStr">
        <is>
          <t>Federal tras PSLF</t>
        </is>
      </c>
      <c r="CQ32" s="5" t="inlineStr">
        <is>
          <t>Años repago (tras pago)</t>
        </is>
      </c>
      <c r="CR32" s="5" t="inlineStr">
        <is>
          <t>Privado inicio</t>
        </is>
      </c>
      <c r="CS32" s="5" t="inlineStr">
        <is>
          <t>Tasa privada</t>
        </is>
      </c>
      <c r="CT32" s="5" t="inlineStr">
        <is>
          <t>Años repago priv.</t>
        </is>
      </c>
      <c r="CU32" s="5" t="inlineStr">
        <is>
          <t>Pago privado</t>
        </is>
      </c>
      <c r="CV32" s="5" t="inlineStr">
        <is>
          <t>Privado tras pago</t>
        </is>
      </c>
      <c r="CW32" s="5" t="inlineStr">
        <is>
          <t>Años repago priv. (tras)</t>
        </is>
      </c>
      <c r="CX32" s="5" t="inlineStr">
        <is>
          <t>Consumo tras interés</t>
        </is>
      </c>
      <c r="CY32" s="5" t="inlineStr">
        <is>
          <t>Gasto extra travel</t>
        </is>
      </c>
      <c r="CZ32" s="5" t="inlineStr">
        <is>
          <t>Salidas</t>
        </is>
      </c>
      <c r="DA32" s="5" t="inlineStr">
        <is>
          <t>Excedente (déficit)</t>
        </is>
      </c>
      <c r="DB32" s="5" t="inlineStr">
        <is>
          <t>Flujo acumulado</t>
        </is>
      </c>
      <c r="DC32" s="5" t="inlineStr">
        <is>
          <t>Meta enganche</t>
        </is>
      </c>
      <c r="DD32" s="5" t="inlineStr">
        <is>
          <t>Retorno del ahorro líquido</t>
        </is>
      </c>
      <c r="DE32" s="5" t="inlineStr">
        <is>
          <t>Pago deuda consumo</t>
        </is>
      </c>
      <c r="DF32" s="5" t="inlineStr">
        <is>
          <t>Gasto discrecional</t>
        </is>
      </c>
      <c r="DG32" s="5" t="inlineStr">
        <is>
          <t>Ahorro</t>
        </is>
      </c>
      <c r="DH32" s="5" t="inlineStr">
        <is>
          <t>Roth</t>
        </is>
      </c>
      <c r="DI32" s="5" t="inlineStr">
        <is>
          <t>Prepago</t>
        </is>
      </c>
      <c r="DJ32" s="5" t="inlineStr">
        <is>
          <t>Prepago a hipoteca</t>
        </is>
      </c>
      <c r="DK32" s="5" t="inlineStr">
        <is>
          <t>Retiro del ahorro</t>
        </is>
      </c>
      <c r="DL32" s="5" t="inlineStr">
        <is>
          <t>Déficit por financiar</t>
        </is>
      </c>
      <c r="DM32" s="5" t="inlineStr">
        <is>
          <t>Federal acumulado (antes)</t>
        </is>
      </c>
      <c r="DN32" s="5" t="inlineStr">
        <is>
          <t>Nuevo préstamo federal</t>
        </is>
      </c>
      <c r="DO32" s="5" t="inlineStr">
        <is>
          <t>Nuevo préstamo privado</t>
        </is>
      </c>
      <c r="DP32" s="5" t="inlineStr">
        <is>
          <t>Nueva deuda consumo</t>
        </is>
      </c>
      <c r="DQ32" s="5" t="inlineStr">
        <is>
          <t>Flujo al ahorro líquido</t>
        </is>
      </c>
      <c r="DR32" s="5" t="inlineStr">
        <is>
          <t>Ahorro líquido fin</t>
        </is>
      </c>
      <c r="DS32" s="5" t="inlineStr">
        <is>
          <t>Retiro fin</t>
        </is>
      </c>
      <c r="DT32" s="5" t="inlineStr">
        <is>
          <t>Valor vivienda fin</t>
        </is>
      </c>
      <c r="DU32" s="5" t="inlineStr">
        <is>
          <t>Hipoteca fin</t>
        </is>
      </c>
      <c r="DV32" s="5" t="inlineStr">
        <is>
          <t>ADU fin</t>
        </is>
      </c>
      <c r="DW32" s="5" t="inlineStr">
        <is>
          <t>Federal fin</t>
        </is>
      </c>
      <c r="DX32" s="5" t="inlineStr">
        <is>
          <t>Tasa federal fin</t>
        </is>
      </c>
      <c r="DY32" s="5" t="inlineStr">
        <is>
          <t>Años repago fed. fin</t>
        </is>
      </c>
      <c r="DZ32" s="5" t="inlineStr">
        <is>
          <t>Federal acumulado</t>
        </is>
      </c>
      <c r="EA32" s="5" t="inlineStr">
        <is>
          <t>Privado fin</t>
        </is>
      </c>
      <c r="EB32" s="5" t="inlineStr">
        <is>
          <t>Tasa privada fin</t>
        </is>
      </c>
      <c r="EC32" s="5" t="inlineStr">
        <is>
          <t>Años repago priv. fin</t>
        </is>
      </c>
      <c r="ED32" s="5" t="inlineStr">
        <is>
          <t>Deuda consumo fin</t>
        </is>
      </c>
      <c r="EE32" s="5" t="inlineStr">
        <is>
          <t>Año vivienda pagada</t>
        </is>
      </c>
      <c r="EF32" s="5" t="inlineStr">
        <is>
          <t>Deuda total</t>
        </is>
      </c>
      <c r="EG32" s="9" t="inlineStr">
        <is>
          <t>PATRIMONIO NETO</t>
        </is>
      </c>
      <c r="EH32" s="5" t="inlineStr">
        <is>
          <t>Patrimonio (dólares 2026)</t>
        </is>
      </c>
    </row>
    <row r="33">
      <c r="A33" t="n">
        <v>2027</v>
      </c>
      <c r="B33" t="n">
        <v>0</v>
      </c>
      <c r="C33" s="7">
        <f>(1+g_inf)^(A33-2026)</f>
        <v/>
      </c>
      <c r="D33" s="7">
        <f>SUMPRODUCT($T$5:$T$29,$E$5:$E$29*(1+$F$5:$F$29)^(A33-2026)*$G$5:$G$29*$H$5:$H$29*(1-$N$5:$N$29*$O$5:$O$29))*g_salMult+SUMPRODUCT(($B$5:$B$29&gt;=A33)*($B$5:$B$29&lt;A33+1)*$I$5:$I$29)*g_salMult</f>
        <v/>
      </c>
      <c r="E33" s="7">
        <f>SUMPRODUCT($T$5:$T$29,$E$5:$E$29*(1+$F$5:$F$29)^(A33-2026)*$G$5:$G$29*$H$5:$H$29*$M$5:$M$29)*g_salMult</f>
        <v/>
      </c>
      <c r="F33" s="7">
        <f>SUMPRODUCT($T$5:$T$29,$E$5:$E$29*(1+$F$5:$F$29)^(A33-2026)*$G$5:$G$29*$H$5:$H$29*$N$5:$N$29*$O$5:$O$29)*g_salMult</f>
        <v/>
      </c>
      <c r="G33" s="7">
        <f>SUMPRODUCT($T$5:$T$29,$P$5:$P$29*(1+$F$5:$F$29)^(A33-2026))</f>
        <v/>
      </c>
      <c r="H33" s="7">
        <f>SUMPRODUCT($T$5:$T$29,$Q$5:$Q$29*(1+$F$5:$F$29)^(A33-2026))+IF(personal_llcActivo=1,personal_llcNeto*(1+personal_llcCrecimiento)^0,0)</f>
        <v/>
      </c>
      <c r="I33" s="7">
        <f>SUMPRODUCT($T$5:$T$29,$J$5:$J$29/($C$5:$C$29-$B$5:$B$29+($C$5:$C$29=$B$5:$B$29)))*C33</f>
        <v/>
      </c>
      <c r="J33" s="7">
        <f>SUMPRODUCT($T$5:$T$29,$K$5:$K$29)</f>
        <v/>
      </c>
      <c r="K33" s="7">
        <f>SUMPRODUCT($T$5:$T$29,$L$5:$L$29)</f>
        <v/>
      </c>
      <c r="L33" s="7">
        <f>SUMPRODUCT($T$5:$T$29,$N$5:$N$29)</f>
        <v/>
      </c>
      <c r="M33" s="7">
        <f>IF(SUMPRODUCT($T$5:$T$29,$R$5:$R$29)&gt;0,1,0)</f>
        <v/>
      </c>
      <c r="N33" s="7">
        <f>SUMPRODUCT(($AO$5:$AO$24&gt;=A33)*($AO$5:$AO$24&lt;A33+1)*$AP$5:$AP$24)*C33+IF(0=0,IF(sel_loc&lt;&gt;"miami",personal_costoMudanzaInicial,0),0)</f>
        <v/>
      </c>
      <c r="O33" s="7">
        <f>MIN(personal_aporte403bPct*D33,retiro_limite403b*C33)</f>
        <v/>
      </c>
      <c r="P33" s="7">
        <f>MIN(personal_aporte403bPct,personal_match403bPct)*E33</f>
        <v/>
      </c>
      <c r="Q33" s="7">
        <f>IF(G33&gt;0,MAX(0,G33-impuestos_scorpCostoAnual*C33),0)</f>
        <v/>
      </c>
      <c r="R33" s="7">
        <f>Q33*impuestos_scorpSalarioPct/(1+impuestos_ssTasa+impuestos_medicareTasa)</f>
        <v/>
      </c>
      <c r="S33" s="7">
        <f>impuestos_ssTasa*MIN(R33,MAX(0,impuestos_ssTope*C33-D33))+impuestos_medicareTasa*R33</f>
        <v/>
      </c>
      <c r="T33" s="7">
        <f>Q33-R33-S33</f>
        <v/>
      </c>
      <c r="U33" s="7">
        <f>D33+R33</f>
        <v/>
      </c>
      <c r="V33" s="7">
        <f>H33*0.9235</f>
        <v/>
      </c>
      <c r="W33" s="7">
        <f>IF(H33&gt;0,2*impuestos_ssTasa*MIN(V33,MAX(0,impuestos_ssTope*C33-U33))+2*impuestos_medicareTasa*V33,0)</f>
        <v/>
      </c>
      <c r="X33" s="7">
        <f>impuestos_ssTasa*MIN(U33,impuestos_ssTope*C33)+impuestos_medicareTasa*U33+impuestos_medicareAdicional*MAX(0,U33+H33*0.9235-impuestos_medicareUmbral)</f>
        <v/>
      </c>
      <c r="Y33" s="7">
        <f>MAX(0,D33-O33+R33+T33+H33-W33/2)</f>
        <v/>
      </c>
      <c r="Z33" s="7">
        <f>MAX(0,Y33-impuestos_deduccionEstandar*C33)</f>
        <v/>
      </c>
      <c r="AA33" s="7">
        <f>MIN(0.2*MAX(0,T33+H33-W33/2)*MAX(0,MIN(1,1-(Z33-impuestos_qbiUmbral*C33)/(impuestos_qbiRango*C33))),0.2*Z33)</f>
        <v/>
      </c>
      <c r="AB33" s="7">
        <f>MAX(0,Z33-AA33)</f>
        <v/>
      </c>
      <c r="AC33" s="7">
        <f>SUMPRODUCT((AB33&gt;tb_federalBrackets_lo*C33)*(AB33-tb_federalBrackets_lo*C33)*tb_federalBrackets_dr)</f>
        <v/>
      </c>
      <c r="AD33" s="7">
        <f>MAX(0,Y33-impuestos_nyDeduccion*C33)</f>
        <v/>
      </c>
      <c r="AE33" s="7">
        <f>CHOOSE(loc_taxcode,0,impuestos_ohTasa*MAX(0,Y33-impuestos_ohExento*C33)+impuestos_ohMunicipal*U33,SUMPRODUCT((AD33&gt;tb_nyBrackets_lo*C33)*(AD33-tb_nyBrackets_lo*C33)*tb_nyBrackets_dr)+loc_nyc*SUMPRODUCT((AD33&gt;tb_nycBrackets_lo*C33)*(AD33-tb_nycBrackets_lo*C33)*tb_nycBrackets_dr))</f>
        <v/>
      </c>
      <c r="AF33" s="7">
        <f>AC33+AE33+X33+W33</f>
        <v/>
      </c>
      <c r="AG33" s="7">
        <f>D33+F33+R33+T33+H33</f>
        <v/>
      </c>
      <c r="AH33" s="7">
        <f>AG33-AF33-O33</f>
        <v/>
      </c>
      <c r="AI33" s="7">
        <f>D33+F33+G33+H33</f>
        <v/>
      </c>
      <c r="AJ33" s="7">
        <f>loc_gastosVida*C33*g_gastos</f>
        <v/>
      </c>
      <c r="AK33" s="7">
        <f>IF(0=0,personal_liquidoInicial,DR32)</f>
        <v/>
      </c>
      <c r="AL33" s="7">
        <f>IF(0=0,0,BB32)</f>
        <v/>
      </c>
      <c r="AM33" s="7">
        <f>CHOOSE(sel_cfgIdx,loc_precio_duplex,loc_precio_inlaw,loc_precio_dosCasas,loc_precio_casaAdu,loc_precio_multi)</f>
        <v/>
      </c>
      <c r="AN33" s="7">
        <f>AM33*(1+g_appr)^(A33-2026)</f>
        <v/>
      </c>
      <c r="AO33" s="7">
        <f>IF(AND(M33=1,vivienda_prestamoMedico=1),1,0)</f>
        <v/>
      </c>
      <c r="AP33" s="7">
        <f>IF(AO33=1,0.05,vivienda_enganchePct)</f>
        <v/>
      </c>
      <c r="AQ33" s="7">
        <f>AN33*(1-AP33)</f>
        <v/>
      </c>
      <c r="AR33" s="7">
        <f>PMT(g_mortRate/12,vivienda_plazoHipoteca*12,-AQ33)</f>
        <v/>
      </c>
      <c r="AS33" s="7">
        <f>INDEX(cfg_units,sel_cfgIdx)</f>
        <v/>
      </c>
      <c r="AT33" s="7">
        <f>AS33*loc_rentaUnidad*(1+g_inf)^(A33-2026)*(1-vivienda_vacancia)</f>
        <v/>
      </c>
      <c r="AU33" s="7">
        <f>AR33+AN33*loc_impuestoPropPct/12+AM33*loc_seguroPct*(1+vivienda_inflacionSeguro)^(A33-2026)/12+IF(AND(AO33=0,AP33&lt;0.2),AQ33*vivienda_pmiTasa/12,0)</f>
        <v/>
      </c>
      <c r="AV33" s="7">
        <f>AN33*AP33+AN33*vivienda_cierrePct+general_reservaMeses/12*AJ33</f>
        <v/>
      </c>
      <c r="AW33" s="7">
        <f>(IF(0=0,MIN(personal_irsSaldo,personal_irsPagoMensual*12),MIN(CD32,personal_irsPagoMensual*12))+IF(CE33&gt;0,PMT(CF33,MAX(1,prestamos_plazoAnios-CG33),-CE33),0)+IF(CR33&gt;0,PMT(CS33,MAX(1,prestamos_plazoAnios-CT33),-CR33),0))/12</f>
        <v/>
      </c>
      <c r="AX33" s="7">
        <f>IF(OR(sel_cfg="duplex",sel_cfg="multi",sel_cfg="dosCasas"),0.75*personal_aporteFamiliaMensual,0)</f>
        <v/>
      </c>
      <c r="AY33" s="7">
        <f>AU33-0.75*AT33-AX33+AW33</f>
        <v/>
      </c>
      <c r="AZ33" s="7">
        <f>(D33+G33+H33+0.5*F33)/12</f>
        <v/>
      </c>
      <c r="BA33" s="7">
        <f>IF(AND(AL33=0,A33&gt;=vivienda_anioMinCompra,J33&lt;0.5,AI33&gt;0,AK33&gt;=AV33,AY33&lt;=vivienda_dtiMax*AZ33),1,0)</f>
        <v/>
      </c>
      <c r="BB33" s="7">
        <f>MAX(AL33,BA33)</f>
        <v/>
      </c>
      <c r="BC33" s="7">
        <f>IF(BA33=1,A33,IF(0=0,"",BC32))</f>
        <v/>
      </c>
      <c r="BD33" s="7">
        <f>AK33-IF(BA33=1,AN33*AP33+AN33*vivienda_cierrePct,0)</f>
        <v/>
      </c>
      <c r="BE33" s="7">
        <f>IF(BA33=1,AN33,IF(0=0,0,BE32))</f>
        <v/>
      </c>
      <c r="BF33" s="7">
        <f>IF(BA33=1,AR33,IF(0=0,0,BF32))</f>
        <v/>
      </c>
      <c r="BG33" s="7">
        <f>IF(BA33=1,IF(AND(AO33=0,AP33&lt;0.2),1,0),IF(0=0,0,BY32))</f>
        <v/>
      </c>
      <c r="BH33" s="7">
        <f>IF(sel_cfg="casaAdu",1,0)</f>
        <v/>
      </c>
      <c r="BI33" s="7">
        <f>IF(AND(BB33=1,BH33=1,IF(0=0,0,BJ32)=0,A33&gt;=IF(BC33="",9999,BC33)+vivienda_aduRetrasoAnios),1,0)</f>
        <v/>
      </c>
      <c r="BJ33" s="7">
        <f>MAX(IF(0=0,0,BJ32),BI33)</f>
        <v/>
      </c>
      <c r="BK33" s="7">
        <f>IF(BI33=1,PMT((g_mortRate+0.005)/12,180,-loc_precio_aduCosto*C33),IF(0=0,0,BK32))</f>
        <v/>
      </c>
      <c r="BL33" s="7">
        <f>IF(BA33=1,AN33,IF(0=0,0,DT32))+IF(BI33=1,loc_precio_aduCosto*C33,0)</f>
        <v/>
      </c>
      <c r="BM33" s="7">
        <f>IF(BA33=1,AQ33,IF(0=0,0,DU32))</f>
        <v/>
      </c>
      <c r="BN33" s="7">
        <f>IF(BM33&lt;=0,0,FV(g_mortRate/12,12,BF33,-BM33))</f>
        <v/>
      </c>
      <c r="BO33" s="7">
        <f>IF(BM33&lt;=0,0,12*BF33+MIN(0,BN33))</f>
        <v/>
      </c>
      <c r="BP33" s="7">
        <f>MAX(0,BN33)</f>
        <v/>
      </c>
      <c r="BQ33" s="7">
        <f>IF(BI33=1,loc_precio_aduCosto*C33,IF(0=0,0,DV32))</f>
        <v/>
      </c>
      <c r="BR33" s="7">
        <f>IF(BQ33&lt;=0,0,FV((g_mortRate+0.005)/12,12,BK33,-BQ33))</f>
        <v/>
      </c>
      <c r="BS33" s="7">
        <f>IF(BQ33&lt;=0,0,12*BK33+MIN(0,BR33))</f>
        <v/>
      </c>
      <c r="BT33" s="7">
        <f>MAX(0,BR33)</f>
        <v/>
      </c>
      <c r="BU33" s="7">
        <f>IF(BB33=1,AM33*loc_seguroPct*(1+vivienda_inflacionSeguro)^(A33-2026)*IF(BJ33=1,1+loc_precio_aduCosto/AM33,1),0)</f>
        <v/>
      </c>
      <c r="BV33" s="7">
        <f>BL33*loc_impuestoPropPct</f>
        <v/>
      </c>
      <c r="BW33" s="7">
        <f>BL33*vivienda_mantenimientoPct</f>
        <v/>
      </c>
      <c r="BX33" s="7">
        <f>IF(AND(BG33=1,BP33&gt;0.8*BE33),BE33*(1-vivienda_enganchePct)*vivienda_pmiTasa,0)</f>
        <v/>
      </c>
      <c r="BY33" s="7">
        <f>IF(AND(BG33=1,BP33&gt;0.8*BE33),1,0)</f>
        <v/>
      </c>
      <c r="BZ33" s="7">
        <f>IF(BB33=1,AS33*loc_rentaUnidad*12*C33*(1-vivienda_vacancia)*(1-vivienda_gestionPct),0)</f>
        <v/>
      </c>
      <c r="CA33" s="7">
        <f>IF(BB33=1,BO33+BS33+BU33+BV33+BW33+BX33,loc_rentaMensual*12*C33)</f>
        <v/>
      </c>
      <c r="CB33" s="7">
        <f>IF(BB33=1,personal_aporteFamiliaMensual*12,0)</f>
        <v/>
      </c>
      <c r="CC33" s="7">
        <f>MIN(IF(0=0,personal_irsSaldo,CD32),personal_irsPagoMensual*12)</f>
        <v/>
      </c>
      <c r="CD33" s="7">
        <f>IF(0=0,personal_irsSaldo,CD32)-CC33</f>
        <v/>
      </c>
      <c r="CE33" s="7">
        <f>IF(0=0,IF(personal_deudaEsFederal=1,personal_deudaEstudiantil,0),DW32)</f>
        <v/>
      </c>
      <c r="CF33" s="7">
        <f>IF(0=0,personal_tasaDeudaEstudiantil,DX32)</f>
        <v/>
      </c>
      <c r="CG33" s="7">
        <f>IF(0=0,0,DY32)</f>
        <v/>
      </c>
      <c r="CH33" s="7">
        <f>IF(J33&gt;=0.5,1,0)</f>
        <v/>
      </c>
      <c r="CI33" s="7">
        <f>IF(AND(CH33=0,prestamos_pslfActivo=1,K33&gt;=0.5,CE33&gt;0),1,0)</f>
        <v/>
      </c>
      <c r="CJ33" s="7">
        <f>CE33*CF33</f>
        <v/>
      </c>
      <c r="CK33" s="7">
        <f>MAX(prestamos_rapPagoMinimoAnual,IF(Y33&lt;10000,0,MIN(0.1,INT(Y33/10000)/100))*Y33)</f>
        <v/>
      </c>
      <c r="CL33" s="7">
        <f>IF(CE33&lt;=0,0,IF(CH33=1,0,IF(CI33=1,MIN(CE33+CJ33,CK33),PMT(CF33,MAX(1,prestamos_plazoAnios-CG33),-CE33))))</f>
        <v/>
      </c>
      <c r="CM33" s="7">
        <f>IF(CE33&lt;=0,0,IF(CH33=1,CE33+CJ33,IF(CI33=1,MAX(0,CE33-MAX(CL33-CJ33,MIN(600,CL33))),MAX(0,CE33*(1+CF33)-CL33))))</f>
        <v/>
      </c>
      <c r="CN33" s="7">
        <f>IF(0=0,0,CN32)+IF(CI33=1,12*MIN(1,K33),0)</f>
        <v/>
      </c>
      <c r="CO33" s="7">
        <f>IF(AND(CI33=1,CN33&gt;=prestamos_pslfPagos,CM33&gt;0),CM33,0)</f>
        <v/>
      </c>
      <c r="CP33" s="7">
        <f>CM33-CO33</f>
        <v/>
      </c>
      <c r="CQ33" s="7">
        <f>IF(AND(CE33&gt;0,CH33=0,CI33=0),CG33+1,CG33)</f>
        <v/>
      </c>
      <c r="CR33" s="7">
        <f>IF(0=0,IF(personal_deudaEsFederal=1,0,personal_deudaEstudiantil),EA32)</f>
        <v/>
      </c>
      <c r="CS33" s="7">
        <f>IF(0=0,IF(personal_deudaEsFederal=1,prestamos_tasaPrivada,personal_tasaDeudaEstudiantil),EB32)</f>
        <v/>
      </c>
      <c r="CT33" s="7">
        <f>IF(0=0,0,EC32)</f>
        <v/>
      </c>
      <c r="CU33" s="7">
        <f>IF(OR(CR33&lt;=0,CH33=1),0,PMT(CS33,MAX(1,prestamos_plazoAnios-CT33),-CR33))</f>
        <v/>
      </c>
      <c r="CV33" s="7">
        <f>IF(CR33&lt;=0,0,IF(CH33=1,CR33*(1+CS33),MAX(0,CR33*(1+CS33)-CU33)))</f>
        <v/>
      </c>
      <c r="CW33" s="7">
        <f>IF(AND(CR33&gt;0,CH33=0),CT33+1,CT33)</f>
        <v/>
      </c>
      <c r="CX33" s="7">
        <f>IF(0=0,0,ED32)*(1+general_tasaDeudaConsumo)</f>
        <v/>
      </c>
      <c r="CY33" s="7">
        <f>L33*12*tiempos_travelGastoExtraMes*C33</f>
        <v/>
      </c>
      <c r="CZ33" s="7">
        <f>AJ33+CY33+CA33+CC33+CL33+CU33+I33+N33-BZ33-CB33</f>
        <v/>
      </c>
      <c r="DA33" s="7">
        <f>AH33-CZ33</f>
        <v/>
      </c>
      <c r="DB33" s="7">
        <f>IF(0=0,0,DB32)+DA33</f>
        <v/>
      </c>
      <c r="DC33" s="7">
        <f>AN33*vivienda_enganchePct+AN33*vivienda_cierrePct+general_reservaMeses/12*AJ33</f>
        <v/>
      </c>
      <c r="DD33" s="7">
        <f>IF(BB33=1,g_ret,IF(BD33&gt;0,MIN(1,DC33/BD33),1)*g_cash+(1-IF(BD33&gt;0,MIN(1,DC33/BD33),1))*g_ret)</f>
        <v/>
      </c>
      <c r="DE33" s="7">
        <f>IF(DA33&gt;=0,MIN(CX33,DA33),0)</f>
        <v/>
      </c>
      <c r="DF33" s="7">
        <f>IF(DA33&gt;=0,(1-general_tasaAhorro)*(DA33-DE33),0)</f>
        <v/>
      </c>
      <c r="DG33" s="7">
        <f>IF(DA33&gt;=0,DA33-DE33-DF33,0)</f>
        <v/>
      </c>
      <c r="DH33" s="7">
        <f>MIN(personal_rothAnual,DG33)</f>
        <v/>
      </c>
      <c r="DI33" s="7">
        <f>IF(AND(DA33&gt;=0,BB33=1,BP33+BT33&gt;0),MIN(vivienda_prepagoPct*(DG33-DH33),BP33+BT33),0)</f>
        <v/>
      </c>
      <c r="DJ33" s="7">
        <f>MIN(DI33,BP33)</f>
        <v/>
      </c>
      <c r="DK33" s="7">
        <f>IF(DA33&lt;0,MIN(MAX(0,BD33),-DA33),0)</f>
        <v/>
      </c>
      <c r="DL33" s="7">
        <f>IF(DA33&lt;0,-DA33-DK33,0)</f>
        <v/>
      </c>
      <c r="DM33" s="7">
        <f>IF(0=0,0,DZ32)</f>
        <v/>
      </c>
      <c r="DN33" s="7">
        <f>IF(AND(DL33&gt;0,J33&gt;0),MIN(DL33,MIN(prestamos_topeAnualPosgrado*MIN(1,J33),MAX(0,prestamos_topeTotalPosgrado-DM33))),0)</f>
        <v/>
      </c>
      <c r="DO33" s="7">
        <f>IF(AND(DL33&gt;0,J33&gt;0),DL33-DN33,0)</f>
        <v/>
      </c>
      <c r="DP33" s="7">
        <f>IF(AND(DL33&gt;0,J33&lt;=0),DL33,0)</f>
        <v/>
      </c>
      <c r="DQ33" s="7">
        <f>IF(DA33&gt;=0,DG33-DH33-DI33,-DK33)</f>
        <v/>
      </c>
      <c r="DR33" s="7">
        <f>BD33*(1+DD33)+DQ33*(1+DD33/2)</f>
        <v/>
      </c>
      <c r="DS33" s="7">
        <f>IF(0=0,personal_retiroInicial,DS32)*(1+g_ret)+(O33+P33+DH33)*(1+g_ret/2)</f>
        <v/>
      </c>
      <c r="DT33" s="7">
        <f>IF(BB33=1,BL33*(1+g_appr),0)</f>
        <v/>
      </c>
      <c r="DU33" s="7">
        <f>BP33-DJ33</f>
        <v/>
      </c>
      <c r="DV33" s="7">
        <f>BT33-(DI33-DJ33)</f>
        <v/>
      </c>
      <c r="DW33" s="7">
        <f>CP33+DN33</f>
        <v/>
      </c>
      <c r="DX33" s="7">
        <f>IF(DN33&gt;0,(CP33*CF33+DN33*prestamos_tasaFederalPosgrado)/(CP33+DN33),CF33)</f>
        <v/>
      </c>
      <c r="DY33" s="7">
        <f>IF(DN33&gt;0,0,CQ33)</f>
        <v/>
      </c>
      <c r="DZ33" s="7">
        <f>DM33+DN33</f>
        <v/>
      </c>
      <c r="EA33" s="7">
        <f>CV33+DO33</f>
        <v/>
      </c>
      <c r="EB33" s="7">
        <f>IF(DO33&gt;0,(CV33*CS33+DO33*prestamos_tasaPrivada)/(CV33+DO33),CS33)</f>
        <v/>
      </c>
      <c r="EC33" s="7">
        <f>IF(DO33&gt;0,0,CW33)</f>
        <v/>
      </c>
      <c r="ED33" s="7">
        <f>CX33-DE33+DP33</f>
        <v/>
      </c>
      <c r="EE33" s="7">
        <f>IF(IF(0=0,"",EE32)&lt;&gt;"",EE32,IF(AND(BB33=1,DU33&lt;=0.5,DV33&lt;=0.5,OR(BH33=0,BJ33=1)),A33,""))</f>
        <v/>
      </c>
      <c r="EF33" s="7">
        <f>DU33+DV33+DW33+EA33+ED33+CD33</f>
        <v/>
      </c>
      <c r="EG33" s="7">
        <f>DR33+DS33+DT33-EF33</f>
        <v/>
      </c>
      <c r="EH33" s="7">
        <f>EG33/(1+g_inf)^(A33+1-2026)</f>
        <v/>
      </c>
    </row>
    <row r="34">
      <c r="A34" t="n">
        <v>2028</v>
      </c>
      <c r="B34" t="n">
        <v>1</v>
      </c>
      <c r="C34" s="7">
        <f>(1+g_inf)^(A34-2026)</f>
        <v/>
      </c>
      <c r="D34" s="7">
        <f>SUMPRODUCT($U$5:$U$29,$E$5:$E$29*(1+$F$5:$F$29)^(A34-2026)*$G$5:$G$29*$H$5:$H$29*(1-$N$5:$N$29*$O$5:$O$29))*g_salMult+SUMPRODUCT(($B$5:$B$29&gt;=A34)*($B$5:$B$29&lt;A34+1)*$I$5:$I$29)*g_salMult</f>
        <v/>
      </c>
      <c r="E34" s="7">
        <f>SUMPRODUCT($U$5:$U$29,$E$5:$E$29*(1+$F$5:$F$29)^(A34-2026)*$G$5:$G$29*$H$5:$H$29*$M$5:$M$29)*g_salMult</f>
        <v/>
      </c>
      <c r="F34" s="7">
        <f>SUMPRODUCT($U$5:$U$29,$E$5:$E$29*(1+$F$5:$F$29)^(A34-2026)*$G$5:$G$29*$H$5:$H$29*$N$5:$N$29*$O$5:$O$29)*g_salMult</f>
        <v/>
      </c>
      <c r="G34" s="7">
        <f>SUMPRODUCT($U$5:$U$29,$P$5:$P$29*(1+$F$5:$F$29)^(A34-2026))</f>
        <v/>
      </c>
      <c r="H34" s="7">
        <f>SUMPRODUCT($U$5:$U$29,$Q$5:$Q$29*(1+$F$5:$F$29)^(A34-2026))+IF(personal_llcActivo=1,personal_llcNeto*(1+personal_llcCrecimiento)^1,0)</f>
        <v/>
      </c>
      <c r="I34" s="7">
        <f>SUMPRODUCT($U$5:$U$29,$J$5:$J$29/($C$5:$C$29-$B$5:$B$29+($C$5:$C$29=$B$5:$B$29)))*C34</f>
        <v/>
      </c>
      <c r="J34" s="7">
        <f>SUMPRODUCT($U$5:$U$29,$K$5:$K$29)</f>
        <v/>
      </c>
      <c r="K34" s="7">
        <f>SUMPRODUCT($U$5:$U$29,$L$5:$L$29)</f>
        <v/>
      </c>
      <c r="L34" s="7">
        <f>SUMPRODUCT($U$5:$U$29,$N$5:$N$29)</f>
        <v/>
      </c>
      <c r="M34" s="7">
        <f>IF(SUMPRODUCT($U$5:$U$29,$R$5:$R$29)&gt;0,1,0)</f>
        <v/>
      </c>
      <c r="N34" s="7">
        <f>SUMPRODUCT(($AO$5:$AO$24&gt;=A34)*($AO$5:$AO$24&lt;A34+1)*$AP$5:$AP$24)*C34+IF(1=0,IF(sel_loc&lt;&gt;"miami",personal_costoMudanzaInicial,0),0)</f>
        <v/>
      </c>
      <c r="O34" s="7">
        <f>MIN(personal_aporte403bPct*D34,retiro_limite403b*C34)</f>
        <v/>
      </c>
      <c r="P34" s="7">
        <f>MIN(personal_aporte403bPct,personal_match403bPct)*E34</f>
        <v/>
      </c>
      <c r="Q34" s="7">
        <f>IF(G34&gt;0,MAX(0,G34-impuestos_scorpCostoAnual*C34),0)</f>
        <v/>
      </c>
      <c r="R34" s="7">
        <f>Q34*impuestos_scorpSalarioPct/(1+impuestos_ssTasa+impuestos_medicareTasa)</f>
        <v/>
      </c>
      <c r="S34" s="7">
        <f>impuestos_ssTasa*MIN(R34,MAX(0,impuestos_ssTope*C34-D34))+impuestos_medicareTasa*R34</f>
        <v/>
      </c>
      <c r="T34" s="7">
        <f>Q34-R34-S34</f>
        <v/>
      </c>
      <c r="U34" s="7">
        <f>D34+R34</f>
        <v/>
      </c>
      <c r="V34" s="7">
        <f>H34*0.9235</f>
        <v/>
      </c>
      <c r="W34" s="7">
        <f>IF(H34&gt;0,2*impuestos_ssTasa*MIN(V34,MAX(0,impuestos_ssTope*C34-U34))+2*impuestos_medicareTasa*V34,0)</f>
        <v/>
      </c>
      <c r="X34" s="7">
        <f>impuestos_ssTasa*MIN(U34,impuestos_ssTope*C34)+impuestos_medicareTasa*U34+impuestos_medicareAdicional*MAX(0,U34+H34*0.9235-impuestos_medicareUmbral)</f>
        <v/>
      </c>
      <c r="Y34" s="7">
        <f>MAX(0,D34-O34+R34+T34+H34-W34/2)</f>
        <v/>
      </c>
      <c r="Z34" s="7">
        <f>MAX(0,Y34-impuestos_deduccionEstandar*C34)</f>
        <v/>
      </c>
      <c r="AA34" s="7">
        <f>MIN(0.2*MAX(0,T34+H34-W34/2)*MAX(0,MIN(1,1-(Z34-impuestos_qbiUmbral*C34)/(impuestos_qbiRango*C34))),0.2*Z34)</f>
        <v/>
      </c>
      <c r="AB34" s="7">
        <f>MAX(0,Z34-AA34)</f>
        <v/>
      </c>
      <c r="AC34" s="7">
        <f>SUMPRODUCT((AB34&gt;tb_federalBrackets_lo*C34)*(AB34-tb_federalBrackets_lo*C34)*tb_federalBrackets_dr)</f>
        <v/>
      </c>
      <c r="AD34" s="7">
        <f>MAX(0,Y34-impuestos_nyDeduccion*C34)</f>
        <v/>
      </c>
      <c r="AE34" s="7">
        <f>CHOOSE(loc_taxcode,0,impuestos_ohTasa*MAX(0,Y34-impuestos_ohExento*C34)+impuestos_ohMunicipal*U34,SUMPRODUCT((AD34&gt;tb_nyBrackets_lo*C34)*(AD34-tb_nyBrackets_lo*C34)*tb_nyBrackets_dr)+loc_nyc*SUMPRODUCT((AD34&gt;tb_nycBrackets_lo*C34)*(AD34-tb_nycBrackets_lo*C34)*tb_nycBrackets_dr))</f>
        <v/>
      </c>
      <c r="AF34" s="7">
        <f>AC34+AE34+X34+W34</f>
        <v/>
      </c>
      <c r="AG34" s="7">
        <f>D34+F34+R34+T34+H34</f>
        <v/>
      </c>
      <c r="AH34" s="7">
        <f>AG34-AF34-O34</f>
        <v/>
      </c>
      <c r="AI34" s="7">
        <f>D34+F34+G34+H34</f>
        <v/>
      </c>
      <c r="AJ34" s="7">
        <f>loc_gastosVida*C34*g_gastos</f>
        <v/>
      </c>
      <c r="AK34" s="7">
        <f>IF(1=0,personal_liquidoInicial,DR33)</f>
        <v/>
      </c>
      <c r="AL34" s="7">
        <f>IF(1=0,0,BB33)</f>
        <v/>
      </c>
      <c r="AM34" s="7">
        <f>CHOOSE(sel_cfgIdx,loc_precio_duplex,loc_precio_inlaw,loc_precio_dosCasas,loc_precio_casaAdu,loc_precio_multi)</f>
        <v/>
      </c>
      <c r="AN34" s="7">
        <f>AM34*(1+g_appr)^(A34-2026)</f>
        <v/>
      </c>
      <c r="AO34" s="7">
        <f>IF(AND(M34=1,vivienda_prestamoMedico=1),1,0)</f>
        <v/>
      </c>
      <c r="AP34" s="7">
        <f>IF(AO34=1,0.05,vivienda_enganchePct)</f>
        <v/>
      </c>
      <c r="AQ34" s="7">
        <f>AN34*(1-AP34)</f>
        <v/>
      </c>
      <c r="AR34" s="7">
        <f>PMT(g_mortRate/12,vivienda_plazoHipoteca*12,-AQ34)</f>
        <v/>
      </c>
      <c r="AS34" s="7">
        <f>INDEX(cfg_units,sel_cfgIdx)</f>
        <v/>
      </c>
      <c r="AT34" s="7">
        <f>AS34*loc_rentaUnidad*(1+g_inf)^(A34-2026)*(1-vivienda_vacancia)</f>
        <v/>
      </c>
      <c r="AU34" s="7">
        <f>AR34+AN34*loc_impuestoPropPct/12+AM34*loc_seguroPct*(1+vivienda_inflacionSeguro)^(A34-2026)/12+IF(AND(AO34=0,AP34&lt;0.2),AQ34*vivienda_pmiTasa/12,0)</f>
        <v/>
      </c>
      <c r="AV34" s="7">
        <f>AN34*AP34+AN34*vivienda_cierrePct+general_reservaMeses/12*AJ34</f>
        <v/>
      </c>
      <c r="AW34" s="7">
        <f>(IF(1=0,MIN(personal_irsSaldo,personal_irsPagoMensual*12),MIN(CD33,personal_irsPagoMensual*12))+IF(CE34&gt;0,PMT(CF34,MAX(1,prestamos_plazoAnios-CG34),-CE34),0)+IF(CR34&gt;0,PMT(CS34,MAX(1,prestamos_plazoAnios-CT34),-CR34),0))/12</f>
        <v/>
      </c>
      <c r="AX34" s="7">
        <f>IF(OR(sel_cfg="duplex",sel_cfg="multi",sel_cfg="dosCasas"),0.75*personal_aporteFamiliaMensual,0)</f>
        <v/>
      </c>
      <c r="AY34" s="7">
        <f>AU34-0.75*AT34-AX34+AW34</f>
        <v/>
      </c>
      <c r="AZ34" s="7">
        <f>(D34+G34+H34+0.5*F34)/12</f>
        <v/>
      </c>
      <c r="BA34" s="7">
        <f>IF(AND(AL34=0,A34&gt;=vivienda_anioMinCompra,J34&lt;0.5,AI34&gt;0,AK34&gt;=AV34,AY34&lt;=vivienda_dtiMax*AZ34),1,0)</f>
        <v/>
      </c>
      <c r="BB34" s="7">
        <f>MAX(AL34,BA34)</f>
        <v/>
      </c>
      <c r="BC34" s="7">
        <f>IF(BA34=1,A34,IF(1=0,"",BC33))</f>
        <v/>
      </c>
      <c r="BD34" s="7">
        <f>AK34-IF(BA34=1,AN34*AP34+AN34*vivienda_cierrePct,0)</f>
        <v/>
      </c>
      <c r="BE34" s="7">
        <f>IF(BA34=1,AN34,IF(1=0,0,BE33))</f>
        <v/>
      </c>
      <c r="BF34" s="7">
        <f>IF(BA34=1,AR34,IF(1=0,0,BF33))</f>
        <v/>
      </c>
      <c r="BG34" s="7">
        <f>IF(BA34=1,IF(AND(AO34=0,AP34&lt;0.2),1,0),IF(1=0,0,BY33))</f>
        <v/>
      </c>
      <c r="BH34" s="7">
        <f>IF(sel_cfg="casaAdu",1,0)</f>
        <v/>
      </c>
      <c r="BI34" s="7">
        <f>IF(AND(BB34=1,BH34=1,IF(1=0,0,BJ33)=0,A34&gt;=IF(BC34="",9999,BC34)+vivienda_aduRetrasoAnios),1,0)</f>
        <v/>
      </c>
      <c r="BJ34" s="7">
        <f>MAX(IF(1=0,0,BJ33),BI34)</f>
        <v/>
      </c>
      <c r="BK34" s="7">
        <f>IF(BI34=1,PMT((g_mortRate+0.005)/12,180,-loc_precio_aduCosto*C34),IF(1=0,0,BK33))</f>
        <v/>
      </c>
      <c r="BL34" s="7">
        <f>IF(BA34=1,AN34,IF(1=0,0,DT33))+IF(BI34=1,loc_precio_aduCosto*C34,0)</f>
        <v/>
      </c>
      <c r="BM34" s="7">
        <f>IF(BA34=1,AQ34,IF(1=0,0,DU33))</f>
        <v/>
      </c>
      <c r="BN34" s="7">
        <f>IF(BM34&lt;=0,0,FV(g_mortRate/12,12,BF34,-BM34))</f>
        <v/>
      </c>
      <c r="BO34" s="7">
        <f>IF(BM34&lt;=0,0,12*BF34+MIN(0,BN34))</f>
        <v/>
      </c>
      <c r="BP34" s="7">
        <f>MAX(0,BN34)</f>
        <v/>
      </c>
      <c r="BQ34" s="7">
        <f>IF(BI34=1,loc_precio_aduCosto*C34,IF(1=0,0,DV33))</f>
        <v/>
      </c>
      <c r="BR34" s="7">
        <f>IF(BQ34&lt;=0,0,FV((g_mortRate+0.005)/12,12,BK34,-BQ34))</f>
        <v/>
      </c>
      <c r="BS34" s="7">
        <f>IF(BQ34&lt;=0,0,12*BK34+MIN(0,BR34))</f>
        <v/>
      </c>
      <c r="BT34" s="7">
        <f>MAX(0,BR34)</f>
        <v/>
      </c>
      <c r="BU34" s="7">
        <f>IF(BB34=1,AM34*loc_seguroPct*(1+vivienda_inflacionSeguro)^(A34-2026)*IF(BJ34=1,1+loc_precio_aduCosto/AM34,1),0)</f>
        <v/>
      </c>
      <c r="BV34" s="7">
        <f>BL34*loc_impuestoPropPct</f>
        <v/>
      </c>
      <c r="BW34" s="7">
        <f>BL34*vivienda_mantenimientoPct</f>
        <v/>
      </c>
      <c r="BX34" s="7">
        <f>IF(AND(BG34=1,BP34&gt;0.8*BE34),BE34*(1-vivienda_enganchePct)*vivienda_pmiTasa,0)</f>
        <v/>
      </c>
      <c r="BY34" s="7">
        <f>IF(AND(BG34=1,BP34&gt;0.8*BE34),1,0)</f>
        <v/>
      </c>
      <c r="BZ34" s="7">
        <f>IF(BB34=1,AS34*loc_rentaUnidad*12*C34*(1-vivienda_vacancia)*(1-vivienda_gestionPct),0)</f>
        <v/>
      </c>
      <c r="CA34" s="7">
        <f>IF(BB34=1,BO34+BS34+BU34+BV34+BW34+BX34,loc_rentaMensual*12*C34)</f>
        <v/>
      </c>
      <c r="CB34" s="7">
        <f>IF(BB34=1,personal_aporteFamiliaMensual*12,0)</f>
        <v/>
      </c>
      <c r="CC34" s="7">
        <f>MIN(IF(1=0,personal_irsSaldo,CD33),personal_irsPagoMensual*12)</f>
        <v/>
      </c>
      <c r="CD34" s="7">
        <f>IF(1=0,personal_irsSaldo,CD33)-CC34</f>
        <v/>
      </c>
      <c r="CE34" s="7">
        <f>IF(1=0,IF(personal_deudaEsFederal=1,personal_deudaEstudiantil,0),DW33)</f>
        <v/>
      </c>
      <c r="CF34" s="7">
        <f>IF(1=0,personal_tasaDeudaEstudiantil,DX33)</f>
        <v/>
      </c>
      <c r="CG34" s="7">
        <f>IF(1=0,0,DY33)</f>
        <v/>
      </c>
      <c r="CH34" s="7">
        <f>IF(J34&gt;=0.5,1,0)</f>
        <v/>
      </c>
      <c r="CI34" s="7">
        <f>IF(AND(CH34=0,prestamos_pslfActivo=1,K34&gt;=0.5,CE34&gt;0),1,0)</f>
        <v/>
      </c>
      <c r="CJ34" s="7">
        <f>CE34*CF34</f>
        <v/>
      </c>
      <c r="CK34" s="7">
        <f>MAX(prestamos_rapPagoMinimoAnual,IF(Y34&lt;10000,0,MIN(0.1,INT(Y34/10000)/100))*Y34)</f>
        <v/>
      </c>
      <c r="CL34" s="7">
        <f>IF(CE34&lt;=0,0,IF(CH34=1,0,IF(CI34=1,MIN(CE34+CJ34,CK34),PMT(CF34,MAX(1,prestamos_plazoAnios-CG34),-CE34))))</f>
        <v/>
      </c>
      <c r="CM34" s="7">
        <f>IF(CE34&lt;=0,0,IF(CH34=1,CE34+CJ34,IF(CI34=1,MAX(0,CE34-MAX(CL34-CJ34,MIN(600,CL34))),MAX(0,CE34*(1+CF34)-CL34))))</f>
        <v/>
      </c>
      <c r="CN34" s="7">
        <f>IF(1=0,0,CN33)+IF(CI34=1,12*MIN(1,K34),0)</f>
        <v/>
      </c>
      <c r="CO34" s="7">
        <f>IF(AND(CI34=1,CN34&gt;=prestamos_pslfPagos,CM34&gt;0),CM34,0)</f>
        <v/>
      </c>
      <c r="CP34" s="7">
        <f>CM34-CO34</f>
        <v/>
      </c>
      <c r="CQ34" s="7">
        <f>IF(AND(CE34&gt;0,CH34=0,CI34=0),CG34+1,CG34)</f>
        <v/>
      </c>
      <c r="CR34" s="7">
        <f>IF(1=0,IF(personal_deudaEsFederal=1,0,personal_deudaEstudiantil),EA33)</f>
        <v/>
      </c>
      <c r="CS34" s="7">
        <f>IF(1=0,IF(personal_deudaEsFederal=1,prestamos_tasaPrivada,personal_tasaDeudaEstudiantil),EB33)</f>
        <v/>
      </c>
      <c r="CT34" s="7">
        <f>IF(1=0,0,EC33)</f>
        <v/>
      </c>
      <c r="CU34" s="7">
        <f>IF(OR(CR34&lt;=0,CH34=1),0,PMT(CS34,MAX(1,prestamos_plazoAnios-CT34),-CR34))</f>
        <v/>
      </c>
      <c r="CV34" s="7">
        <f>IF(CR34&lt;=0,0,IF(CH34=1,CR34*(1+CS34),MAX(0,CR34*(1+CS34)-CU34)))</f>
        <v/>
      </c>
      <c r="CW34" s="7">
        <f>IF(AND(CR34&gt;0,CH34=0),CT34+1,CT34)</f>
        <v/>
      </c>
      <c r="CX34" s="7">
        <f>IF(1=0,0,ED33)*(1+general_tasaDeudaConsumo)</f>
        <v/>
      </c>
      <c r="CY34" s="7">
        <f>L34*12*tiempos_travelGastoExtraMes*C34</f>
        <v/>
      </c>
      <c r="CZ34" s="7">
        <f>AJ34+CY34+CA34+CC34+CL34+CU34+I34+N34-BZ34-CB34</f>
        <v/>
      </c>
      <c r="DA34" s="7">
        <f>AH34-CZ34</f>
        <v/>
      </c>
      <c r="DB34" s="7">
        <f>IF(1=0,0,DB33)+DA34</f>
        <v/>
      </c>
      <c r="DC34" s="7">
        <f>AN34*vivienda_enganchePct+AN34*vivienda_cierrePct+general_reservaMeses/12*AJ34</f>
        <v/>
      </c>
      <c r="DD34" s="7">
        <f>IF(BB34=1,g_ret,IF(BD34&gt;0,MIN(1,DC34/BD34),1)*g_cash+(1-IF(BD34&gt;0,MIN(1,DC34/BD34),1))*g_ret)</f>
        <v/>
      </c>
      <c r="DE34" s="7">
        <f>IF(DA34&gt;=0,MIN(CX34,DA34),0)</f>
        <v/>
      </c>
      <c r="DF34" s="7">
        <f>IF(DA34&gt;=0,(1-general_tasaAhorro)*(DA34-DE34),0)</f>
        <v/>
      </c>
      <c r="DG34" s="7">
        <f>IF(DA34&gt;=0,DA34-DE34-DF34,0)</f>
        <v/>
      </c>
      <c r="DH34" s="7">
        <f>MIN(personal_rothAnual,DG34)</f>
        <v/>
      </c>
      <c r="DI34" s="7">
        <f>IF(AND(DA34&gt;=0,BB34=1,BP34+BT34&gt;0),MIN(vivienda_prepagoPct*(DG34-DH34),BP34+BT34),0)</f>
        <v/>
      </c>
      <c r="DJ34" s="7">
        <f>MIN(DI34,BP34)</f>
        <v/>
      </c>
      <c r="DK34" s="7">
        <f>IF(DA34&lt;0,MIN(MAX(0,BD34),-DA34),0)</f>
        <v/>
      </c>
      <c r="DL34" s="7">
        <f>IF(DA34&lt;0,-DA34-DK34,0)</f>
        <v/>
      </c>
      <c r="DM34" s="7">
        <f>IF(1=0,0,DZ33)</f>
        <v/>
      </c>
      <c r="DN34" s="7">
        <f>IF(AND(DL34&gt;0,J34&gt;0),MIN(DL34,MIN(prestamos_topeAnualPosgrado*MIN(1,J34),MAX(0,prestamos_topeTotalPosgrado-DM34))),0)</f>
        <v/>
      </c>
      <c r="DO34" s="7">
        <f>IF(AND(DL34&gt;0,J34&gt;0),DL34-DN34,0)</f>
        <v/>
      </c>
      <c r="DP34" s="7">
        <f>IF(AND(DL34&gt;0,J34&lt;=0),DL34,0)</f>
        <v/>
      </c>
      <c r="DQ34" s="7">
        <f>IF(DA34&gt;=0,DG34-DH34-DI34,-DK34)</f>
        <v/>
      </c>
      <c r="DR34" s="7">
        <f>BD34*(1+DD34)+DQ34*(1+DD34/2)</f>
        <v/>
      </c>
      <c r="DS34" s="7">
        <f>IF(1=0,personal_retiroInicial,DS33)*(1+g_ret)+(O34+P34+DH34)*(1+g_ret/2)</f>
        <v/>
      </c>
      <c r="DT34" s="7">
        <f>IF(BB34=1,BL34*(1+g_appr),0)</f>
        <v/>
      </c>
      <c r="DU34" s="7">
        <f>BP34-DJ34</f>
        <v/>
      </c>
      <c r="DV34" s="7">
        <f>BT34-(DI34-DJ34)</f>
        <v/>
      </c>
      <c r="DW34" s="7">
        <f>CP34+DN34</f>
        <v/>
      </c>
      <c r="DX34" s="7">
        <f>IF(DN34&gt;0,(CP34*CF34+DN34*prestamos_tasaFederalPosgrado)/(CP34+DN34),CF34)</f>
        <v/>
      </c>
      <c r="DY34" s="7">
        <f>IF(DN34&gt;0,0,CQ34)</f>
        <v/>
      </c>
      <c r="DZ34" s="7">
        <f>DM34+DN34</f>
        <v/>
      </c>
      <c r="EA34" s="7">
        <f>CV34+DO34</f>
        <v/>
      </c>
      <c r="EB34" s="7">
        <f>IF(DO34&gt;0,(CV34*CS34+DO34*prestamos_tasaPrivada)/(CV34+DO34),CS34)</f>
        <v/>
      </c>
      <c r="EC34" s="7">
        <f>IF(DO34&gt;0,0,CW34)</f>
        <v/>
      </c>
      <c r="ED34" s="7">
        <f>CX34-DE34+DP34</f>
        <v/>
      </c>
      <c r="EE34" s="7">
        <f>IF(IF(1=0,"",EE33)&lt;&gt;"",EE33,IF(AND(BB34=1,DU34&lt;=0.5,DV34&lt;=0.5,OR(BH34=0,BJ34=1)),A34,""))</f>
        <v/>
      </c>
      <c r="EF34" s="7">
        <f>DU34+DV34+DW34+EA34+ED34+CD34</f>
        <v/>
      </c>
      <c r="EG34" s="7">
        <f>DR34+DS34+DT34-EF34</f>
        <v/>
      </c>
      <c r="EH34" s="7">
        <f>EG34/(1+g_inf)^(A34+1-2026)</f>
        <v/>
      </c>
    </row>
    <row r="35">
      <c r="A35" t="n">
        <v>2029</v>
      </c>
      <c r="B35" t="n">
        <v>2</v>
      </c>
      <c r="C35" s="7">
        <f>(1+g_inf)^(A35-2026)</f>
        <v/>
      </c>
      <c r="D35" s="7">
        <f>SUMPRODUCT($V$5:$V$29,$E$5:$E$29*(1+$F$5:$F$29)^(A35-2026)*$G$5:$G$29*$H$5:$H$29*(1-$N$5:$N$29*$O$5:$O$29))*g_salMult+SUMPRODUCT(($B$5:$B$29&gt;=A35)*($B$5:$B$29&lt;A35+1)*$I$5:$I$29)*g_salMult</f>
        <v/>
      </c>
      <c r="E35" s="7">
        <f>SUMPRODUCT($V$5:$V$29,$E$5:$E$29*(1+$F$5:$F$29)^(A35-2026)*$G$5:$G$29*$H$5:$H$29*$M$5:$M$29)*g_salMult</f>
        <v/>
      </c>
      <c r="F35" s="7">
        <f>SUMPRODUCT($V$5:$V$29,$E$5:$E$29*(1+$F$5:$F$29)^(A35-2026)*$G$5:$G$29*$H$5:$H$29*$N$5:$N$29*$O$5:$O$29)*g_salMult</f>
        <v/>
      </c>
      <c r="G35" s="7">
        <f>SUMPRODUCT($V$5:$V$29,$P$5:$P$29*(1+$F$5:$F$29)^(A35-2026))</f>
        <v/>
      </c>
      <c r="H35" s="7">
        <f>SUMPRODUCT($V$5:$V$29,$Q$5:$Q$29*(1+$F$5:$F$29)^(A35-2026))+IF(personal_llcActivo=1,personal_llcNeto*(1+personal_llcCrecimiento)^2,0)</f>
        <v/>
      </c>
      <c r="I35" s="7">
        <f>SUMPRODUCT($V$5:$V$29,$J$5:$J$29/($C$5:$C$29-$B$5:$B$29+($C$5:$C$29=$B$5:$B$29)))*C35</f>
        <v/>
      </c>
      <c r="J35" s="7">
        <f>SUMPRODUCT($V$5:$V$29,$K$5:$K$29)</f>
        <v/>
      </c>
      <c r="K35" s="7">
        <f>SUMPRODUCT($V$5:$V$29,$L$5:$L$29)</f>
        <v/>
      </c>
      <c r="L35" s="7">
        <f>SUMPRODUCT($V$5:$V$29,$N$5:$N$29)</f>
        <v/>
      </c>
      <c r="M35" s="7">
        <f>IF(SUMPRODUCT($V$5:$V$29,$R$5:$R$29)&gt;0,1,0)</f>
        <v/>
      </c>
      <c r="N35" s="7">
        <f>SUMPRODUCT(($AO$5:$AO$24&gt;=A35)*($AO$5:$AO$24&lt;A35+1)*$AP$5:$AP$24)*C35+IF(2=0,IF(sel_loc&lt;&gt;"miami",personal_costoMudanzaInicial,0),0)</f>
        <v/>
      </c>
      <c r="O35" s="7">
        <f>MIN(personal_aporte403bPct*D35,retiro_limite403b*C35)</f>
        <v/>
      </c>
      <c r="P35" s="7">
        <f>MIN(personal_aporte403bPct,personal_match403bPct)*E35</f>
        <v/>
      </c>
      <c r="Q35" s="7">
        <f>IF(G35&gt;0,MAX(0,G35-impuestos_scorpCostoAnual*C35),0)</f>
        <v/>
      </c>
      <c r="R35" s="7">
        <f>Q35*impuestos_scorpSalarioPct/(1+impuestos_ssTasa+impuestos_medicareTasa)</f>
        <v/>
      </c>
      <c r="S35" s="7">
        <f>impuestos_ssTasa*MIN(R35,MAX(0,impuestos_ssTope*C35-D35))+impuestos_medicareTasa*R35</f>
        <v/>
      </c>
      <c r="T35" s="7">
        <f>Q35-R35-S35</f>
        <v/>
      </c>
      <c r="U35" s="7">
        <f>D35+R35</f>
        <v/>
      </c>
      <c r="V35" s="7">
        <f>H35*0.9235</f>
        <v/>
      </c>
      <c r="W35" s="7">
        <f>IF(H35&gt;0,2*impuestos_ssTasa*MIN(V35,MAX(0,impuestos_ssTope*C35-U35))+2*impuestos_medicareTasa*V35,0)</f>
        <v/>
      </c>
      <c r="X35" s="7">
        <f>impuestos_ssTasa*MIN(U35,impuestos_ssTope*C35)+impuestos_medicareTasa*U35+impuestos_medicareAdicional*MAX(0,U35+H35*0.9235-impuestos_medicareUmbral)</f>
        <v/>
      </c>
      <c r="Y35" s="7">
        <f>MAX(0,D35-O35+R35+T35+H35-W35/2)</f>
        <v/>
      </c>
      <c r="Z35" s="7">
        <f>MAX(0,Y35-impuestos_deduccionEstandar*C35)</f>
        <v/>
      </c>
      <c r="AA35" s="7">
        <f>MIN(0.2*MAX(0,T35+H35-W35/2)*MAX(0,MIN(1,1-(Z35-impuestos_qbiUmbral*C35)/(impuestos_qbiRango*C35))),0.2*Z35)</f>
        <v/>
      </c>
      <c r="AB35" s="7">
        <f>MAX(0,Z35-AA35)</f>
        <v/>
      </c>
      <c r="AC35" s="7">
        <f>SUMPRODUCT((AB35&gt;tb_federalBrackets_lo*C35)*(AB35-tb_federalBrackets_lo*C35)*tb_federalBrackets_dr)</f>
        <v/>
      </c>
      <c r="AD35" s="7">
        <f>MAX(0,Y35-impuestos_nyDeduccion*C35)</f>
        <v/>
      </c>
      <c r="AE35" s="7">
        <f>CHOOSE(loc_taxcode,0,impuestos_ohTasa*MAX(0,Y35-impuestos_ohExento*C35)+impuestos_ohMunicipal*U35,SUMPRODUCT((AD35&gt;tb_nyBrackets_lo*C35)*(AD35-tb_nyBrackets_lo*C35)*tb_nyBrackets_dr)+loc_nyc*SUMPRODUCT((AD35&gt;tb_nycBrackets_lo*C35)*(AD35-tb_nycBrackets_lo*C35)*tb_nycBrackets_dr))</f>
        <v/>
      </c>
      <c r="AF35" s="7">
        <f>AC35+AE35+X35+W35</f>
        <v/>
      </c>
      <c r="AG35" s="7">
        <f>D35+F35+R35+T35+H35</f>
        <v/>
      </c>
      <c r="AH35" s="7">
        <f>AG35-AF35-O35</f>
        <v/>
      </c>
      <c r="AI35" s="7">
        <f>D35+F35+G35+H35</f>
        <v/>
      </c>
      <c r="AJ35" s="7">
        <f>loc_gastosVida*C35*g_gastos</f>
        <v/>
      </c>
      <c r="AK35" s="7">
        <f>IF(2=0,personal_liquidoInicial,DR34)</f>
        <v/>
      </c>
      <c r="AL35" s="7">
        <f>IF(2=0,0,BB34)</f>
        <v/>
      </c>
      <c r="AM35" s="7">
        <f>CHOOSE(sel_cfgIdx,loc_precio_duplex,loc_precio_inlaw,loc_precio_dosCasas,loc_precio_casaAdu,loc_precio_multi)</f>
        <v/>
      </c>
      <c r="AN35" s="7">
        <f>AM35*(1+g_appr)^(A35-2026)</f>
        <v/>
      </c>
      <c r="AO35" s="7">
        <f>IF(AND(M35=1,vivienda_prestamoMedico=1),1,0)</f>
        <v/>
      </c>
      <c r="AP35" s="7">
        <f>IF(AO35=1,0.05,vivienda_enganchePct)</f>
        <v/>
      </c>
      <c r="AQ35" s="7">
        <f>AN35*(1-AP35)</f>
        <v/>
      </c>
      <c r="AR35" s="7">
        <f>PMT(g_mortRate/12,vivienda_plazoHipoteca*12,-AQ35)</f>
        <v/>
      </c>
      <c r="AS35" s="7">
        <f>INDEX(cfg_units,sel_cfgIdx)</f>
        <v/>
      </c>
      <c r="AT35" s="7">
        <f>AS35*loc_rentaUnidad*(1+g_inf)^(A35-2026)*(1-vivienda_vacancia)</f>
        <v/>
      </c>
      <c r="AU35" s="7">
        <f>AR35+AN35*loc_impuestoPropPct/12+AM35*loc_seguroPct*(1+vivienda_inflacionSeguro)^(A35-2026)/12+IF(AND(AO35=0,AP35&lt;0.2),AQ35*vivienda_pmiTasa/12,0)</f>
        <v/>
      </c>
      <c r="AV35" s="7">
        <f>AN35*AP35+AN35*vivienda_cierrePct+general_reservaMeses/12*AJ35</f>
        <v/>
      </c>
      <c r="AW35" s="7">
        <f>(IF(2=0,MIN(personal_irsSaldo,personal_irsPagoMensual*12),MIN(CD34,personal_irsPagoMensual*12))+IF(CE35&gt;0,PMT(CF35,MAX(1,prestamos_plazoAnios-CG35),-CE35),0)+IF(CR35&gt;0,PMT(CS35,MAX(1,prestamos_plazoAnios-CT35),-CR35),0))/12</f>
        <v/>
      </c>
      <c r="AX35" s="7">
        <f>IF(OR(sel_cfg="duplex",sel_cfg="multi",sel_cfg="dosCasas"),0.75*personal_aporteFamiliaMensual,0)</f>
        <v/>
      </c>
      <c r="AY35" s="7">
        <f>AU35-0.75*AT35-AX35+AW35</f>
        <v/>
      </c>
      <c r="AZ35" s="7">
        <f>(D35+G35+H35+0.5*F35)/12</f>
        <v/>
      </c>
      <c r="BA35" s="7">
        <f>IF(AND(AL35=0,A35&gt;=vivienda_anioMinCompra,J35&lt;0.5,AI35&gt;0,AK35&gt;=AV35,AY35&lt;=vivienda_dtiMax*AZ35),1,0)</f>
        <v/>
      </c>
      <c r="BB35" s="7">
        <f>MAX(AL35,BA35)</f>
        <v/>
      </c>
      <c r="BC35" s="7">
        <f>IF(BA35=1,A35,IF(2=0,"",BC34))</f>
        <v/>
      </c>
      <c r="BD35" s="7">
        <f>AK35-IF(BA35=1,AN35*AP35+AN35*vivienda_cierrePct,0)</f>
        <v/>
      </c>
      <c r="BE35" s="7">
        <f>IF(BA35=1,AN35,IF(2=0,0,BE34))</f>
        <v/>
      </c>
      <c r="BF35" s="7">
        <f>IF(BA35=1,AR35,IF(2=0,0,BF34))</f>
        <v/>
      </c>
      <c r="BG35" s="7">
        <f>IF(BA35=1,IF(AND(AO35=0,AP35&lt;0.2),1,0),IF(2=0,0,BY34))</f>
        <v/>
      </c>
      <c r="BH35" s="7">
        <f>IF(sel_cfg="casaAdu",1,0)</f>
        <v/>
      </c>
      <c r="BI35" s="7">
        <f>IF(AND(BB35=1,BH35=1,IF(2=0,0,BJ34)=0,A35&gt;=IF(BC35="",9999,BC35)+vivienda_aduRetrasoAnios),1,0)</f>
        <v/>
      </c>
      <c r="BJ35" s="7">
        <f>MAX(IF(2=0,0,BJ34),BI35)</f>
        <v/>
      </c>
      <c r="BK35" s="7">
        <f>IF(BI35=1,PMT((g_mortRate+0.005)/12,180,-loc_precio_aduCosto*C35),IF(2=0,0,BK34))</f>
        <v/>
      </c>
      <c r="BL35" s="7">
        <f>IF(BA35=1,AN35,IF(2=0,0,DT34))+IF(BI35=1,loc_precio_aduCosto*C35,0)</f>
        <v/>
      </c>
      <c r="BM35" s="7">
        <f>IF(BA35=1,AQ35,IF(2=0,0,DU34))</f>
        <v/>
      </c>
      <c r="BN35" s="7">
        <f>IF(BM35&lt;=0,0,FV(g_mortRate/12,12,BF35,-BM35))</f>
        <v/>
      </c>
      <c r="BO35" s="7">
        <f>IF(BM35&lt;=0,0,12*BF35+MIN(0,BN35))</f>
        <v/>
      </c>
      <c r="BP35" s="7">
        <f>MAX(0,BN35)</f>
        <v/>
      </c>
      <c r="BQ35" s="7">
        <f>IF(BI35=1,loc_precio_aduCosto*C35,IF(2=0,0,DV34))</f>
        <v/>
      </c>
      <c r="BR35" s="7">
        <f>IF(BQ35&lt;=0,0,FV((g_mortRate+0.005)/12,12,BK35,-BQ35))</f>
        <v/>
      </c>
      <c r="BS35" s="7">
        <f>IF(BQ35&lt;=0,0,12*BK35+MIN(0,BR35))</f>
        <v/>
      </c>
      <c r="BT35" s="7">
        <f>MAX(0,BR35)</f>
        <v/>
      </c>
      <c r="BU35" s="7">
        <f>IF(BB35=1,AM35*loc_seguroPct*(1+vivienda_inflacionSeguro)^(A35-2026)*IF(BJ35=1,1+loc_precio_aduCosto/AM35,1),0)</f>
        <v/>
      </c>
      <c r="BV35" s="7">
        <f>BL35*loc_impuestoPropPct</f>
        <v/>
      </c>
      <c r="BW35" s="7">
        <f>BL35*vivienda_mantenimientoPct</f>
        <v/>
      </c>
      <c r="BX35" s="7">
        <f>IF(AND(BG35=1,BP35&gt;0.8*BE35),BE35*(1-vivienda_enganchePct)*vivienda_pmiTasa,0)</f>
        <v/>
      </c>
      <c r="BY35" s="7">
        <f>IF(AND(BG35=1,BP35&gt;0.8*BE35),1,0)</f>
        <v/>
      </c>
      <c r="BZ35" s="7">
        <f>IF(BB35=1,AS35*loc_rentaUnidad*12*C35*(1-vivienda_vacancia)*(1-vivienda_gestionPct),0)</f>
        <v/>
      </c>
      <c r="CA35" s="7">
        <f>IF(BB35=1,BO35+BS35+BU35+BV35+BW35+BX35,loc_rentaMensual*12*C35)</f>
        <v/>
      </c>
      <c r="CB35" s="7">
        <f>IF(BB35=1,personal_aporteFamiliaMensual*12,0)</f>
        <v/>
      </c>
      <c r="CC35" s="7">
        <f>MIN(IF(2=0,personal_irsSaldo,CD34),personal_irsPagoMensual*12)</f>
        <v/>
      </c>
      <c r="CD35" s="7">
        <f>IF(2=0,personal_irsSaldo,CD34)-CC35</f>
        <v/>
      </c>
      <c r="CE35" s="7">
        <f>IF(2=0,IF(personal_deudaEsFederal=1,personal_deudaEstudiantil,0),DW34)</f>
        <v/>
      </c>
      <c r="CF35" s="7">
        <f>IF(2=0,personal_tasaDeudaEstudiantil,DX34)</f>
        <v/>
      </c>
      <c r="CG35" s="7">
        <f>IF(2=0,0,DY34)</f>
        <v/>
      </c>
      <c r="CH35" s="7">
        <f>IF(J35&gt;=0.5,1,0)</f>
        <v/>
      </c>
      <c r="CI35" s="7">
        <f>IF(AND(CH35=0,prestamos_pslfActivo=1,K35&gt;=0.5,CE35&gt;0),1,0)</f>
        <v/>
      </c>
      <c r="CJ35" s="7">
        <f>CE35*CF35</f>
        <v/>
      </c>
      <c r="CK35" s="7">
        <f>MAX(prestamos_rapPagoMinimoAnual,IF(Y35&lt;10000,0,MIN(0.1,INT(Y35/10000)/100))*Y35)</f>
        <v/>
      </c>
      <c r="CL35" s="7">
        <f>IF(CE35&lt;=0,0,IF(CH35=1,0,IF(CI35=1,MIN(CE35+CJ35,CK35),PMT(CF35,MAX(1,prestamos_plazoAnios-CG35),-CE35))))</f>
        <v/>
      </c>
      <c r="CM35" s="7">
        <f>IF(CE35&lt;=0,0,IF(CH35=1,CE35+CJ35,IF(CI35=1,MAX(0,CE35-MAX(CL35-CJ35,MIN(600,CL35))),MAX(0,CE35*(1+CF35)-CL35))))</f>
        <v/>
      </c>
      <c r="CN35" s="7">
        <f>IF(2=0,0,CN34)+IF(CI35=1,12*MIN(1,K35),0)</f>
        <v/>
      </c>
      <c r="CO35" s="7">
        <f>IF(AND(CI35=1,CN35&gt;=prestamos_pslfPagos,CM35&gt;0),CM35,0)</f>
        <v/>
      </c>
      <c r="CP35" s="7">
        <f>CM35-CO35</f>
        <v/>
      </c>
      <c r="CQ35" s="7">
        <f>IF(AND(CE35&gt;0,CH35=0,CI35=0),CG35+1,CG35)</f>
        <v/>
      </c>
      <c r="CR35" s="7">
        <f>IF(2=0,IF(personal_deudaEsFederal=1,0,personal_deudaEstudiantil),EA34)</f>
        <v/>
      </c>
      <c r="CS35" s="7">
        <f>IF(2=0,IF(personal_deudaEsFederal=1,prestamos_tasaPrivada,personal_tasaDeudaEstudiantil),EB34)</f>
        <v/>
      </c>
      <c r="CT35" s="7">
        <f>IF(2=0,0,EC34)</f>
        <v/>
      </c>
      <c r="CU35" s="7">
        <f>IF(OR(CR35&lt;=0,CH35=1),0,PMT(CS35,MAX(1,prestamos_plazoAnios-CT35),-CR35))</f>
        <v/>
      </c>
      <c r="CV35" s="7">
        <f>IF(CR35&lt;=0,0,IF(CH35=1,CR35*(1+CS35),MAX(0,CR35*(1+CS35)-CU35)))</f>
        <v/>
      </c>
      <c r="CW35" s="7">
        <f>IF(AND(CR35&gt;0,CH35=0),CT35+1,CT35)</f>
        <v/>
      </c>
      <c r="CX35" s="7">
        <f>IF(2=0,0,ED34)*(1+general_tasaDeudaConsumo)</f>
        <v/>
      </c>
      <c r="CY35" s="7">
        <f>L35*12*tiempos_travelGastoExtraMes*C35</f>
        <v/>
      </c>
      <c r="CZ35" s="7">
        <f>AJ35+CY35+CA35+CC35+CL35+CU35+I35+N35-BZ35-CB35</f>
        <v/>
      </c>
      <c r="DA35" s="7">
        <f>AH35-CZ35</f>
        <v/>
      </c>
      <c r="DB35" s="7">
        <f>IF(2=0,0,DB34)+DA35</f>
        <v/>
      </c>
      <c r="DC35" s="7">
        <f>AN35*vivienda_enganchePct+AN35*vivienda_cierrePct+general_reservaMeses/12*AJ35</f>
        <v/>
      </c>
      <c r="DD35" s="7">
        <f>IF(BB35=1,g_ret,IF(BD35&gt;0,MIN(1,DC35/BD35),1)*g_cash+(1-IF(BD35&gt;0,MIN(1,DC35/BD35),1))*g_ret)</f>
        <v/>
      </c>
      <c r="DE35" s="7">
        <f>IF(DA35&gt;=0,MIN(CX35,DA35),0)</f>
        <v/>
      </c>
      <c r="DF35" s="7">
        <f>IF(DA35&gt;=0,(1-general_tasaAhorro)*(DA35-DE35),0)</f>
        <v/>
      </c>
      <c r="DG35" s="7">
        <f>IF(DA35&gt;=0,DA35-DE35-DF35,0)</f>
        <v/>
      </c>
      <c r="DH35" s="7">
        <f>MIN(personal_rothAnual,DG35)</f>
        <v/>
      </c>
      <c r="DI35" s="7">
        <f>IF(AND(DA35&gt;=0,BB35=1,BP35+BT35&gt;0),MIN(vivienda_prepagoPct*(DG35-DH35),BP35+BT35),0)</f>
        <v/>
      </c>
      <c r="DJ35" s="7">
        <f>MIN(DI35,BP35)</f>
        <v/>
      </c>
      <c r="DK35" s="7">
        <f>IF(DA35&lt;0,MIN(MAX(0,BD35),-DA35),0)</f>
        <v/>
      </c>
      <c r="DL35" s="7">
        <f>IF(DA35&lt;0,-DA35-DK35,0)</f>
        <v/>
      </c>
      <c r="DM35" s="7">
        <f>IF(2=0,0,DZ34)</f>
        <v/>
      </c>
      <c r="DN35" s="7">
        <f>IF(AND(DL35&gt;0,J35&gt;0),MIN(DL35,MIN(prestamos_topeAnualPosgrado*MIN(1,J35),MAX(0,prestamos_topeTotalPosgrado-DM35))),0)</f>
        <v/>
      </c>
      <c r="DO35" s="7">
        <f>IF(AND(DL35&gt;0,J35&gt;0),DL35-DN35,0)</f>
        <v/>
      </c>
      <c r="DP35" s="7">
        <f>IF(AND(DL35&gt;0,J35&lt;=0),DL35,0)</f>
        <v/>
      </c>
      <c r="DQ35" s="7">
        <f>IF(DA35&gt;=0,DG35-DH35-DI35,-DK35)</f>
        <v/>
      </c>
      <c r="DR35" s="7">
        <f>BD35*(1+DD35)+DQ35*(1+DD35/2)</f>
        <v/>
      </c>
      <c r="DS35" s="7">
        <f>IF(2=0,personal_retiroInicial,DS34)*(1+g_ret)+(O35+P35+DH35)*(1+g_ret/2)</f>
        <v/>
      </c>
      <c r="DT35" s="7">
        <f>IF(BB35=1,BL35*(1+g_appr),0)</f>
        <v/>
      </c>
      <c r="DU35" s="7">
        <f>BP35-DJ35</f>
        <v/>
      </c>
      <c r="DV35" s="7">
        <f>BT35-(DI35-DJ35)</f>
        <v/>
      </c>
      <c r="DW35" s="7">
        <f>CP35+DN35</f>
        <v/>
      </c>
      <c r="DX35" s="7">
        <f>IF(DN35&gt;0,(CP35*CF35+DN35*prestamos_tasaFederalPosgrado)/(CP35+DN35),CF35)</f>
        <v/>
      </c>
      <c r="DY35" s="7">
        <f>IF(DN35&gt;0,0,CQ35)</f>
        <v/>
      </c>
      <c r="DZ35" s="7">
        <f>DM35+DN35</f>
        <v/>
      </c>
      <c r="EA35" s="7">
        <f>CV35+DO35</f>
        <v/>
      </c>
      <c r="EB35" s="7">
        <f>IF(DO35&gt;0,(CV35*CS35+DO35*prestamos_tasaPrivada)/(CV35+DO35),CS35)</f>
        <v/>
      </c>
      <c r="EC35" s="7">
        <f>IF(DO35&gt;0,0,CW35)</f>
        <v/>
      </c>
      <c r="ED35" s="7">
        <f>CX35-DE35+DP35</f>
        <v/>
      </c>
      <c r="EE35" s="7">
        <f>IF(IF(2=0,"",EE34)&lt;&gt;"",EE34,IF(AND(BB35=1,DU35&lt;=0.5,DV35&lt;=0.5,OR(BH35=0,BJ35=1)),A35,""))</f>
        <v/>
      </c>
      <c r="EF35" s="7">
        <f>DU35+DV35+DW35+EA35+ED35+CD35</f>
        <v/>
      </c>
      <c r="EG35" s="7">
        <f>DR35+DS35+DT35-EF35</f>
        <v/>
      </c>
      <c r="EH35" s="7">
        <f>EG35/(1+g_inf)^(A35+1-2026)</f>
        <v/>
      </c>
    </row>
    <row r="36">
      <c r="A36" t="n">
        <v>2030</v>
      </c>
      <c r="B36" t="n">
        <v>3</v>
      </c>
      <c r="C36" s="7">
        <f>(1+g_inf)^(A36-2026)</f>
        <v/>
      </c>
      <c r="D36" s="7">
        <f>SUMPRODUCT($W$5:$W$29,$E$5:$E$29*(1+$F$5:$F$29)^(A36-2026)*$G$5:$G$29*$H$5:$H$29*(1-$N$5:$N$29*$O$5:$O$29))*g_salMult+SUMPRODUCT(($B$5:$B$29&gt;=A36)*($B$5:$B$29&lt;A36+1)*$I$5:$I$29)*g_salMult</f>
        <v/>
      </c>
      <c r="E36" s="7">
        <f>SUMPRODUCT($W$5:$W$29,$E$5:$E$29*(1+$F$5:$F$29)^(A36-2026)*$G$5:$G$29*$H$5:$H$29*$M$5:$M$29)*g_salMult</f>
        <v/>
      </c>
      <c r="F36" s="7">
        <f>SUMPRODUCT($W$5:$W$29,$E$5:$E$29*(1+$F$5:$F$29)^(A36-2026)*$G$5:$G$29*$H$5:$H$29*$N$5:$N$29*$O$5:$O$29)*g_salMult</f>
        <v/>
      </c>
      <c r="G36" s="7">
        <f>SUMPRODUCT($W$5:$W$29,$P$5:$P$29*(1+$F$5:$F$29)^(A36-2026))</f>
        <v/>
      </c>
      <c r="H36" s="7">
        <f>SUMPRODUCT($W$5:$W$29,$Q$5:$Q$29*(1+$F$5:$F$29)^(A36-2026))+IF(personal_llcActivo=1,personal_llcNeto*(1+personal_llcCrecimiento)^3,0)</f>
        <v/>
      </c>
      <c r="I36" s="7">
        <f>SUMPRODUCT($W$5:$W$29,$J$5:$J$29/($C$5:$C$29-$B$5:$B$29+($C$5:$C$29=$B$5:$B$29)))*C36</f>
        <v/>
      </c>
      <c r="J36" s="7">
        <f>SUMPRODUCT($W$5:$W$29,$K$5:$K$29)</f>
        <v/>
      </c>
      <c r="K36" s="7">
        <f>SUMPRODUCT($W$5:$W$29,$L$5:$L$29)</f>
        <v/>
      </c>
      <c r="L36" s="7">
        <f>SUMPRODUCT($W$5:$W$29,$N$5:$N$29)</f>
        <v/>
      </c>
      <c r="M36" s="7">
        <f>IF(SUMPRODUCT($W$5:$W$29,$R$5:$R$29)&gt;0,1,0)</f>
        <v/>
      </c>
      <c r="N36" s="7">
        <f>SUMPRODUCT(($AO$5:$AO$24&gt;=A36)*($AO$5:$AO$24&lt;A36+1)*$AP$5:$AP$24)*C36+IF(3=0,IF(sel_loc&lt;&gt;"miami",personal_costoMudanzaInicial,0),0)</f>
        <v/>
      </c>
      <c r="O36" s="7">
        <f>MIN(personal_aporte403bPct*D36,retiro_limite403b*C36)</f>
        <v/>
      </c>
      <c r="P36" s="7">
        <f>MIN(personal_aporte403bPct,personal_match403bPct)*E36</f>
        <v/>
      </c>
      <c r="Q36" s="7">
        <f>IF(G36&gt;0,MAX(0,G36-impuestos_scorpCostoAnual*C36),0)</f>
        <v/>
      </c>
      <c r="R36" s="7">
        <f>Q36*impuestos_scorpSalarioPct/(1+impuestos_ssTasa+impuestos_medicareTasa)</f>
        <v/>
      </c>
      <c r="S36" s="7">
        <f>impuestos_ssTasa*MIN(R36,MAX(0,impuestos_ssTope*C36-D36))+impuestos_medicareTasa*R36</f>
        <v/>
      </c>
      <c r="T36" s="7">
        <f>Q36-R36-S36</f>
        <v/>
      </c>
      <c r="U36" s="7">
        <f>D36+R36</f>
        <v/>
      </c>
      <c r="V36" s="7">
        <f>H36*0.9235</f>
        <v/>
      </c>
      <c r="W36" s="7">
        <f>IF(H36&gt;0,2*impuestos_ssTasa*MIN(V36,MAX(0,impuestos_ssTope*C36-U36))+2*impuestos_medicareTasa*V36,0)</f>
        <v/>
      </c>
      <c r="X36" s="7">
        <f>impuestos_ssTasa*MIN(U36,impuestos_ssTope*C36)+impuestos_medicareTasa*U36+impuestos_medicareAdicional*MAX(0,U36+H36*0.9235-impuestos_medicareUmbral)</f>
        <v/>
      </c>
      <c r="Y36" s="7">
        <f>MAX(0,D36-O36+R36+T36+H36-W36/2)</f>
        <v/>
      </c>
      <c r="Z36" s="7">
        <f>MAX(0,Y36-impuestos_deduccionEstandar*C36)</f>
        <v/>
      </c>
      <c r="AA36" s="7">
        <f>MIN(0.2*MAX(0,T36+H36-W36/2)*MAX(0,MIN(1,1-(Z36-impuestos_qbiUmbral*C36)/(impuestos_qbiRango*C36))),0.2*Z36)</f>
        <v/>
      </c>
      <c r="AB36" s="7">
        <f>MAX(0,Z36-AA36)</f>
        <v/>
      </c>
      <c r="AC36" s="7">
        <f>SUMPRODUCT((AB36&gt;tb_federalBrackets_lo*C36)*(AB36-tb_federalBrackets_lo*C36)*tb_federalBrackets_dr)</f>
        <v/>
      </c>
      <c r="AD36" s="7">
        <f>MAX(0,Y36-impuestos_nyDeduccion*C36)</f>
        <v/>
      </c>
      <c r="AE36" s="7">
        <f>CHOOSE(loc_taxcode,0,impuestos_ohTasa*MAX(0,Y36-impuestos_ohExento*C36)+impuestos_ohMunicipal*U36,SUMPRODUCT((AD36&gt;tb_nyBrackets_lo*C36)*(AD36-tb_nyBrackets_lo*C36)*tb_nyBrackets_dr)+loc_nyc*SUMPRODUCT((AD36&gt;tb_nycBrackets_lo*C36)*(AD36-tb_nycBrackets_lo*C36)*tb_nycBrackets_dr))</f>
        <v/>
      </c>
      <c r="AF36" s="7">
        <f>AC36+AE36+X36+W36</f>
        <v/>
      </c>
      <c r="AG36" s="7">
        <f>D36+F36+R36+T36+H36</f>
        <v/>
      </c>
      <c r="AH36" s="7">
        <f>AG36-AF36-O36</f>
        <v/>
      </c>
      <c r="AI36" s="7">
        <f>D36+F36+G36+H36</f>
        <v/>
      </c>
      <c r="AJ36" s="7">
        <f>loc_gastosVida*C36*g_gastos</f>
        <v/>
      </c>
      <c r="AK36" s="7">
        <f>IF(3=0,personal_liquidoInicial,DR35)</f>
        <v/>
      </c>
      <c r="AL36" s="7">
        <f>IF(3=0,0,BB35)</f>
        <v/>
      </c>
      <c r="AM36" s="7">
        <f>CHOOSE(sel_cfgIdx,loc_precio_duplex,loc_precio_inlaw,loc_precio_dosCasas,loc_precio_casaAdu,loc_precio_multi)</f>
        <v/>
      </c>
      <c r="AN36" s="7">
        <f>AM36*(1+g_appr)^(A36-2026)</f>
        <v/>
      </c>
      <c r="AO36" s="7">
        <f>IF(AND(M36=1,vivienda_prestamoMedico=1),1,0)</f>
        <v/>
      </c>
      <c r="AP36" s="7">
        <f>IF(AO36=1,0.05,vivienda_enganchePct)</f>
        <v/>
      </c>
      <c r="AQ36" s="7">
        <f>AN36*(1-AP36)</f>
        <v/>
      </c>
      <c r="AR36" s="7">
        <f>PMT(g_mortRate/12,vivienda_plazoHipoteca*12,-AQ36)</f>
        <v/>
      </c>
      <c r="AS36" s="7">
        <f>INDEX(cfg_units,sel_cfgIdx)</f>
        <v/>
      </c>
      <c r="AT36" s="7">
        <f>AS36*loc_rentaUnidad*(1+g_inf)^(A36-2026)*(1-vivienda_vacancia)</f>
        <v/>
      </c>
      <c r="AU36" s="7">
        <f>AR36+AN36*loc_impuestoPropPct/12+AM36*loc_seguroPct*(1+vivienda_inflacionSeguro)^(A36-2026)/12+IF(AND(AO36=0,AP36&lt;0.2),AQ36*vivienda_pmiTasa/12,0)</f>
        <v/>
      </c>
      <c r="AV36" s="7">
        <f>AN36*AP36+AN36*vivienda_cierrePct+general_reservaMeses/12*AJ36</f>
        <v/>
      </c>
      <c r="AW36" s="7">
        <f>(IF(3=0,MIN(personal_irsSaldo,personal_irsPagoMensual*12),MIN(CD35,personal_irsPagoMensual*12))+IF(CE36&gt;0,PMT(CF36,MAX(1,prestamos_plazoAnios-CG36),-CE36),0)+IF(CR36&gt;0,PMT(CS36,MAX(1,prestamos_plazoAnios-CT36),-CR36),0))/12</f>
        <v/>
      </c>
      <c r="AX36" s="7">
        <f>IF(OR(sel_cfg="duplex",sel_cfg="multi",sel_cfg="dosCasas"),0.75*personal_aporteFamiliaMensual,0)</f>
        <v/>
      </c>
      <c r="AY36" s="7">
        <f>AU36-0.75*AT36-AX36+AW36</f>
        <v/>
      </c>
      <c r="AZ36" s="7">
        <f>(D36+G36+H36+0.5*F36)/12</f>
        <v/>
      </c>
      <c r="BA36" s="7">
        <f>IF(AND(AL36=0,A36&gt;=vivienda_anioMinCompra,J36&lt;0.5,AI36&gt;0,AK36&gt;=AV36,AY36&lt;=vivienda_dtiMax*AZ36),1,0)</f>
        <v/>
      </c>
      <c r="BB36" s="7">
        <f>MAX(AL36,BA36)</f>
        <v/>
      </c>
      <c r="BC36" s="7">
        <f>IF(BA36=1,A36,IF(3=0,"",BC35))</f>
        <v/>
      </c>
      <c r="BD36" s="7">
        <f>AK36-IF(BA36=1,AN36*AP36+AN36*vivienda_cierrePct,0)</f>
        <v/>
      </c>
      <c r="BE36" s="7">
        <f>IF(BA36=1,AN36,IF(3=0,0,BE35))</f>
        <v/>
      </c>
      <c r="BF36" s="7">
        <f>IF(BA36=1,AR36,IF(3=0,0,BF35))</f>
        <v/>
      </c>
      <c r="BG36" s="7">
        <f>IF(BA36=1,IF(AND(AO36=0,AP36&lt;0.2),1,0),IF(3=0,0,BY35))</f>
        <v/>
      </c>
      <c r="BH36" s="7">
        <f>IF(sel_cfg="casaAdu",1,0)</f>
        <v/>
      </c>
      <c r="BI36" s="7">
        <f>IF(AND(BB36=1,BH36=1,IF(3=0,0,BJ35)=0,A36&gt;=IF(BC36="",9999,BC36)+vivienda_aduRetrasoAnios),1,0)</f>
        <v/>
      </c>
      <c r="BJ36" s="7">
        <f>MAX(IF(3=0,0,BJ35),BI36)</f>
        <v/>
      </c>
      <c r="BK36" s="7">
        <f>IF(BI36=1,PMT((g_mortRate+0.005)/12,180,-loc_precio_aduCosto*C36),IF(3=0,0,BK35))</f>
        <v/>
      </c>
      <c r="BL36" s="7">
        <f>IF(BA36=1,AN36,IF(3=0,0,DT35))+IF(BI36=1,loc_precio_aduCosto*C36,0)</f>
        <v/>
      </c>
      <c r="BM36" s="7">
        <f>IF(BA36=1,AQ36,IF(3=0,0,DU35))</f>
        <v/>
      </c>
      <c r="BN36" s="7">
        <f>IF(BM36&lt;=0,0,FV(g_mortRate/12,12,BF36,-BM36))</f>
        <v/>
      </c>
      <c r="BO36" s="7">
        <f>IF(BM36&lt;=0,0,12*BF36+MIN(0,BN36))</f>
        <v/>
      </c>
      <c r="BP36" s="7">
        <f>MAX(0,BN36)</f>
        <v/>
      </c>
      <c r="BQ36" s="7">
        <f>IF(BI36=1,loc_precio_aduCosto*C36,IF(3=0,0,DV35))</f>
        <v/>
      </c>
      <c r="BR36" s="7">
        <f>IF(BQ36&lt;=0,0,FV((g_mortRate+0.005)/12,12,BK36,-BQ36))</f>
        <v/>
      </c>
      <c r="BS36" s="7">
        <f>IF(BQ36&lt;=0,0,12*BK36+MIN(0,BR36))</f>
        <v/>
      </c>
      <c r="BT36" s="7">
        <f>MAX(0,BR36)</f>
        <v/>
      </c>
      <c r="BU36" s="7">
        <f>IF(BB36=1,AM36*loc_seguroPct*(1+vivienda_inflacionSeguro)^(A36-2026)*IF(BJ36=1,1+loc_precio_aduCosto/AM36,1),0)</f>
        <v/>
      </c>
      <c r="BV36" s="7">
        <f>BL36*loc_impuestoPropPct</f>
        <v/>
      </c>
      <c r="BW36" s="7">
        <f>BL36*vivienda_mantenimientoPct</f>
        <v/>
      </c>
      <c r="BX36" s="7">
        <f>IF(AND(BG36=1,BP36&gt;0.8*BE36),BE36*(1-vivienda_enganchePct)*vivienda_pmiTasa,0)</f>
        <v/>
      </c>
      <c r="BY36" s="7">
        <f>IF(AND(BG36=1,BP36&gt;0.8*BE36),1,0)</f>
        <v/>
      </c>
      <c r="BZ36" s="7">
        <f>IF(BB36=1,AS36*loc_rentaUnidad*12*C36*(1-vivienda_vacancia)*(1-vivienda_gestionPct),0)</f>
        <v/>
      </c>
      <c r="CA36" s="7">
        <f>IF(BB36=1,BO36+BS36+BU36+BV36+BW36+BX36,loc_rentaMensual*12*C36)</f>
        <v/>
      </c>
      <c r="CB36" s="7">
        <f>IF(BB36=1,personal_aporteFamiliaMensual*12,0)</f>
        <v/>
      </c>
      <c r="CC36" s="7">
        <f>MIN(IF(3=0,personal_irsSaldo,CD35),personal_irsPagoMensual*12)</f>
        <v/>
      </c>
      <c r="CD36" s="7">
        <f>IF(3=0,personal_irsSaldo,CD35)-CC36</f>
        <v/>
      </c>
      <c r="CE36" s="7">
        <f>IF(3=0,IF(personal_deudaEsFederal=1,personal_deudaEstudiantil,0),DW35)</f>
        <v/>
      </c>
      <c r="CF36" s="7">
        <f>IF(3=0,personal_tasaDeudaEstudiantil,DX35)</f>
        <v/>
      </c>
      <c r="CG36" s="7">
        <f>IF(3=0,0,DY35)</f>
        <v/>
      </c>
      <c r="CH36" s="7">
        <f>IF(J36&gt;=0.5,1,0)</f>
        <v/>
      </c>
      <c r="CI36" s="7">
        <f>IF(AND(CH36=0,prestamos_pslfActivo=1,K36&gt;=0.5,CE36&gt;0),1,0)</f>
        <v/>
      </c>
      <c r="CJ36" s="7">
        <f>CE36*CF36</f>
        <v/>
      </c>
      <c r="CK36" s="7">
        <f>MAX(prestamos_rapPagoMinimoAnual,IF(Y36&lt;10000,0,MIN(0.1,INT(Y36/10000)/100))*Y36)</f>
        <v/>
      </c>
      <c r="CL36" s="7">
        <f>IF(CE36&lt;=0,0,IF(CH36=1,0,IF(CI36=1,MIN(CE36+CJ36,CK36),PMT(CF36,MAX(1,prestamos_plazoAnios-CG36),-CE36))))</f>
        <v/>
      </c>
      <c r="CM36" s="7">
        <f>IF(CE36&lt;=0,0,IF(CH36=1,CE36+CJ36,IF(CI36=1,MAX(0,CE36-MAX(CL36-CJ36,MIN(600,CL36))),MAX(0,CE36*(1+CF36)-CL36))))</f>
        <v/>
      </c>
      <c r="CN36" s="7">
        <f>IF(3=0,0,CN35)+IF(CI36=1,12*MIN(1,K36),0)</f>
        <v/>
      </c>
      <c r="CO36" s="7">
        <f>IF(AND(CI36=1,CN36&gt;=prestamos_pslfPagos,CM36&gt;0),CM36,0)</f>
        <v/>
      </c>
      <c r="CP36" s="7">
        <f>CM36-CO36</f>
        <v/>
      </c>
      <c r="CQ36" s="7">
        <f>IF(AND(CE36&gt;0,CH36=0,CI36=0),CG36+1,CG36)</f>
        <v/>
      </c>
      <c r="CR36" s="7">
        <f>IF(3=0,IF(personal_deudaEsFederal=1,0,personal_deudaEstudiantil),EA35)</f>
        <v/>
      </c>
      <c r="CS36" s="7">
        <f>IF(3=0,IF(personal_deudaEsFederal=1,prestamos_tasaPrivada,personal_tasaDeudaEstudiantil),EB35)</f>
        <v/>
      </c>
      <c r="CT36" s="7">
        <f>IF(3=0,0,EC35)</f>
        <v/>
      </c>
      <c r="CU36" s="7">
        <f>IF(OR(CR36&lt;=0,CH36=1),0,PMT(CS36,MAX(1,prestamos_plazoAnios-CT36),-CR36))</f>
        <v/>
      </c>
      <c r="CV36" s="7">
        <f>IF(CR36&lt;=0,0,IF(CH36=1,CR36*(1+CS36),MAX(0,CR36*(1+CS36)-CU36)))</f>
        <v/>
      </c>
      <c r="CW36" s="7">
        <f>IF(AND(CR36&gt;0,CH36=0),CT36+1,CT36)</f>
        <v/>
      </c>
      <c r="CX36" s="7">
        <f>IF(3=0,0,ED35)*(1+general_tasaDeudaConsumo)</f>
        <v/>
      </c>
      <c r="CY36" s="7">
        <f>L36*12*tiempos_travelGastoExtraMes*C36</f>
        <v/>
      </c>
      <c r="CZ36" s="7">
        <f>AJ36+CY36+CA36+CC36+CL36+CU36+I36+N36-BZ36-CB36</f>
        <v/>
      </c>
      <c r="DA36" s="7">
        <f>AH36-CZ36</f>
        <v/>
      </c>
      <c r="DB36" s="7">
        <f>IF(3=0,0,DB35)+DA36</f>
        <v/>
      </c>
      <c r="DC36" s="7">
        <f>AN36*vivienda_enganchePct+AN36*vivienda_cierrePct+general_reservaMeses/12*AJ36</f>
        <v/>
      </c>
      <c r="DD36" s="7">
        <f>IF(BB36=1,g_ret,IF(BD36&gt;0,MIN(1,DC36/BD36),1)*g_cash+(1-IF(BD36&gt;0,MIN(1,DC36/BD36),1))*g_ret)</f>
        <v/>
      </c>
      <c r="DE36" s="7">
        <f>IF(DA36&gt;=0,MIN(CX36,DA36),0)</f>
        <v/>
      </c>
      <c r="DF36" s="7">
        <f>IF(DA36&gt;=0,(1-general_tasaAhorro)*(DA36-DE36),0)</f>
        <v/>
      </c>
      <c r="DG36" s="7">
        <f>IF(DA36&gt;=0,DA36-DE36-DF36,0)</f>
        <v/>
      </c>
      <c r="DH36" s="7">
        <f>MIN(personal_rothAnual,DG36)</f>
        <v/>
      </c>
      <c r="DI36" s="7">
        <f>IF(AND(DA36&gt;=0,BB36=1,BP36+BT36&gt;0),MIN(vivienda_prepagoPct*(DG36-DH36),BP36+BT36),0)</f>
        <v/>
      </c>
      <c r="DJ36" s="7">
        <f>MIN(DI36,BP36)</f>
        <v/>
      </c>
      <c r="DK36" s="7">
        <f>IF(DA36&lt;0,MIN(MAX(0,BD36),-DA36),0)</f>
        <v/>
      </c>
      <c r="DL36" s="7">
        <f>IF(DA36&lt;0,-DA36-DK36,0)</f>
        <v/>
      </c>
      <c r="DM36" s="7">
        <f>IF(3=0,0,DZ35)</f>
        <v/>
      </c>
      <c r="DN36" s="7">
        <f>IF(AND(DL36&gt;0,J36&gt;0),MIN(DL36,MIN(prestamos_topeAnualPosgrado*MIN(1,J36),MAX(0,prestamos_topeTotalPosgrado-DM36))),0)</f>
        <v/>
      </c>
      <c r="DO36" s="7">
        <f>IF(AND(DL36&gt;0,J36&gt;0),DL36-DN36,0)</f>
        <v/>
      </c>
      <c r="DP36" s="7">
        <f>IF(AND(DL36&gt;0,J36&lt;=0),DL36,0)</f>
        <v/>
      </c>
      <c r="DQ36" s="7">
        <f>IF(DA36&gt;=0,DG36-DH36-DI36,-DK36)</f>
        <v/>
      </c>
      <c r="DR36" s="7">
        <f>BD36*(1+DD36)+DQ36*(1+DD36/2)</f>
        <v/>
      </c>
      <c r="DS36" s="7">
        <f>IF(3=0,personal_retiroInicial,DS35)*(1+g_ret)+(O36+P36+DH36)*(1+g_ret/2)</f>
        <v/>
      </c>
      <c r="DT36" s="7">
        <f>IF(BB36=1,BL36*(1+g_appr),0)</f>
        <v/>
      </c>
      <c r="DU36" s="7">
        <f>BP36-DJ36</f>
        <v/>
      </c>
      <c r="DV36" s="7">
        <f>BT36-(DI36-DJ36)</f>
        <v/>
      </c>
      <c r="DW36" s="7">
        <f>CP36+DN36</f>
        <v/>
      </c>
      <c r="DX36" s="7">
        <f>IF(DN36&gt;0,(CP36*CF36+DN36*prestamos_tasaFederalPosgrado)/(CP36+DN36),CF36)</f>
        <v/>
      </c>
      <c r="DY36" s="7">
        <f>IF(DN36&gt;0,0,CQ36)</f>
        <v/>
      </c>
      <c r="DZ36" s="7">
        <f>DM36+DN36</f>
        <v/>
      </c>
      <c r="EA36" s="7">
        <f>CV36+DO36</f>
        <v/>
      </c>
      <c r="EB36" s="7">
        <f>IF(DO36&gt;0,(CV36*CS36+DO36*prestamos_tasaPrivada)/(CV36+DO36),CS36)</f>
        <v/>
      </c>
      <c r="EC36" s="7">
        <f>IF(DO36&gt;0,0,CW36)</f>
        <v/>
      </c>
      <c r="ED36" s="7">
        <f>CX36-DE36+DP36</f>
        <v/>
      </c>
      <c r="EE36" s="7">
        <f>IF(IF(3=0,"",EE35)&lt;&gt;"",EE35,IF(AND(BB36=1,DU36&lt;=0.5,DV36&lt;=0.5,OR(BH36=0,BJ36=1)),A36,""))</f>
        <v/>
      </c>
      <c r="EF36" s="7">
        <f>DU36+DV36+DW36+EA36+ED36+CD36</f>
        <v/>
      </c>
      <c r="EG36" s="7">
        <f>DR36+DS36+DT36-EF36</f>
        <v/>
      </c>
      <c r="EH36" s="7">
        <f>EG36/(1+g_inf)^(A36+1-2026)</f>
        <v/>
      </c>
    </row>
    <row r="37">
      <c r="A37" t="n">
        <v>2031</v>
      </c>
      <c r="B37" t="n">
        <v>4</v>
      </c>
      <c r="C37" s="7">
        <f>(1+g_inf)^(A37-2026)</f>
        <v/>
      </c>
      <c r="D37" s="7">
        <f>SUMPRODUCT($X$5:$X$29,$E$5:$E$29*(1+$F$5:$F$29)^(A37-2026)*$G$5:$G$29*$H$5:$H$29*(1-$N$5:$N$29*$O$5:$O$29))*g_salMult+SUMPRODUCT(($B$5:$B$29&gt;=A37)*($B$5:$B$29&lt;A37+1)*$I$5:$I$29)*g_salMult</f>
        <v/>
      </c>
      <c r="E37" s="7">
        <f>SUMPRODUCT($X$5:$X$29,$E$5:$E$29*(1+$F$5:$F$29)^(A37-2026)*$G$5:$G$29*$H$5:$H$29*$M$5:$M$29)*g_salMult</f>
        <v/>
      </c>
      <c r="F37" s="7">
        <f>SUMPRODUCT($X$5:$X$29,$E$5:$E$29*(1+$F$5:$F$29)^(A37-2026)*$G$5:$G$29*$H$5:$H$29*$N$5:$N$29*$O$5:$O$29)*g_salMult</f>
        <v/>
      </c>
      <c r="G37" s="7">
        <f>SUMPRODUCT($X$5:$X$29,$P$5:$P$29*(1+$F$5:$F$29)^(A37-2026))</f>
        <v/>
      </c>
      <c r="H37" s="7">
        <f>SUMPRODUCT($X$5:$X$29,$Q$5:$Q$29*(1+$F$5:$F$29)^(A37-2026))+IF(personal_llcActivo=1,personal_llcNeto*(1+personal_llcCrecimiento)^4,0)</f>
        <v/>
      </c>
      <c r="I37" s="7">
        <f>SUMPRODUCT($X$5:$X$29,$J$5:$J$29/($C$5:$C$29-$B$5:$B$29+($C$5:$C$29=$B$5:$B$29)))*C37</f>
        <v/>
      </c>
      <c r="J37" s="7">
        <f>SUMPRODUCT($X$5:$X$29,$K$5:$K$29)</f>
        <v/>
      </c>
      <c r="K37" s="7">
        <f>SUMPRODUCT($X$5:$X$29,$L$5:$L$29)</f>
        <v/>
      </c>
      <c r="L37" s="7">
        <f>SUMPRODUCT($X$5:$X$29,$N$5:$N$29)</f>
        <v/>
      </c>
      <c r="M37" s="7">
        <f>IF(SUMPRODUCT($X$5:$X$29,$R$5:$R$29)&gt;0,1,0)</f>
        <v/>
      </c>
      <c r="N37" s="7">
        <f>SUMPRODUCT(($AO$5:$AO$24&gt;=A37)*($AO$5:$AO$24&lt;A37+1)*$AP$5:$AP$24)*C37+IF(4=0,IF(sel_loc&lt;&gt;"miami",personal_costoMudanzaInicial,0),0)</f>
        <v/>
      </c>
      <c r="O37" s="7">
        <f>MIN(personal_aporte403bPct*D37,retiro_limite403b*C37)</f>
        <v/>
      </c>
      <c r="P37" s="7">
        <f>MIN(personal_aporte403bPct,personal_match403bPct)*E37</f>
        <v/>
      </c>
      <c r="Q37" s="7">
        <f>IF(G37&gt;0,MAX(0,G37-impuestos_scorpCostoAnual*C37),0)</f>
        <v/>
      </c>
      <c r="R37" s="7">
        <f>Q37*impuestos_scorpSalarioPct/(1+impuestos_ssTasa+impuestos_medicareTasa)</f>
        <v/>
      </c>
      <c r="S37" s="7">
        <f>impuestos_ssTasa*MIN(R37,MAX(0,impuestos_ssTope*C37-D37))+impuestos_medicareTasa*R37</f>
        <v/>
      </c>
      <c r="T37" s="7">
        <f>Q37-R37-S37</f>
        <v/>
      </c>
      <c r="U37" s="7">
        <f>D37+R37</f>
        <v/>
      </c>
      <c r="V37" s="7">
        <f>H37*0.9235</f>
        <v/>
      </c>
      <c r="W37" s="7">
        <f>IF(H37&gt;0,2*impuestos_ssTasa*MIN(V37,MAX(0,impuestos_ssTope*C37-U37))+2*impuestos_medicareTasa*V37,0)</f>
        <v/>
      </c>
      <c r="X37" s="7">
        <f>impuestos_ssTasa*MIN(U37,impuestos_ssTope*C37)+impuestos_medicareTasa*U37+impuestos_medicareAdicional*MAX(0,U37+H37*0.9235-impuestos_medicareUmbral)</f>
        <v/>
      </c>
      <c r="Y37" s="7">
        <f>MAX(0,D37-O37+R37+T37+H37-W37/2)</f>
        <v/>
      </c>
      <c r="Z37" s="7">
        <f>MAX(0,Y37-impuestos_deduccionEstandar*C37)</f>
        <v/>
      </c>
      <c r="AA37" s="7">
        <f>MIN(0.2*MAX(0,T37+H37-W37/2)*MAX(0,MIN(1,1-(Z37-impuestos_qbiUmbral*C37)/(impuestos_qbiRango*C37))),0.2*Z37)</f>
        <v/>
      </c>
      <c r="AB37" s="7">
        <f>MAX(0,Z37-AA37)</f>
        <v/>
      </c>
      <c r="AC37" s="7">
        <f>SUMPRODUCT((AB37&gt;tb_federalBrackets_lo*C37)*(AB37-tb_federalBrackets_lo*C37)*tb_federalBrackets_dr)</f>
        <v/>
      </c>
      <c r="AD37" s="7">
        <f>MAX(0,Y37-impuestos_nyDeduccion*C37)</f>
        <v/>
      </c>
      <c r="AE37" s="7">
        <f>CHOOSE(loc_taxcode,0,impuestos_ohTasa*MAX(0,Y37-impuestos_ohExento*C37)+impuestos_ohMunicipal*U37,SUMPRODUCT((AD37&gt;tb_nyBrackets_lo*C37)*(AD37-tb_nyBrackets_lo*C37)*tb_nyBrackets_dr)+loc_nyc*SUMPRODUCT((AD37&gt;tb_nycBrackets_lo*C37)*(AD37-tb_nycBrackets_lo*C37)*tb_nycBrackets_dr))</f>
        <v/>
      </c>
      <c r="AF37" s="7">
        <f>AC37+AE37+X37+W37</f>
        <v/>
      </c>
      <c r="AG37" s="7">
        <f>D37+F37+R37+T37+H37</f>
        <v/>
      </c>
      <c r="AH37" s="7">
        <f>AG37-AF37-O37</f>
        <v/>
      </c>
      <c r="AI37" s="7">
        <f>D37+F37+G37+H37</f>
        <v/>
      </c>
      <c r="AJ37" s="7">
        <f>loc_gastosVida*C37*g_gastos</f>
        <v/>
      </c>
      <c r="AK37" s="7">
        <f>IF(4=0,personal_liquidoInicial,DR36)</f>
        <v/>
      </c>
      <c r="AL37" s="7">
        <f>IF(4=0,0,BB36)</f>
        <v/>
      </c>
      <c r="AM37" s="7">
        <f>CHOOSE(sel_cfgIdx,loc_precio_duplex,loc_precio_inlaw,loc_precio_dosCasas,loc_precio_casaAdu,loc_precio_multi)</f>
        <v/>
      </c>
      <c r="AN37" s="7">
        <f>AM37*(1+g_appr)^(A37-2026)</f>
        <v/>
      </c>
      <c r="AO37" s="7">
        <f>IF(AND(M37=1,vivienda_prestamoMedico=1),1,0)</f>
        <v/>
      </c>
      <c r="AP37" s="7">
        <f>IF(AO37=1,0.05,vivienda_enganchePct)</f>
        <v/>
      </c>
      <c r="AQ37" s="7">
        <f>AN37*(1-AP37)</f>
        <v/>
      </c>
      <c r="AR37" s="7">
        <f>PMT(g_mortRate/12,vivienda_plazoHipoteca*12,-AQ37)</f>
        <v/>
      </c>
      <c r="AS37" s="7">
        <f>INDEX(cfg_units,sel_cfgIdx)</f>
        <v/>
      </c>
      <c r="AT37" s="7">
        <f>AS37*loc_rentaUnidad*(1+g_inf)^(A37-2026)*(1-vivienda_vacancia)</f>
        <v/>
      </c>
      <c r="AU37" s="7">
        <f>AR37+AN37*loc_impuestoPropPct/12+AM37*loc_seguroPct*(1+vivienda_inflacionSeguro)^(A37-2026)/12+IF(AND(AO37=0,AP37&lt;0.2),AQ37*vivienda_pmiTasa/12,0)</f>
        <v/>
      </c>
      <c r="AV37" s="7">
        <f>AN37*AP37+AN37*vivienda_cierrePct+general_reservaMeses/12*AJ37</f>
        <v/>
      </c>
      <c r="AW37" s="7">
        <f>(IF(4=0,MIN(personal_irsSaldo,personal_irsPagoMensual*12),MIN(CD36,personal_irsPagoMensual*12))+IF(CE37&gt;0,PMT(CF37,MAX(1,prestamos_plazoAnios-CG37),-CE37),0)+IF(CR37&gt;0,PMT(CS37,MAX(1,prestamos_plazoAnios-CT37),-CR37),0))/12</f>
        <v/>
      </c>
      <c r="AX37" s="7">
        <f>IF(OR(sel_cfg="duplex",sel_cfg="multi",sel_cfg="dosCasas"),0.75*personal_aporteFamiliaMensual,0)</f>
        <v/>
      </c>
      <c r="AY37" s="7">
        <f>AU37-0.75*AT37-AX37+AW37</f>
        <v/>
      </c>
      <c r="AZ37" s="7">
        <f>(D37+G37+H37+0.5*F37)/12</f>
        <v/>
      </c>
      <c r="BA37" s="7">
        <f>IF(AND(AL37=0,A37&gt;=vivienda_anioMinCompra,J37&lt;0.5,AI37&gt;0,AK37&gt;=AV37,AY37&lt;=vivienda_dtiMax*AZ37),1,0)</f>
        <v/>
      </c>
      <c r="BB37" s="7">
        <f>MAX(AL37,BA37)</f>
        <v/>
      </c>
      <c r="BC37" s="7">
        <f>IF(BA37=1,A37,IF(4=0,"",BC36))</f>
        <v/>
      </c>
      <c r="BD37" s="7">
        <f>AK37-IF(BA37=1,AN37*AP37+AN37*vivienda_cierrePct,0)</f>
        <v/>
      </c>
      <c r="BE37" s="7">
        <f>IF(BA37=1,AN37,IF(4=0,0,BE36))</f>
        <v/>
      </c>
      <c r="BF37" s="7">
        <f>IF(BA37=1,AR37,IF(4=0,0,BF36))</f>
        <v/>
      </c>
      <c r="BG37" s="7">
        <f>IF(BA37=1,IF(AND(AO37=0,AP37&lt;0.2),1,0),IF(4=0,0,BY36))</f>
        <v/>
      </c>
      <c r="BH37" s="7">
        <f>IF(sel_cfg="casaAdu",1,0)</f>
        <v/>
      </c>
      <c r="BI37" s="7">
        <f>IF(AND(BB37=1,BH37=1,IF(4=0,0,BJ36)=0,A37&gt;=IF(BC37="",9999,BC37)+vivienda_aduRetrasoAnios),1,0)</f>
        <v/>
      </c>
      <c r="BJ37" s="7">
        <f>MAX(IF(4=0,0,BJ36),BI37)</f>
        <v/>
      </c>
      <c r="BK37" s="7">
        <f>IF(BI37=1,PMT((g_mortRate+0.005)/12,180,-loc_precio_aduCosto*C37),IF(4=0,0,BK36))</f>
        <v/>
      </c>
      <c r="BL37" s="7">
        <f>IF(BA37=1,AN37,IF(4=0,0,DT36))+IF(BI37=1,loc_precio_aduCosto*C37,0)</f>
        <v/>
      </c>
      <c r="BM37" s="7">
        <f>IF(BA37=1,AQ37,IF(4=0,0,DU36))</f>
        <v/>
      </c>
      <c r="BN37" s="7">
        <f>IF(BM37&lt;=0,0,FV(g_mortRate/12,12,BF37,-BM37))</f>
        <v/>
      </c>
      <c r="BO37" s="7">
        <f>IF(BM37&lt;=0,0,12*BF37+MIN(0,BN37))</f>
        <v/>
      </c>
      <c r="BP37" s="7">
        <f>MAX(0,BN37)</f>
        <v/>
      </c>
      <c r="BQ37" s="7">
        <f>IF(BI37=1,loc_precio_aduCosto*C37,IF(4=0,0,DV36))</f>
        <v/>
      </c>
      <c r="BR37" s="7">
        <f>IF(BQ37&lt;=0,0,FV((g_mortRate+0.005)/12,12,BK37,-BQ37))</f>
        <v/>
      </c>
      <c r="BS37" s="7">
        <f>IF(BQ37&lt;=0,0,12*BK37+MIN(0,BR37))</f>
        <v/>
      </c>
      <c r="BT37" s="7">
        <f>MAX(0,BR37)</f>
        <v/>
      </c>
      <c r="BU37" s="7">
        <f>IF(BB37=1,AM37*loc_seguroPct*(1+vivienda_inflacionSeguro)^(A37-2026)*IF(BJ37=1,1+loc_precio_aduCosto/AM37,1),0)</f>
        <v/>
      </c>
      <c r="BV37" s="7">
        <f>BL37*loc_impuestoPropPct</f>
        <v/>
      </c>
      <c r="BW37" s="7">
        <f>BL37*vivienda_mantenimientoPct</f>
        <v/>
      </c>
      <c r="BX37" s="7">
        <f>IF(AND(BG37=1,BP37&gt;0.8*BE37),BE37*(1-vivienda_enganchePct)*vivienda_pmiTasa,0)</f>
        <v/>
      </c>
      <c r="BY37" s="7">
        <f>IF(AND(BG37=1,BP37&gt;0.8*BE37),1,0)</f>
        <v/>
      </c>
      <c r="BZ37" s="7">
        <f>IF(BB37=1,AS37*loc_rentaUnidad*12*C37*(1-vivienda_vacancia)*(1-vivienda_gestionPct),0)</f>
        <v/>
      </c>
      <c r="CA37" s="7">
        <f>IF(BB37=1,BO37+BS37+BU37+BV37+BW37+BX37,loc_rentaMensual*12*C37)</f>
        <v/>
      </c>
      <c r="CB37" s="7">
        <f>IF(BB37=1,personal_aporteFamiliaMensual*12,0)</f>
        <v/>
      </c>
      <c r="CC37" s="7">
        <f>MIN(IF(4=0,personal_irsSaldo,CD36),personal_irsPagoMensual*12)</f>
        <v/>
      </c>
      <c r="CD37" s="7">
        <f>IF(4=0,personal_irsSaldo,CD36)-CC37</f>
        <v/>
      </c>
      <c r="CE37" s="7">
        <f>IF(4=0,IF(personal_deudaEsFederal=1,personal_deudaEstudiantil,0),DW36)</f>
        <v/>
      </c>
      <c r="CF37" s="7">
        <f>IF(4=0,personal_tasaDeudaEstudiantil,DX36)</f>
        <v/>
      </c>
      <c r="CG37" s="7">
        <f>IF(4=0,0,DY36)</f>
        <v/>
      </c>
      <c r="CH37" s="7">
        <f>IF(J37&gt;=0.5,1,0)</f>
        <v/>
      </c>
      <c r="CI37" s="7">
        <f>IF(AND(CH37=0,prestamos_pslfActivo=1,K37&gt;=0.5,CE37&gt;0),1,0)</f>
        <v/>
      </c>
      <c r="CJ37" s="7">
        <f>CE37*CF37</f>
        <v/>
      </c>
      <c r="CK37" s="7">
        <f>MAX(prestamos_rapPagoMinimoAnual,IF(Y37&lt;10000,0,MIN(0.1,INT(Y37/10000)/100))*Y37)</f>
        <v/>
      </c>
      <c r="CL37" s="7">
        <f>IF(CE37&lt;=0,0,IF(CH37=1,0,IF(CI37=1,MIN(CE37+CJ37,CK37),PMT(CF37,MAX(1,prestamos_plazoAnios-CG37),-CE37))))</f>
        <v/>
      </c>
      <c r="CM37" s="7">
        <f>IF(CE37&lt;=0,0,IF(CH37=1,CE37+CJ37,IF(CI37=1,MAX(0,CE37-MAX(CL37-CJ37,MIN(600,CL37))),MAX(0,CE37*(1+CF37)-CL37))))</f>
        <v/>
      </c>
      <c r="CN37" s="7">
        <f>IF(4=0,0,CN36)+IF(CI37=1,12*MIN(1,K37),0)</f>
        <v/>
      </c>
      <c r="CO37" s="7">
        <f>IF(AND(CI37=1,CN37&gt;=prestamos_pslfPagos,CM37&gt;0),CM37,0)</f>
        <v/>
      </c>
      <c r="CP37" s="7">
        <f>CM37-CO37</f>
        <v/>
      </c>
      <c r="CQ37" s="7">
        <f>IF(AND(CE37&gt;0,CH37=0,CI37=0),CG37+1,CG37)</f>
        <v/>
      </c>
      <c r="CR37" s="7">
        <f>IF(4=0,IF(personal_deudaEsFederal=1,0,personal_deudaEstudiantil),EA36)</f>
        <v/>
      </c>
      <c r="CS37" s="7">
        <f>IF(4=0,IF(personal_deudaEsFederal=1,prestamos_tasaPrivada,personal_tasaDeudaEstudiantil),EB36)</f>
        <v/>
      </c>
      <c r="CT37" s="7">
        <f>IF(4=0,0,EC36)</f>
        <v/>
      </c>
      <c r="CU37" s="7">
        <f>IF(OR(CR37&lt;=0,CH37=1),0,PMT(CS37,MAX(1,prestamos_plazoAnios-CT37),-CR37))</f>
        <v/>
      </c>
      <c r="CV37" s="7">
        <f>IF(CR37&lt;=0,0,IF(CH37=1,CR37*(1+CS37),MAX(0,CR37*(1+CS37)-CU37)))</f>
        <v/>
      </c>
      <c r="CW37" s="7">
        <f>IF(AND(CR37&gt;0,CH37=0),CT37+1,CT37)</f>
        <v/>
      </c>
      <c r="CX37" s="7">
        <f>IF(4=0,0,ED36)*(1+general_tasaDeudaConsumo)</f>
        <v/>
      </c>
      <c r="CY37" s="7">
        <f>L37*12*tiempos_travelGastoExtraMes*C37</f>
        <v/>
      </c>
      <c r="CZ37" s="7">
        <f>AJ37+CY37+CA37+CC37+CL37+CU37+I37+N37-BZ37-CB37</f>
        <v/>
      </c>
      <c r="DA37" s="7">
        <f>AH37-CZ37</f>
        <v/>
      </c>
      <c r="DB37" s="7">
        <f>IF(4=0,0,DB36)+DA37</f>
        <v/>
      </c>
      <c r="DC37" s="7">
        <f>AN37*vivienda_enganchePct+AN37*vivienda_cierrePct+general_reservaMeses/12*AJ37</f>
        <v/>
      </c>
      <c r="DD37" s="7">
        <f>IF(BB37=1,g_ret,IF(BD37&gt;0,MIN(1,DC37/BD37),1)*g_cash+(1-IF(BD37&gt;0,MIN(1,DC37/BD37),1))*g_ret)</f>
        <v/>
      </c>
      <c r="DE37" s="7">
        <f>IF(DA37&gt;=0,MIN(CX37,DA37),0)</f>
        <v/>
      </c>
      <c r="DF37" s="7">
        <f>IF(DA37&gt;=0,(1-general_tasaAhorro)*(DA37-DE37),0)</f>
        <v/>
      </c>
      <c r="DG37" s="7">
        <f>IF(DA37&gt;=0,DA37-DE37-DF37,0)</f>
        <v/>
      </c>
      <c r="DH37" s="7">
        <f>MIN(personal_rothAnual,DG37)</f>
        <v/>
      </c>
      <c r="DI37" s="7">
        <f>IF(AND(DA37&gt;=0,BB37=1,BP37+BT37&gt;0),MIN(vivienda_prepagoPct*(DG37-DH37),BP37+BT37),0)</f>
        <v/>
      </c>
      <c r="DJ37" s="7">
        <f>MIN(DI37,BP37)</f>
        <v/>
      </c>
      <c r="DK37" s="7">
        <f>IF(DA37&lt;0,MIN(MAX(0,BD37),-DA37),0)</f>
        <v/>
      </c>
      <c r="DL37" s="7">
        <f>IF(DA37&lt;0,-DA37-DK37,0)</f>
        <v/>
      </c>
      <c r="DM37" s="7">
        <f>IF(4=0,0,DZ36)</f>
        <v/>
      </c>
      <c r="DN37" s="7">
        <f>IF(AND(DL37&gt;0,J37&gt;0),MIN(DL37,MIN(prestamos_topeAnualPosgrado*MIN(1,J37),MAX(0,prestamos_topeTotalPosgrado-DM37))),0)</f>
        <v/>
      </c>
      <c r="DO37" s="7">
        <f>IF(AND(DL37&gt;0,J37&gt;0),DL37-DN37,0)</f>
        <v/>
      </c>
      <c r="DP37" s="7">
        <f>IF(AND(DL37&gt;0,J37&lt;=0),DL37,0)</f>
        <v/>
      </c>
      <c r="DQ37" s="7">
        <f>IF(DA37&gt;=0,DG37-DH37-DI37,-DK37)</f>
        <v/>
      </c>
      <c r="DR37" s="7">
        <f>BD37*(1+DD37)+DQ37*(1+DD37/2)</f>
        <v/>
      </c>
      <c r="DS37" s="7">
        <f>IF(4=0,personal_retiroInicial,DS36)*(1+g_ret)+(O37+P37+DH37)*(1+g_ret/2)</f>
        <v/>
      </c>
      <c r="DT37" s="7">
        <f>IF(BB37=1,BL37*(1+g_appr),0)</f>
        <v/>
      </c>
      <c r="DU37" s="7">
        <f>BP37-DJ37</f>
        <v/>
      </c>
      <c r="DV37" s="7">
        <f>BT37-(DI37-DJ37)</f>
        <v/>
      </c>
      <c r="DW37" s="7">
        <f>CP37+DN37</f>
        <v/>
      </c>
      <c r="DX37" s="7">
        <f>IF(DN37&gt;0,(CP37*CF37+DN37*prestamos_tasaFederalPosgrado)/(CP37+DN37),CF37)</f>
        <v/>
      </c>
      <c r="DY37" s="7">
        <f>IF(DN37&gt;0,0,CQ37)</f>
        <v/>
      </c>
      <c r="DZ37" s="7">
        <f>DM37+DN37</f>
        <v/>
      </c>
      <c r="EA37" s="7">
        <f>CV37+DO37</f>
        <v/>
      </c>
      <c r="EB37" s="7">
        <f>IF(DO37&gt;0,(CV37*CS37+DO37*prestamos_tasaPrivada)/(CV37+DO37),CS37)</f>
        <v/>
      </c>
      <c r="EC37" s="7">
        <f>IF(DO37&gt;0,0,CW37)</f>
        <v/>
      </c>
      <c r="ED37" s="7">
        <f>CX37-DE37+DP37</f>
        <v/>
      </c>
      <c r="EE37" s="7">
        <f>IF(IF(4=0,"",EE36)&lt;&gt;"",EE36,IF(AND(BB37=1,DU37&lt;=0.5,DV37&lt;=0.5,OR(BH37=0,BJ37=1)),A37,""))</f>
        <v/>
      </c>
      <c r="EF37" s="7">
        <f>DU37+DV37+DW37+EA37+ED37+CD37</f>
        <v/>
      </c>
      <c r="EG37" s="7">
        <f>DR37+DS37+DT37-EF37</f>
        <v/>
      </c>
      <c r="EH37" s="7">
        <f>EG37/(1+g_inf)^(A37+1-2026)</f>
        <v/>
      </c>
    </row>
    <row r="38">
      <c r="A38" t="n">
        <v>2032</v>
      </c>
      <c r="B38" t="n">
        <v>5</v>
      </c>
      <c r="C38" s="7">
        <f>(1+g_inf)^(A38-2026)</f>
        <v/>
      </c>
      <c r="D38" s="7">
        <f>SUMPRODUCT($Y$5:$Y$29,$E$5:$E$29*(1+$F$5:$F$29)^(A38-2026)*$G$5:$G$29*$H$5:$H$29*(1-$N$5:$N$29*$O$5:$O$29))*g_salMult+SUMPRODUCT(($B$5:$B$29&gt;=A38)*($B$5:$B$29&lt;A38+1)*$I$5:$I$29)*g_salMult</f>
        <v/>
      </c>
      <c r="E38" s="7">
        <f>SUMPRODUCT($Y$5:$Y$29,$E$5:$E$29*(1+$F$5:$F$29)^(A38-2026)*$G$5:$G$29*$H$5:$H$29*$M$5:$M$29)*g_salMult</f>
        <v/>
      </c>
      <c r="F38" s="7">
        <f>SUMPRODUCT($Y$5:$Y$29,$E$5:$E$29*(1+$F$5:$F$29)^(A38-2026)*$G$5:$G$29*$H$5:$H$29*$N$5:$N$29*$O$5:$O$29)*g_salMult</f>
        <v/>
      </c>
      <c r="G38" s="7">
        <f>SUMPRODUCT($Y$5:$Y$29,$P$5:$P$29*(1+$F$5:$F$29)^(A38-2026))</f>
        <v/>
      </c>
      <c r="H38" s="7">
        <f>SUMPRODUCT($Y$5:$Y$29,$Q$5:$Q$29*(1+$F$5:$F$29)^(A38-2026))+IF(personal_llcActivo=1,personal_llcNeto*(1+personal_llcCrecimiento)^5,0)</f>
        <v/>
      </c>
      <c r="I38" s="7">
        <f>SUMPRODUCT($Y$5:$Y$29,$J$5:$J$29/($C$5:$C$29-$B$5:$B$29+($C$5:$C$29=$B$5:$B$29)))*C38</f>
        <v/>
      </c>
      <c r="J38" s="7">
        <f>SUMPRODUCT($Y$5:$Y$29,$K$5:$K$29)</f>
        <v/>
      </c>
      <c r="K38" s="7">
        <f>SUMPRODUCT($Y$5:$Y$29,$L$5:$L$29)</f>
        <v/>
      </c>
      <c r="L38" s="7">
        <f>SUMPRODUCT($Y$5:$Y$29,$N$5:$N$29)</f>
        <v/>
      </c>
      <c r="M38" s="7">
        <f>IF(SUMPRODUCT($Y$5:$Y$29,$R$5:$R$29)&gt;0,1,0)</f>
        <v/>
      </c>
      <c r="N38" s="7">
        <f>SUMPRODUCT(($AO$5:$AO$24&gt;=A38)*($AO$5:$AO$24&lt;A38+1)*$AP$5:$AP$24)*C38+IF(5=0,IF(sel_loc&lt;&gt;"miami",personal_costoMudanzaInicial,0),0)</f>
        <v/>
      </c>
      <c r="O38" s="7">
        <f>MIN(personal_aporte403bPct*D38,retiro_limite403b*C38)</f>
        <v/>
      </c>
      <c r="P38" s="7">
        <f>MIN(personal_aporte403bPct,personal_match403bPct)*E38</f>
        <v/>
      </c>
      <c r="Q38" s="7">
        <f>IF(G38&gt;0,MAX(0,G38-impuestos_scorpCostoAnual*C38),0)</f>
        <v/>
      </c>
      <c r="R38" s="7">
        <f>Q38*impuestos_scorpSalarioPct/(1+impuestos_ssTasa+impuestos_medicareTasa)</f>
        <v/>
      </c>
      <c r="S38" s="7">
        <f>impuestos_ssTasa*MIN(R38,MAX(0,impuestos_ssTope*C38-D38))+impuestos_medicareTasa*R38</f>
        <v/>
      </c>
      <c r="T38" s="7">
        <f>Q38-R38-S38</f>
        <v/>
      </c>
      <c r="U38" s="7">
        <f>D38+R38</f>
        <v/>
      </c>
      <c r="V38" s="7">
        <f>H38*0.9235</f>
        <v/>
      </c>
      <c r="W38" s="7">
        <f>IF(H38&gt;0,2*impuestos_ssTasa*MIN(V38,MAX(0,impuestos_ssTope*C38-U38))+2*impuestos_medicareTasa*V38,0)</f>
        <v/>
      </c>
      <c r="X38" s="7">
        <f>impuestos_ssTasa*MIN(U38,impuestos_ssTope*C38)+impuestos_medicareTasa*U38+impuestos_medicareAdicional*MAX(0,U38+H38*0.9235-impuestos_medicareUmbral)</f>
        <v/>
      </c>
      <c r="Y38" s="7">
        <f>MAX(0,D38-O38+R38+T38+H38-W38/2)</f>
        <v/>
      </c>
      <c r="Z38" s="7">
        <f>MAX(0,Y38-impuestos_deduccionEstandar*C38)</f>
        <v/>
      </c>
      <c r="AA38" s="7">
        <f>MIN(0.2*MAX(0,T38+H38-W38/2)*MAX(0,MIN(1,1-(Z38-impuestos_qbiUmbral*C38)/(impuestos_qbiRango*C38))),0.2*Z38)</f>
        <v/>
      </c>
      <c r="AB38" s="7">
        <f>MAX(0,Z38-AA38)</f>
        <v/>
      </c>
      <c r="AC38" s="7">
        <f>SUMPRODUCT((AB38&gt;tb_federalBrackets_lo*C38)*(AB38-tb_federalBrackets_lo*C38)*tb_federalBrackets_dr)</f>
        <v/>
      </c>
      <c r="AD38" s="7">
        <f>MAX(0,Y38-impuestos_nyDeduccion*C38)</f>
        <v/>
      </c>
      <c r="AE38" s="7">
        <f>CHOOSE(loc_taxcode,0,impuestos_ohTasa*MAX(0,Y38-impuestos_ohExento*C38)+impuestos_ohMunicipal*U38,SUMPRODUCT((AD38&gt;tb_nyBrackets_lo*C38)*(AD38-tb_nyBrackets_lo*C38)*tb_nyBrackets_dr)+loc_nyc*SUMPRODUCT((AD38&gt;tb_nycBrackets_lo*C38)*(AD38-tb_nycBrackets_lo*C38)*tb_nycBrackets_dr))</f>
        <v/>
      </c>
      <c r="AF38" s="7">
        <f>AC38+AE38+X38+W38</f>
        <v/>
      </c>
      <c r="AG38" s="7">
        <f>D38+F38+R38+T38+H38</f>
        <v/>
      </c>
      <c r="AH38" s="7">
        <f>AG38-AF38-O38</f>
        <v/>
      </c>
      <c r="AI38" s="7">
        <f>D38+F38+G38+H38</f>
        <v/>
      </c>
      <c r="AJ38" s="7">
        <f>loc_gastosVida*C38*g_gastos</f>
        <v/>
      </c>
      <c r="AK38" s="7">
        <f>IF(5=0,personal_liquidoInicial,DR37)</f>
        <v/>
      </c>
      <c r="AL38" s="7">
        <f>IF(5=0,0,BB37)</f>
        <v/>
      </c>
      <c r="AM38" s="7">
        <f>CHOOSE(sel_cfgIdx,loc_precio_duplex,loc_precio_inlaw,loc_precio_dosCasas,loc_precio_casaAdu,loc_precio_multi)</f>
        <v/>
      </c>
      <c r="AN38" s="7">
        <f>AM38*(1+g_appr)^(A38-2026)</f>
        <v/>
      </c>
      <c r="AO38" s="7">
        <f>IF(AND(M38=1,vivienda_prestamoMedico=1),1,0)</f>
        <v/>
      </c>
      <c r="AP38" s="7">
        <f>IF(AO38=1,0.05,vivienda_enganchePct)</f>
        <v/>
      </c>
      <c r="AQ38" s="7">
        <f>AN38*(1-AP38)</f>
        <v/>
      </c>
      <c r="AR38" s="7">
        <f>PMT(g_mortRate/12,vivienda_plazoHipoteca*12,-AQ38)</f>
        <v/>
      </c>
      <c r="AS38" s="7">
        <f>INDEX(cfg_units,sel_cfgIdx)</f>
        <v/>
      </c>
      <c r="AT38" s="7">
        <f>AS38*loc_rentaUnidad*(1+g_inf)^(A38-2026)*(1-vivienda_vacancia)</f>
        <v/>
      </c>
      <c r="AU38" s="7">
        <f>AR38+AN38*loc_impuestoPropPct/12+AM38*loc_seguroPct*(1+vivienda_inflacionSeguro)^(A38-2026)/12+IF(AND(AO38=0,AP38&lt;0.2),AQ38*vivienda_pmiTasa/12,0)</f>
        <v/>
      </c>
      <c r="AV38" s="7">
        <f>AN38*AP38+AN38*vivienda_cierrePct+general_reservaMeses/12*AJ38</f>
        <v/>
      </c>
      <c r="AW38" s="7">
        <f>(IF(5=0,MIN(personal_irsSaldo,personal_irsPagoMensual*12),MIN(CD37,personal_irsPagoMensual*12))+IF(CE38&gt;0,PMT(CF38,MAX(1,prestamos_plazoAnios-CG38),-CE38),0)+IF(CR38&gt;0,PMT(CS38,MAX(1,prestamos_plazoAnios-CT38),-CR38),0))/12</f>
        <v/>
      </c>
      <c r="AX38" s="7">
        <f>IF(OR(sel_cfg="duplex",sel_cfg="multi",sel_cfg="dosCasas"),0.75*personal_aporteFamiliaMensual,0)</f>
        <v/>
      </c>
      <c r="AY38" s="7">
        <f>AU38-0.75*AT38-AX38+AW38</f>
        <v/>
      </c>
      <c r="AZ38" s="7">
        <f>(D38+G38+H38+0.5*F38)/12</f>
        <v/>
      </c>
      <c r="BA38" s="7">
        <f>IF(AND(AL38=0,A38&gt;=vivienda_anioMinCompra,J38&lt;0.5,AI38&gt;0,AK38&gt;=AV38,AY38&lt;=vivienda_dtiMax*AZ38),1,0)</f>
        <v/>
      </c>
      <c r="BB38" s="7">
        <f>MAX(AL38,BA38)</f>
        <v/>
      </c>
      <c r="BC38" s="7">
        <f>IF(BA38=1,A38,IF(5=0,"",BC37))</f>
        <v/>
      </c>
      <c r="BD38" s="7">
        <f>AK38-IF(BA38=1,AN38*AP38+AN38*vivienda_cierrePct,0)</f>
        <v/>
      </c>
      <c r="BE38" s="7">
        <f>IF(BA38=1,AN38,IF(5=0,0,BE37))</f>
        <v/>
      </c>
      <c r="BF38" s="7">
        <f>IF(BA38=1,AR38,IF(5=0,0,BF37))</f>
        <v/>
      </c>
      <c r="BG38" s="7">
        <f>IF(BA38=1,IF(AND(AO38=0,AP38&lt;0.2),1,0),IF(5=0,0,BY37))</f>
        <v/>
      </c>
      <c r="BH38" s="7">
        <f>IF(sel_cfg="casaAdu",1,0)</f>
        <v/>
      </c>
      <c r="BI38" s="7">
        <f>IF(AND(BB38=1,BH38=1,IF(5=0,0,BJ37)=0,A38&gt;=IF(BC38="",9999,BC38)+vivienda_aduRetrasoAnios),1,0)</f>
        <v/>
      </c>
      <c r="BJ38" s="7">
        <f>MAX(IF(5=0,0,BJ37),BI38)</f>
        <v/>
      </c>
      <c r="BK38" s="7">
        <f>IF(BI38=1,PMT((g_mortRate+0.005)/12,180,-loc_precio_aduCosto*C38),IF(5=0,0,BK37))</f>
        <v/>
      </c>
      <c r="BL38" s="7">
        <f>IF(BA38=1,AN38,IF(5=0,0,DT37))+IF(BI38=1,loc_precio_aduCosto*C38,0)</f>
        <v/>
      </c>
      <c r="BM38" s="7">
        <f>IF(BA38=1,AQ38,IF(5=0,0,DU37))</f>
        <v/>
      </c>
      <c r="BN38" s="7">
        <f>IF(BM38&lt;=0,0,FV(g_mortRate/12,12,BF38,-BM38))</f>
        <v/>
      </c>
      <c r="BO38" s="7">
        <f>IF(BM38&lt;=0,0,12*BF38+MIN(0,BN38))</f>
        <v/>
      </c>
      <c r="BP38" s="7">
        <f>MAX(0,BN38)</f>
        <v/>
      </c>
      <c r="BQ38" s="7">
        <f>IF(BI38=1,loc_precio_aduCosto*C38,IF(5=0,0,DV37))</f>
        <v/>
      </c>
      <c r="BR38" s="7">
        <f>IF(BQ38&lt;=0,0,FV((g_mortRate+0.005)/12,12,BK38,-BQ38))</f>
        <v/>
      </c>
      <c r="BS38" s="7">
        <f>IF(BQ38&lt;=0,0,12*BK38+MIN(0,BR38))</f>
        <v/>
      </c>
      <c r="BT38" s="7">
        <f>MAX(0,BR38)</f>
        <v/>
      </c>
      <c r="BU38" s="7">
        <f>IF(BB38=1,AM38*loc_seguroPct*(1+vivienda_inflacionSeguro)^(A38-2026)*IF(BJ38=1,1+loc_precio_aduCosto/AM38,1),0)</f>
        <v/>
      </c>
      <c r="BV38" s="7">
        <f>BL38*loc_impuestoPropPct</f>
        <v/>
      </c>
      <c r="BW38" s="7">
        <f>BL38*vivienda_mantenimientoPct</f>
        <v/>
      </c>
      <c r="BX38" s="7">
        <f>IF(AND(BG38=1,BP38&gt;0.8*BE38),BE38*(1-vivienda_enganchePct)*vivienda_pmiTasa,0)</f>
        <v/>
      </c>
      <c r="BY38" s="7">
        <f>IF(AND(BG38=1,BP38&gt;0.8*BE38),1,0)</f>
        <v/>
      </c>
      <c r="BZ38" s="7">
        <f>IF(BB38=1,AS38*loc_rentaUnidad*12*C38*(1-vivienda_vacancia)*(1-vivienda_gestionPct),0)</f>
        <v/>
      </c>
      <c r="CA38" s="7">
        <f>IF(BB38=1,BO38+BS38+BU38+BV38+BW38+BX38,loc_rentaMensual*12*C38)</f>
        <v/>
      </c>
      <c r="CB38" s="7">
        <f>IF(BB38=1,personal_aporteFamiliaMensual*12,0)</f>
        <v/>
      </c>
      <c r="CC38" s="7">
        <f>MIN(IF(5=0,personal_irsSaldo,CD37),personal_irsPagoMensual*12)</f>
        <v/>
      </c>
      <c r="CD38" s="7">
        <f>IF(5=0,personal_irsSaldo,CD37)-CC38</f>
        <v/>
      </c>
      <c r="CE38" s="7">
        <f>IF(5=0,IF(personal_deudaEsFederal=1,personal_deudaEstudiantil,0),DW37)</f>
        <v/>
      </c>
      <c r="CF38" s="7">
        <f>IF(5=0,personal_tasaDeudaEstudiantil,DX37)</f>
        <v/>
      </c>
      <c r="CG38" s="7">
        <f>IF(5=0,0,DY37)</f>
        <v/>
      </c>
      <c r="CH38" s="7">
        <f>IF(J38&gt;=0.5,1,0)</f>
        <v/>
      </c>
      <c r="CI38" s="7">
        <f>IF(AND(CH38=0,prestamos_pslfActivo=1,K38&gt;=0.5,CE38&gt;0),1,0)</f>
        <v/>
      </c>
      <c r="CJ38" s="7">
        <f>CE38*CF38</f>
        <v/>
      </c>
      <c r="CK38" s="7">
        <f>MAX(prestamos_rapPagoMinimoAnual,IF(Y38&lt;10000,0,MIN(0.1,INT(Y38/10000)/100))*Y38)</f>
        <v/>
      </c>
      <c r="CL38" s="7">
        <f>IF(CE38&lt;=0,0,IF(CH38=1,0,IF(CI38=1,MIN(CE38+CJ38,CK38),PMT(CF38,MAX(1,prestamos_plazoAnios-CG38),-CE38))))</f>
        <v/>
      </c>
      <c r="CM38" s="7">
        <f>IF(CE38&lt;=0,0,IF(CH38=1,CE38+CJ38,IF(CI38=1,MAX(0,CE38-MAX(CL38-CJ38,MIN(600,CL38))),MAX(0,CE38*(1+CF38)-CL38))))</f>
        <v/>
      </c>
      <c r="CN38" s="7">
        <f>IF(5=0,0,CN37)+IF(CI38=1,12*MIN(1,K38),0)</f>
        <v/>
      </c>
      <c r="CO38" s="7">
        <f>IF(AND(CI38=1,CN38&gt;=prestamos_pslfPagos,CM38&gt;0),CM38,0)</f>
        <v/>
      </c>
      <c r="CP38" s="7">
        <f>CM38-CO38</f>
        <v/>
      </c>
      <c r="CQ38" s="7">
        <f>IF(AND(CE38&gt;0,CH38=0,CI38=0),CG38+1,CG38)</f>
        <v/>
      </c>
      <c r="CR38" s="7">
        <f>IF(5=0,IF(personal_deudaEsFederal=1,0,personal_deudaEstudiantil),EA37)</f>
        <v/>
      </c>
      <c r="CS38" s="7">
        <f>IF(5=0,IF(personal_deudaEsFederal=1,prestamos_tasaPrivada,personal_tasaDeudaEstudiantil),EB37)</f>
        <v/>
      </c>
      <c r="CT38" s="7">
        <f>IF(5=0,0,EC37)</f>
        <v/>
      </c>
      <c r="CU38" s="7">
        <f>IF(OR(CR38&lt;=0,CH38=1),0,PMT(CS38,MAX(1,prestamos_plazoAnios-CT38),-CR38))</f>
        <v/>
      </c>
      <c r="CV38" s="7">
        <f>IF(CR38&lt;=0,0,IF(CH38=1,CR38*(1+CS38),MAX(0,CR38*(1+CS38)-CU38)))</f>
        <v/>
      </c>
      <c r="CW38" s="7">
        <f>IF(AND(CR38&gt;0,CH38=0),CT38+1,CT38)</f>
        <v/>
      </c>
      <c r="CX38" s="7">
        <f>IF(5=0,0,ED37)*(1+general_tasaDeudaConsumo)</f>
        <v/>
      </c>
      <c r="CY38" s="7">
        <f>L38*12*tiempos_travelGastoExtraMes*C38</f>
        <v/>
      </c>
      <c r="CZ38" s="7">
        <f>AJ38+CY38+CA38+CC38+CL38+CU38+I38+N38-BZ38-CB38</f>
        <v/>
      </c>
      <c r="DA38" s="7">
        <f>AH38-CZ38</f>
        <v/>
      </c>
      <c r="DB38" s="7">
        <f>IF(5=0,0,DB37)+DA38</f>
        <v/>
      </c>
      <c r="DC38" s="7">
        <f>AN38*vivienda_enganchePct+AN38*vivienda_cierrePct+general_reservaMeses/12*AJ38</f>
        <v/>
      </c>
      <c r="DD38" s="7">
        <f>IF(BB38=1,g_ret,IF(BD38&gt;0,MIN(1,DC38/BD38),1)*g_cash+(1-IF(BD38&gt;0,MIN(1,DC38/BD38),1))*g_ret)</f>
        <v/>
      </c>
      <c r="DE38" s="7">
        <f>IF(DA38&gt;=0,MIN(CX38,DA38),0)</f>
        <v/>
      </c>
      <c r="DF38" s="7">
        <f>IF(DA38&gt;=0,(1-general_tasaAhorro)*(DA38-DE38),0)</f>
        <v/>
      </c>
      <c r="DG38" s="7">
        <f>IF(DA38&gt;=0,DA38-DE38-DF38,0)</f>
        <v/>
      </c>
      <c r="DH38" s="7">
        <f>MIN(personal_rothAnual,DG38)</f>
        <v/>
      </c>
      <c r="DI38" s="7">
        <f>IF(AND(DA38&gt;=0,BB38=1,BP38+BT38&gt;0),MIN(vivienda_prepagoPct*(DG38-DH38),BP38+BT38),0)</f>
        <v/>
      </c>
      <c r="DJ38" s="7">
        <f>MIN(DI38,BP38)</f>
        <v/>
      </c>
      <c r="DK38" s="7">
        <f>IF(DA38&lt;0,MIN(MAX(0,BD38),-DA38),0)</f>
        <v/>
      </c>
      <c r="DL38" s="7">
        <f>IF(DA38&lt;0,-DA38-DK38,0)</f>
        <v/>
      </c>
      <c r="DM38" s="7">
        <f>IF(5=0,0,DZ37)</f>
        <v/>
      </c>
      <c r="DN38" s="7">
        <f>IF(AND(DL38&gt;0,J38&gt;0),MIN(DL38,MIN(prestamos_topeAnualPosgrado*MIN(1,J38),MAX(0,prestamos_topeTotalPosgrado-DM38))),0)</f>
        <v/>
      </c>
      <c r="DO38" s="7">
        <f>IF(AND(DL38&gt;0,J38&gt;0),DL38-DN38,0)</f>
        <v/>
      </c>
      <c r="DP38" s="7">
        <f>IF(AND(DL38&gt;0,J38&lt;=0),DL38,0)</f>
        <v/>
      </c>
      <c r="DQ38" s="7">
        <f>IF(DA38&gt;=0,DG38-DH38-DI38,-DK38)</f>
        <v/>
      </c>
      <c r="DR38" s="7">
        <f>BD38*(1+DD38)+DQ38*(1+DD38/2)</f>
        <v/>
      </c>
      <c r="DS38" s="7">
        <f>IF(5=0,personal_retiroInicial,DS37)*(1+g_ret)+(O38+P38+DH38)*(1+g_ret/2)</f>
        <v/>
      </c>
      <c r="DT38" s="7">
        <f>IF(BB38=1,BL38*(1+g_appr),0)</f>
        <v/>
      </c>
      <c r="DU38" s="7">
        <f>BP38-DJ38</f>
        <v/>
      </c>
      <c r="DV38" s="7">
        <f>BT38-(DI38-DJ38)</f>
        <v/>
      </c>
      <c r="DW38" s="7">
        <f>CP38+DN38</f>
        <v/>
      </c>
      <c r="DX38" s="7">
        <f>IF(DN38&gt;0,(CP38*CF38+DN38*prestamos_tasaFederalPosgrado)/(CP38+DN38),CF38)</f>
        <v/>
      </c>
      <c r="DY38" s="7">
        <f>IF(DN38&gt;0,0,CQ38)</f>
        <v/>
      </c>
      <c r="DZ38" s="7">
        <f>DM38+DN38</f>
        <v/>
      </c>
      <c r="EA38" s="7">
        <f>CV38+DO38</f>
        <v/>
      </c>
      <c r="EB38" s="7">
        <f>IF(DO38&gt;0,(CV38*CS38+DO38*prestamos_tasaPrivada)/(CV38+DO38),CS38)</f>
        <v/>
      </c>
      <c r="EC38" s="7">
        <f>IF(DO38&gt;0,0,CW38)</f>
        <v/>
      </c>
      <c r="ED38" s="7">
        <f>CX38-DE38+DP38</f>
        <v/>
      </c>
      <c r="EE38" s="7">
        <f>IF(IF(5=0,"",EE37)&lt;&gt;"",EE37,IF(AND(BB38=1,DU38&lt;=0.5,DV38&lt;=0.5,OR(BH38=0,BJ38=1)),A38,""))</f>
        <v/>
      </c>
      <c r="EF38" s="7">
        <f>DU38+DV38+DW38+EA38+ED38+CD38</f>
        <v/>
      </c>
      <c r="EG38" s="7">
        <f>DR38+DS38+DT38-EF38</f>
        <v/>
      </c>
      <c r="EH38" s="7">
        <f>EG38/(1+g_inf)^(A38+1-2026)</f>
        <v/>
      </c>
    </row>
    <row r="39">
      <c r="A39" t="n">
        <v>2033</v>
      </c>
      <c r="B39" t="n">
        <v>6</v>
      </c>
      <c r="C39" s="7">
        <f>(1+g_inf)^(A39-2026)</f>
        <v/>
      </c>
      <c r="D39" s="7">
        <f>SUMPRODUCT($Z$5:$Z$29,$E$5:$E$29*(1+$F$5:$F$29)^(A39-2026)*$G$5:$G$29*$H$5:$H$29*(1-$N$5:$N$29*$O$5:$O$29))*g_salMult+SUMPRODUCT(($B$5:$B$29&gt;=A39)*($B$5:$B$29&lt;A39+1)*$I$5:$I$29)*g_salMult</f>
        <v/>
      </c>
      <c r="E39" s="7">
        <f>SUMPRODUCT($Z$5:$Z$29,$E$5:$E$29*(1+$F$5:$F$29)^(A39-2026)*$G$5:$G$29*$H$5:$H$29*$M$5:$M$29)*g_salMult</f>
        <v/>
      </c>
      <c r="F39" s="7">
        <f>SUMPRODUCT($Z$5:$Z$29,$E$5:$E$29*(1+$F$5:$F$29)^(A39-2026)*$G$5:$G$29*$H$5:$H$29*$N$5:$N$29*$O$5:$O$29)*g_salMult</f>
        <v/>
      </c>
      <c r="G39" s="7">
        <f>SUMPRODUCT($Z$5:$Z$29,$P$5:$P$29*(1+$F$5:$F$29)^(A39-2026))</f>
        <v/>
      </c>
      <c r="H39" s="7">
        <f>SUMPRODUCT($Z$5:$Z$29,$Q$5:$Q$29*(1+$F$5:$F$29)^(A39-2026))+IF(personal_llcActivo=1,personal_llcNeto*(1+personal_llcCrecimiento)^6,0)</f>
        <v/>
      </c>
      <c r="I39" s="7">
        <f>SUMPRODUCT($Z$5:$Z$29,$J$5:$J$29/($C$5:$C$29-$B$5:$B$29+($C$5:$C$29=$B$5:$B$29)))*C39</f>
        <v/>
      </c>
      <c r="J39" s="7">
        <f>SUMPRODUCT($Z$5:$Z$29,$K$5:$K$29)</f>
        <v/>
      </c>
      <c r="K39" s="7">
        <f>SUMPRODUCT($Z$5:$Z$29,$L$5:$L$29)</f>
        <v/>
      </c>
      <c r="L39" s="7">
        <f>SUMPRODUCT($Z$5:$Z$29,$N$5:$N$29)</f>
        <v/>
      </c>
      <c r="M39" s="7">
        <f>IF(SUMPRODUCT($Z$5:$Z$29,$R$5:$R$29)&gt;0,1,0)</f>
        <v/>
      </c>
      <c r="N39" s="7">
        <f>SUMPRODUCT(($AO$5:$AO$24&gt;=A39)*($AO$5:$AO$24&lt;A39+1)*$AP$5:$AP$24)*C39+IF(6=0,IF(sel_loc&lt;&gt;"miami",personal_costoMudanzaInicial,0),0)</f>
        <v/>
      </c>
      <c r="O39" s="7">
        <f>MIN(personal_aporte403bPct*D39,retiro_limite403b*C39)</f>
        <v/>
      </c>
      <c r="P39" s="7">
        <f>MIN(personal_aporte403bPct,personal_match403bPct)*E39</f>
        <v/>
      </c>
      <c r="Q39" s="7">
        <f>IF(G39&gt;0,MAX(0,G39-impuestos_scorpCostoAnual*C39),0)</f>
        <v/>
      </c>
      <c r="R39" s="7">
        <f>Q39*impuestos_scorpSalarioPct/(1+impuestos_ssTasa+impuestos_medicareTasa)</f>
        <v/>
      </c>
      <c r="S39" s="7">
        <f>impuestos_ssTasa*MIN(R39,MAX(0,impuestos_ssTope*C39-D39))+impuestos_medicareTasa*R39</f>
        <v/>
      </c>
      <c r="T39" s="7">
        <f>Q39-R39-S39</f>
        <v/>
      </c>
      <c r="U39" s="7">
        <f>D39+R39</f>
        <v/>
      </c>
      <c r="V39" s="7">
        <f>H39*0.9235</f>
        <v/>
      </c>
      <c r="W39" s="7">
        <f>IF(H39&gt;0,2*impuestos_ssTasa*MIN(V39,MAX(0,impuestos_ssTope*C39-U39))+2*impuestos_medicareTasa*V39,0)</f>
        <v/>
      </c>
      <c r="X39" s="7">
        <f>impuestos_ssTasa*MIN(U39,impuestos_ssTope*C39)+impuestos_medicareTasa*U39+impuestos_medicareAdicional*MAX(0,U39+H39*0.9235-impuestos_medicareUmbral)</f>
        <v/>
      </c>
      <c r="Y39" s="7">
        <f>MAX(0,D39-O39+R39+T39+H39-W39/2)</f>
        <v/>
      </c>
      <c r="Z39" s="7">
        <f>MAX(0,Y39-impuestos_deduccionEstandar*C39)</f>
        <v/>
      </c>
      <c r="AA39" s="7">
        <f>MIN(0.2*MAX(0,T39+H39-W39/2)*MAX(0,MIN(1,1-(Z39-impuestos_qbiUmbral*C39)/(impuestos_qbiRango*C39))),0.2*Z39)</f>
        <v/>
      </c>
      <c r="AB39" s="7">
        <f>MAX(0,Z39-AA39)</f>
        <v/>
      </c>
      <c r="AC39" s="7">
        <f>SUMPRODUCT((AB39&gt;tb_federalBrackets_lo*C39)*(AB39-tb_federalBrackets_lo*C39)*tb_federalBrackets_dr)</f>
        <v/>
      </c>
      <c r="AD39" s="7">
        <f>MAX(0,Y39-impuestos_nyDeduccion*C39)</f>
        <v/>
      </c>
      <c r="AE39" s="7">
        <f>CHOOSE(loc_taxcode,0,impuestos_ohTasa*MAX(0,Y39-impuestos_ohExento*C39)+impuestos_ohMunicipal*U39,SUMPRODUCT((AD39&gt;tb_nyBrackets_lo*C39)*(AD39-tb_nyBrackets_lo*C39)*tb_nyBrackets_dr)+loc_nyc*SUMPRODUCT((AD39&gt;tb_nycBrackets_lo*C39)*(AD39-tb_nycBrackets_lo*C39)*tb_nycBrackets_dr))</f>
        <v/>
      </c>
      <c r="AF39" s="7">
        <f>AC39+AE39+X39+W39</f>
        <v/>
      </c>
      <c r="AG39" s="7">
        <f>D39+F39+R39+T39+H39</f>
        <v/>
      </c>
      <c r="AH39" s="7">
        <f>AG39-AF39-O39</f>
        <v/>
      </c>
      <c r="AI39" s="7">
        <f>D39+F39+G39+H39</f>
        <v/>
      </c>
      <c r="AJ39" s="7">
        <f>loc_gastosVida*C39*g_gastos</f>
        <v/>
      </c>
      <c r="AK39" s="7">
        <f>IF(6=0,personal_liquidoInicial,DR38)</f>
        <v/>
      </c>
      <c r="AL39" s="7">
        <f>IF(6=0,0,BB38)</f>
        <v/>
      </c>
      <c r="AM39" s="7">
        <f>CHOOSE(sel_cfgIdx,loc_precio_duplex,loc_precio_inlaw,loc_precio_dosCasas,loc_precio_casaAdu,loc_precio_multi)</f>
        <v/>
      </c>
      <c r="AN39" s="7">
        <f>AM39*(1+g_appr)^(A39-2026)</f>
        <v/>
      </c>
      <c r="AO39" s="7">
        <f>IF(AND(M39=1,vivienda_prestamoMedico=1),1,0)</f>
        <v/>
      </c>
      <c r="AP39" s="7">
        <f>IF(AO39=1,0.05,vivienda_enganchePct)</f>
        <v/>
      </c>
      <c r="AQ39" s="7">
        <f>AN39*(1-AP39)</f>
        <v/>
      </c>
      <c r="AR39" s="7">
        <f>PMT(g_mortRate/12,vivienda_plazoHipoteca*12,-AQ39)</f>
        <v/>
      </c>
      <c r="AS39" s="7">
        <f>INDEX(cfg_units,sel_cfgIdx)</f>
        <v/>
      </c>
      <c r="AT39" s="7">
        <f>AS39*loc_rentaUnidad*(1+g_inf)^(A39-2026)*(1-vivienda_vacancia)</f>
        <v/>
      </c>
      <c r="AU39" s="7">
        <f>AR39+AN39*loc_impuestoPropPct/12+AM39*loc_seguroPct*(1+vivienda_inflacionSeguro)^(A39-2026)/12+IF(AND(AO39=0,AP39&lt;0.2),AQ39*vivienda_pmiTasa/12,0)</f>
        <v/>
      </c>
      <c r="AV39" s="7">
        <f>AN39*AP39+AN39*vivienda_cierrePct+general_reservaMeses/12*AJ39</f>
        <v/>
      </c>
      <c r="AW39" s="7">
        <f>(IF(6=0,MIN(personal_irsSaldo,personal_irsPagoMensual*12),MIN(CD38,personal_irsPagoMensual*12))+IF(CE39&gt;0,PMT(CF39,MAX(1,prestamos_plazoAnios-CG39),-CE39),0)+IF(CR39&gt;0,PMT(CS39,MAX(1,prestamos_plazoAnios-CT39),-CR39),0))/12</f>
        <v/>
      </c>
      <c r="AX39" s="7">
        <f>IF(OR(sel_cfg="duplex",sel_cfg="multi",sel_cfg="dosCasas"),0.75*personal_aporteFamiliaMensual,0)</f>
        <v/>
      </c>
      <c r="AY39" s="7">
        <f>AU39-0.75*AT39-AX39+AW39</f>
        <v/>
      </c>
      <c r="AZ39" s="7">
        <f>(D39+G39+H39+0.5*F39)/12</f>
        <v/>
      </c>
      <c r="BA39" s="7">
        <f>IF(AND(AL39=0,A39&gt;=vivienda_anioMinCompra,J39&lt;0.5,AI39&gt;0,AK39&gt;=AV39,AY39&lt;=vivienda_dtiMax*AZ39),1,0)</f>
        <v/>
      </c>
      <c r="BB39" s="7">
        <f>MAX(AL39,BA39)</f>
        <v/>
      </c>
      <c r="BC39" s="7">
        <f>IF(BA39=1,A39,IF(6=0,"",BC38))</f>
        <v/>
      </c>
      <c r="BD39" s="7">
        <f>AK39-IF(BA39=1,AN39*AP39+AN39*vivienda_cierrePct,0)</f>
        <v/>
      </c>
      <c r="BE39" s="7">
        <f>IF(BA39=1,AN39,IF(6=0,0,BE38))</f>
        <v/>
      </c>
      <c r="BF39" s="7">
        <f>IF(BA39=1,AR39,IF(6=0,0,BF38))</f>
        <v/>
      </c>
      <c r="BG39" s="7">
        <f>IF(BA39=1,IF(AND(AO39=0,AP39&lt;0.2),1,0),IF(6=0,0,BY38))</f>
        <v/>
      </c>
      <c r="BH39" s="7">
        <f>IF(sel_cfg="casaAdu",1,0)</f>
        <v/>
      </c>
      <c r="BI39" s="7">
        <f>IF(AND(BB39=1,BH39=1,IF(6=0,0,BJ38)=0,A39&gt;=IF(BC39="",9999,BC39)+vivienda_aduRetrasoAnios),1,0)</f>
        <v/>
      </c>
      <c r="BJ39" s="7">
        <f>MAX(IF(6=0,0,BJ38),BI39)</f>
        <v/>
      </c>
      <c r="BK39" s="7">
        <f>IF(BI39=1,PMT((g_mortRate+0.005)/12,180,-loc_precio_aduCosto*C39),IF(6=0,0,BK38))</f>
        <v/>
      </c>
      <c r="BL39" s="7">
        <f>IF(BA39=1,AN39,IF(6=0,0,DT38))+IF(BI39=1,loc_precio_aduCosto*C39,0)</f>
        <v/>
      </c>
      <c r="BM39" s="7">
        <f>IF(BA39=1,AQ39,IF(6=0,0,DU38))</f>
        <v/>
      </c>
      <c r="BN39" s="7">
        <f>IF(BM39&lt;=0,0,FV(g_mortRate/12,12,BF39,-BM39))</f>
        <v/>
      </c>
      <c r="BO39" s="7">
        <f>IF(BM39&lt;=0,0,12*BF39+MIN(0,BN39))</f>
        <v/>
      </c>
      <c r="BP39" s="7">
        <f>MAX(0,BN39)</f>
        <v/>
      </c>
      <c r="BQ39" s="7">
        <f>IF(BI39=1,loc_precio_aduCosto*C39,IF(6=0,0,DV38))</f>
        <v/>
      </c>
      <c r="BR39" s="7">
        <f>IF(BQ39&lt;=0,0,FV((g_mortRate+0.005)/12,12,BK39,-BQ39))</f>
        <v/>
      </c>
      <c r="BS39" s="7">
        <f>IF(BQ39&lt;=0,0,12*BK39+MIN(0,BR39))</f>
        <v/>
      </c>
      <c r="BT39" s="7">
        <f>MAX(0,BR39)</f>
        <v/>
      </c>
      <c r="BU39" s="7">
        <f>IF(BB39=1,AM39*loc_seguroPct*(1+vivienda_inflacionSeguro)^(A39-2026)*IF(BJ39=1,1+loc_precio_aduCosto/AM39,1),0)</f>
        <v/>
      </c>
      <c r="BV39" s="7">
        <f>BL39*loc_impuestoPropPct</f>
        <v/>
      </c>
      <c r="BW39" s="7">
        <f>BL39*vivienda_mantenimientoPct</f>
        <v/>
      </c>
      <c r="BX39" s="7">
        <f>IF(AND(BG39=1,BP39&gt;0.8*BE39),BE39*(1-vivienda_enganchePct)*vivienda_pmiTasa,0)</f>
        <v/>
      </c>
      <c r="BY39" s="7">
        <f>IF(AND(BG39=1,BP39&gt;0.8*BE39),1,0)</f>
        <v/>
      </c>
      <c r="BZ39" s="7">
        <f>IF(BB39=1,AS39*loc_rentaUnidad*12*C39*(1-vivienda_vacancia)*(1-vivienda_gestionPct),0)</f>
        <v/>
      </c>
      <c r="CA39" s="7">
        <f>IF(BB39=1,BO39+BS39+BU39+BV39+BW39+BX39,loc_rentaMensual*12*C39)</f>
        <v/>
      </c>
      <c r="CB39" s="7">
        <f>IF(BB39=1,personal_aporteFamiliaMensual*12,0)</f>
        <v/>
      </c>
      <c r="CC39" s="7">
        <f>MIN(IF(6=0,personal_irsSaldo,CD38),personal_irsPagoMensual*12)</f>
        <v/>
      </c>
      <c r="CD39" s="7">
        <f>IF(6=0,personal_irsSaldo,CD38)-CC39</f>
        <v/>
      </c>
      <c r="CE39" s="7">
        <f>IF(6=0,IF(personal_deudaEsFederal=1,personal_deudaEstudiantil,0),DW38)</f>
        <v/>
      </c>
      <c r="CF39" s="7">
        <f>IF(6=0,personal_tasaDeudaEstudiantil,DX38)</f>
        <v/>
      </c>
      <c r="CG39" s="7">
        <f>IF(6=0,0,DY38)</f>
        <v/>
      </c>
      <c r="CH39" s="7">
        <f>IF(J39&gt;=0.5,1,0)</f>
        <v/>
      </c>
      <c r="CI39" s="7">
        <f>IF(AND(CH39=0,prestamos_pslfActivo=1,K39&gt;=0.5,CE39&gt;0),1,0)</f>
        <v/>
      </c>
      <c r="CJ39" s="7">
        <f>CE39*CF39</f>
        <v/>
      </c>
      <c r="CK39" s="7">
        <f>MAX(prestamos_rapPagoMinimoAnual,IF(Y39&lt;10000,0,MIN(0.1,INT(Y39/10000)/100))*Y39)</f>
        <v/>
      </c>
      <c r="CL39" s="7">
        <f>IF(CE39&lt;=0,0,IF(CH39=1,0,IF(CI39=1,MIN(CE39+CJ39,CK39),PMT(CF39,MAX(1,prestamos_plazoAnios-CG39),-CE39))))</f>
        <v/>
      </c>
      <c r="CM39" s="7">
        <f>IF(CE39&lt;=0,0,IF(CH39=1,CE39+CJ39,IF(CI39=1,MAX(0,CE39-MAX(CL39-CJ39,MIN(600,CL39))),MAX(0,CE39*(1+CF39)-CL39))))</f>
        <v/>
      </c>
      <c r="CN39" s="7">
        <f>IF(6=0,0,CN38)+IF(CI39=1,12*MIN(1,K39),0)</f>
        <v/>
      </c>
      <c r="CO39" s="7">
        <f>IF(AND(CI39=1,CN39&gt;=prestamos_pslfPagos,CM39&gt;0),CM39,0)</f>
        <v/>
      </c>
      <c r="CP39" s="7">
        <f>CM39-CO39</f>
        <v/>
      </c>
      <c r="CQ39" s="7">
        <f>IF(AND(CE39&gt;0,CH39=0,CI39=0),CG39+1,CG39)</f>
        <v/>
      </c>
      <c r="CR39" s="7">
        <f>IF(6=0,IF(personal_deudaEsFederal=1,0,personal_deudaEstudiantil),EA38)</f>
        <v/>
      </c>
      <c r="CS39" s="7">
        <f>IF(6=0,IF(personal_deudaEsFederal=1,prestamos_tasaPrivada,personal_tasaDeudaEstudiantil),EB38)</f>
        <v/>
      </c>
      <c r="CT39" s="7">
        <f>IF(6=0,0,EC38)</f>
        <v/>
      </c>
      <c r="CU39" s="7">
        <f>IF(OR(CR39&lt;=0,CH39=1),0,PMT(CS39,MAX(1,prestamos_plazoAnios-CT39),-CR39))</f>
        <v/>
      </c>
      <c r="CV39" s="7">
        <f>IF(CR39&lt;=0,0,IF(CH39=1,CR39*(1+CS39),MAX(0,CR39*(1+CS39)-CU39)))</f>
        <v/>
      </c>
      <c r="CW39" s="7">
        <f>IF(AND(CR39&gt;0,CH39=0),CT39+1,CT39)</f>
        <v/>
      </c>
      <c r="CX39" s="7">
        <f>IF(6=0,0,ED38)*(1+general_tasaDeudaConsumo)</f>
        <v/>
      </c>
      <c r="CY39" s="7">
        <f>L39*12*tiempos_travelGastoExtraMes*C39</f>
        <v/>
      </c>
      <c r="CZ39" s="7">
        <f>AJ39+CY39+CA39+CC39+CL39+CU39+I39+N39-BZ39-CB39</f>
        <v/>
      </c>
      <c r="DA39" s="7">
        <f>AH39-CZ39</f>
        <v/>
      </c>
      <c r="DB39" s="7">
        <f>IF(6=0,0,DB38)+DA39</f>
        <v/>
      </c>
      <c r="DC39" s="7">
        <f>AN39*vivienda_enganchePct+AN39*vivienda_cierrePct+general_reservaMeses/12*AJ39</f>
        <v/>
      </c>
      <c r="DD39" s="7">
        <f>IF(BB39=1,g_ret,IF(BD39&gt;0,MIN(1,DC39/BD39),1)*g_cash+(1-IF(BD39&gt;0,MIN(1,DC39/BD39),1))*g_ret)</f>
        <v/>
      </c>
      <c r="DE39" s="7">
        <f>IF(DA39&gt;=0,MIN(CX39,DA39),0)</f>
        <v/>
      </c>
      <c r="DF39" s="7">
        <f>IF(DA39&gt;=0,(1-general_tasaAhorro)*(DA39-DE39),0)</f>
        <v/>
      </c>
      <c r="DG39" s="7">
        <f>IF(DA39&gt;=0,DA39-DE39-DF39,0)</f>
        <v/>
      </c>
      <c r="DH39" s="7">
        <f>MIN(personal_rothAnual,DG39)</f>
        <v/>
      </c>
      <c r="DI39" s="7">
        <f>IF(AND(DA39&gt;=0,BB39=1,BP39+BT39&gt;0),MIN(vivienda_prepagoPct*(DG39-DH39),BP39+BT39),0)</f>
        <v/>
      </c>
      <c r="DJ39" s="7">
        <f>MIN(DI39,BP39)</f>
        <v/>
      </c>
      <c r="DK39" s="7">
        <f>IF(DA39&lt;0,MIN(MAX(0,BD39),-DA39),0)</f>
        <v/>
      </c>
      <c r="DL39" s="7">
        <f>IF(DA39&lt;0,-DA39-DK39,0)</f>
        <v/>
      </c>
      <c r="DM39" s="7">
        <f>IF(6=0,0,DZ38)</f>
        <v/>
      </c>
      <c r="DN39" s="7">
        <f>IF(AND(DL39&gt;0,J39&gt;0),MIN(DL39,MIN(prestamos_topeAnualPosgrado*MIN(1,J39),MAX(0,prestamos_topeTotalPosgrado-DM39))),0)</f>
        <v/>
      </c>
      <c r="DO39" s="7">
        <f>IF(AND(DL39&gt;0,J39&gt;0),DL39-DN39,0)</f>
        <v/>
      </c>
      <c r="DP39" s="7">
        <f>IF(AND(DL39&gt;0,J39&lt;=0),DL39,0)</f>
        <v/>
      </c>
      <c r="DQ39" s="7">
        <f>IF(DA39&gt;=0,DG39-DH39-DI39,-DK39)</f>
        <v/>
      </c>
      <c r="DR39" s="7">
        <f>BD39*(1+DD39)+DQ39*(1+DD39/2)</f>
        <v/>
      </c>
      <c r="DS39" s="7">
        <f>IF(6=0,personal_retiroInicial,DS38)*(1+g_ret)+(O39+P39+DH39)*(1+g_ret/2)</f>
        <v/>
      </c>
      <c r="DT39" s="7">
        <f>IF(BB39=1,BL39*(1+g_appr),0)</f>
        <v/>
      </c>
      <c r="DU39" s="7">
        <f>BP39-DJ39</f>
        <v/>
      </c>
      <c r="DV39" s="7">
        <f>BT39-(DI39-DJ39)</f>
        <v/>
      </c>
      <c r="DW39" s="7">
        <f>CP39+DN39</f>
        <v/>
      </c>
      <c r="DX39" s="7">
        <f>IF(DN39&gt;0,(CP39*CF39+DN39*prestamos_tasaFederalPosgrado)/(CP39+DN39),CF39)</f>
        <v/>
      </c>
      <c r="DY39" s="7">
        <f>IF(DN39&gt;0,0,CQ39)</f>
        <v/>
      </c>
      <c r="DZ39" s="7">
        <f>DM39+DN39</f>
        <v/>
      </c>
      <c r="EA39" s="7">
        <f>CV39+DO39</f>
        <v/>
      </c>
      <c r="EB39" s="7">
        <f>IF(DO39&gt;0,(CV39*CS39+DO39*prestamos_tasaPrivada)/(CV39+DO39),CS39)</f>
        <v/>
      </c>
      <c r="EC39" s="7">
        <f>IF(DO39&gt;0,0,CW39)</f>
        <v/>
      </c>
      <c r="ED39" s="7">
        <f>CX39-DE39+DP39</f>
        <v/>
      </c>
      <c r="EE39" s="7">
        <f>IF(IF(6=0,"",EE38)&lt;&gt;"",EE38,IF(AND(BB39=1,DU39&lt;=0.5,DV39&lt;=0.5,OR(BH39=0,BJ39=1)),A39,""))</f>
        <v/>
      </c>
      <c r="EF39" s="7">
        <f>DU39+DV39+DW39+EA39+ED39+CD39</f>
        <v/>
      </c>
      <c r="EG39" s="7">
        <f>DR39+DS39+DT39-EF39</f>
        <v/>
      </c>
      <c r="EH39" s="7">
        <f>EG39/(1+g_inf)^(A39+1-2026)</f>
        <v/>
      </c>
    </row>
    <row r="40">
      <c r="A40" t="n">
        <v>2034</v>
      </c>
      <c r="B40" t="n">
        <v>7</v>
      </c>
      <c r="C40" s="7">
        <f>(1+g_inf)^(A40-2026)</f>
        <v/>
      </c>
      <c r="D40" s="7">
        <f>SUMPRODUCT($AA$5:$AA$29,$E$5:$E$29*(1+$F$5:$F$29)^(A40-2026)*$G$5:$G$29*$H$5:$H$29*(1-$N$5:$N$29*$O$5:$O$29))*g_salMult+SUMPRODUCT(($B$5:$B$29&gt;=A40)*($B$5:$B$29&lt;A40+1)*$I$5:$I$29)*g_salMult</f>
        <v/>
      </c>
      <c r="E40" s="7">
        <f>SUMPRODUCT($AA$5:$AA$29,$E$5:$E$29*(1+$F$5:$F$29)^(A40-2026)*$G$5:$G$29*$H$5:$H$29*$M$5:$M$29)*g_salMult</f>
        <v/>
      </c>
      <c r="F40" s="7">
        <f>SUMPRODUCT($AA$5:$AA$29,$E$5:$E$29*(1+$F$5:$F$29)^(A40-2026)*$G$5:$G$29*$H$5:$H$29*$N$5:$N$29*$O$5:$O$29)*g_salMult</f>
        <v/>
      </c>
      <c r="G40" s="7">
        <f>SUMPRODUCT($AA$5:$AA$29,$P$5:$P$29*(1+$F$5:$F$29)^(A40-2026))</f>
        <v/>
      </c>
      <c r="H40" s="7">
        <f>SUMPRODUCT($AA$5:$AA$29,$Q$5:$Q$29*(1+$F$5:$F$29)^(A40-2026))+IF(personal_llcActivo=1,personal_llcNeto*(1+personal_llcCrecimiento)^7,0)</f>
        <v/>
      </c>
      <c r="I40" s="7">
        <f>SUMPRODUCT($AA$5:$AA$29,$J$5:$J$29/($C$5:$C$29-$B$5:$B$29+($C$5:$C$29=$B$5:$B$29)))*C40</f>
        <v/>
      </c>
      <c r="J40" s="7">
        <f>SUMPRODUCT($AA$5:$AA$29,$K$5:$K$29)</f>
        <v/>
      </c>
      <c r="K40" s="7">
        <f>SUMPRODUCT($AA$5:$AA$29,$L$5:$L$29)</f>
        <v/>
      </c>
      <c r="L40" s="7">
        <f>SUMPRODUCT($AA$5:$AA$29,$N$5:$N$29)</f>
        <v/>
      </c>
      <c r="M40" s="7">
        <f>IF(SUMPRODUCT($AA$5:$AA$29,$R$5:$R$29)&gt;0,1,0)</f>
        <v/>
      </c>
      <c r="N40" s="7">
        <f>SUMPRODUCT(($AO$5:$AO$24&gt;=A40)*($AO$5:$AO$24&lt;A40+1)*$AP$5:$AP$24)*C40+IF(7=0,IF(sel_loc&lt;&gt;"miami",personal_costoMudanzaInicial,0),0)</f>
        <v/>
      </c>
      <c r="O40" s="7">
        <f>MIN(personal_aporte403bPct*D40,retiro_limite403b*C40)</f>
        <v/>
      </c>
      <c r="P40" s="7">
        <f>MIN(personal_aporte403bPct,personal_match403bPct)*E40</f>
        <v/>
      </c>
      <c r="Q40" s="7">
        <f>IF(G40&gt;0,MAX(0,G40-impuestos_scorpCostoAnual*C40),0)</f>
        <v/>
      </c>
      <c r="R40" s="7">
        <f>Q40*impuestos_scorpSalarioPct/(1+impuestos_ssTasa+impuestos_medicareTasa)</f>
        <v/>
      </c>
      <c r="S40" s="7">
        <f>impuestos_ssTasa*MIN(R40,MAX(0,impuestos_ssTope*C40-D40))+impuestos_medicareTasa*R40</f>
        <v/>
      </c>
      <c r="T40" s="7">
        <f>Q40-R40-S40</f>
        <v/>
      </c>
      <c r="U40" s="7">
        <f>D40+R40</f>
        <v/>
      </c>
      <c r="V40" s="7">
        <f>H40*0.9235</f>
        <v/>
      </c>
      <c r="W40" s="7">
        <f>IF(H40&gt;0,2*impuestos_ssTasa*MIN(V40,MAX(0,impuestos_ssTope*C40-U40))+2*impuestos_medicareTasa*V40,0)</f>
        <v/>
      </c>
      <c r="X40" s="7">
        <f>impuestos_ssTasa*MIN(U40,impuestos_ssTope*C40)+impuestos_medicareTasa*U40+impuestos_medicareAdicional*MAX(0,U40+H40*0.9235-impuestos_medicareUmbral)</f>
        <v/>
      </c>
      <c r="Y40" s="7">
        <f>MAX(0,D40-O40+R40+T40+H40-W40/2)</f>
        <v/>
      </c>
      <c r="Z40" s="7">
        <f>MAX(0,Y40-impuestos_deduccionEstandar*C40)</f>
        <v/>
      </c>
      <c r="AA40" s="7">
        <f>MIN(0.2*MAX(0,T40+H40-W40/2)*MAX(0,MIN(1,1-(Z40-impuestos_qbiUmbral*C40)/(impuestos_qbiRango*C40))),0.2*Z40)</f>
        <v/>
      </c>
      <c r="AB40" s="7">
        <f>MAX(0,Z40-AA40)</f>
        <v/>
      </c>
      <c r="AC40" s="7">
        <f>SUMPRODUCT((AB40&gt;tb_federalBrackets_lo*C40)*(AB40-tb_federalBrackets_lo*C40)*tb_federalBrackets_dr)</f>
        <v/>
      </c>
      <c r="AD40" s="7">
        <f>MAX(0,Y40-impuestos_nyDeduccion*C40)</f>
        <v/>
      </c>
      <c r="AE40" s="7">
        <f>CHOOSE(loc_taxcode,0,impuestos_ohTasa*MAX(0,Y40-impuestos_ohExento*C40)+impuestos_ohMunicipal*U40,SUMPRODUCT((AD40&gt;tb_nyBrackets_lo*C40)*(AD40-tb_nyBrackets_lo*C40)*tb_nyBrackets_dr)+loc_nyc*SUMPRODUCT((AD40&gt;tb_nycBrackets_lo*C40)*(AD40-tb_nycBrackets_lo*C40)*tb_nycBrackets_dr))</f>
        <v/>
      </c>
      <c r="AF40" s="7">
        <f>AC40+AE40+X40+W40</f>
        <v/>
      </c>
      <c r="AG40" s="7">
        <f>D40+F40+R40+T40+H40</f>
        <v/>
      </c>
      <c r="AH40" s="7">
        <f>AG40-AF40-O40</f>
        <v/>
      </c>
      <c r="AI40" s="7">
        <f>D40+F40+G40+H40</f>
        <v/>
      </c>
      <c r="AJ40" s="7">
        <f>loc_gastosVida*C40*g_gastos</f>
        <v/>
      </c>
      <c r="AK40" s="7">
        <f>IF(7=0,personal_liquidoInicial,DR39)</f>
        <v/>
      </c>
      <c r="AL40" s="7">
        <f>IF(7=0,0,BB39)</f>
        <v/>
      </c>
      <c r="AM40" s="7">
        <f>CHOOSE(sel_cfgIdx,loc_precio_duplex,loc_precio_inlaw,loc_precio_dosCasas,loc_precio_casaAdu,loc_precio_multi)</f>
        <v/>
      </c>
      <c r="AN40" s="7">
        <f>AM40*(1+g_appr)^(A40-2026)</f>
        <v/>
      </c>
      <c r="AO40" s="7">
        <f>IF(AND(M40=1,vivienda_prestamoMedico=1),1,0)</f>
        <v/>
      </c>
      <c r="AP40" s="7">
        <f>IF(AO40=1,0.05,vivienda_enganchePct)</f>
        <v/>
      </c>
      <c r="AQ40" s="7">
        <f>AN40*(1-AP40)</f>
        <v/>
      </c>
      <c r="AR40" s="7">
        <f>PMT(g_mortRate/12,vivienda_plazoHipoteca*12,-AQ40)</f>
        <v/>
      </c>
      <c r="AS40" s="7">
        <f>INDEX(cfg_units,sel_cfgIdx)</f>
        <v/>
      </c>
      <c r="AT40" s="7">
        <f>AS40*loc_rentaUnidad*(1+g_inf)^(A40-2026)*(1-vivienda_vacancia)</f>
        <v/>
      </c>
      <c r="AU40" s="7">
        <f>AR40+AN40*loc_impuestoPropPct/12+AM40*loc_seguroPct*(1+vivienda_inflacionSeguro)^(A40-2026)/12+IF(AND(AO40=0,AP40&lt;0.2),AQ40*vivienda_pmiTasa/12,0)</f>
        <v/>
      </c>
      <c r="AV40" s="7">
        <f>AN40*AP40+AN40*vivienda_cierrePct+general_reservaMeses/12*AJ40</f>
        <v/>
      </c>
      <c r="AW40" s="7">
        <f>(IF(7=0,MIN(personal_irsSaldo,personal_irsPagoMensual*12),MIN(CD39,personal_irsPagoMensual*12))+IF(CE40&gt;0,PMT(CF40,MAX(1,prestamos_plazoAnios-CG40),-CE40),0)+IF(CR40&gt;0,PMT(CS40,MAX(1,prestamos_plazoAnios-CT40),-CR40),0))/12</f>
        <v/>
      </c>
      <c r="AX40" s="7">
        <f>IF(OR(sel_cfg="duplex",sel_cfg="multi",sel_cfg="dosCasas"),0.75*personal_aporteFamiliaMensual,0)</f>
        <v/>
      </c>
      <c r="AY40" s="7">
        <f>AU40-0.75*AT40-AX40+AW40</f>
        <v/>
      </c>
      <c r="AZ40" s="7">
        <f>(D40+G40+H40+0.5*F40)/12</f>
        <v/>
      </c>
      <c r="BA40" s="7">
        <f>IF(AND(AL40=0,A40&gt;=vivienda_anioMinCompra,J40&lt;0.5,AI40&gt;0,AK40&gt;=AV40,AY40&lt;=vivienda_dtiMax*AZ40),1,0)</f>
        <v/>
      </c>
      <c r="BB40" s="7">
        <f>MAX(AL40,BA40)</f>
        <v/>
      </c>
      <c r="BC40" s="7">
        <f>IF(BA40=1,A40,IF(7=0,"",BC39))</f>
        <v/>
      </c>
      <c r="BD40" s="7">
        <f>AK40-IF(BA40=1,AN40*AP40+AN40*vivienda_cierrePct,0)</f>
        <v/>
      </c>
      <c r="BE40" s="7">
        <f>IF(BA40=1,AN40,IF(7=0,0,BE39))</f>
        <v/>
      </c>
      <c r="BF40" s="7">
        <f>IF(BA40=1,AR40,IF(7=0,0,BF39))</f>
        <v/>
      </c>
      <c r="BG40" s="7">
        <f>IF(BA40=1,IF(AND(AO40=0,AP40&lt;0.2),1,0),IF(7=0,0,BY39))</f>
        <v/>
      </c>
      <c r="BH40" s="7">
        <f>IF(sel_cfg="casaAdu",1,0)</f>
        <v/>
      </c>
      <c r="BI40" s="7">
        <f>IF(AND(BB40=1,BH40=1,IF(7=0,0,BJ39)=0,A40&gt;=IF(BC40="",9999,BC40)+vivienda_aduRetrasoAnios),1,0)</f>
        <v/>
      </c>
      <c r="BJ40" s="7">
        <f>MAX(IF(7=0,0,BJ39),BI40)</f>
        <v/>
      </c>
      <c r="BK40" s="7">
        <f>IF(BI40=1,PMT((g_mortRate+0.005)/12,180,-loc_precio_aduCosto*C40),IF(7=0,0,BK39))</f>
        <v/>
      </c>
      <c r="BL40" s="7">
        <f>IF(BA40=1,AN40,IF(7=0,0,DT39))+IF(BI40=1,loc_precio_aduCosto*C40,0)</f>
        <v/>
      </c>
      <c r="BM40" s="7">
        <f>IF(BA40=1,AQ40,IF(7=0,0,DU39))</f>
        <v/>
      </c>
      <c r="BN40" s="7">
        <f>IF(BM40&lt;=0,0,FV(g_mortRate/12,12,BF40,-BM40))</f>
        <v/>
      </c>
      <c r="BO40" s="7">
        <f>IF(BM40&lt;=0,0,12*BF40+MIN(0,BN40))</f>
        <v/>
      </c>
      <c r="BP40" s="7">
        <f>MAX(0,BN40)</f>
        <v/>
      </c>
      <c r="BQ40" s="7">
        <f>IF(BI40=1,loc_precio_aduCosto*C40,IF(7=0,0,DV39))</f>
        <v/>
      </c>
      <c r="BR40" s="7">
        <f>IF(BQ40&lt;=0,0,FV((g_mortRate+0.005)/12,12,BK40,-BQ40))</f>
        <v/>
      </c>
      <c r="BS40" s="7">
        <f>IF(BQ40&lt;=0,0,12*BK40+MIN(0,BR40))</f>
        <v/>
      </c>
      <c r="BT40" s="7">
        <f>MAX(0,BR40)</f>
        <v/>
      </c>
      <c r="BU40" s="7">
        <f>IF(BB40=1,AM40*loc_seguroPct*(1+vivienda_inflacionSeguro)^(A40-2026)*IF(BJ40=1,1+loc_precio_aduCosto/AM40,1),0)</f>
        <v/>
      </c>
      <c r="BV40" s="7">
        <f>BL40*loc_impuestoPropPct</f>
        <v/>
      </c>
      <c r="BW40" s="7">
        <f>BL40*vivienda_mantenimientoPct</f>
        <v/>
      </c>
      <c r="BX40" s="7">
        <f>IF(AND(BG40=1,BP40&gt;0.8*BE40),BE40*(1-vivienda_enganchePct)*vivienda_pmiTasa,0)</f>
        <v/>
      </c>
      <c r="BY40" s="7">
        <f>IF(AND(BG40=1,BP40&gt;0.8*BE40),1,0)</f>
        <v/>
      </c>
      <c r="BZ40" s="7">
        <f>IF(BB40=1,AS40*loc_rentaUnidad*12*C40*(1-vivienda_vacancia)*(1-vivienda_gestionPct),0)</f>
        <v/>
      </c>
      <c r="CA40" s="7">
        <f>IF(BB40=1,BO40+BS40+BU40+BV40+BW40+BX40,loc_rentaMensual*12*C40)</f>
        <v/>
      </c>
      <c r="CB40" s="7">
        <f>IF(BB40=1,personal_aporteFamiliaMensual*12,0)</f>
        <v/>
      </c>
      <c r="CC40" s="7">
        <f>MIN(IF(7=0,personal_irsSaldo,CD39),personal_irsPagoMensual*12)</f>
        <v/>
      </c>
      <c r="CD40" s="7">
        <f>IF(7=0,personal_irsSaldo,CD39)-CC40</f>
        <v/>
      </c>
      <c r="CE40" s="7">
        <f>IF(7=0,IF(personal_deudaEsFederal=1,personal_deudaEstudiantil,0),DW39)</f>
        <v/>
      </c>
      <c r="CF40" s="7">
        <f>IF(7=0,personal_tasaDeudaEstudiantil,DX39)</f>
        <v/>
      </c>
      <c r="CG40" s="7">
        <f>IF(7=0,0,DY39)</f>
        <v/>
      </c>
      <c r="CH40" s="7">
        <f>IF(J40&gt;=0.5,1,0)</f>
        <v/>
      </c>
      <c r="CI40" s="7">
        <f>IF(AND(CH40=0,prestamos_pslfActivo=1,K40&gt;=0.5,CE40&gt;0),1,0)</f>
        <v/>
      </c>
      <c r="CJ40" s="7">
        <f>CE40*CF40</f>
        <v/>
      </c>
      <c r="CK40" s="7">
        <f>MAX(prestamos_rapPagoMinimoAnual,IF(Y40&lt;10000,0,MIN(0.1,INT(Y40/10000)/100))*Y40)</f>
        <v/>
      </c>
      <c r="CL40" s="7">
        <f>IF(CE40&lt;=0,0,IF(CH40=1,0,IF(CI40=1,MIN(CE40+CJ40,CK40),PMT(CF40,MAX(1,prestamos_plazoAnios-CG40),-CE40))))</f>
        <v/>
      </c>
      <c r="CM40" s="7">
        <f>IF(CE40&lt;=0,0,IF(CH40=1,CE40+CJ40,IF(CI40=1,MAX(0,CE40-MAX(CL40-CJ40,MIN(600,CL40))),MAX(0,CE40*(1+CF40)-CL40))))</f>
        <v/>
      </c>
      <c r="CN40" s="7">
        <f>IF(7=0,0,CN39)+IF(CI40=1,12*MIN(1,K40),0)</f>
        <v/>
      </c>
      <c r="CO40" s="7">
        <f>IF(AND(CI40=1,CN40&gt;=prestamos_pslfPagos,CM40&gt;0),CM40,0)</f>
        <v/>
      </c>
      <c r="CP40" s="7">
        <f>CM40-CO40</f>
        <v/>
      </c>
      <c r="CQ40" s="7">
        <f>IF(AND(CE40&gt;0,CH40=0,CI40=0),CG40+1,CG40)</f>
        <v/>
      </c>
      <c r="CR40" s="7">
        <f>IF(7=0,IF(personal_deudaEsFederal=1,0,personal_deudaEstudiantil),EA39)</f>
        <v/>
      </c>
      <c r="CS40" s="7">
        <f>IF(7=0,IF(personal_deudaEsFederal=1,prestamos_tasaPrivada,personal_tasaDeudaEstudiantil),EB39)</f>
        <v/>
      </c>
      <c r="CT40" s="7">
        <f>IF(7=0,0,EC39)</f>
        <v/>
      </c>
      <c r="CU40" s="7">
        <f>IF(OR(CR40&lt;=0,CH40=1),0,PMT(CS40,MAX(1,prestamos_plazoAnios-CT40),-CR40))</f>
        <v/>
      </c>
      <c r="CV40" s="7">
        <f>IF(CR40&lt;=0,0,IF(CH40=1,CR40*(1+CS40),MAX(0,CR40*(1+CS40)-CU40)))</f>
        <v/>
      </c>
      <c r="CW40" s="7">
        <f>IF(AND(CR40&gt;0,CH40=0),CT40+1,CT40)</f>
        <v/>
      </c>
      <c r="CX40" s="7">
        <f>IF(7=0,0,ED39)*(1+general_tasaDeudaConsumo)</f>
        <v/>
      </c>
      <c r="CY40" s="7">
        <f>L40*12*tiempos_travelGastoExtraMes*C40</f>
        <v/>
      </c>
      <c r="CZ40" s="7">
        <f>AJ40+CY40+CA40+CC40+CL40+CU40+I40+N40-BZ40-CB40</f>
        <v/>
      </c>
      <c r="DA40" s="7">
        <f>AH40-CZ40</f>
        <v/>
      </c>
      <c r="DB40" s="7">
        <f>IF(7=0,0,DB39)+DA40</f>
        <v/>
      </c>
      <c r="DC40" s="7">
        <f>AN40*vivienda_enganchePct+AN40*vivienda_cierrePct+general_reservaMeses/12*AJ40</f>
        <v/>
      </c>
      <c r="DD40" s="7">
        <f>IF(BB40=1,g_ret,IF(BD40&gt;0,MIN(1,DC40/BD40),1)*g_cash+(1-IF(BD40&gt;0,MIN(1,DC40/BD40),1))*g_ret)</f>
        <v/>
      </c>
      <c r="DE40" s="7">
        <f>IF(DA40&gt;=0,MIN(CX40,DA40),0)</f>
        <v/>
      </c>
      <c r="DF40" s="7">
        <f>IF(DA40&gt;=0,(1-general_tasaAhorro)*(DA40-DE40),0)</f>
        <v/>
      </c>
      <c r="DG40" s="7">
        <f>IF(DA40&gt;=0,DA40-DE40-DF40,0)</f>
        <v/>
      </c>
      <c r="DH40" s="7">
        <f>MIN(personal_rothAnual,DG40)</f>
        <v/>
      </c>
      <c r="DI40" s="7">
        <f>IF(AND(DA40&gt;=0,BB40=1,BP40+BT40&gt;0),MIN(vivienda_prepagoPct*(DG40-DH40),BP40+BT40),0)</f>
        <v/>
      </c>
      <c r="DJ40" s="7">
        <f>MIN(DI40,BP40)</f>
        <v/>
      </c>
      <c r="DK40" s="7">
        <f>IF(DA40&lt;0,MIN(MAX(0,BD40),-DA40),0)</f>
        <v/>
      </c>
      <c r="DL40" s="7">
        <f>IF(DA40&lt;0,-DA40-DK40,0)</f>
        <v/>
      </c>
      <c r="DM40" s="7">
        <f>IF(7=0,0,DZ39)</f>
        <v/>
      </c>
      <c r="DN40" s="7">
        <f>IF(AND(DL40&gt;0,J40&gt;0),MIN(DL40,MIN(prestamos_topeAnualPosgrado*MIN(1,J40),MAX(0,prestamos_topeTotalPosgrado-DM40))),0)</f>
        <v/>
      </c>
      <c r="DO40" s="7">
        <f>IF(AND(DL40&gt;0,J40&gt;0),DL40-DN40,0)</f>
        <v/>
      </c>
      <c r="DP40" s="7">
        <f>IF(AND(DL40&gt;0,J40&lt;=0),DL40,0)</f>
        <v/>
      </c>
      <c r="DQ40" s="7">
        <f>IF(DA40&gt;=0,DG40-DH40-DI40,-DK40)</f>
        <v/>
      </c>
      <c r="DR40" s="7">
        <f>BD40*(1+DD40)+DQ40*(1+DD40/2)</f>
        <v/>
      </c>
      <c r="DS40" s="7">
        <f>IF(7=0,personal_retiroInicial,DS39)*(1+g_ret)+(O40+P40+DH40)*(1+g_ret/2)</f>
        <v/>
      </c>
      <c r="DT40" s="7">
        <f>IF(BB40=1,BL40*(1+g_appr),0)</f>
        <v/>
      </c>
      <c r="DU40" s="7">
        <f>BP40-DJ40</f>
        <v/>
      </c>
      <c r="DV40" s="7">
        <f>BT40-(DI40-DJ40)</f>
        <v/>
      </c>
      <c r="DW40" s="7">
        <f>CP40+DN40</f>
        <v/>
      </c>
      <c r="DX40" s="7">
        <f>IF(DN40&gt;0,(CP40*CF40+DN40*prestamos_tasaFederalPosgrado)/(CP40+DN40),CF40)</f>
        <v/>
      </c>
      <c r="DY40" s="7">
        <f>IF(DN40&gt;0,0,CQ40)</f>
        <v/>
      </c>
      <c r="DZ40" s="7">
        <f>DM40+DN40</f>
        <v/>
      </c>
      <c r="EA40" s="7">
        <f>CV40+DO40</f>
        <v/>
      </c>
      <c r="EB40" s="7">
        <f>IF(DO40&gt;0,(CV40*CS40+DO40*prestamos_tasaPrivada)/(CV40+DO40),CS40)</f>
        <v/>
      </c>
      <c r="EC40" s="7">
        <f>IF(DO40&gt;0,0,CW40)</f>
        <v/>
      </c>
      <c r="ED40" s="7">
        <f>CX40-DE40+DP40</f>
        <v/>
      </c>
      <c r="EE40" s="7">
        <f>IF(IF(7=0,"",EE39)&lt;&gt;"",EE39,IF(AND(BB40=1,DU40&lt;=0.5,DV40&lt;=0.5,OR(BH40=0,BJ40=1)),A40,""))</f>
        <v/>
      </c>
      <c r="EF40" s="7">
        <f>DU40+DV40+DW40+EA40+ED40+CD40</f>
        <v/>
      </c>
      <c r="EG40" s="7">
        <f>DR40+DS40+DT40-EF40</f>
        <v/>
      </c>
      <c r="EH40" s="7">
        <f>EG40/(1+g_inf)^(A40+1-2026)</f>
        <v/>
      </c>
    </row>
    <row r="41">
      <c r="A41" t="n">
        <v>2035</v>
      </c>
      <c r="B41" t="n">
        <v>8</v>
      </c>
      <c r="C41" s="7">
        <f>(1+g_inf)^(A41-2026)</f>
        <v/>
      </c>
      <c r="D41" s="7">
        <f>SUMPRODUCT($AB$5:$AB$29,$E$5:$E$29*(1+$F$5:$F$29)^(A41-2026)*$G$5:$G$29*$H$5:$H$29*(1-$N$5:$N$29*$O$5:$O$29))*g_salMult+SUMPRODUCT(($B$5:$B$29&gt;=A41)*($B$5:$B$29&lt;A41+1)*$I$5:$I$29)*g_salMult</f>
        <v/>
      </c>
      <c r="E41" s="7">
        <f>SUMPRODUCT($AB$5:$AB$29,$E$5:$E$29*(1+$F$5:$F$29)^(A41-2026)*$G$5:$G$29*$H$5:$H$29*$M$5:$M$29)*g_salMult</f>
        <v/>
      </c>
      <c r="F41" s="7">
        <f>SUMPRODUCT($AB$5:$AB$29,$E$5:$E$29*(1+$F$5:$F$29)^(A41-2026)*$G$5:$G$29*$H$5:$H$29*$N$5:$N$29*$O$5:$O$29)*g_salMult</f>
        <v/>
      </c>
      <c r="G41" s="7">
        <f>SUMPRODUCT($AB$5:$AB$29,$P$5:$P$29*(1+$F$5:$F$29)^(A41-2026))</f>
        <v/>
      </c>
      <c r="H41" s="7">
        <f>SUMPRODUCT($AB$5:$AB$29,$Q$5:$Q$29*(1+$F$5:$F$29)^(A41-2026))+IF(personal_llcActivo=1,personal_llcNeto*(1+personal_llcCrecimiento)^8,0)</f>
        <v/>
      </c>
      <c r="I41" s="7">
        <f>SUMPRODUCT($AB$5:$AB$29,$J$5:$J$29/($C$5:$C$29-$B$5:$B$29+($C$5:$C$29=$B$5:$B$29)))*C41</f>
        <v/>
      </c>
      <c r="J41" s="7">
        <f>SUMPRODUCT($AB$5:$AB$29,$K$5:$K$29)</f>
        <v/>
      </c>
      <c r="K41" s="7">
        <f>SUMPRODUCT($AB$5:$AB$29,$L$5:$L$29)</f>
        <v/>
      </c>
      <c r="L41" s="7">
        <f>SUMPRODUCT($AB$5:$AB$29,$N$5:$N$29)</f>
        <v/>
      </c>
      <c r="M41" s="7">
        <f>IF(SUMPRODUCT($AB$5:$AB$29,$R$5:$R$29)&gt;0,1,0)</f>
        <v/>
      </c>
      <c r="N41" s="7">
        <f>SUMPRODUCT(($AO$5:$AO$24&gt;=A41)*($AO$5:$AO$24&lt;A41+1)*$AP$5:$AP$24)*C41+IF(8=0,IF(sel_loc&lt;&gt;"miami",personal_costoMudanzaInicial,0),0)</f>
        <v/>
      </c>
      <c r="O41" s="7">
        <f>MIN(personal_aporte403bPct*D41,retiro_limite403b*C41)</f>
        <v/>
      </c>
      <c r="P41" s="7">
        <f>MIN(personal_aporte403bPct,personal_match403bPct)*E41</f>
        <v/>
      </c>
      <c r="Q41" s="7">
        <f>IF(G41&gt;0,MAX(0,G41-impuestos_scorpCostoAnual*C41),0)</f>
        <v/>
      </c>
      <c r="R41" s="7">
        <f>Q41*impuestos_scorpSalarioPct/(1+impuestos_ssTasa+impuestos_medicareTasa)</f>
        <v/>
      </c>
      <c r="S41" s="7">
        <f>impuestos_ssTasa*MIN(R41,MAX(0,impuestos_ssTope*C41-D41))+impuestos_medicareTasa*R41</f>
        <v/>
      </c>
      <c r="T41" s="7">
        <f>Q41-R41-S41</f>
        <v/>
      </c>
      <c r="U41" s="7">
        <f>D41+R41</f>
        <v/>
      </c>
      <c r="V41" s="7">
        <f>H41*0.9235</f>
        <v/>
      </c>
      <c r="W41" s="7">
        <f>IF(H41&gt;0,2*impuestos_ssTasa*MIN(V41,MAX(0,impuestos_ssTope*C41-U41))+2*impuestos_medicareTasa*V41,0)</f>
        <v/>
      </c>
      <c r="X41" s="7">
        <f>impuestos_ssTasa*MIN(U41,impuestos_ssTope*C41)+impuestos_medicareTasa*U41+impuestos_medicareAdicional*MAX(0,U41+H41*0.9235-impuestos_medicareUmbral)</f>
        <v/>
      </c>
      <c r="Y41" s="7">
        <f>MAX(0,D41-O41+R41+T41+H41-W41/2)</f>
        <v/>
      </c>
      <c r="Z41" s="7">
        <f>MAX(0,Y41-impuestos_deduccionEstandar*C41)</f>
        <v/>
      </c>
      <c r="AA41" s="7">
        <f>MIN(0.2*MAX(0,T41+H41-W41/2)*MAX(0,MIN(1,1-(Z41-impuestos_qbiUmbral*C41)/(impuestos_qbiRango*C41))),0.2*Z41)</f>
        <v/>
      </c>
      <c r="AB41" s="7">
        <f>MAX(0,Z41-AA41)</f>
        <v/>
      </c>
      <c r="AC41" s="7">
        <f>SUMPRODUCT((AB41&gt;tb_federalBrackets_lo*C41)*(AB41-tb_federalBrackets_lo*C41)*tb_federalBrackets_dr)</f>
        <v/>
      </c>
      <c r="AD41" s="7">
        <f>MAX(0,Y41-impuestos_nyDeduccion*C41)</f>
        <v/>
      </c>
      <c r="AE41" s="7">
        <f>CHOOSE(loc_taxcode,0,impuestos_ohTasa*MAX(0,Y41-impuestos_ohExento*C41)+impuestos_ohMunicipal*U41,SUMPRODUCT((AD41&gt;tb_nyBrackets_lo*C41)*(AD41-tb_nyBrackets_lo*C41)*tb_nyBrackets_dr)+loc_nyc*SUMPRODUCT((AD41&gt;tb_nycBrackets_lo*C41)*(AD41-tb_nycBrackets_lo*C41)*tb_nycBrackets_dr))</f>
        <v/>
      </c>
      <c r="AF41" s="7">
        <f>AC41+AE41+X41+W41</f>
        <v/>
      </c>
      <c r="AG41" s="7">
        <f>D41+F41+R41+T41+H41</f>
        <v/>
      </c>
      <c r="AH41" s="7">
        <f>AG41-AF41-O41</f>
        <v/>
      </c>
      <c r="AI41" s="7">
        <f>D41+F41+G41+H41</f>
        <v/>
      </c>
      <c r="AJ41" s="7">
        <f>loc_gastosVida*C41*g_gastos</f>
        <v/>
      </c>
      <c r="AK41" s="7">
        <f>IF(8=0,personal_liquidoInicial,DR40)</f>
        <v/>
      </c>
      <c r="AL41" s="7">
        <f>IF(8=0,0,BB40)</f>
        <v/>
      </c>
      <c r="AM41" s="7">
        <f>CHOOSE(sel_cfgIdx,loc_precio_duplex,loc_precio_inlaw,loc_precio_dosCasas,loc_precio_casaAdu,loc_precio_multi)</f>
        <v/>
      </c>
      <c r="AN41" s="7">
        <f>AM41*(1+g_appr)^(A41-2026)</f>
        <v/>
      </c>
      <c r="AO41" s="7">
        <f>IF(AND(M41=1,vivienda_prestamoMedico=1),1,0)</f>
        <v/>
      </c>
      <c r="AP41" s="7">
        <f>IF(AO41=1,0.05,vivienda_enganchePct)</f>
        <v/>
      </c>
      <c r="AQ41" s="7">
        <f>AN41*(1-AP41)</f>
        <v/>
      </c>
      <c r="AR41" s="7">
        <f>PMT(g_mortRate/12,vivienda_plazoHipoteca*12,-AQ41)</f>
        <v/>
      </c>
      <c r="AS41" s="7">
        <f>INDEX(cfg_units,sel_cfgIdx)</f>
        <v/>
      </c>
      <c r="AT41" s="7">
        <f>AS41*loc_rentaUnidad*(1+g_inf)^(A41-2026)*(1-vivienda_vacancia)</f>
        <v/>
      </c>
      <c r="AU41" s="7">
        <f>AR41+AN41*loc_impuestoPropPct/12+AM41*loc_seguroPct*(1+vivienda_inflacionSeguro)^(A41-2026)/12+IF(AND(AO41=0,AP41&lt;0.2),AQ41*vivienda_pmiTasa/12,0)</f>
        <v/>
      </c>
      <c r="AV41" s="7">
        <f>AN41*AP41+AN41*vivienda_cierrePct+general_reservaMeses/12*AJ41</f>
        <v/>
      </c>
      <c r="AW41" s="7">
        <f>(IF(8=0,MIN(personal_irsSaldo,personal_irsPagoMensual*12),MIN(CD40,personal_irsPagoMensual*12))+IF(CE41&gt;0,PMT(CF41,MAX(1,prestamos_plazoAnios-CG41),-CE41),0)+IF(CR41&gt;0,PMT(CS41,MAX(1,prestamos_plazoAnios-CT41),-CR41),0))/12</f>
        <v/>
      </c>
      <c r="AX41" s="7">
        <f>IF(OR(sel_cfg="duplex",sel_cfg="multi",sel_cfg="dosCasas"),0.75*personal_aporteFamiliaMensual,0)</f>
        <v/>
      </c>
      <c r="AY41" s="7">
        <f>AU41-0.75*AT41-AX41+AW41</f>
        <v/>
      </c>
      <c r="AZ41" s="7">
        <f>(D41+G41+H41+0.5*F41)/12</f>
        <v/>
      </c>
      <c r="BA41" s="7">
        <f>IF(AND(AL41=0,A41&gt;=vivienda_anioMinCompra,J41&lt;0.5,AI41&gt;0,AK41&gt;=AV41,AY41&lt;=vivienda_dtiMax*AZ41),1,0)</f>
        <v/>
      </c>
      <c r="BB41" s="7">
        <f>MAX(AL41,BA41)</f>
        <v/>
      </c>
      <c r="BC41" s="7">
        <f>IF(BA41=1,A41,IF(8=0,"",BC40))</f>
        <v/>
      </c>
      <c r="BD41" s="7">
        <f>AK41-IF(BA41=1,AN41*AP41+AN41*vivienda_cierrePct,0)</f>
        <v/>
      </c>
      <c r="BE41" s="7">
        <f>IF(BA41=1,AN41,IF(8=0,0,BE40))</f>
        <v/>
      </c>
      <c r="BF41" s="7">
        <f>IF(BA41=1,AR41,IF(8=0,0,BF40))</f>
        <v/>
      </c>
      <c r="BG41" s="7">
        <f>IF(BA41=1,IF(AND(AO41=0,AP41&lt;0.2),1,0),IF(8=0,0,BY40))</f>
        <v/>
      </c>
      <c r="BH41" s="7">
        <f>IF(sel_cfg="casaAdu",1,0)</f>
        <v/>
      </c>
      <c r="BI41" s="7">
        <f>IF(AND(BB41=1,BH41=1,IF(8=0,0,BJ40)=0,A41&gt;=IF(BC41="",9999,BC41)+vivienda_aduRetrasoAnios),1,0)</f>
        <v/>
      </c>
      <c r="BJ41" s="7">
        <f>MAX(IF(8=0,0,BJ40),BI41)</f>
        <v/>
      </c>
      <c r="BK41" s="7">
        <f>IF(BI41=1,PMT((g_mortRate+0.005)/12,180,-loc_precio_aduCosto*C41),IF(8=0,0,BK40))</f>
        <v/>
      </c>
      <c r="BL41" s="7">
        <f>IF(BA41=1,AN41,IF(8=0,0,DT40))+IF(BI41=1,loc_precio_aduCosto*C41,0)</f>
        <v/>
      </c>
      <c r="BM41" s="7">
        <f>IF(BA41=1,AQ41,IF(8=0,0,DU40))</f>
        <v/>
      </c>
      <c r="BN41" s="7">
        <f>IF(BM41&lt;=0,0,FV(g_mortRate/12,12,BF41,-BM41))</f>
        <v/>
      </c>
      <c r="BO41" s="7">
        <f>IF(BM41&lt;=0,0,12*BF41+MIN(0,BN41))</f>
        <v/>
      </c>
      <c r="BP41" s="7">
        <f>MAX(0,BN41)</f>
        <v/>
      </c>
      <c r="BQ41" s="7">
        <f>IF(BI41=1,loc_precio_aduCosto*C41,IF(8=0,0,DV40))</f>
        <v/>
      </c>
      <c r="BR41" s="7">
        <f>IF(BQ41&lt;=0,0,FV((g_mortRate+0.005)/12,12,BK41,-BQ41))</f>
        <v/>
      </c>
      <c r="BS41" s="7">
        <f>IF(BQ41&lt;=0,0,12*BK41+MIN(0,BR41))</f>
        <v/>
      </c>
      <c r="BT41" s="7">
        <f>MAX(0,BR41)</f>
        <v/>
      </c>
      <c r="BU41" s="7">
        <f>IF(BB41=1,AM41*loc_seguroPct*(1+vivienda_inflacionSeguro)^(A41-2026)*IF(BJ41=1,1+loc_precio_aduCosto/AM41,1),0)</f>
        <v/>
      </c>
      <c r="BV41" s="7">
        <f>BL41*loc_impuestoPropPct</f>
        <v/>
      </c>
      <c r="BW41" s="7">
        <f>BL41*vivienda_mantenimientoPct</f>
        <v/>
      </c>
      <c r="BX41" s="7">
        <f>IF(AND(BG41=1,BP41&gt;0.8*BE41),BE41*(1-vivienda_enganchePct)*vivienda_pmiTasa,0)</f>
        <v/>
      </c>
      <c r="BY41" s="7">
        <f>IF(AND(BG41=1,BP41&gt;0.8*BE41),1,0)</f>
        <v/>
      </c>
      <c r="BZ41" s="7">
        <f>IF(BB41=1,AS41*loc_rentaUnidad*12*C41*(1-vivienda_vacancia)*(1-vivienda_gestionPct),0)</f>
        <v/>
      </c>
      <c r="CA41" s="7">
        <f>IF(BB41=1,BO41+BS41+BU41+BV41+BW41+BX41,loc_rentaMensual*12*C41)</f>
        <v/>
      </c>
      <c r="CB41" s="7">
        <f>IF(BB41=1,personal_aporteFamiliaMensual*12,0)</f>
        <v/>
      </c>
      <c r="CC41" s="7">
        <f>MIN(IF(8=0,personal_irsSaldo,CD40),personal_irsPagoMensual*12)</f>
        <v/>
      </c>
      <c r="CD41" s="7">
        <f>IF(8=0,personal_irsSaldo,CD40)-CC41</f>
        <v/>
      </c>
      <c r="CE41" s="7">
        <f>IF(8=0,IF(personal_deudaEsFederal=1,personal_deudaEstudiantil,0),DW40)</f>
        <v/>
      </c>
      <c r="CF41" s="7">
        <f>IF(8=0,personal_tasaDeudaEstudiantil,DX40)</f>
        <v/>
      </c>
      <c r="CG41" s="7">
        <f>IF(8=0,0,DY40)</f>
        <v/>
      </c>
      <c r="CH41" s="7">
        <f>IF(J41&gt;=0.5,1,0)</f>
        <v/>
      </c>
      <c r="CI41" s="7">
        <f>IF(AND(CH41=0,prestamos_pslfActivo=1,K41&gt;=0.5,CE41&gt;0),1,0)</f>
        <v/>
      </c>
      <c r="CJ41" s="7">
        <f>CE41*CF41</f>
        <v/>
      </c>
      <c r="CK41" s="7">
        <f>MAX(prestamos_rapPagoMinimoAnual,IF(Y41&lt;10000,0,MIN(0.1,INT(Y41/10000)/100))*Y41)</f>
        <v/>
      </c>
      <c r="CL41" s="7">
        <f>IF(CE41&lt;=0,0,IF(CH41=1,0,IF(CI41=1,MIN(CE41+CJ41,CK41),PMT(CF41,MAX(1,prestamos_plazoAnios-CG41),-CE41))))</f>
        <v/>
      </c>
      <c r="CM41" s="7">
        <f>IF(CE41&lt;=0,0,IF(CH41=1,CE41+CJ41,IF(CI41=1,MAX(0,CE41-MAX(CL41-CJ41,MIN(600,CL41))),MAX(0,CE41*(1+CF41)-CL41))))</f>
        <v/>
      </c>
      <c r="CN41" s="7">
        <f>IF(8=0,0,CN40)+IF(CI41=1,12*MIN(1,K41),0)</f>
        <v/>
      </c>
      <c r="CO41" s="7">
        <f>IF(AND(CI41=1,CN41&gt;=prestamos_pslfPagos,CM41&gt;0),CM41,0)</f>
        <v/>
      </c>
      <c r="CP41" s="7">
        <f>CM41-CO41</f>
        <v/>
      </c>
      <c r="CQ41" s="7">
        <f>IF(AND(CE41&gt;0,CH41=0,CI41=0),CG41+1,CG41)</f>
        <v/>
      </c>
      <c r="CR41" s="7">
        <f>IF(8=0,IF(personal_deudaEsFederal=1,0,personal_deudaEstudiantil),EA40)</f>
        <v/>
      </c>
      <c r="CS41" s="7">
        <f>IF(8=0,IF(personal_deudaEsFederal=1,prestamos_tasaPrivada,personal_tasaDeudaEstudiantil),EB40)</f>
        <v/>
      </c>
      <c r="CT41" s="7">
        <f>IF(8=0,0,EC40)</f>
        <v/>
      </c>
      <c r="CU41" s="7">
        <f>IF(OR(CR41&lt;=0,CH41=1),0,PMT(CS41,MAX(1,prestamos_plazoAnios-CT41),-CR41))</f>
        <v/>
      </c>
      <c r="CV41" s="7">
        <f>IF(CR41&lt;=0,0,IF(CH41=1,CR41*(1+CS41),MAX(0,CR41*(1+CS41)-CU41)))</f>
        <v/>
      </c>
      <c r="CW41" s="7">
        <f>IF(AND(CR41&gt;0,CH41=0),CT41+1,CT41)</f>
        <v/>
      </c>
      <c r="CX41" s="7">
        <f>IF(8=0,0,ED40)*(1+general_tasaDeudaConsumo)</f>
        <v/>
      </c>
      <c r="CY41" s="7">
        <f>L41*12*tiempos_travelGastoExtraMes*C41</f>
        <v/>
      </c>
      <c r="CZ41" s="7">
        <f>AJ41+CY41+CA41+CC41+CL41+CU41+I41+N41-BZ41-CB41</f>
        <v/>
      </c>
      <c r="DA41" s="7">
        <f>AH41-CZ41</f>
        <v/>
      </c>
      <c r="DB41" s="7">
        <f>IF(8=0,0,DB40)+DA41</f>
        <v/>
      </c>
      <c r="DC41" s="7">
        <f>AN41*vivienda_enganchePct+AN41*vivienda_cierrePct+general_reservaMeses/12*AJ41</f>
        <v/>
      </c>
      <c r="DD41" s="7">
        <f>IF(BB41=1,g_ret,IF(BD41&gt;0,MIN(1,DC41/BD41),1)*g_cash+(1-IF(BD41&gt;0,MIN(1,DC41/BD41),1))*g_ret)</f>
        <v/>
      </c>
      <c r="DE41" s="7">
        <f>IF(DA41&gt;=0,MIN(CX41,DA41),0)</f>
        <v/>
      </c>
      <c r="DF41" s="7">
        <f>IF(DA41&gt;=0,(1-general_tasaAhorro)*(DA41-DE41),0)</f>
        <v/>
      </c>
      <c r="DG41" s="7">
        <f>IF(DA41&gt;=0,DA41-DE41-DF41,0)</f>
        <v/>
      </c>
      <c r="DH41" s="7">
        <f>MIN(personal_rothAnual,DG41)</f>
        <v/>
      </c>
      <c r="DI41" s="7">
        <f>IF(AND(DA41&gt;=0,BB41=1,BP41+BT41&gt;0),MIN(vivienda_prepagoPct*(DG41-DH41),BP41+BT41),0)</f>
        <v/>
      </c>
      <c r="DJ41" s="7">
        <f>MIN(DI41,BP41)</f>
        <v/>
      </c>
      <c r="DK41" s="7">
        <f>IF(DA41&lt;0,MIN(MAX(0,BD41),-DA41),0)</f>
        <v/>
      </c>
      <c r="DL41" s="7">
        <f>IF(DA41&lt;0,-DA41-DK41,0)</f>
        <v/>
      </c>
      <c r="DM41" s="7">
        <f>IF(8=0,0,DZ40)</f>
        <v/>
      </c>
      <c r="DN41" s="7">
        <f>IF(AND(DL41&gt;0,J41&gt;0),MIN(DL41,MIN(prestamos_topeAnualPosgrado*MIN(1,J41),MAX(0,prestamos_topeTotalPosgrado-DM41))),0)</f>
        <v/>
      </c>
      <c r="DO41" s="7">
        <f>IF(AND(DL41&gt;0,J41&gt;0),DL41-DN41,0)</f>
        <v/>
      </c>
      <c r="DP41" s="7">
        <f>IF(AND(DL41&gt;0,J41&lt;=0),DL41,0)</f>
        <v/>
      </c>
      <c r="DQ41" s="7">
        <f>IF(DA41&gt;=0,DG41-DH41-DI41,-DK41)</f>
        <v/>
      </c>
      <c r="DR41" s="7">
        <f>BD41*(1+DD41)+DQ41*(1+DD41/2)</f>
        <v/>
      </c>
      <c r="DS41" s="7">
        <f>IF(8=0,personal_retiroInicial,DS40)*(1+g_ret)+(O41+P41+DH41)*(1+g_ret/2)</f>
        <v/>
      </c>
      <c r="DT41" s="7">
        <f>IF(BB41=1,BL41*(1+g_appr),0)</f>
        <v/>
      </c>
      <c r="DU41" s="7">
        <f>BP41-DJ41</f>
        <v/>
      </c>
      <c r="DV41" s="7">
        <f>BT41-(DI41-DJ41)</f>
        <v/>
      </c>
      <c r="DW41" s="7">
        <f>CP41+DN41</f>
        <v/>
      </c>
      <c r="DX41" s="7">
        <f>IF(DN41&gt;0,(CP41*CF41+DN41*prestamos_tasaFederalPosgrado)/(CP41+DN41),CF41)</f>
        <v/>
      </c>
      <c r="DY41" s="7">
        <f>IF(DN41&gt;0,0,CQ41)</f>
        <v/>
      </c>
      <c r="DZ41" s="7">
        <f>DM41+DN41</f>
        <v/>
      </c>
      <c r="EA41" s="7">
        <f>CV41+DO41</f>
        <v/>
      </c>
      <c r="EB41" s="7">
        <f>IF(DO41&gt;0,(CV41*CS41+DO41*prestamos_tasaPrivada)/(CV41+DO41),CS41)</f>
        <v/>
      </c>
      <c r="EC41" s="7">
        <f>IF(DO41&gt;0,0,CW41)</f>
        <v/>
      </c>
      <c r="ED41" s="7">
        <f>CX41-DE41+DP41</f>
        <v/>
      </c>
      <c r="EE41" s="7">
        <f>IF(IF(8=0,"",EE40)&lt;&gt;"",EE40,IF(AND(BB41=1,DU41&lt;=0.5,DV41&lt;=0.5,OR(BH41=0,BJ41=1)),A41,""))</f>
        <v/>
      </c>
      <c r="EF41" s="7">
        <f>DU41+DV41+DW41+EA41+ED41+CD41</f>
        <v/>
      </c>
      <c r="EG41" s="7">
        <f>DR41+DS41+DT41-EF41</f>
        <v/>
      </c>
      <c r="EH41" s="7">
        <f>EG41/(1+g_inf)^(A41+1-2026)</f>
        <v/>
      </c>
    </row>
    <row r="42">
      <c r="A42" t="n">
        <v>2036</v>
      </c>
      <c r="B42" t="n">
        <v>9</v>
      </c>
      <c r="C42" s="7">
        <f>(1+g_inf)^(A42-2026)</f>
        <v/>
      </c>
      <c r="D42" s="7">
        <f>SUMPRODUCT($AC$5:$AC$29,$E$5:$E$29*(1+$F$5:$F$29)^(A42-2026)*$G$5:$G$29*$H$5:$H$29*(1-$N$5:$N$29*$O$5:$O$29))*g_salMult+SUMPRODUCT(($B$5:$B$29&gt;=A42)*($B$5:$B$29&lt;A42+1)*$I$5:$I$29)*g_salMult</f>
        <v/>
      </c>
      <c r="E42" s="7">
        <f>SUMPRODUCT($AC$5:$AC$29,$E$5:$E$29*(1+$F$5:$F$29)^(A42-2026)*$G$5:$G$29*$H$5:$H$29*$M$5:$M$29)*g_salMult</f>
        <v/>
      </c>
      <c r="F42" s="7">
        <f>SUMPRODUCT($AC$5:$AC$29,$E$5:$E$29*(1+$F$5:$F$29)^(A42-2026)*$G$5:$G$29*$H$5:$H$29*$N$5:$N$29*$O$5:$O$29)*g_salMult</f>
        <v/>
      </c>
      <c r="G42" s="7">
        <f>SUMPRODUCT($AC$5:$AC$29,$P$5:$P$29*(1+$F$5:$F$29)^(A42-2026))</f>
        <v/>
      </c>
      <c r="H42" s="7">
        <f>SUMPRODUCT($AC$5:$AC$29,$Q$5:$Q$29*(1+$F$5:$F$29)^(A42-2026))+IF(personal_llcActivo=1,personal_llcNeto*(1+personal_llcCrecimiento)^9,0)</f>
        <v/>
      </c>
      <c r="I42" s="7">
        <f>SUMPRODUCT($AC$5:$AC$29,$J$5:$J$29/($C$5:$C$29-$B$5:$B$29+($C$5:$C$29=$B$5:$B$29)))*C42</f>
        <v/>
      </c>
      <c r="J42" s="7">
        <f>SUMPRODUCT($AC$5:$AC$29,$K$5:$K$29)</f>
        <v/>
      </c>
      <c r="K42" s="7">
        <f>SUMPRODUCT($AC$5:$AC$29,$L$5:$L$29)</f>
        <v/>
      </c>
      <c r="L42" s="7">
        <f>SUMPRODUCT($AC$5:$AC$29,$N$5:$N$29)</f>
        <v/>
      </c>
      <c r="M42" s="7">
        <f>IF(SUMPRODUCT($AC$5:$AC$29,$R$5:$R$29)&gt;0,1,0)</f>
        <v/>
      </c>
      <c r="N42" s="7">
        <f>SUMPRODUCT(($AO$5:$AO$24&gt;=A42)*($AO$5:$AO$24&lt;A42+1)*$AP$5:$AP$24)*C42+IF(9=0,IF(sel_loc&lt;&gt;"miami",personal_costoMudanzaInicial,0),0)</f>
        <v/>
      </c>
      <c r="O42" s="7">
        <f>MIN(personal_aporte403bPct*D42,retiro_limite403b*C42)</f>
        <v/>
      </c>
      <c r="P42" s="7">
        <f>MIN(personal_aporte403bPct,personal_match403bPct)*E42</f>
        <v/>
      </c>
      <c r="Q42" s="7">
        <f>IF(G42&gt;0,MAX(0,G42-impuestos_scorpCostoAnual*C42),0)</f>
        <v/>
      </c>
      <c r="R42" s="7">
        <f>Q42*impuestos_scorpSalarioPct/(1+impuestos_ssTasa+impuestos_medicareTasa)</f>
        <v/>
      </c>
      <c r="S42" s="7">
        <f>impuestos_ssTasa*MIN(R42,MAX(0,impuestos_ssTope*C42-D42))+impuestos_medicareTasa*R42</f>
        <v/>
      </c>
      <c r="T42" s="7">
        <f>Q42-R42-S42</f>
        <v/>
      </c>
      <c r="U42" s="7">
        <f>D42+R42</f>
        <v/>
      </c>
      <c r="V42" s="7">
        <f>H42*0.9235</f>
        <v/>
      </c>
      <c r="W42" s="7">
        <f>IF(H42&gt;0,2*impuestos_ssTasa*MIN(V42,MAX(0,impuestos_ssTope*C42-U42))+2*impuestos_medicareTasa*V42,0)</f>
        <v/>
      </c>
      <c r="X42" s="7">
        <f>impuestos_ssTasa*MIN(U42,impuestos_ssTope*C42)+impuestos_medicareTasa*U42+impuestos_medicareAdicional*MAX(0,U42+H42*0.9235-impuestos_medicareUmbral)</f>
        <v/>
      </c>
      <c r="Y42" s="7">
        <f>MAX(0,D42-O42+R42+T42+H42-W42/2)</f>
        <v/>
      </c>
      <c r="Z42" s="7">
        <f>MAX(0,Y42-impuestos_deduccionEstandar*C42)</f>
        <v/>
      </c>
      <c r="AA42" s="7">
        <f>MIN(0.2*MAX(0,T42+H42-W42/2)*MAX(0,MIN(1,1-(Z42-impuestos_qbiUmbral*C42)/(impuestos_qbiRango*C42))),0.2*Z42)</f>
        <v/>
      </c>
      <c r="AB42" s="7">
        <f>MAX(0,Z42-AA42)</f>
        <v/>
      </c>
      <c r="AC42" s="7">
        <f>SUMPRODUCT((AB42&gt;tb_federalBrackets_lo*C42)*(AB42-tb_federalBrackets_lo*C42)*tb_federalBrackets_dr)</f>
        <v/>
      </c>
      <c r="AD42" s="7">
        <f>MAX(0,Y42-impuestos_nyDeduccion*C42)</f>
        <v/>
      </c>
      <c r="AE42" s="7">
        <f>CHOOSE(loc_taxcode,0,impuestos_ohTasa*MAX(0,Y42-impuestos_ohExento*C42)+impuestos_ohMunicipal*U42,SUMPRODUCT((AD42&gt;tb_nyBrackets_lo*C42)*(AD42-tb_nyBrackets_lo*C42)*tb_nyBrackets_dr)+loc_nyc*SUMPRODUCT((AD42&gt;tb_nycBrackets_lo*C42)*(AD42-tb_nycBrackets_lo*C42)*tb_nycBrackets_dr))</f>
        <v/>
      </c>
      <c r="AF42" s="7">
        <f>AC42+AE42+X42+W42</f>
        <v/>
      </c>
      <c r="AG42" s="7">
        <f>D42+F42+R42+T42+H42</f>
        <v/>
      </c>
      <c r="AH42" s="7">
        <f>AG42-AF42-O42</f>
        <v/>
      </c>
      <c r="AI42" s="7">
        <f>D42+F42+G42+H42</f>
        <v/>
      </c>
      <c r="AJ42" s="7">
        <f>loc_gastosVida*C42*g_gastos</f>
        <v/>
      </c>
      <c r="AK42" s="7">
        <f>IF(9=0,personal_liquidoInicial,DR41)</f>
        <v/>
      </c>
      <c r="AL42" s="7">
        <f>IF(9=0,0,BB41)</f>
        <v/>
      </c>
      <c r="AM42" s="7">
        <f>CHOOSE(sel_cfgIdx,loc_precio_duplex,loc_precio_inlaw,loc_precio_dosCasas,loc_precio_casaAdu,loc_precio_multi)</f>
        <v/>
      </c>
      <c r="AN42" s="7">
        <f>AM42*(1+g_appr)^(A42-2026)</f>
        <v/>
      </c>
      <c r="AO42" s="7">
        <f>IF(AND(M42=1,vivienda_prestamoMedico=1),1,0)</f>
        <v/>
      </c>
      <c r="AP42" s="7">
        <f>IF(AO42=1,0.05,vivienda_enganchePct)</f>
        <v/>
      </c>
      <c r="AQ42" s="7">
        <f>AN42*(1-AP42)</f>
        <v/>
      </c>
      <c r="AR42" s="7">
        <f>PMT(g_mortRate/12,vivienda_plazoHipoteca*12,-AQ42)</f>
        <v/>
      </c>
      <c r="AS42" s="7">
        <f>INDEX(cfg_units,sel_cfgIdx)</f>
        <v/>
      </c>
      <c r="AT42" s="7">
        <f>AS42*loc_rentaUnidad*(1+g_inf)^(A42-2026)*(1-vivienda_vacancia)</f>
        <v/>
      </c>
      <c r="AU42" s="7">
        <f>AR42+AN42*loc_impuestoPropPct/12+AM42*loc_seguroPct*(1+vivienda_inflacionSeguro)^(A42-2026)/12+IF(AND(AO42=0,AP42&lt;0.2),AQ42*vivienda_pmiTasa/12,0)</f>
        <v/>
      </c>
      <c r="AV42" s="7">
        <f>AN42*AP42+AN42*vivienda_cierrePct+general_reservaMeses/12*AJ42</f>
        <v/>
      </c>
      <c r="AW42" s="7">
        <f>(IF(9=0,MIN(personal_irsSaldo,personal_irsPagoMensual*12),MIN(CD41,personal_irsPagoMensual*12))+IF(CE42&gt;0,PMT(CF42,MAX(1,prestamos_plazoAnios-CG42),-CE42),0)+IF(CR42&gt;0,PMT(CS42,MAX(1,prestamos_plazoAnios-CT42),-CR42),0))/12</f>
        <v/>
      </c>
      <c r="AX42" s="7">
        <f>IF(OR(sel_cfg="duplex",sel_cfg="multi",sel_cfg="dosCasas"),0.75*personal_aporteFamiliaMensual,0)</f>
        <v/>
      </c>
      <c r="AY42" s="7">
        <f>AU42-0.75*AT42-AX42+AW42</f>
        <v/>
      </c>
      <c r="AZ42" s="7">
        <f>(D42+G42+H42+0.5*F42)/12</f>
        <v/>
      </c>
      <c r="BA42" s="7">
        <f>IF(AND(AL42=0,A42&gt;=vivienda_anioMinCompra,J42&lt;0.5,AI42&gt;0,AK42&gt;=AV42,AY42&lt;=vivienda_dtiMax*AZ42),1,0)</f>
        <v/>
      </c>
      <c r="BB42" s="7">
        <f>MAX(AL42,BA42)</f>
        <v/>
      </c>
      <c r="BC42" s="7">
        <f>IF(BA42=1,A42,IF(9=0,"",BC41))</f>
        <v/>
      </c>
      <c r="BD42" s="7">
        <f>AK42-IF(BA42=1,AN42*AP42+AN42*vivienda_cierrePct,0)</f>
        <v/>
      </c>
      <c r="BE42" s="7">
        <f>IF(BA42=1,AN42,IF(9=0,0,BE41))</f>
        <v/>
      </c>
      <c r="BF42" s="7">
        <f>IF(BA42=1,AR42,IF(9=0,0,BF41))</f>
        <v/>
      </c>
      <c r="BG42" s="7">
        <f>IF(BA42=1,IF(AND(AO42=0,AP42&lt;0.2),1,0),IF(9=0,0,BY41))</f>
        <v/>
      </c>
      <c r="BH42" s="7">
        <f>IF(sel_cfg="casaAdu",1,0)</f>
        <v/>
      </c>
      <c r="BI42" s="7">
        <f>IF(AND(BB42=1,BH42=1,IF(9=0,0,BJ41)=0,A42&gt;=IF(BC42="",9999,BC42)+vivienda_aduRetrasoAnios),1,0)</f>
        <v/>
      </c>
      <c r="BJ42" s="7">
        <f>MAX(IF(9=0,0,BJ41),BI42)</f>
        <v/>
      </c>
      <c r="BK42" s="7">
        <f>IF(BI42=1,PMT((g_mortRate+0.005)/12,180,-loc_precio_aduCosto*C42),IF(9=0,0,BK41))</f>
        <v/>
      </c>
      <c r="BL42" s="7">
        <f>IF(BA42=1,AN42,IF(9=0,0,DT41))+IF(BI42=1,loc_precio_aduCosto*C42,0)</f>
        <v/>
      </c>
      <c r="BM42" s="7">
        <f>IF(BA42=1,AQ42,IF(9=0,0,DU41))</f>
        <v/>
      </c>
      <c r="BN42" s="7">
        <f>IF(BM42&lt;=0,0,FV(g_mortRate/12,12,BF42,-BM42))</f>
        <v/>
      </c>
      <c r="BO42" s="7">
        <f>IF(BM42&lt;=0,0,12*BF42+MIN(0,BN42))</f>
        <v/>
      </c>
      <c r="BP42" s="7">
        <f>MAX(0,BN42)</f>
        <v/>
      </c>
      <c r="BQ42" s="7">
        <f>IF(BI42=1,loc_precio_aduCosto*C42,IF(9=0,0,DV41))</f>
        <v/>
      </c>
      <c r="BR42" s="7">
        <f>IF(BQ42&lt;=0,0,FV((g_mortRate+0.005)/12,12,BK42,-BQ42))</f>
        <v/>
      </c>
      <c r="BS42" s="7">
        <f>IF(BQ42&lt;=0,0,12*BK42+MIN(0,BR42))</f>
        <v/>
      </c>
      <c r="BT42" s="7">
        <f>MAX(0,BR42)</f>
        <v/>
      </c>
      <c r="BU42" s="7">
        <f>IF(BB42=1,AM42*loc_seguroPct*(1+vivienda_inflacionSeguro)^(A42-2026)*IF(BJ42=1,1+loc_precio_aduCosto/AM42,1),0)</f>
        <v/>
      </c>
      <c r="BV42" s="7">
        <f>BL42*loc_impuestoPropPct</f>
        <v/>
      </c>
      <c r="BW42" s="7">
        <f>BL42*vivienda_mantenimientoPct</f>
        <v/>
      </c>
      <c r="BX42" s="7">
        <f>IF(AND(BG42=1,BP42&gt;0.8*BE42),BE42*(1-vivienda_enganchePct)*vivienda_pmiTasa,0)</f>
        <v/>
      </c>
      <c r="BY42" s="7">
        <f>IF(AND(BG42=1,BP42&gt;0.8*BE42),1,0)</f>
        <v/>
      </c>
      <c r="BZ42" s="7">
        <f>IF(BB42=1,AS42*loc_rentaUnidad*12*C42*(1-vivienda_vacancia)*(1-vivienda_gestionPct),0)</f>
        <v/>
      </c>
      <c r="CA42" s="7">
        <f>IF(BB42=1,BO42+BS42+BU42+BV42+BW42+BX42,loc_rentaMensual*12*C42)</f>
        <v/>
      </c>
      <c r="CB42" s="7">
        <f>IF(BB42=1,personal_aporteFamiliaMensual*12,0)</f>
        <v/>
      </c>
      <c r="CC42" s="7">
        <f>MIN(IF(9=0,personal_irsSaldo,CD41),personal_irsPagoMensual*12)</f>
        <v/>
      </c>
      <c r="CD42" s="7">
        <f>IF(9=0,personal_irsSaldo,CD41)-CC42</f>
        <v/>
      </c>
      <c r="CE42" s="7">
        <f>IF(9=0,IF(personal_deudaEsFederal=1,personal_deudaEstudiantil,0),DW41)</f>
        <v/>
      </c>
      <c r="CF42" s="7">
        <f>IF(9=0,personal_tasaDeudaEstudiantil,DX41)</f>
        <v/>
      </c>
      <c r="CG42" s="7">
        <f>IF(9=0,0,DY41)</f>
        <v/>
      </c>
      <c r="CH42" s="7">
        <f>IF(J42&gt;=0.5,1,0)</f>
        <v/>
      </c>
      <c r="CI42" s="7">
        <f>IF(AND(CH42=0,prestamos_pslfActivo=1,K42&gt;=0.5,CE42&gt;0),1,0)</f>
        <v/>
      </c>
      <c r="CJ42" s="7">
        <f>CE42*CF42</f>
        <v/>
      </c>
      <c r="CK42" s="7">
        <f>MAX(prestamos_rapPagoMinimoAnual,IF(Y42&lt;10000,0,MIN(0.1,INT(Y42/10000)/100))*Y42)</f>
        <v/>
      </c>
      <c r="CL42" s="7">
        <f>IF(CE42&lt;=0,0,IF(CH42=1,0,IF(CI42=1,MIN(CE42+CJ42,CK42),PMT(CF42,MAX(1,prestamos_plazoAnios-CG42),-CE42))))</f>
        <v/>
      </c>
      <c r="CM42" s="7">
        <f>IF(CE42&lt;=0,0,IF(CH42=1,CE42+CJ42,IF(CI42=1,MAX(0,CE42-MAX(CL42-CJ42,MIN(600,CL42))),MAX(0,CE42*(1+CF42)-CL42))))</f>
        <v/>
      </c>
      <c r="CN42" s="7">
        <f>IF(9=0,0,CN41)+IF(CI42=1,12*MIN(1,K42),0)</f>
        <v/>
      </c>
      <c r="CO42" s="7">
        <f>IF(AND(CI42=1,CN42&gt;=prestamos_pslfPagos,CM42&gt;0),CM42,0)</f>
        <v/>
      </c>
      <c r="CP42" s="7">
        <f>CM42-CO42</f>
        <v/>
      </c>
      <c r="CQ42" s="7">
        <f>IF(AND(CE42&gt;0,CH42=0,CI42=0),CG42+1,CG42)</f>
        <v/>
      </c>
      <c r="CR42" s="7">
        <f>IF(9=0,IF(personal_deudaEsFederal=1,0,personal_deudaEstudiantil),EA41)</f>
        <v/>
      </c>
      <c r="CS42" s="7">
        <f>IF(9=0,IF(personal_deudaEsFederal=1,prestamos_tasaPrivada,personal_tasaDeudaEstudiantil),EB41)</f>
        <v/>
      </c>
      <c r="CT42" s="7">
        <f>IF(9=0,0,EC41)</f>
        <v/>
      </c>
      <c r="CU42" s="7">
        <f>IF(OR(CR42&lt;=0,CH42=1),0,PMT(CS42,MAX(1,prestamos_plazoAnios-CT42),-CR42))</f>
        <v/>
      </c>
      <c r="CV42" s="7">
        <f>IF(CR42&lt;=0,0,IF(CH42=1,CR42*(1+CS42),MAX(0,CR42*(1+CS42)-CU42)))</f>
        <v/>
      </c>
      <c r="CW42" s="7">
        <f>IF(AND(CR42&gt;0,CH42=0),CT42+1,CT42)</f>
        <v/>
      </c>
      <c r="CX42" s="7">
        <f>IF(9=0,0,ED41)*(1+general_tasaDeudaConsumo)</f>
        <v/>
      </c>
      <c r="CY42" s="7">
        <f>L42*12*tiempos_travelGastoExtraMes*C42</f>
        <v/>
      </c>
      <c r="CZ42" s="7">
        <f>AJ42+CY42+CA42+CC42+CL42+CU42+I42+N42-BZ42-CB42</f>
        <v/>
      </c>
      <c r="DA42" s="7">
        <f>AH42-CZ42</f>
        <v/>
      </c>
      <c r="DB42" s="7">
        <f>IF(9=0,0,DB41)+DA42</f>
        <v/>
      </c>
      <c r="DC42" s="7">
        <f>AN42*vivienda_enganchePct+AN42*vivienda_cierrePct+general_reservaMeses/12*AJ42</f>
        <v/>
      </c>
      <c r="DD42" s="7">
        <f>IF(BB42=1,g_ret,IF(BD42&gt;0,MIN(1,DC42/BD42),1)*g_cash+(1-IF(BD42&gt;0,MIN(1,DC42/BD42),1))*g_ret)</f>
        <v/>
      </c>
      <c r="DE42" s="7">
        <f>IF(DA42&gt;=0,MIN(CX42,DA42),0)</f>
        <v/>
      </c>
      <c r="DF42" s="7">
        <f>IF(DA42&gt;=0,(1-general_tasaAhorro)*(DA42-DE42),0)</f>
        <v/>
      </c>
      <c r="DG42" s="7">
        <f>IF(DA42&gt;=0,DA42-DE42-DF42,0)</f>
        <v/>
      </c>
      <c r="DH42" s="7">
        <f>MIN(personal_rothAnual,DG42)</f>
        <v/>
      </c>
      <c r="DI42" s="7">
        <f>IF(AND(DA42&gt;=0,BB42=1,BP42+BT42&gt;0),MIN(vivienda_prepagoPct*(DG42-DH42),BP42+BT42),0)</f>
        <v/>
      </c>
      <c r="DJ42" s="7">
        <f>MIN(DI42,BP42)</f>
        <v/>
      </c>
      <c r="DK42" s="7">
        <f>IF(DA42&lt;0,MIN(MAX(0,BD42),-DA42),0)</f>
        <v/>
      </c>
      <c r="DL42" s="7">
        <f>IF(DA42&lt;0,-DA42-DK42,0)</f>
        <v/>
      </c>
      <c r="DM42" s="7">
        <f>IF(9=0,0,DZ41)</f>
        <v/>
      </c>
      <c r="DN42" s="7">
        <f>IF(AND(DL42&gt;0,J42&gt;0),MIN(DL42,MIN(prestamos_topeAnualPosgrado*MIN(1,J42),MAX(0,prestamos_topeTotalPosgrado-DM42))),0)</f>
        <v/>
      </c>
      <c r="DO42" s="7">
        <f>IF(AND(DL42&gt;0,J42&gt;0),DL42-DN42,0)</f>
        <v/>
      </c>
      <c r="DP42" s="7">
        <f>IF(AND(DL42&gt;0,J42&lt;=0),DL42,0)</f>
        <v/>
      </c>
      <c r="DQ42" s="7">
        <f>IF(DA42&gt;=0,DG42-DH42-DI42,-DK42)</f>
        <v/>
      </c>
      <c r="DR42" s="7">
        <f>BD42*(1+DD42)+DQ42*(1+DD42/2)</f>
        <v/>
      </c>
      <c r="DS42" s="7">
        <f>IF(9=0,personal_retiroInicial,DS41)*(1+g_ret)+(O42+P42+DH42)*(1+g_ret/2)</f>
        <v/>
      </c>
      <c r="DT42" s="7">
        <f>IF(BB42=1,BL42*(1+g_appr),0)</f>
        <v/>
      </c>
      <c r="DU42" s="7">
        <f>BP42-DJ42</f>
        <v/>
      </c>
      <c r="DV42" s="7">
        <f>BT42-(DI42-DJ42)</f>
        <v/>
      </c>
      <c r="DW42" s="7">
        <f>CP42+DN42</f>
        <v/>
      </c>
      <c r="DX42" s="7">
        <f>IF(DN42&gt;0,(CP42*CF42+DN42*prestamos_tasaFederalPosgrado)/(CP42+DN42),CF42)</f>
        <v/>
      </c>
      <c r="DY42" s="7">
        <f>IF(DN42&gt;0,0,CQ42)</f>
        <v/>
      </c>
      <c r="DZ42" s="7">
        <f>DM42+DN42</f>
        <v/>
      </c>
      <c r="EA42" s="7">
        <f>CV42+DO42</f>
        <v/>
      </c>
      <c r="EB42" s="7">
        <f>IF(DO42&gt;0,(CV42*CS42+DO42*prestamos_tasaPrivada)/(CV42+DO42),CS42)</f>
        <v/>
      </c>
      <c r="EC42" s="7">
        <f>IF(DO42&gt;0,0,CW42)</f>
        <v/>
      </c>
      <c r="ED42" s="7">
        <f>CX42-DE42+DP42</f>
        <v/>
      </c>
      <c r="EE42" s="7">
        <f>IF(IF(9=0,"",EE41)&lt;&gt;"",EE41,IF(AND(BB42=1,DU42&lt;=0.5,DV42&lt;=0.5,OR(BH42=0,BJ42=1)),A42,""))</f>
        <v/>
      </c>
      <c r="EF42" s="7">
        <f>DU42+DV42+DW42+EA42+ED42+CD42</f>
        <v/>
      </c>
      <c r="EG42" s="7">
        <f>DR42+DS42+DT42-EF42</f>
        <v/>
      </c>
      <c r="EH42" s="7">
        <f>EG42/(1+g_inf)^(A42+1-2026)</f>
        <v/>
      </c>
    </row>
    <row r="43">
      <c r="A43" t="n">
        <v>2037</v>
      </c>
      <c r="B43" t="n">
        <v>10</v>
      </c>
      <c r="C43" s="7">
        <f>(1+g_inf)^(A43-2026)</f>
        <v/>
      </c>
      <c r="D43" s="7">
        <f>SUMPRODUCT($AD$5:$AD$29,$E$5:$E$29*(1+$F$5:$F$29)^(A43-2026)*$G$5:$G$29*$H$5:$H$29*(1-$N$5:$N$29*$O$5:$O$29))*g_salMult+SUMPRODUCT(($B$5:$B$29&gt;=A43)*($B$5:$B$29&lt;A43+1)*$I$5:$I$29)*g_salMult</f>
        <v/>
      </c>
      <c r="E43" s="7">
        <f>SUMPRODUCT($AD$5:$AD$29,$E$5:$E$29*(1+$F$5:$F$29)^(A43-2026)*$G$5:$G$29*$H$5:$H$29*$M$5:$M$29)*g_salMult</f>
        <v/>
      </c>
      <c r="F43" s="7">
        <f>SUMPRODUCT($AD$5:$AD$29,$E$5:$E$29*(1+$F$5:$F$29)^(A43-2026)*$G$5:$G$29*$H$5:$H$29*$N$5:$N$29*$O$5:$O$29)*g_salMult</f>
        <v/>
      </c>
      <c r="G43" s="7">
        <f>SUMPRODUCT($AD$5:$AD$29,$P$5:$P$29*(1+$F$5:$F$29)^(A43-2026))</f>
        <v/>
      </c>
      <c r="H43" s="7">
        <f>SUMPRODUCT($AD$5:$AD$29,$Q$5:$Q$29*(1+$F$5:$F$29)^(A43-2026))+IF(personal_llcActivo=1,personal_llcNeto*(1+personal_llcCrecimiento)^10,0)</f>
        <v/>
      </c>
      <c r="I43" s="7">
        <f>SUMPRODUCT($AD$5:$AD$29,$J$5:$J$29/($C$5:$C$29-$B$5:$B$29+($C$5:$C$29=$B$5:$B$29)))*C43</f>
        <v/>
      </c>
      <c r="J43" s="7">
        <f>SUMPRODUCT($AD$5:$AD$29,$K$5:$K$29)</f>
        <v/>
      </c>
      <c r="K43" s="7">
        <f>SUMPRODUCT($AD$5:$AD$29,$L$5:$L$29)</f>
        <v/>
      </c>
      <c r="L43" s="7">
        <f>SUMPRODUCT($AD$5:$AD$29,$N$5:$N$29)</f>
        <v/>
      </c>
      <c r="M43" s="7">
        <f>IF(SUMPRODUCT($AD$5:$AD$29,$R$5:$R$29)&gt;0,1,0)</f>
        <v/>
      </c>
      <c r="N43" s="7">
        <f>SUMPRODUCT(($AO$5:$AO$24&gt;=A43)*($AO$5:$AO$24&lt;A43+1)*$AP$5:$AP$24)*C43+IF(10=0,IF(sel_loc&lt;&gt;"miami",personal_costoMudanzaInicial,0),0)</f>
        <v/>
      </c>
      <c r="O43" s="7">
        <f>MIN(personal_aporte403bPct*D43,retiro_limite403b*C43)</f>
        <v/>
      </c>
      <c r="P43" s="7">
        <f>MIN(personal_aporte403bPct,personal_match403bPct)*E43</f>
        <v/>
      </c>
      <c r="Q43" s="7">
        <f>IF(G43&gt;0,MAX(0,G43-impuestos_scorpCostoAnual*C43),0)</f>
        <v/>
      </c>
      <c r="R43" s="7">
        <f>Q43*impuestos_scorpSalarioPct/(1+impuestos_ssTasa+impuestos_medicareTasa)</f>
        <v/>
      </c>
      <c r="S43" s="7">
        <f>impuestos_ssTasa*MIN(R43,MAX(0,impuestos_ssTope*C43-D43))+impuestos_medicareTasa*R43</f>
        <v/>
      </c>
      <c r="T43" s="7">
        <f>Q43-R43-S43</f>
        <v/>
      </c>
      <c r="U43" s="7">
        <f>D43+R43</f>
        <v/>
      </c>
      <c r="V43" s="7">
        <f>H43*0.9235</f>
        <v/>
      </c>
      <c r="W43" s="7">
        <f>IF(H43&gt;0,2*impuestos_ssTasa*MIN(V43,MAX(0,impuestos_ssTope*C43-U43))+2*impuestos_medicareTasa*V43,0)</f>
        <v/>
      </c>
      <c r="X43" s="7">
        <f>impuestos_ssTasa*MIN(U43,impuestos_ssTope*C43)+impuestos_medicareTasa*U43+impuestos_medicareAdicional*MAX(0,U43+H43*0.9235-impuestos_medicareUmbral)</f>
        <v/>
      </c>
      <c r="Y43" s="7">
        <f>MAX(0,D43-O43+R43+T43+H43-W43/2)</f>
        <v/>
      </c>
      <c r="Z43" s="7">
        <f>MAX(0,Y43-impuestos_deduccionEstandar*C43)</f>
        <v/>
      </c>
      <c r="AA43" s="7">
        <f>MIN(0.2*MAX(0,T43+H43-W43/2)*MAX(0,MIN(1,1-(Z43-impuestos_qbiUmbral*C43)/(impuestos_qbiRango*C43))),0.2*Z43)</f>
        <v/>
      </c>
      <c r="AB43" s="7">
        <f>MAX(0,Z43-AA43)</f>
        <v/>
      </c>
      <c r="AC43" s="7">
        <f>SUMPRODUCT((AB43&gt;tb_federalBrackets_lo*C43)*(AB43-tb_federalBrackets_lo*C43)*tb_federalBrackets_dr)</f>
        <v/>
      </c>
      <c r="AD43" s="7">
        <f>MAX(0,Y43-impuestos_nyDeduccion*C43)</f>
        <v/>
      </c>
      <c r="AE43" s="7">
        <f>CHOOSE(loc_taxcode,0,impuestos_ohTasa*MAX(0,Y43-impuestos_ohExento*C43)+impuestos_ohMunicipal*U43,SUMPRODUCT((AD43&gt;tb_nyBrackets_lo*C43)*(AD43-tb_nyBrackets_lo*C43)*tb_nyBrackets_dr)+loc_nyc*SUMPRODUCT((AD43&gt;tb_nycBrackets_lo*C43)*(AD43-tb_nycBrackets_lo*C43)*tb_nycBrackets_dr))</f>
        <v/>
      </c>
      <c r="AF43" s="7">
        <f>AC43+AE43+X43+W43</f>
        <v/>
      </c>
      <c r="AG43" s="7">
        <f>D43+F43+R43+T43+H43</f>
        <v/>
      </c>
      <c r="AH43" s="7">
        <f>AG43-AF43-O43</f>
        <v/>
      </c>
      <c r="AI43" s="7">
        <f>D43+F43+G43+H43</f>
        <v/>
      </c>
      <c r="AJ43" s="7">
        <f>loc_gastosVida*C43*g_gastos</f>
        <v/>
      </c>
      <c r="AK43" s="7">
        <f>IF(10=0,personal_liquidoInicial,DR42)</f>
        <v/>
      </c>
      <c r="AL43" s="7">
        <f>IF(10=0,0,BB42)</f>
        <v/>
      </c>
      <c r="AM43" s="7">
        <f>CHOOSE(sel_cfgIdx,loc_precio_duplex,loc_precio_inlaw,loc_precio_dosCasas,loc_precio_casaAdu,loc_precio_multi)</f>
        <v/>
      </c>
      <c r="AN43" s="7">
        <f>AM43*(1+g_appr)^(A43-2026)</f>
        <v/>
      </c>
      <c r="AO43" s="7">
        <f>IF(AND(M43=1,vivienda_prestamoMedico=1),1,0)</f>
        <v/>
      </c>
      <c r="AP43" s="7">
        <f>IF(AO43=1,0.05,vivienda_enganchePct)</f>
        <v/>
      </c>
      <c r="AQ43" s="7">
        <f>AN43*(1-AP43)</f>
        <v/>
      </c>
      <c r="AR43" s="7">
        <f>PMT(g_mortRate/12,vivienda_plazoHipoteca*12,-AQ43)</f>
        <v/>
      </c>
      <c r="AS43" s="7">
        <f>INDEX(cfg_units,sel_cfgIdx)</f>
        <v/>
      </c>
      <c r="AT43" s="7">
        <f>AS43*loc_rentaUnidad*(1+g_inf)^(A43-2026)*(1-vivienda_vacancia)</f>
        <v/>
      </c>
      <c r="AU43" s="7">
        <f>AR43+AN43*loc_impuestoPropPct/12+AM43*loc_seguroPct*(1+vivienda_inflacionSeguro)^(A43-2026)/12+IF(AND(AO43=0,AP43&lt;0.2),AQ43*vivienda_pmiTasa/12,0)</f>
        <v/>
      </c>
      <c r="AV43" s="7">
        <f>AN43*AP43+AN43*vivienda_cierrePct+general_reservaMeses/12*AJ43</f>
        <v/>
      </c>
      <c r="AW43" s="7">
        <f>(IF(10=0,MIN(personal_irsSaldo,personal_irsPagoMensual*12),MIN(CD42,personal_irsPagoMensual*12))+IF(CE43&gt;0,PMT(CF43,MAX(1,prestamos_plazoAnios-CG43),-CE43),0)+IF(CR43&gt;0,PMT(CS43,MAX(1,prestamos_plazoAnios-CT43),-CR43),0))/12</f>
        <v/>
      </c>
      <c r="AX43" s="7">
        <f>IF(OR(sel_cfg="duplex",sel_cfg="multi",sel_cfg="dosCasas"),0.75*personal_aporteFamiliaMensual,0)</f>
        <v/>
      </c>
      <c r="AY43" s="7">
        <f>AU43-0.75*AT43-AX43+AW43</f>
        <v/>
      </c>
      <c r="AZ43" s="7">
        <f>(D43+G43+H43+0.5*F43)/12</f>
        <v/>
      </c>
      <c r="BA43" s="7">
        <f>IF(AND(AL43=0,A43&gt;=vivienda_anioMinCompra,J43&lt;0.5,AI43&gt;0,AK43&gt;=AV43,AY43&lt;=vivienda_dtiMax*AZ43),1,0)</f>
        <v/>
      </c>
      <c r="BB43" s="7">
        <f>MAX(AL43,BA43)</f>
        <v/>
      </c>
      <c r="BC43" s="7">
        <f>IF(BA43=1,A43,IF(10=0,"",BC42))</f>
        <v/>
      </c>
      <c r="BD43" s="7">
        <f>AK43-IF(BA43=1,AN43*AP43+AN43*vivienda_cierrePct,0)</f>
        <v/>
      </c>
      <c r="BE43" s="7">
        <f>IF(BA43=1,AN43,IF(10=0,0,BE42))</f>
        <v/>
      </c>
      <c r="BF43" s="7">
        <f>IF(BA43=1,AR43,IF(10=0,0,BF42))</f>
        <v/>
      </c>
      <c r="BG43" s="7">
        <f>IF(BA43=1,IF(AND(AO43=0,AP43&lt;0.2),1,0),IF(10=0,0,BY42))</f>
        <v/>
      </c>
      <c r="BH43" s="7">
        <f>IF(sel_cfg="casaAdu",1,0)</f>
        <v/>
      </c>
      <c r="BI43" s="7">
        <f>IF(AND(BB43=1,BH43=1,IF(10=0,0,BJ42)=0,A43&gt;=IF(BC43="",9999,BC43)+vivienda_aduRetrasoAnios),1,0)</f>
        <v/>
      </c>
      <c r="BJ43" s="7">
        <f>MAX(IF(10=0,0,BJ42),BI43)</f>
        <v/>
      </c>
      <c r="BK43" s="7">
        <f>IF(BI43=1,PMT((g_mortRate+0.005)/12,180,-loc_precio_aduCosto*C43),IF(10=0,0,BK42))</f>
        <v/>
      </c>
      <c r="BL43" s="7">
        <f>IF(BA43=1,AN43,IF(10=0,0,DT42))+IF(BI43=1,loc_precio_aduCosto*C43,0)</f>
        <v/>
      </c>
      <c r="BM43" s="7">
        <f>IF(BA43=1,AQ43,IF(10=0,0,DU42))</f>
        <v/>
      </c>
      <c r="BN43" s="7">
        <f>IF(BM43&lt;=0,0,FV(g_mortRate/12,12,BF43,-BM43))</f>
        <v/>
      </c>
      <c r="BO43" s="7">
        <f>IF(BM43&lt;=0,0,12*BF43+MIN(0,BN43))</f>
        <v/>
      </c>
      <c r="BP43" s="7">
        <f>MAX(0,BN43)</f>
        <v/>
      </c>
      <c r="BQ43" s="7">
        <f>IF(BI43=1,loc_precio_aduCosto*C43,IF(10=0,0,DV42))</f>
        <v/>
      </c>
      <c r="BR43" s="7">
        <f>IF(BQ43&lt;=0,0,FV((g_mortRate+0.005)/12,12,BK43,-BQ43))</f>
        <v/>
      </c>
      <c r="BS43" s="7">
        <f>IF(BQ43&lt;=0,0,12*BK43+MIN(0,BR43))</f>
        <v/>
      </c>
      <c r="BT43" s="7">
        <f>MAX(0,BR43)</f>
        <v/>
      </c>
      <c r="BU43" s="7">
        <f>IF(BB43=1,AM43*loc_seguroPct*(1+vivienda_inflacionSeguro)^(A43-2026)*IF(BJ43=1,1+loc_precio_aduCosto/AM43,1),0)</f>
        <v/>
      </c>
      <c r="BV43" s="7">
        <f>BL43*loc_impuestoPropPct</f>
        <v/>
      </c>
      <c r="BW43" s="7">
        <f>BL43*vivienda_mantenimientoPct</f>
        <v/>
      </c>
      <c r="BX43" s="7">
        <f>IF(AND(BG43=1,BP43&gt;0.8*BE43),BE43*(1-vivienda_enganchePct)*vivienda_pmiTasa,0)</f>
        <v/>
      </c>
      <c r="BY43" s="7">
        <f>IF(AND(BG43=1,BP43&gt;0.8*BE43),1,0)</f>
        <v/>
      </c>
      <c r="BZ43" s="7">
        <f>IF(BB43=1,AS43*loc_rentaUnidad*12*C43*(1-vivienda_vacancia)*(1-vivienda_gestionPct),0)</f>
        <v/>
      </c>
      <c r="CA43" s="7">
        <f>IF(BB43=1,BO43+BS43+BU43+BV43+BW43+BX43,loc_rentaMensual*12*C43)</f>
        <v/>
      </c>
      <c r="CB43" s="7">
        <f>IF(BB43=1,personal_aporteFamiliaMensual*12,0)</f>
        <v/>
      </c>
      <c r="CC43" s="7">
        <f>MIN(IF(10=0,personal_irsSaldo,CD42),personal_irsPagoMensual*12)</f>
        <v/>
      </c>
      <c r="CD43" s="7">
        <f>IF(10=0,personal_irsSaldo,CD42)-CC43</f>
        <v/>
      </c>
      <c r="CE43" s="7">
        <f>IF(10=0,IF(personal_deudaEsFederal=1,personal_deudaEstudiantil,0),DW42)</f>
        <v/>
      </c>
      <c r="CF43" s="7">
        <f>IF(10=0,personal_tasaDeudaEstudiantil,DX42)</f>
        <v/>
      </c>
      <c r="CG43" s="7">
        <f>IF(10=0,0,DY42)</f>
        <v/>
      </c>
      <c r="CH43" s="7">
        <f>IF(J43&gt;=0.5,1,0)</f>
        <v/>
      </c>
      <c r="CI43" s="7">
        <f>IF(AND(CH43=0,prestamos_pslfActivo=1,K43&gt;=0.5,CE43&gt;0),1,0)</f>
        <v/>
      </c>
      <c r="CJ43" s="7">
        <f>CE43*CF43</f>
        <v/>
      </c>
      <c r="CK43" s="7">
        <f>MAX(prestamos_rapPagoMinimoAnual,IF(Y43&lt;10000,0,MIN(0.1,INT(Y43/10000)/100))*Y43)</f>
        <v/>
      </c>
      <c r="CL43" s="7">
        <f>IF(CE43&lt;=0,0,IF(CH43=1,0,IF(CI43=1,MIN(CE43+CJ43,CK43),PMT(CF43,MAX(1,prestamos_plazoAnios-CG43),-CE43))))</f>
        <v/>
      </c>
      <c r="CM43" s="7">
        <f>IF(CE43&lt;=0,0,IF(CH43=1,CE43+CJ43,IF(CI43=1,MAX(0,CE43-MAX(CL43-CJ43,MIN(600,CL43))),MAX(0,CE43*(1+CF43)-CL43))))</f>
        <v/>
      </c>
      <c r="CN43" s="7">
        <f>IF(10=0,0,CN42)+IF(CI43=1,12*MIN(1,K43),0)</f>
        <v/>
      </c>
      <c r="CO43" s="7">
        <f>IF(AND(CI43=1,CN43&gt;=prestamos_pslfPagos,CM43&gt;0),CM43,0)</f>
        <v/>
      </c>
      <c r="CP43" s="7">
        <f>CM43-CO43</f>
        <v/>
      </c>
      <c r="CQ43" s="7">
        <f>IF(AND(CE43&gt;0,CH43=0,CI43=0),CG43+1,CG43)</f>
        <v/>
      </c>
      <c r="CR43" s="7">
        <f>IF(10=0,IF(personal_deudaEsFederal=1,0,personal_deudaEstudiantil),EA42)</f>
        <v/>
      </c>
      <c r="CS43" s="7">
        <f>IF(10=0,IF(personal_deudaEsFederal=1,prestamos_tasaPrivada,personal_tasaDeudaEstudiantil),EB42)</f>
        <v/>
      </c>
      <c r="CT43" s="7">
        <f>IF(10=0,0,EC42)</f>
        <v/>
      </c>
      <c r="CU43" s="7">
        <f>IF(OR(CR43&lt;=0,CH43=1),0,PMT(CS43,MAX(1,prestamos_plazoAnios-CT43),-CR43))</f>
        <v/>
      </c>
      <c r="CV43" s="7">
        <f>IF(CR43&lt;=0,0,IF(CH43=1,CR43*(1+CS43),MAX(0,CR43*(1+CS43)-CU43)))</f>
        <v/>
      </c>
      <c r="CW43" s="7">
        <f>IF(AND(CR43&gt;0,CH43=0),CT43+1,CT43)</f>
        <v/>
      </c>
      <c r="CX43" s="7">
        <f>IF(10=0,0,ED42)*(1+general_tasaDeudaConsumo)</f>
        <v/>
      </c>
      <c r="CY43" s="7">
        <f>L43*12*tiempos_travelGastoExtraMes*C43</f>
        <v/>
      </c>
      <c r="CZ43" s="7">
        <f>AJ43+CY43+CA43+CC43+CL43+CU43+I43+N43-BZ43-CB43</f>
        <v/>
      </c>
      <c r="DA43" s="7">
        <f>AH43-CZ43</f>
        <v/>
      </c>
      <c r="DB43" s="7">
        <f>IF(10=0,0,DB42)+DA43</f>
        <v/>
      </c>
      <c r="DC43" s="7">
        <f>AN43*vivienda_enganchePct+AN43*vivienda_cierrePct+general_reservaMeses/12*AJ43</f>
        <v/>
      </c>
      <c r="DD43" s="7">
        <f>IF(BB43=1,g_ret,IF(BD43&gt;0,MIN(1,DC43/BD43),1)*g_cash+(1-IF(BD43&gt;0,MIN(1,DC43/BD43),1))*g_ret)</f>
        <v/>
      </c>
      <c r="DE43" s="7">
        <f>IF(DA43&gt;=0,MIN(CX43,DA43),0)</f>
        <v/>
      </c>
      <c r="DF43" s="7">
        <f>IF(DA43&gt;=0,(1-general_tasaAhorro)*(DA43-DE43),0)</f>
        <v/>
      </c>
      <c r="DG43" s="7">
        <f>IF(DA43&gt;=0,DA43-DE43-DF43,0)</f>
        <v/>
      </c>
      <c r="DH43" s="7">
        <f>MIN(personal_rothAnual,DG43)</f>
        <v/>
      </c>
      <c r="DI43" s="7">
        <f>IF(AND(DA43&gt;=0,BB43=1,BP43+BT43&gt;0),MIN(vivienda_prepagoPct*(DG43-DH43),BP43+BT43),0)</f>
        <v/>
      </c>
      <c r="DJ43" s="7">
        <f>MIN(DI43,BP43)</f>
        <v/>
      </c>
      <c r="DK43" s="7">
        <f>IF(DA43&lt;0,MIN(MAX(0,BD43),-DA43),0)</f>
        <v/>
      </c>
      <c r="DL43" s="7">
        <f>IF(DA43&lt;0,-DA43-DK43,0)</f>
        <v/>
      </c>
      <c r="DM43" s="7">
        <f>IF(10=0,0,DZ42)</f>
        <v/>
      </c>
      <c r="DN43" s="7">
        <f>IF(AND(DL43&gt;0,J43&gt;0),MIN(DL43,MIN(prestamos_topeAnualPosgrado*MIN(1,J43),MAX(0,prestamos_topeTotalPosgrado-DM43))),0)</f>
        <v/>
      </c>
      <c r="DO43" s="7">
        <f>IF(AND(DL43&gt;0,J43&gt;0),DL43-DN43,0)</f>
        <v/>
      </c>
      <c r="DP43" s="7">
        <f>IF(AND(DL43&gt;0,J43&lt;=0),DL43,0)</f>
        <v/>
      </c>
      <c r="DQ43" s="7">
        <f>IF(DA43&gt;=0,DG43-DH43-DI43,-DK43)</f>
        <v/>
      </c>
      <c r="DR43" s="7">
        <f>BD43*(1+DD43)+DQ43*(1+DD43/2)</f>
        <v/>
      </c>
      <c r="DS43" s="7">
        <f>IF(10=0,personal_retiroInicial,DS42)*(1+g_ret)+(O43+P43+DH43)*(1+g_ret/2)</f>
        <v/>
      </c>
      <c r="DT43" s="7">
        <f>IF(BB43=1,BL43*(1+g_appr),0)</f>
        <v/>
      </c>
      <c r="DU43" s="7">
        <f>BP43-DJ43</f>
        <v/>
      </c>
      <c r="DV43" s="7">
        <f>BT43-(DI43-DJ43)</f>
        <v/>
      </c>
      <c r="DW43" s="7">
        <f>CP43+DN43</f>
        <v/>
      </c>
      <c r="DX43" s="7">
        <f>IF(DN43&gt;0,(CP43*CF43+DN43*prestamos_tasaFederalPosgrado)/(CP43+DN43),CF43)</f>
        <v/>
      </c>
      <c r="DY43" s="7">
        <f>IF(DN43&gt;0,0,CQ43)</f>
        <v/>
      </c>
      <c r="DZ43" s="7">
        <f>DM43+DN43</f>
        <v/>
      </c>
      <c r="EA43" s="7">
        <f>CV43+DO43</f>
        <v/>
      </c>
      <c r="EB43" s="7">
        <f>IF(DO43&gt;0,(CV43*CS43+DO43*prestamos_tasaPrivada)/(CV43+DO43),CS43)</f>
        <v/>
      </c>
      <c r="EC43" s="7">
        <f>IF(DO43&gt;0,0,CW43)</f>
        <v/>
      </c>
      <c r="ED43" s="7">
        <f>CX43-DE43+DP43</f>
        <v/>
      </c>
      <c r="EE43" s="7">
        <f>IF(IF(10=0,"",EE42)&lt;&gt;"",EE42,IF(AND(BB43=1,DU43&lt;=0.5,DV43&lt;=0.5,OR(BH43=0,BJ43=1)),A43,""))</f>
        <v/>
      </c>
      <c r="EF43" s="7">
        <f>DU43+DV43+DW43+EA43+ED43+CD43</f>
        <v/>
      </c>
      <c r="EG43" s="7">
        <f>DR43+DS43+DT43-EF43</f>
        <v/>
      </c>
      <c r="EH43" s="7">
        <f>EG43/(1+g_inf)^(A43+1-2026)</f>
        <v/>
      </c>
    </row>
    <row r="44">
      <c r="A44" t="n">
        <v>2038</v>
      </c>
      <c r="B44" t="n">
        <v>11</v>
      </c>
      <c r="C44" s="7">
        <f>(1+g_inf)^(A44-2026)</f>
        <v/>
      </c>
      <c r="D44" s="7">
        <f>SUMPRODUCT($AE$5:$AE$29,$E$5:$E$29*(1+$F$5:$F$29)^(A44-2026)*$G$5:$G$29*$H$5:$H$29*(1-$N$5:$N$29*$O$5:$O$29))*g_salMult+SUMPRODUCT(($B$5:$B$29&gt;=A44)*($B$5:$B$29&lt;A44+1)*$I$5:$I$29)*g_salMult</f>
        <v/>
      </c>
      <c r="E44" s="7">
        <f>SUMPRODUCT($AE$5:$AE$29,$E$5:$E$29*(1+$F$5:$F$29)^(A44-2026)*$G$5:$G$29*$H$5:$H$29*$M$5:$M$29)*g_salMult</f>
        <v/>
      </c>
      <c r="F44" s="7">
        <f>SUMPRODUCT($AE$5:$AE$29,$E$5:$E$29*(1+$F$5:$F$29)^(A44-2026)*$G$5:$G$29*$H$5:$H$29*$N$5:$N$29*$O$5:$O$29)*g_salMult</f>
        <v/>
      </c>
      <c r="G44" s="7">
        <f>SUMPRODUCT($AE$5:$AE$29,$P$5:$P$29*(1+$F$5:$F$29)^(A44-2026))</f>
        <v/>
      </c>
      <c r="H44" s="7">
        <f>SUMPRODUCT($AE$5:$AE$29,$Q$5:$Q$29*(1+$F$5:$F$29)^(A44-2026))+IF(personal_llcActivo=1,personal_llcNeto*(1+personal_llcCrecimiento)^11,0)</f>
        <v/>
      </c>
      <c r="I44" s="7">
        <f>SUMPRODUCT($AE$5:$AE$29,$J$5:$J$29/($C$5:$C$29-$B$5:$B$29+($C$5:$C$29=$B$5:$B$29)))*C44</f>
        <v/>
      </c>
      <c r="J44" s="7">
        <f>SUMPRODUCT($AE$5:$AE$29,$K$5:$K$29)</f>
        <v/>
      </c>
      <c r="K44" s="7">
        <f>SUMPRODUCT($AE$5:$AE$29,$L$5:$L$29)</f>
        <v/>
      </c>
      <c r="L44" s="7">
        <f>SUMPRODUCT($AE$5:$AE$29,$N$5:$N$29)</f>
        <v/>
      </c>
      <c r="M44" s="7">
        <f>IF(SUMPRODUCT($AE$5:$AE$29,$R$5:$R$29)&gt;0,1,0)</f>
        <v/>
      </c>
      <c r="N44" s="7">
        <f>SUMPRODUCT(($AO$5:$AO$24&gt;=A44)*($AO$5:$AO$24&lt;A44+1)*$AP$5:$AP$24)*C44+IF(11=0,IF(sel_loc&lt;&gt;"miami",personal_costoMudanzaInicial,0),0)</f>
        <v/>
      </c>
      <c r="O44" s="7">
        <f>MIN(personal_aporte403bPct*D44,retiro_limite403b*C44)</f>
        <v/>
      </c>
      <c r="P44" s="7">
        <f>MIN(personal_aporte403bPct,personal_match403bPct)*E44</f>
        <v/>
      </c>
      <c r="Q44" s="7">
        <f>IF(G44&gt;0,MAX(0,G44-impuestos_scorpCostoAnual*C44),0)</f>
        <v/>
      </c>
      <c r="R44" s="7">
        <f>Q44*impuestos_scorpSalarioPct/(1+impuestos_ssTasa+impuestos_medicareTasa)</f>
        <v/>
      </c>
      <c r="S44" s="7">
        <f>impuestos_ssTasa*MIN(R44,MAX(0,impuestos_ssTope*C44-D44))+impuestos_medicareTasa*R44</f>
        <v/>
      </c>
      <c r="T44" s="7">
        <f>Q44-R44-S44</f>
        <v/>
      </c>
      <c r="U44" s="7">
        <f>D44+R44</f>
        <v/>
      </c>
      <c r="V44" s="7">
        <f>H44*0.9235</f>
        <v/>
      </c>
      <c r="W44" s="7">
        <f>IF(H44&gt;0,2*impuestos_ssTasa*MIN(V44,MAX(0,impuestos_ssTope*C44-U44))+2*impuestos_medicareTasa*V44,0)</f>
        <v/>
      </c>
      <c r="X44" s="7">
        <f>impuestos_ssTasa*MIN(U44,impuestos_ssTope*C44)+impuestos_medicareTasa*U44+impuestos_medicareAdicional*MAX(0,U44+H44*0.9235-impuestos_medicareUmbral)</f>
        <v/>
      </c>
      <c r="Y44" s="7">
        <f>MAX(0,D44-O44+R44+T44+H44-W44/2)</f>
        <v/>
      </c>
      <c r="Z44" s="7">
        <f>MAX(0,Y44-impuestos_deduccionEstandar*C44)</f>
        <v/>
      </c>
      <c r="AA44" s="7">
        <f>MIN(0.2*MAX(0,T44+H44-W44/2)*MAX(0,MIN(1,1-(Z44-impuestos_qbiUmbral*C44)/(impuestos_qbiRango*C44))),0.2*Z44)</f>
        <v/>
      </c>
      <c r="AB44" s="7">
        <f>MAX(0,Z44-AA44)</f>
        <v/>
      </c>
      <c r="AC44" s="7">
        <f>SUMPRODUCT((AB44&gt;tb_federalBrackets_lo*C44)*(AB44-tb_federalBrackets_lo*C44)*tb_federalBrackets_dr)</f>
        <v/>
      </c>
      <c r="AD44" s="7">
        <f>MAX(0,Y44-impuestos_nyDeduccion*C44)</f>
        <v/>
      </c>
      <c r="AE44" s="7">
        <f>CHOOSE(loc_taxcode,0,impuestos_ohTasa*MAX(0,Y44-impuestos_ohExento*C44)+impuestos_ohMunicipal*U44,SUMPRODUCT((AD44&gt;tb_nyBrackets_lo*C44)*(AD44-tb_nyBrackets_lo*C44)*tb_nyBrackets_dr)+loc_nyc*SUMPRODUCT((AD44&gt;tb_nycBrackets_lo*C44)*(AD44-tb_nycBrackets_lo*C44)*tb_nycBrackets_dr))</f>
        <v/>
      </c>
      <c r="AF44" s="7">
        <f>AC44+AE44+X44+W44</f>
        <v/>
      </c>
      <c r="AG44" s="7">
        <f>D44+F44+R44+T44+H44</f>
        <v/>
      </c>
      <c r="AH44" s="7">
        <f>AG44-AF44-O44</f>
        <v/>
      </c>
      <c r="AI44" s="7">
        <f>D44+F44+G44+H44</f>
        <v/>
      </c>
      <c r="AJ44" s="7">
        <f>loc_gastosVida*C44*g_gastos</f>
        <v/>
      </c>
      <c r="AK44" s="7">
        <f>IF(11=0,personal_liquidoInicial,DR43)</f>
        <v/>
      </c>
      <c r="AL44" s="7">
        <f>IF(11=0,0,BB43)</f>
        <v/>
      </c>
      <c r="AM44" s="7">
        <f>CHOOSE(sel_cfgIdx,loc_precio_duplex,loc_precio_inlaw,loc_precio_dosCasas,loc_precio_casaAdu,loc_precio_multi)</f>
        <v/>
      </c>
      <c r="AN44" s="7">
        <f>AM44*(1+g_appr)^(A44-2026)</f>
        <v/>
      </c>
      <c r="AO44" s="7">
        <f>IF(AND(M44=1,vivienda_prestamoMedico=1),1,0)</f>
        <v/>
      </c>
      <c r="AP44" s="7">
        <f>IF(AO44=1,0.05,vivienda_enganchePct)</f>
        <v/>
      </c>
      <c r="AQ44" s="7">
        <f>AN44*(1-AP44)</f>
        <v/>
      </c>
      <c r="AR44" s="7">
        <f>PMT(g_mortRate/12,vivienda_plazoHipoteca*12,-AQ44)</f>
        <v/>
      </c>
      <c r="AS44" s="7">
        <f>INDEX(cfg_units,sel_cfgIdx)</f>
        <v/>
      </c>
      <c r="AT44" s="7">
        <f>AS44*loc_rentaUnidad*(1+g_inf)^(A44-2026)*(1-vivienda_vacancia)</f>
        <v/>
      </c>
      <c r="AU44" s="7">
        <f>AR44+AN44*loc_impuestoPropPct/12+AM44*loc_seguroPct*(1+vivienda_inflacionSeguro)^(A44-2026)/12+IF(AND(AO44=0,AP44&lt;0.2),AQ44*vivienda_pmiTasa/12,0)</f>
        <v/>
      </c>
      <c r="AV44" s="7">
        <f>AN44*AP44+AN44*vivienda_cierrePct+general_reservaMeses/12*AJ44</f>
        <v/>
      </c>
      <c r="AW44" s="7">
        <f>(IF(11=0,MIN(personal_irsSaldo,personal_irsPagoMensual*12),MIN(CD43,personal_irsPagoMensual*12))+IF(CE44&gt;0,PMT(CF44,MAX(1,prestamos_plazoAnios-CG44),-CE44),0)+IF(CR44&gt;0,PMT(CS44,MAX(1,prestamos_plazoAnios-CT44),-CR44),0))/12</f>
        <v/>
      </c>
      <c r="AX44" s="7">
        <f>IF(OR(sel_cfg="duplex",sel_cfg="multi",sel_cfg="dosCasas"),0.75*personal_aporteFamiliaMensual,0)</f>
        <v/>
      </c>
      <c r="AY44" s="7">
        <f>AU44-0.75*AT44-AX44+AW44</f>
        <v/>
      </c>
      <c r="AZ44" s="7">
        <f>(D44+G44+H44+0.5*F44)/12</f>
        <v/>
      </c>
      <c r="BA44" s="7">
        <f>IF(AND(AL44=0,A44&gt;=vivienda_anioMinCompra,J44&lt;0.5,AI44&gt;0,AK44&gt;=AV44,AY44&lt;=vivienda_dtiMax*AZ44),1,0)</f>
        <v/>
      </c>
      <c r="BB44" s="7">
        <f>MAX(AL44,BA44)</f>
        <v/>
      </c>
      <c r="BC44" s="7">
        <f>IF(BA44=1,A44,IF(11=0,"",BC43))</f>
        <v/>
      </c>
      <c r="BD44" s="7">
        <f>AK44-IF(BA44=1,AN44*AP44+AN44*vivienda_cierrePct,0)</f>
        <v/>
      </c>
      <c r="BE44" s="7">
        <f>IF(BA44=1,AN44,IF(11=0,0,BE43))</f>
        <v/>
      </c>
      <c r="BF44" s="7">
        <f>IF(BA44=1,AR44,IF(11=0,0,BF43))</f>
        <v/>
      </c>
      <c r="BG44" s="7">
        <f>IF(BA44=1,IF(AND(AO44=0,AP44&lt;0.2),1,0),IF(11=0,0,BY43))</f>
        <v/>
      </c>
      <c r="BH44" s="7">
        <f>IF(sel_cfg="casaAdu",1,0)</f>
        <v/>
      </c>
      <c r="BI44" s="7">
        <f>IF(AND(BB44=1,BH44=1,IF(11=0,0,BJ43)=0,A44&gt;=IF(BC44="",9999,BC44)+vivienda_aduRetrasoAnios),1,0)</f>
        <v/>
      </c>
      <c r="BJ44" s="7">
        <f>MAX(IF(11=0,0,BJ43),BI44)</f>
        <v/>
      </c>
      <c r="BK44" s="7">
        <f>IF(BI44=1,PMT((g_mortRate+0.005)/12,180,-loc_precio_aduCosto*C44),IF(11=0,0,BK43))</f>
        <v/>
      </c>
      <c r="BL44" s="7">
        <f>IF(BA44=1,AN44,IF(11=0,0,DT43))+IF(BI44=1,loc_precio_aduCosto*C44,0)</f>
        <v/>
      </c>
      <c r="BM44" s="7">
        <f>IF(BA44=1,AQ44,IF(11=0,0,DU43))</f>
        <v/>
      </c>
      <c r="BN44" s="7">
        <f>IF(BM44&lt;=0,0,FV(g_mortRate/12,12,BF44,-BM44))</f>
        <v/>
      </c>
      <c r="BO44" s="7">
        <f>IF(BM44&lt;=0,0,12*BF44+MIN(0,BN44))</f>
        <v/>
      </c>
      <c r="BP44" s="7">
        <f>MAX(0,BN44)</f>
        <v/>
      </c>
      <c r="BQ44" s="7">
        <f>IF(BI44=1,loc_precio_aduCosto*C44,IF(11=0,0,DV43))</f>
        <v/>
      </c>
      <c r="BR44" s="7">
        <f>IF(BQ44&lt;=0,0,FV((g_mortRate+0.005)/12,12,BK44,-BQ44))</f>
        <v/>
      </c>
      <c r="BS44" s="7">
        <f>IF(BQ44&lt;=0,0,12*BK44+MIN(0,BR44))</f>
        <v/>
      </c>
      <c r="BT44" s="7">
        <f>MAX(0,BR44)</f>
        <v/>
      </c>
      <c r="BU44" s="7">
        <f>IF(BB44=1,AM44*loc_seguroPct*(1+vivienda_inflacionSeguro)^(A44-2026)*IF(BJ44=1,1+loc_precio_aduCosto/AM44,1),0)</f>
        <v/>
      </c>
      <c r="BV44" s="7">
        <f>BL44*loc_impuestoPropPct</f>
        <v/>
      </c>
      <c r="BW44" s="7">
        <f>BL44*vivienda_mantenimientoPct</f>
        <v/>
      </c>
      <c r="BX44" s="7">
        <f>IF(AND(BG44=1,BP44&gt;0.8*BE44),BE44*(1-vivienda_enganchePct)*vivienda_pmiTasa,0)</f>
        <v/>
      </c>
      <c r="BY44" s="7">
        <f>IF(AND(BG44=1,BP44&gt;0.8*BE44),1,0)</f>
        <v/>
      </c>
      <c r="BZ44" s="7">
        <f>IF(BB44=1,AS44*loc_rentaUnidad*12*C44*(1-vivienda_vacancia)*(1-vivienda_gestionPct),0)</f>
        <v/>
      </c>
      <c r="CA44" s="7">
        <f>IF(BB44=1,BO44+BS44+BU44+BV44+BW44+BX44,loc_rentaMensual*12*C44)</f>
        <v/>
      </c>
      <c r="CB44" s="7">
        <f>IF(BB44=1,personal_aporteFamiliaMensual*12,0)</f>
        <v/>
      </c>
      <c r="CC44" s="7">
        <f>MIN(IF(11=0,personal_irsSaldo,CD43),personal_irsPagoMensual*12)</f>
        <v/>
      </c>
      <c r="CD44" s="7">
        <f>IF(11=0,personal_irsSaldo,CD43)-CC44</f>
        <v/>
      </c>
      <c r="CE44" s="7">
        <f>IF(11=0,IF(personal_deudaEsFederal=1,personal_deudaEstudiantil,0),DW43)</f>
        <v/>
      </c>
      <c r="CF44" s="7">
        <f>IF(11=0,personal_tasaDeudaEstudiantil,DX43)</f>
        <v/>
      </c>
      <c r="CG44" s="7">
        <f>IF(11=0,0,DY43)</f>
        <v/>
      </c>
      <c r="CH44" s="7">
        <f>IF(J44&gt;=0.5,1,0)</f>
        <v/>
      </c>
      <c r="CI44" s="7">
        <f>IF(AND(CH44=0,prestamos_pslfActivo=1,K44&gt;=0.5,CE44&gt;0),1,0)</f>
        <v/>
      </c>
      <c r="CJ44" s="7">
        <f>CE44*CF44</f>
        <v/>
      </c>
      <c r="CK44" s="7">
        <f>MAX(prestamos_rapPagoMinimoAnual,IF(Y44&lt;10000,0,MIN(0.1,INT(Y44/10000)/100))*Y44)</f>
        <v/>
      </c>
      <c r="CL44" s="7">
        <f>IF(CE44&lt;=0,0,IF(CH44=1,0,IF(CI44=1,MIN(CE44+CJ44,CK44),PMT(CF44,MAX(1,prestamos_plazoAnios-CG44),-CE44))))</f>
        <v/>
      </c>
      <c r="CM44" s="7">
        <f>IF(CE44&lt;=0,0,IF(CH44=1,CE44+CJ44,IF(CI44=1,MAX(0,CE44-MAX(CL44-CJ44,MIN(600,CL44))),MAX(0,CE44*(1+CF44)-CL44))))</f>
        <v/>
      </c>
      <c r="CN44" s="7">
        <f>IF(11=0,0,CN43)+IF(CI44=1,12*MIN(1,K44),0)</f>
        <v/>
      </c>
      <c r="CO44" s="7">
        <f>IF(AND(CI44=1,CN44&gt;=prestamos_pslfPagos,CM44&gt;0),CM44,0)</f>
        <v/>
      </c>
      <c r="CP44" s="7">
        <f>CM44-CO44</f>
        <v/>
      </c>
      <c r="CQ44" s="7">
        <f>IF(AND(CE44&gt;0,CH44=0,CI44=0),CG44+1,CG44)</f>
        <v/>
      </c>
      <c r="CR44" s="7">
        <f>IF(11=0,IF(personal_deudaEsFederal=1,0,personal_deudaEstudiantil),EA43)</f>
        <v/>
      </c>
      <c r="CS44" s="7">
        <f>IF(11=0,IF(personal_deudaEsFederal=1,prestamos_tasaPrivada,personal_tasaDeudaEstudiantil),EB43)</f>
        <v/>
      </c>
      <c r="CT44" s="7">
        <f>IF(11=0,0,EC43)</f>
        <v/>
      </c>
      <c r="CU44" s="7">
        <f>IF(OR(CR44&lt;=0,CH44=1),0,PMT(CS44,MAX(1,prestamos_plazoAnios-CT44),-CR44))</f>
        <v/>
      </c>
      <c r="CV44" s="7">
        <f>IF(CR44&lt;=0,0,IF(CH44=1,CR44*(1+CS44),MAX(0,CR44*(1+CS44)-CU44)))</f>
        <v/>
      </c>
      <c r="CW44" s="7">
        <f>IF(AND(CR44&gt;0,CH44=0),CT44+1,CT44)</f>
        <v/>
      </c>
      <c r="CX44" s="7">
        <f>IF(11=0,0,ED43)*(1+general_tasaDeudaConsumo)</f>
        <v/>
      </c>
      <c r="CY44" s="7">
        <f>L44*12*tiempos_travelGastoExtraMes*C44</f>
        <v/>
      </c>
      <c r="CZ44" s="7">
        <f>AJ44+CY44+CA44+CC44+CL44+CU44+I44+N44-BZ44-CB44</f>
        <v/>
      </c>
      <c r="DA44" s="7">
        <f>AH44-CZ44</f>
        <v/>
      </c>
      <c r="DB44" s="7">
        <f>IF(11=0,0,DB43)+DA44</f>
        <v/>
      </c>
      <c r="DC44" s="7">
        <f>AN44*vivienda_enganchePct+AN44*vivienda_cierrePct+general_reservaMeses/12*AJ44</f>
        <v/>
      </c>
      <c r="DD44" s="7">
        <f>IF(BB44=1,g_ret,IF(BD44&gt;0,MIN(1,DC44/BD44),1)*g_cash+(1-IF(BD44&gt;0,MIN(1,DC44/BD44),1))*g_ret)</f>
        <v/>
      </c>
      <c r="DE44" s="7">
        <f>IF(DA44&gt;=0,MIN(CX44,DA44),0)</f>
        <v/>
      </c>
      <c r="DF44" s="7">
        <f>IF(DA44&gt;=0,(1-general_tasaAhorro)*(DA44-DE44),0)</f>
        <v/>
      </c>
      <c r="DG44" s="7">
        <f>IF(DA44&gt;=0,DA44-DE44-DF44,0)</f>
        <v/>
      </c>
      <c r="DH44" s="7">
        <f>MIN(personal_rothAnual,DG44)</f>
        <v/>
      </c>
      <c r="DI44" s="7">
        <f>IF(AND(DA44&gt;=0,BB44=1,BP44+BT44&gt;0),MIN(vivienda_prepagoPct*(DG44-DH44),BP44+BT44),0)</f>
        <v/>
      </c>
      <c r="DJ44" s="7">
        <f>MIN(DI44,BP44)</f>
        <v/>
      </c>
      <c r="DK44" s="7">
        <f>IF(DA44&lt;0,MIN(MAX(0,BD44),-DA44),0)</f>
        <v/>
      </c>
      <c r="DL44" s="7">
        <f>IF(DA44&lt;0,-DA44-DK44,0)</f>
        <v/>
      </c>
      <c r="DM44" s="7">
        <f>IF(11=0,0,DZ43)</f>
        <v/>
      </c>
      <c r="DN44" s="7">
        <f>IF(AND(DL44&gt;0,J44&gt;0),MIN(DL44,MIN(prestamos_topeAnualPosgrado*MIN(1,J44),MAX(0,prestamos_topeTotalPosgrado-DM44))),0)</f>
        <v/>
      </c>
      <c r="DO44" s="7">
        <f>IF(AND(DL44&gt;0,J44&gt;0),DL44-DN44,0)</f>
        <v/>
      </c>
      <c r="DP44" s="7">
        <f>IF(AND(DL44&gt;0,J44&lt;=0),DL44,0)</f>
        <v/>
      </c>
      <c r="DQ44" s="7">
        <f>IF(DA44&gt;=0,DG44-DH44-DI44,-DK44)</f>
        <v/>
      </c>
      <c r="DR44" s="7">
        <f>BD44*(1+DD44)+DQ44*(1+DD44/2)</f>
        <v/>
      </c>
      <c r="DS44" s="7">
        <f>IF(11=0,personal_retiroInicial,DS43)*(1+g_ret)+(O44+P44+DH44)*(1+g_ret/2)</f>
        <v/>
      </c>
      <c r="DT44" s="7">
        <f>IF(BB44=1,BL44*(1+g_appr),0)</f>
        <v/>
      </c>
      <c r="DU44" s="7">
        <f>BP44-DJ44</f>
        <v/>
      </c>
      <c r="DV44" s="7">
        <f>BT44-(DI44-DJ44)</f>
        <v/>
      </c>
      <c r="DW44" s="7">
        <f>CP44+DN44</f>
        <v/>
      </c>
      <c r="DX44" s="7">
        <f>IF(DN44&gt;0,(CP44*CF44+DN44*prestamos_tasaFederalPosgrado)/(CP44+DN44),CF44)</f>
        <v/>
      </c>
      <c r="DY44" s="7">
        <f>IF(DN44&gt;0,0,CQ44)</f>
        <v/>
      </c>
      <c r="DZ44" s="7">
        <f>DM44+DN44</f>
        <v/>
      </c>
      <c r="EA44" s="7">
        <f>CV44+DO44</f>
        <v/>
      </c>
      <c r="EB44" s="7">
        <f>IF(DO44&gt;0,(CV44*CS44+DO44*prestamos_tasaPrivada)/(CV44+DO44),CS44)</f>
        <v/>
      </c>
      <c r="EC44" s="7">
        <f>IF(DO44&gt;0,0,CW44)</f>
        <v/>
      </c>
      <c r="ED44" s="7">
        <f>CX44-DE44+DP44</f>
        <v/>
      </c>
      <c r="EE44" s="7">
        <f>IF(IF(11=0,"",EE43)&lt;&gt;"",EE43,IF(AND(BB44=1,DU44&lt;=0.5,DV44&lt;=0.5,OR(BH44=0,BJ44=1)),A44,""))</f>
        <v/>
      </c>
      <c r="EF44" s="7">
        <f>DU44+DV44+DW44+EA44+ED44+CD44</f>
        <v/>
      </c>
      <c r="EG44" s="7">
        <f>DR44+DS44+DT44-EF44</f>
        <v/>
      </c>
      <c r="EH44" s="7">
        <f>EG44/(1+g_inf)^(A44+1-2026)</f>
        <v/>
      </c>
    </row>
    <row r="45">
      <c r="A45" t="n">
        <v>2039</v>
      </c>
      <c r="B45" t="n">
        <v>12</v>
      </c>
      <c r="C45" s="7">
        <f>(1+g_inf)^(A45-2026)</f>
        <v/>
      </c>
      <c r="D45" s="7">
        <f>SUMPRODUCT($AF$5:$AF$29,$E$5:$E$29*(1+$F$5:$F$29)^(A45-2026)*$G$5:$G$29*$H$5:$H$29*(1-$N$5:$N$29*$O$5:$O$29))*g_salMult+SUMPRODUCT(($B$5:$B$29&gt;=A45)*($B$5:$B$29&lt;A45+1)*$I$5:$I$29)*g_salMult</f>
        <v/>
      </c>
      <c r="E45" s="7">
        <f>SUMPRODUCT($AF$5:$AF$29,$E$5:$E$29*(1+$F$5:$F$29)^(A45-2026)*$G$5:$G$29*$H$5:$H$29*$M$5:$M$29)*g_salMult</f>
        <v/>
      </c>
      <c r="F45" s="7">
        <f>SUMPRODUCT($AF$5:$AF$29,$E$5:$E$29*(1+$F$5:$F$29)^(A45-2026)*$G$5:$G$29*$H$5:$H$29*$N$5:$N$29*$O$5:$O$29)*g_salMult</f>
        <v/>
      </c>
      <c r="G45" s="7">
        <f>SUMPRODUCT($AF$5:$AF$29,$P$5:$P$29*(1+$F$5:$F$29)^(A45-2026))</f>
        <v/>
      </c>
      <c r="H45" s="7">
        <f>SUMPRODUCT($AF$5:$AF$29,$Q$5:$Q$29*(1+$F$5:$F$29)^(A45-2026))+IF(personal_llcActivo=1,personal_llcNeto*(1+personal_llcCrecimiento)^12,0)</f>
        <v/>
      </c>
      <c r="I45" s="7">
        <f>SUMPRODUCT($AF$5:$AF$29,$J$5:$J$29/($C$5:$C$29-$B$5:$B$29+($C$5:$C$29=$B$5:$B$29)))*C45</f>
        <v/>
      </c>
      <c r="J45" s="7">
        <f>SUMPRODUCT($AF$5:$AF$29,$K$5:$K$29)</f>
        <v/>
      </c>
      <c r="K45" s="7">
        <f>SUMPRODUCT($AF$5:$AF$29,$L$5:$L$29)</f>
        <v/>
      </c>
      <c r="L45" s="7">
        <f>SUMPRODUCT($AF$5:$AF$29,$N$5:$N$29)</f>
        <v/>
      </c>
      <c r="M45" s="7">
        <f>IF(SUMPRODUCT($AF$5:$AF$29,$R$5:$R$29)&gt;0,1,0)</f>
        <v/>
      </c>
      <c r="N45" s="7">
        <f>SUMPRODUCT(($AO$5:$AO$24&gt;=A45)*($AO$5:$AO$24&lt;A45+1)*$AP$5:$AP$24)*C45+IF(12=0,IF(sel_loc&lt;&gt;"miami",personal_costoMudanzaInicial,0),0)</f>
        <v/>
      </c>
      <c r="O45" s="7">
        <f>MIN(personal_aporte403bPct*D45,retiro_limite403b*C45)</f>
        <v/>
      </c>
      <c r="P45" s="7">
        <f>MIN(personal_aporte403bPct,personal_match403bPct)*E45</f>
        <v/>
      </c>
      <c r="Q45" s="7">
        <f>IF(G45&gt;0,MAX(0,G45-impuestos_scorpCostoAnual*C45),0)</f>
        <v/>
      </c>
      <c r="R45" s="7">
        <f>Q45*impuestos_scorpSalarioPct/(1+impuestos_ssTasa+impuestos_medicareTasa)</f>
        <v/>
      </c>
      <c r="S45" s="7">
        <f>impuestos_ssTasa*MIN(R45,MAX(0,impuestos_ssTope*C45-D45))+impuestos_medicareTasa*R45</f>
        <v/>
      </c>
      <c r="T45" s="7">
        <f>Q45-R45-S45</f>
        <v/>
      </c>
      <c r="U45" s="7">
        <f>D45+R45</f>
        <v/>
      </c>
      <c r="V45" s="7">
        <f>H45*0.9235</f>
        <v/>
      </c>
      <c r="W45" s="7">
        <f>IF(H45&gt;0,2*impuestos_ssTasa*MIN(V45,MAX(0,impuestos_ssTope*C45-U45))+2*impuestos_medicareTasa*V45,0)</f>
        <v/>
      </c>
      <c r="X45" s="7">
        <f>impuestos_ssTasa*MIN(U45,impuestos_ssTope*C45)+impuestos_medicareTasa*U45+impuestos_medicareAdicional*MAX(0,U45+H45*0.9235-impuestos_medicareUmbral)</f>
        <v/>
      </c>
      <c r="Y45" s="7">
        <f>MAX(0,D45-O45+R45+T45+H45-W45/2)</f>
        <v/>
      </c>
      <c r="Z45" s="7">
        <f>MAX(0,Y45-impuestos_deduccionEstandar*C45)</f>
        <v/>
      </c>
      <c r="AA45" s="7">
        <f>MIN(0.2*MAX(0,T45+H45-W45/2)*MAX(0,MIN(1,1-(Z45-impuestos_qbiUmbral*C45)/(impuestos_qbiRango*C45))),0.2*Z45)</f>
        <v/>
      </c>
      <c r="AB45" s="7">
        <f>MAX(0,Z45-AA45)</f>
        <v/>
      </c>
      <c r="AC45" s="7">
        <f>SUMPRODUCT((AB45&gt;tb_federalBrackets_lo*C45)*(AB45-tb_federalBrackets_lo*C45)*tb_federalBrackets_dr)</f>
        <v/>
      </c>
      <c r="AD45" s="7">
        <f>MAX(0,Y45-impuestos_nyDeduccion*C45)</f>
        <v/>
      </c>
      <c r="AE45" s="7">
        <f>CHOOSE(loc_taxcode,0,impuestos_ohTasa*MAX(0,Y45-impuestos_ohExento*C45)+impuestos_ohMunicipal*U45,SUMPRODUCT((AD45&gt;tb_nyBrackets_lo*C45)*(AD45-tb_nyBrackets_lo*C45)*tb_nyBrackets_dr)+loc_nyc*SUMPRODUCT((AD45&gt;tb_nycBrackets_lo*C45)*(AD45-tb_nycBrackets_lo*C45)*tb_nycBrackets_dr))</f>
        <v/>
      </c>
      <c r="AF45" s="7">
        <f>AC45+AE45+X45+W45</f>
        <v/>
      </c>
      <c r="AG45" s="7">
        <f>D45+F45+R45+T45+H45</f>
        <v/>
      </c>
      <c r="AH45" s="7">
        <f>AG45-AF45-O45</f>
        <v/>
      </c>
      <c r="AI45" s="7">
        <f>D45+F45+G45+H45</f>
        <v/>
      </c>
      <c r="AJ45" s="7">
        <f>loc_gastosVida*C45*g_gastos</f>
        <v/>
      </c>
      <c r="AK45" s="7">
        <f>IF(12=0,personal_liquidoInicial,DR44)</f>
        <v/>
      </c>
      <c r="AL45" s="7">
        <f>IF(12=0,0,BB44)</f>
        <v/>
      </c>
      <c r="AM45" s="7">
        <f>CHOOSE(sel_cfgIdx,loc_precio_duplex,loc_precio_inlaw,loc_precio_dosCasas,loc_precio_casaAdu,loc_precio_multi)</f>
        <v/>
      </c>
      <c r="AN45" s="7">
        <f>AM45*(1+g_appr)^(A45-2026)</f>
        <v/>
      </c>
      <c r="AO45" s="7">
        <f>IF(AND(M45=1,vivienda_prestamoMedico=1),1,0)</f>
        <v/>
      </c>
      <c r="AP45" s="7">
        <f>IF(AO45=1,0.05,vivienda_enganchePct)</f>
        <v/>
      </c>
      <c r="AQ45" s="7">
        <f>AN45*(1-AP45)</f>
        <v/>
      </c>
      <c r="AR45" s="7">
        <f>PMT(g_mortRate/12,vivienda_plazoHipoteca*12,-AQ45)</f>
        <v/>
      </c>
      <c r="AS45" s="7">
        <f>INDEX(cfg_units,sel_cfgIdx)</f>
        <v/>
      </c>
      <c r="AT45" s="7">
        <f>AS45*loc_rentaUnidad*(1+g_inf)^(A45-2026)*(1-vivienda_vacancia)</f>
        <v/>
      </c>
      <c r="AU45" s="7">
        <f>AR45+AN45*loc_impuestoPropPct/12+AM45*loc_seguroPct*(1+vivienda_inflacionSeguro)^(A45-2026)/12+IF(AND(AO45=0,AP45&lt;0.2),AQ45*vivienda_pmiTasa/12,0)</f>
        <v/>
      </c>
      <c r="AV45" s="7">
        <f>AN45*AP45+AN45*vivienda_cierrePct+general_reservaMeses/12*AJ45</f>
        <v/>
      </c>
      <c r="AW45" s="7">
        <f>(IF(12=0,MIN(personal_irsSaldo,personal_irsPagoMensual*12),MIN(CD44,personal_irsPagoMensual*12))+IF(CE45&gt;0,PMT(CF45,MAX(1,prestamos_plazoAnios-CG45),-CE45),0)+IF(CR45&gt;0,PMT(CS45,MAX(1,prestamos_plazoAnios-CT45),-CR45),0))/12</f>
        <v/>
      </c>
      <c r="AX45" s="7">
        <f>IF(OR(sel_cfg="duplex",sel_cfg="multi",sel_cfg="dosCasas"),0.75*personal_aporteFamiliaMensual,0)</f>
        <v/>
      </c>
      <c r="AY45" s="7">
        <f>AU45-0.75*AT45-AX45+AW45</f>
        <v/>
      </c>
      <c r="AZ45" s="7">
        <f>(D45+G45+H45+0.5*F45)/12</f>
        <v/>
      </c>
      <c r="BA45" s="7">
        <f>IF(AND(AL45=0,A45&gt;=vivienda_anioMinCompra,J45&lt;0.5,AI45&gt;0,AK45&gt;=AV45,AY45&lt;=vivienda_dtiMax*AZ45),1,0)</f>
        <v/>
      </c>
      <c r="BB45" s="7">
        <f>MAX(AL45,BA45)</f>
        <v/>
      </c>
      <c r="BC45" s="7">
        <f>IF(BA45=1,A45,IF(12=0,"",BC44))</f>
        <v/>
      </c>
      <c r="BD45" s="7">
        <f>AK45-IF(BA45=1,AN45*AP45+AN45*vivienda_cierrePct,0)</f>
        <v/>
      </c>
      <c r="BE45" s="7">
        <f>IF(BA45=1,AN45,IF(12=0,0,BE44))</f>
        <v/>
      </c>
      <c r="BF45" s="7">
        <f>IF(BA45=1,AR45,IF(12=0,0,BF44))</f>
        <v/>
      </c>
      <c r="BG45" s="7">
        <f>IF(BA45=1,IF(AND(AO45=0,AP45&lt;0.2),1,0),IF(12=0,0,BY44))</f>
        <v/>
      </c>
      <c r="BH45" s="7">
        <f>IF(sel_cfg="casaAdu",1,0)</f>
        <v/>
      </c>
      <c r="BI45" s="7">
        <f>IF(AND(BB45=1,BH45=1,IF(12=0,0,BJ44)=0,A45&gt;=IF(BC45="",9999,BC45)+vivienda_aduRetrasoAnios),1,0)</f>
        <v/>
      </c>
      <c r="BJ45" s="7">
        <f>MAX(IF(12=0,0,BJ44),BI45)</f>
        <v/>
      </c>
      <c r="BK45" s="7">
        <f>IF(BI45=1,PMT((g_mortRate+0.005)/12,180,-loc_precio_aduCosto*C45),IF(12=0,0,BK44))</f>
        <v/>
      </c>
      <c r="BL45" s="7">
        <f>IF(BA45=1,AN45,IF(12=0,0,DT44))+IF(BI45=1,loc_precio_aduCosto*C45,0)</f>
        <v/>
      </c>
      <c r="BM45" s="7">
        <f>IF(BA45=1,AQ45,IF(12=0,0,DU44))</f>
        <v/>
      </c>
      <c r="BN45" s="7">
        <f>IF(BM45&lt;=0,0,FV(g_mortRate/12,12,BF45,-BM45))</f>
        <v/>
      </c>
      <c r="BO45" s="7">
        <f>IF(BM45&lt;=0,0,12*BF45+MIN(0,BN45))</f>
        <v/>
      </c>
      <c r="BP45" s="7">
        <f>MAX(0,BN45)</f>
        <v/>
      </c>
      <c r="BQ45" s="7">
        <f>IF(BI45=1,loc_precio_aduCosto*C45,IF(12=0,0,DV44))</f>
        <v/>
      </c>
      <c r="BR45" s="7">
        <f>IF(BQ45&lt;=0,0,FV((g_mortRate+0.005)/12,12,BK45,-BQ45))</f>
        <v/>
      </c>
      <c r="BS45" s="7">
        <f>IF(BQ45&lt;=0,0,12*BK45+MIN(0,BR45))</f>
        <v/>
      </c>
      <c r="BT45" s="7">
        <f>MAX(0,BR45)</f>
        <v/>
      </c>
      <c r="BU45" s="7">
        <f>IF(BB45=1,AM45*loc_seguroPct*(1+vivienda_inflacionSeguro)^(A45-2026)*IF(BJ45=1,1+loc_precio_aduCosto/AM45,1),0)</f>
        <v/>
      </c>
      <c r="BV45" s="7">
        <f>BL45*loc_impuestoPropPct</f>
        <v/>
      </c>
      <c r="BW45" s="7">
        <f>BL45*vivienda_mantenimientoPct</f>
        <v/>
      </c>
      <c r="BX45" s="7">
        <f>IF(AND(BG45=1,BP45&gt;0.8*BE45),BE45*(1-vivienda_enganchePct)*vivienda_pmiTasa,0)</f>
        <v/>
      </c>
      <c r="BY45" s="7">
        <f>IF(AND(BG45=1,BP45&gt;0.8*BE45),1,0)</f>
        <v/>
      </c>
      <c r="BZ45" s="7">
        <f>IF(BB45=1,AS45*loc_rentaUnidad*12*C45*(1-vivienda_vacancia)*(1-vivienda_gestionPct),0)</f>
        <v/>
      </c>
      <c r="CA45" s="7">
        <f>IF(BB45=1,BO45+BS45+BU45+BV45+BW45+BX45,loc_rentaMensual*12*C45)</f>
        <v/>
      </c>
      <c r="CB45" s="7">
        <f>IF(BB45=1,personal_aporteFamiliaMensual*12,0)</f>
        <v/>
      </c>
      <c r="CC45" s="7">
        <f>MIN(IF(12=0,personal_irsSaldo,CD44),personal_irsPagoMensual*12)</f>
        <v/>
      </c>
      <c r="CD45" s="7">
        <f>IF(12=0,personal_irsSaldo,CD44)-CC45</f>
        <v/>
      </c>
      <c r="CE45" s="7">
        <f>IF(12=0,IF(personal_deudaEsFederal=1,personal_deudaEstudiantil,0),DW44)</f>
        <v/>
      </c>
      <c r="CF45" s="7">
        <f>IF(12=0,personal_tasaDeudaEstudiantil,DX44)</f>
        <v/>
      </c>
      <c r="CG45" s="7">
        <f>IF(12=0,0,DY44)</f>
        <v/>
      </c>
      <c r="CH45" s="7">
        <f>IF(J45&gt;=0.5,1,0)</f>
        <v/>
      </c>
      <c r="CI45" s="7">
        <f>IF(AND(CH45=0,prestamos_pslfActivo=1,K45&gt;=0.5,CE45&gt;0),1,0)</f>
        <v/>
      </c>
      <c r="CJ45" s="7">
        <f>CE45*CF45</f>
        <v/>
      </c>
      <c r="CK45" s="7">
        <f>MAX(prestamos_rapPagoMinimoAnual,IF(Y45&lt;10000,0,MIN(0.1,INT(Y45/10000)/100))*Y45)</f>
        <v/>
      </c>
      <c r="CL45" s="7">
        <f>IF(CE45&lt;=0,0,IF(CH45=1,0,IF(CI45=1,MIN(CE45+CJ45,CK45),PMT(CF45,MAX(1,prestamos_plazoAnios-CG45),-CE45))))</f>
        <v/>
      </c>
      <c r="CM45" s="7">
        <f>IF(CE45&lt;=0,0,IF(CH45=1,CE45+CJ45,IF(CI45=1,MAX(0,CE45-MAX(CL45-CJ45,MIN(600,CL45))),MAX(0,CE45*(1+CF45)-CL45))))</f>
        <v/>
      </c>
      <c r="CN45" s="7">
        <f>IF(12=0,0,CN44)+IF(CI45=1,12*MIN(1,K45),0)</f>
        <v/>
      </c>
      <c r="CO45" s="7">
        <f>IF(AND(CI45=1,CN45&gt;=prestamos_pslfPagos,CM45&gt;0),CM45,0)</f>
        <v/>
      </c>
      <c r="CP45" s="7">
        <f>CM45-CO45</f>
        <v/>
      </c>
      <c r="CQ45" s="7">
        <f>IF(AND(CE45&gt;0,CH45=0,CI45=0),CG45+1,CG45)</f>
        <v/>
      </c>
      <c r="CR45" s="7">
        <f>IF(12=0,IF(personal_deudaEsFederal=1,0,personal_deudaEstudiantil),EA44)</f>
        <v/>
      </c>
      <c r="CS45" s="7">
        <f>IF(12=0,IF(personal_deudaEsFederal=1,prestamos_tasaPrivada,personal_tasaDeudaEstudiantil),EB44)</f>
        <v/>
      </c>
      <c r="CT45" s="7">
        <f>IF(12=0,0,EC44)</f>
        <v/>
      </c>
      <c r="CU45" s="7">
        <f>IF(OR(CR45&lt;=0,CH45=1),0,PMT(CS45,MAX(1,prestamos_plazoAnios-CT45),-CR45))</f>
        <v/>
      </c>
      <c r="CV45" s="7">
        <f>IF(CR45&lt;=0,0,IF(CH45=1,CR45*(1+CS45),MAX(0,CR45*(1+CS45)-CU45)))</f>
        <v/>
      </c>
      <c r="CW45" s="7">
        <f>IF(AND(CR45&gt;0,CH45=0),CT45+1,CT45)</f>
        <v/>
      </c>
      <c r="CX45" s="7">
        <f>IF(12=0,0,ED44)*(1+general_tasaDeudaConsumo)</f>
        <v/>
      </c>
      <c r="CY45" s="7">
        <f>L45*12*tiempos_travelGastoExtraMes*C45</f>
        <v/>
      </c>
      <c r="CZ45" s="7">
        <f>AJ45+CY45+CA45+CC45+CL45+CU45+I45+N45-BZ45-CB45</f>
        <v/>
      </c>
      <c r="DA45" s="7">
        <f>AH45-CZ45</f>
        <v/>
      </c>
      <c r="DB45" s="7">
        <f>IF(12=0,0,DB44)+DA45</f>
        <v/>
      </c>
      <c r="DC45" s="7">
        <f>AN45*vivienda_enganchePct+AN45*vivienda_cierrePct+general_reservaMeses/12*AJ45</f>
        <v/>
      </c>
      <c r="DD45" s="7">
        <f>IF(BB45=1,g_ret,IF(BD45&gt;0,MIN(1,DC45/BD45),1)*g_cash+(1-IF(BD45&gt;0,MIN(1,DC45/BD45),1))*g_ret)</f>
        <v/>
      </c>
      <c r="DE45" s="7">
        <f>IF(DA45&gt;=0,MIN(CX45,DA45),0)</f>
        <v/>
      </c>
      <c r="DF45" s="7">
        <f>IF(DA45&gt;=0,(1-general_tasaAhorro)*(DA45-DE45),0)</f>
        <v/>
      </c>
      <c r="DG45" s="7">
        <f>IF(DA45&gt;=0,DA45-DE45-DF45,0)</f>
        <v/>
      </c>
      <c r="DH45" s="7">
        <f>MIN(personal_rothAnual,DG45)</f>
        <v/>
      </c>
      <c r="DI45" s="7">
        <f>IF(AND(DA45&gt;=0,BB45=1,BP45+BT45&gt;0),MIN(vivienda_prepagoPct*(DG45-DH45),BP45+BT45),0)</f>
        <v/>
      </c>
      <c r="DJ45" s="7">
        <f>MIN(DI45,BP45)</f>
        <v/>
      </c>
      <c r="DK45" s="7">
        <f>IF(DA45&lt;0,MIN(MAX(0,BD45),-DA45),0)</f>
        <v/>
      </c>
      <c r="DL45" s="7">
        <f>IF(DA45&lt;0,-DA45-DK45,0)</f>
        <v/>
      </c>
      <c r="DM45" s="7">
        <f>IF(12=0,0,DZ44)</f>
        <v/>
      </c>
      <c r="DN45" s="7">
        <f>IF(AND(DL45&gt;0,J45&gt;0),MIN(DL45,MIN(prestamos_topeAnualPosgrado*MIN(1,J45),MAX(0,prestamos_topeTotalPosgrado-DM45))),0)</f>
        <v/>
      </c>
      <c r="DO45" s="7">
        <f>IF(AND(DL45&gt;0,J45&gt;0),DL45-DN45,0)</f>
        <v/>
      </c>
      <c r="DP45" s="7">
        <f>IF(AND(DL45&gt;0,J45&lt;=0),DL45,0)</f>
        <v/>
      </c>
      <c r="DQ45" s="7">
        <f>IF(DA45&gt;=0,DG45-DH45-DI45,-DK45)</f>
        <v/>
      </c>
      <c r="DR45" s="7">
        <f>BD45*(1+DD45)+DQ45*(1+DD45/2)</f>
        <v/>
      </c>
      <c r="DS45" s="7">
        <f>IF(12=0,personal_retiroInicial,DS44)*(1+g_ret)+(O45+P45+DH45)*(1+g_ret/2)</f>
        <v/>
      </c>
      <c r="DT45" s="7">
        <f>IF(BB45=1,BL45*(1+g_appr),0)</f>
        <v/>
      </c>
      <c r="DU45" s="7">
        <f>BP45-DJ45</f>
        <v/>
      </c>
      <c r="DV45" s="7">
        <f>BT45-(DI45-DJ45)</f>
        <v/>
      </c>
      <c r="DW45" s="7">
        <f>CP45+DN45</f>
        <v/>
      </c>
      <c r="DX45" s="7">
        <f>IF(DN45&gt;0,(CP45*CF45+DN45*prestamos_tasaFederalPosgrado)/(CP45+DN45),CF45)</f>
        <v/>
      </c>
      <c r="DY45" s="7">
        <f>IF(DN45&gt;0,0,CQ45)</f>
        <v/>
      </c>
      <c r="DZ45" s="7">
        <f>DM45+DN45</f>
        <v/>
      </c>
      <c r="EA45" s="7">
        <f>CV45+DO45</f>
        <v/>
      </c>
      <c r="EB45" s="7">
        <f>IF(DO45&gt;0,(CV45*CS45+DO45*prestamos_tasaPrivada)/(CV45+DO45),CS45)</f>
        <v/>
      </c>
      <c r="EC45" s="7">
        <f>IF(DO45&gt;0,0,CW45)</f>
        <v/>
      </c>
      <c r="ED45" s="7">
        <f>CX45-DE45+DP45</f>
        <v/>
      </c>
      <c r="EE45" s="7">
        <f>IF(IF(12=0,"",EE44)&lt;&gt;"",EE44,IF(AND(BB45=1,DU45&lt;=0.5,DV45&lt;=0.5,OR(BH45=0,BJ45=1)),A45,""))</f>
        <v/>
      </c>
      <c r="EF45" s="7">
        <f>DU45+DV45+DW45+EA45+ED45+CD45</f>
        <v/>
      </c>
      <c r="EG45" s="7">
        <f>DR45+DS45+DT45-EF45</f>
        <v/>
      </c>
      <c r="EH45" s="7">
        <f>EG45/(1+g_inf)^(A45+1-2026)</f>
        <v/>
      </c>
    </row>
    <row r="46">
      <c r="A46" t="n">
        <v>2040</v>
      </c>
      <c r="B46" t="n">
        <v>13</v>
      </c>
      <c r="C46" s="7">
        <f>(1+g_inf)^(A46-2026)</f>
        <v/>
      </c>
      <c r="D46" s="7">
        <f>SUMPRODUCT($AG$5:$AG$29,$E$5:$E$29*(1+$F$5:$F$29)^(A46-2026)*$G$5:$G$29*$H$5:$H$29*(1-$N$5:$N$29*$O$5:$O$29))*g_salMult+SUMPRODUCT(($B$5:$B$29&gt;=A46)*($B$5:$B$29&lt;A46+1)*$I$5:$I$29)*g_salMult</f>
        <v/>
      </c>
      <c r="E46" s="7">
        <f>SUMPRODUCT($AG$5:$AG$29,$E$5:$E$29*(1+$F$5:$F$29)^(A46-2026)*$G$5:$G$29*$H$5:$H$29*$M$5:$M$29)*g_salMult</f>
        <v/>
      </c>
      <c r="F46" s="7">
        <f>SUMPRODUCT($AG$5:$AG$29,$E$5:$E$29*(1+$F$5:$F$29)^(A46-2026)*$G$5:$G$29*$H$5:$H$29*$N$5:$N$29*$O$5:$O$29)*g_salMult</f>
        <v/>
      </c>
      <c r="G46" s="7">
        <f>SUMPRODUCT($AG$5:$AG$29,$P$5:$P$29*(1+$F$5:$F$29)^(A46-2026))</f>
        <v/>
      </c>
      <c r="H46" s="7">
        <f>SUMPRODUCT($AG$5:$AG$29,$Q$5:$Q$29*(1+$F$5:$F$29)^(A46-2026))+IF(personal_llcActivo=1,personal_llcNeto*(1+personal_llcCrecimiento)^13,0)</f>
        <v/>
      </c>
      <c r="I46" s="7">
        <f>SUMPRODUCT($AG$5:$AG$29,$J$5:$J$29/($C$5:$C$29-$B$5:$B$29+($C$5:$C$29=$B$5:$B$29)))*C46</f>
        <v/>
      </c>
      <c r="J46" s="7">
        <f>SUMPRODUCT($AG$5:$AG$29,$K$5:$K$29)</f>
        <v/>
      </c>
      <c r="K46" s="7">
        <f>SUMPRODUCT($AG$5:$AG$29,$L$5:$L$29)</f>
        <v/>
      </c>
      <c r="L46" s="7">
        <f>SUMPRODUCT($AG$5:$AG$29,$N$5:$N$29)</f>
        <v/>
      </c>
      <c r="M46" s="7">
        <f>IF(SUMPRODUCT($AG$5:$AG$29,$R$5:$R$29)&gt;0,1,0)</f>
        <v/>
      </c>
      <c r="N46" s="7">
        <f>SUMPRODUCT(($AO$5:$AO$24&gt;=A46)*($AO$5:$AO$24&lt;A46+1)*$AP$5:$AP$24)*C46+IF(13=0,IF(sel_loc&lt;&gt;"miami",personal_costoMudanzaInicial,0),0)</f>
        <v/>
      </c>
      <c r="O46" s="7">
        <f>MIN(personal_aporte403bPct*D46,retiro_limite403b*C46)</f>
        <v/>
      </c>
      <c r="P46" s="7">
        <f>MIN(personal_aporte403bPct,personal_match403bPct)*E46</f>
        <v/>
      </c>
      <c r="Q46" s="7">
        <f>IF(G46&gt;0,MAX(0,G46-impuestos_scorpCostoAnual*C46),0)</f>
        <v/>
      </c>
      <c r="R46" s="7">
        <f>Q46*impuestos_scorpSalarioPct/(1+impuestos_ssTasa+impuestos_medicareTasa)</f>
        <v/>
      </c>
      <c r="S46" s="7">
        <f>impuestos_ssTasa*MIN(R46,MAX(0,impuestos_ssTope*C46-D46))+impuestos_medicareTasa*R46</f>
        <v/>
      </c>
      <c r="T46" s="7">
        <f>Q46-R46-S46</f>
        <v/>
      </c>
      <c r="U46" s="7">
        <f>D46+R46</f>
        <v/>
      </c>
      <c r="V46" s="7">
        <f>H46*0.9235</f>
        <v/>
      </c>
      <c r="W46" s="7">
        <f>IF(H46&gt;0,2*impuestos_ssTasa*MIN(V46,MAX(0,impuestos_ssTope*C46-U46))+2*impuestos_medicareTasa*V46,0)</f>
        <v/>
      </c>
      <c r="X46" s="7">
        <f>impuestos_ssTasa*MIN(U46,impuestos_ssTope*C46)+impuestos_medicareTasa*U46+impuestos_medicareAdicional*MAX(0,U46+H46*0.9235-impuestos_medicareUmbral)</f>
        <v/>
      </c>
      <c r="Y46" s="7">
        <f>MAX(0,D46-O46+R46+T46+H46-W46/2)</f>
        <v/>
      </c>
      <c r="Z46" s="7">
        <f>MAX(0,Y46-impuestos_deduccionEstandar*C46)</f>
        <v/>
      </c>
      <c r="AA46" s="7">
        <f>MIN(0.2*MAX(0,T46+H46-W46/2)*MAX(0,MIN(1,1-(Z46-impuestos_qbiUmbral*C46)/(impuestos_qbiRango*C46))),0.2*Z46)</f>
        <v/>
      </c>
      <c r="AB46" s="7">
        <f>MAX(0,Z46-AA46)</f>
        <v/>
      </c>
      <c r="AC46" s="7">
        <f>SUMPRODUCT((AB46&gt;tb_federalBrackets_lo*C46)*(AB46-tb_federalBrackets_lo*C46)*tb_federalBrackets_dr)</f>
        <v/>
      </c>
      <c r="AD46" s="7">
        <f>MAX(0,Y46-impuestos_nyDeduccion*C46)</f>
        <v/>
      </c>
      <c r="AE46" s="7">
        <f>CHOOSE(loc_taxcode,0,impuestos_ohTasa*MAX(0,Y46-impuestos_ohExento*C46)+impuestos_ohMunicipal*U46,SUMPRODUCT((AD46&gt;tb_nyBrackets_lo*C46)*(AD46-tb_nyBrackets_lo*C46)*tb_nyBrackets_dr)+loc_nyc*SUMPRODUCT((AD46&gt;tb_nycBrackets_lo*C46)*(AD46-tb_nycBrackets_lo*C46)*tb_nycBrackets_dr))</f>
        <v/>
      </c>
      <c r="AF46" s="7">
        <f>AC46+AE46+X46+W46</f>
        <v/>
      </c>
      <c r="AG46" s="7">
        <f>D46+F46+R46+T46+H46</f>
        <v/>
      </c>
      <c r="AH46" s="7">
        <f>AG46-AF46-O46</f>
        <v/>
      </c>
      <c r="AI46" s="7">
        <f>D46+F46+G46+H46</f>
        <v/>
      </c>
      <c r="AJ46" s="7">
        <f>loc_gastosVida*C46*g_gastos</f>
        <v/>
      </c>
      <c r="AK46" s="7">
        <f>IF(13=0,personal_liquidoInicial,DR45)</f>
        <v/>
      </c>
      <c r="AL46" s="7">
        <f>IF(13=0,0,BB45)</f>
        <v/>
      </c>
      <c r="AM46" s="7">
        <f>CHOOSE(sel_cfgIdx,loc_precio_duplex,loc_precio_inlaw,loc_precio_dosCasas,loc_precio_casaAdu,loc_precio_multi)</f>
        <v/>
      </c>
      <c r="AN46" s="7">
        <f>AM46*(1+g_appr)^(A46-2026)</f>
        <v/>
      </c>
      <c r="AO46" s="7">
        <f>IF(AND(M46=1,vivienda_prestamoMedico=1),1,0)</f>
        <v/>
      </c>
      <c r="AP46" s="7">
        <f>IF(AO46=1,0.05,vivienda_enganchePct)</f>
        <v/>
      </c>
      <c r="AQ46" s="7">
        <f>AN46*(1-AP46)</f>
        <v/>
      </c>
      <c r="AR46" s="7">
        <f>PMT(g_mortRate/12,vivienda_plazoHipoteca*12,-AQ46)</f>
        <v/>
      </c>
      <c r="AS46" s="7">
        <f>INDEX(cfg_units,sel_cfgIdx)</f>
        <v/>
      </c>
      <c r="AT46" s="7">
        <f>AS46*loc_rentaUnidad*(1+g_inf)^(A46-2026)*(1-vivienda_vacancia)</f>
        <v/>
      </c>
      <c r="AU46" s="7">
        <f>AR46+AN46*loc_impuestoPropPct/12+AM46*loc_seguroPct*(1+vivienda_inflacionSeguro)^(A46-2026)/12+IF(AND(AO46=0,AP46&lt;0.2),AQ46*vivienda_pmiTasa/12,0)</f>
        <v/>
      </c>
      <c r="AV46" s="7">
        <f>AN46*AP46+AN46*vivienda_cierrePct+general_reservaMeses/12*AJ46</f>
        <v/>
      </c>
      <c r="AW46" s="7">
        <f>(IF(13=0,MIN(personal_irsSaldo,personal_irsPagoMensual*12),MIN(CD45,personal_irsPagoMensual*12))+IF(CE46&gt;0,PMT(CF46,MAX(1,prestamos_plazoAnios-CG46),-CE46),0)+IF(CR46&gt;0,PMT(CS46,MAX(1,prestamos_plazoAnios-CT46),-CR46),0))/12</f>
        <v/>
      </c>
      <c r="AX46" s="7">
        <f>IF(OR(sel_cfg="duplex",sel_cfg="multi",sel_cfg="dosCasas"),0.75*personal_aporteFamiliaMensual,0)</f>
        <v/>
      </c>
      <c r="AY46" s="7">
        <f>AU46-0.75*AT46-AX46+AW46</f>
        <v/>
      </c>
      <c r="AZ46" s="7">
        <f>(D46+G46+H46+0.5*F46)/12</f>
        <v/>
      </c>
      <c r="BA46" s="7">
        <f>IF(AND(AL46=0,A46&gt;=vivienda_anioMinCompra,J46&lt;0.5,AI46&gt;0,AK46&gt;=AV46,AY46&lt;=vivienda_dtiMax*AZ46),1,0)</f>
        <v/>
      </c>
      <c r="BB46" s="7">
        <f>MAX(AL46,BA46)</f>
        <v/>
      </c>
      <c r="BC46" s="7">
        <f>IF(BA46=1,A46,IF(13=0,"",BC45))</f>
        <v/>
      </c>
      <c r="BD46" s="7">
        <f>AK46-IF(BA46=1,AN46*AP46+AN46*vivienda_cierrePct,0)</f>
        <v/>
      </c>
      <c r="BE46" s="7">
        <f>IF(BA46=1,AN46,IF(13=0,0,BE45))</f>
        <v/>
      </c>
      <c r="BF46" s="7">
        <f>IF(BA46=1,AR46,IF(13=0,0,BF45))</f>
        <v/>
      </c>
      <c r="BG46" s="7">
        <f>IF(BA46=1,IF(AND(AO46=0,AP46&lt;0.2),1,0),IF(13=0,0,BY45))</f>
        <v/>
      </c>
      <c r="BH46" s="7">
        <f>IF(sel_cfg="casaAdu",1,0)</f>
        <v/>
      </c>
      <c r="BI46" s="7">
        <f>IF(AND(BB46=1,BH46=1,IF(13=0,0,BJ45)=0,A46&gt;=IF(BC46="",9999,BC46)+vivienda_aduRetrasoAnios),1,0)</f>
        <v/>
      </c>
      <c r="BJ46" s="7">
        <f>MAX(IF(13=0,0,BJ45),BI46)</f>
        <v/>
      </c>
      <c r="BK46" s="7">
        <f>IF(BI46=1,PMT((g_mortRate+0.005)/12,180,-loc_precio_aduCosto*C46),IF(13=0,0,BK45))</f>
        <v/>
      </c>
      <c r="BL46" s="7">
        <f>IF(BA46=1,AN46,IF(13=0,0,DT45))+IF(BI46=1,loc_precio_aduCosto*C46,0)</f>
        <v/>
      </c>
      <c r="BM46" s="7">
        <f>IF(BA46=1,AQ46,IF(13=0,0,DU45))</f>
        <v/>
      </c>
      <c r="BN46" s="7">
        <f>IF(BM46&lt;=0,0,FV(g_mortRate/12,12,BF46,-BM46))</f>
        <v/>
      </c>
      <c r="BO46" s="7">
        <f>IF(BM46&lt;=0,0,12*BF46+MIN(0,BN46))</f>
        <v/>
      </c>
      <c r="BP46" s="7">
        <f>MAX(0,BN46)</f>
        <v/>
      </c>
      <c r="BQ46" s="7">
        <f>IF(BI46=1,loc_precio_aduCosto*C46,IF(13=0,0,DV45))</f>
        <v/>
      </c>
      <c r="BR46" s="7">
        <f>IF(BQ46&lt;=0,0,FV((g_mortRate+0.005)/12,12,BK46,-BQ46))</f>
        <v/>
      </c>
      <c r="BS46" s="7">
        <f>IF(BQ46&lt;=0,0,12*BK46+MIN(0,BR46))</f>
        <v/>
      </c>
      <c r="BT46" s="7">
        <f>MAX(0,BR46)</f>
        <v/>
      </c>
      <c r="BU46" s="7">
        <f>IF(BB46=1,AM46*loc_seguroPct*(1+vivienda_inflacionSeguro)^(A46-2026)*IF(BJ46=1,1+loc_precio_aduCosto/AM46,1),0)</f>
        <v/>
      </c>
      <c r="BV46" s="7">
        <f>BL46*loc_impuestoPropPct</f>
        <v/>
      </c>
      <c r="BW46" s="7">
        <f>BL46*vivienda_mantenimientoPct</f>
        <v/>
      </c>
      <c r="BX46" s="7">
        <f>IF(AND(BG46=1,BP46&gt;0.8*BE46),BE46*(1-vivienda_enganchePct)*vivienda_pmiTasa,0)</f>
        <v/>
      </c>
      <c r="BY46" s="7">
        <f>IF(AND(BG46=1,BP46&gt;0.8*BE46),1,0)</f>
        <v/>
      </c>
      <c r="BZ46" s="7">
        <f>IF(BB46=1,AS46*loc_rentaUnidad*12*C46*(1-vivienda_vacancia)*(1-vivienda_gestionPct),0)</f>
        <v/>
      </c>
      <c r="CA46" s="7">
        <f>IF(BB46=1,BO46+BS46+BU46+BV46+BW46+BX46,loc_rentaMensual*12*C46)</f>
        <v/>
      </c>
      <c r="CB46" s="7">
        <f>IF(BB46=1,personal_aporteFamiliaMensual*12,0)</f>
        <v/>
      </c>
      <c r="CC46" s="7">
        <f>MIN(IF(13=0,personal_irsSaldo,CD45),personal_irsPagoMensual*12)</f>
        <v/>
      </c>
      <c r="CD46" s="7">
        <f>IF(13=0,personal_irsSaldo,CD45)-CC46</f>
        <v/>
      </c>
      <c r="CE46" s="7">
        <f>IF(13=0,IF(personal_deudaEsFederal=1,personal_deudaEstudiantil,0),DW45)</f>
        <v/>
      </c>
      <c r="CF46" s="7">
        <f>IF(13=0,personal_tasaDeudaEstudiantil,DX45)</f>
        <v/>
      </c>
      <c r="CG46" s="7">
        <f>IF(13=0,0,DY45)</f>
        <v/>
      </c>
      <c r="CH46" s="7">
        <f>IF(J46&gt;=0.5,1,0)</f>
        <v/>
      </c>
      <c r="CI46" s="7">
        <f>IF(AND(CH46=0,prestamos_pslfActivo=1,K46&gt;=0.5,CE46&gt;0),1,0)</f>
        <v/>
      </c>
      <c r="CJ46" s="7">
        <f>CE46*CF46</f>
        <v/>
      </c>
      <c r="CK46" s="7">
        <f>MAX(prestamos_rapPagoMinimoAnual,IF(Y46&lt;10000,0,MIN(0.1,INT(Y46/10000)/100))*Y46)</f>
        <v/>
      </c>
      <c r="CL46" s="7">
        <f>IF(CE46&lt;=0,0,IF(CH46=1,0,IF(CI46=1,MIN(CE46+CJ46,CK46),PMT(CF46,MAX(1,prestamos_plazoAnios-CG46),-CE46))))</f>
        <v/>
      </c>
      <c r="CM46" s="7">
        <f>IF(CE46&lt;=0,0,IF(CH46=1,CE46+CJ46,IF(CI46=1,MAX(0,CE46-MAX(CL46-CJ46,MIN(600,CL46))),MAX(0,CE46*(1+CF46)-CL46))))</f>
        <v/>
      </c>
      <c r="CN46" s="7">
        <f>IF(13=0,0,CN45)+IF(CI46=1,12*MIN(1,K46),0)</f>
        <v/>
      </c>
      <c r="CO46" s="7">
        <f>IF(AND(CI46=1,CN46&gt;=prestamos_pslfPagos,CM46&gt;0),CM46,0)</f>
        <v/>
      </c>
      <c r="CP46" s="7">
        <f>CM46-CO46</f>
        <v/>
      </c>
      <c r="CQ46" s="7">
        <f>IF(AND(CE46&gt;0,CH46=0,CI46=0),CG46+1,CG46)</f>
        <v/>
      </c>
      <c r="CR46" s="7">
        <f>IF(13=0,IF(personal_deudaEsFederal=1,0,personal_deudaEstudiantil),EA45)</f>
        <v/>
      </c>
      <c r="CS46" s="7">
        <f>IF(13=0,IF(personal_deudaEsFederal=1,prestamos_tasaPrivada,personal_tasaDeudaEstudiantil),EB45)</f>
        <v/>
      </c>
      <c r="CT46" s="7">
        <f>IF(13=0,0,EC45)</f>
        <v/>
      </c>
      <c r="CU46" s="7">
        <f>IF(OR(CR46&lt;=0,CH46=1),0,PMT(CS46,MAX(1,prestamos_plazoAnios-CT46),-CR46))</f>
        <v/>
      </c>
      <c r="CV46" s="7">
        <f>IF(CR46&lt;=0,0,IF(CH46=1,CR46*(1+CS46),MAX(0,CR46*(1+CS46)-CU46)))</f>
        <v/>
      </c>
      <c r="CW46" s="7">
        <f>IF(AND(CR46&gt;0,CH46=0),CT46+1,CT46)</f>
        <v/>
      </c>
      <c r="CX46" s="7">
        <f>IF(13=0,0,ED45)*(1+general_tasaDeudaConsumo)</f>
        <v/>
      </c>
      <c r="CY46" s="7">
        <f>L46*12*tiempos_travelGastoExtraMes*C46</f>
        <v/>
      </c>
      <c r="CZ46" s="7">
        <f>AJ46+CY46+CA46+CC46+CL46+CU46+I46+N46-BZ46-CB46</f>
        <v/>
      </c>
      <c r="DA46" s="7">
        <f>AH46-CZ46</f>
        <v/>
      </c>
      <c r="DB46" s="7">
        <f>IF(13=0,0,DB45)+DA46</f>
        <v/>
      </c>
      <c r="DC46" s="7">
        <f>AN46*vivienda_enganchePct+AN46*vivienda_cierrePct+general_reservaMeses/12*AJ46</f>
        <v/>
      </c>
      <c r="DD46" s="7">
        <f>IF(BB46=1,g_ret,IF(BD46&gt;0,MIN(1,DC46/BD46),1)*g_cash+(1-IF(BD46&gt;0,MIN(1,DC46/BD46),1))*g_ret)</f>
        <v/>
      </c>
      <c r="DE46" s="7">
        <f>IF(DA46&gt;=0,MIN(CX46,DA46),0)</f>
        <v/>
      </c>
      <c r="DF46" s="7">
        <f>IF(DA46&gt;=0,(1-general_tasaAhorro)*(DA46-DE46),0)</f>
        <v/>
      </c>
      <c r="DG46" s="7">
        <f>IF(DA46&gt;=0,DA46-DE46-DF46,0)</f>
        <v/>
      </c>
      <c r="DH46" s="7">
        <f>MIN(personal_rothAnual,DG46)</f>
        <v/>
      </c>
      <c r="DI46" s="7">
        <f>IF(AND(DA46&gt;=0,BB46=1,BP46+BT46&gt;0),MIN(vivienda_prepagoPct*(DG46-DH46),BP46+BT46),0)</f>
        <v/>
      </c>
      <c r="DJ46" s="7">
        <f>MIN(DI46,BP46)</f>
        <v/>
      </c>
      <c r="DK46" s="7">
        <f>IF(DA46&lt;0,MIN(MAX(0,BD46),-DA46),0)</f>
        <v/>
      </c>
      <c r="DL46" s="7">
        <f>IF(DA46&lt;0,-DA46-DK46,0)</f>
        <v/>
      </c>
      <c r="DM46" s="7">
        <f>IF(13=0,0,DZ45)</f>
        <v/>
      </c>
      <c r="DN46" s="7">
        <f>IF(AND(DL46&gt;0,J46&gt;0),MIN(DL46,MIN(prestamos_topeAnualPosgrado*MIN(1,J46),MAX(0,prestamos_topeTotalPosgrado-DM46))),0)</f>
        <v/>
      </c>
      <c r="DO46" s="7">
        <f>IF(AND(DL46&gt;0,J46&gt;0),DL46-DN46,0)</f>
        <v/>
      </c>
      <c r="DP46" s="7">
        <f>IF(AND(DL46&gt;0,J46&lt;=0),DL46,0)</f>
        <v/>
      </c>
      <c r="DQ46" s="7">
        <f>IF(DA46&gt;=0,DG46-DH46-DI46,-DK46)</f>
        <v/>
      </c>
      <c r="DR46" s="7">
        <f>BD46*(1+DD46)+DQ46*(1+DD46/2)</f>
        <v/>
      </c>
      <c r="DS46" s="7">
        <f>IF(13=0,personal_retiroInicial,DS45)*(1+g_ret)+(O46+P46+DH46)*(1+g_ret/2)</f>
        <v/>
      </c>
      <c r="DT46" s="7">
        <f>IF(BB46=1,BL46*(1+g_appr),0)</f>
        <v/>
      </c>
      <c r="DU46" s="7">
        <f>BP46-DJ46</f>
        <v/>
      </c>
      <c r="DV46" s="7">
        <f>BT46-(DI46-DJ46)</f>
        <v/>
      </c>
      <c r="DW46" s="7">
        <f>CP46+DN46</f>
        <v/>
      </c>
      <c r="DX46" s="7">
        <f>IF(DN46&gt;0,(CP46*CF46+DN46*prestamos_tasaFederalPosgrado)/(CP46+DN46),CF46)</f>
        <v/>
      </c>
      <c r="DY46" s="7">
        <f>IF(DN46&gt;0,0,CQ46)</f>
        <v/>
      </c>
      <c r="DZ46" s="7">
        <f>DM46+DN46</f>
        <v/>
      </c>
      <c r="EA46" s="7">
        <f>CV46+DO46</f>
        <v/>
      </c>
      <c r="EB46" s="7">
        <f>IF(DO46&gt;0,(CV46*CS46+DO46*prestamos_tasaPrivada)/(CV46+DO46),CS46)</f>
        <v/>
      </c>
      <c r="EC46" s="7">
        <f>IF(DO46&gt;0,0,CW46)</f>
        <v/>
      </c>
      <c r="ED46" s="7">
        <f>CX46-DE46+DP46</f>
        <v/>
      </c>
      <c r="EE46" s="7">
        <f>IF(IF(13=0,"",EE45)&lt;&gt;"",EE45,IF(AND(BB46=1,DU46&lt;=0.5,DV46&lt;=0.5,OR(BH46=0,BJ46=1)),A46,""))</f>
        <v/>
      </c>
      <c r="EF46" s="7">
        <f>DU46+DV46+DW46+EA46+ED46+CD46</f>
        <v/>
      </c>
      <c r="EG46" s="7">
        <f>DR46+DS46+DT46-EF46</f>
        <v/>
      </c>
      <c r="EH46" s="7">
        <f>EG46/(1+g_inf)^(A46+1-2026)</f>
        <v/>
      </c>
    </row>
    <row r="47">
      <c r="A47" t="n">
        <v>2041</v>
      </c>
      <c r="B47" t="n">
        <v>14</v>
      </c>
      <c r="C47" s="7">
        <f>(1+g_inf)^(A47-2026)</f>
        <v/>
      </c>
      <c r="D47" s="7">
        <f>SUMPRODUCT($AH$5:$AH$29,$E$5:$E$29*(1+$F$5:$F$29)^(A47-2026)*$G$5:$G$29*$H$5:$H$29*(1-$N$5:$N$29*$O$5:$O$29))*g_salMult+SUMPRODUCT(($B$5:$B$29&gt;=A47)*($B$5:$B$29&lt;A47+1)*$I$5:$I$29)*g_salMult</f>
        <v/>
      </c>
      <c r="E47" s="7">
        <f>SUMPRODUCT($AH$5:$AH$29,$E$5:$E$29*(1+$F$5:$F$29)^(A47-2026)*$G$5:$G$29*$H$5:$H$29*$M$5:$M$29)*g_salMult</f>
        <v/>
      </c>
      <c r="F47" s="7">
        <f>SUMPRODUCT($AH$5:$AH$29,$E$5:$E$29*(1+$F$5:$F$29)^(A47-2026)*$G$5:$G$29*$H$5:$H$29*$N$5:$N$29*$O$5:$O$29)*g_salMult</f>
        <v/>
      </c>
      <c r="G47" s="7">
        <f>SUMPRODUCT($AH$5:$AH$29,$P$5:$P$29*(1+$F$5:$F$29)^(A47-2026))</f>
        <v/>
      </c>
      <c r="H47" s="7">
        <f>SUMPRODUCT($AH$5:$AH$29,$Q$5:$Q$29*(1+$F$5:$F$29)^(A47-2026))+IF(personal_llcActivo=1,personal_llcNeto*(1+personal_llcCrecimiento)^14,0)</f>
        <v/>
      </c>
      <c r="I47" s="7">
        <f>SUMPRODUCT($AH$5:$AH$29,$J$5:$J$29/($C$5:$C$29-$B$5:$B$29+($C$5:$C$29=$B$5:$B$29)))*C47</f>
        <v/>
      </c>
      <c r="J47" s="7">
        <f>SUMPRODUCT($AH$5:$AH$29,$K$5:$K$29)</f>
        <v/>
      </c>
      <c r="K47" s="7">
        <f>SUMPRODUCT($AH$5:$AH$29,$L$5:$L$29)</f>
        <v/>
      </c>
      <c r="L47" s="7">
        <f>SUMPRODUCT($AH$5:$AH$29,$N$5:$N$29)</f>
        <v/>
      </c>
      <c r="M47" s="7">
        <f>IF(SUMPRODUCT($AH$5:$AH$29,$R$5:$R$29)&gt;0,1,0)</f>
        <v/>
      </c>
      <c r="N47" s="7">
        <f>SUMPRODUCT(($AO$5:$AO$24&gt;=A47)*($AO$5:$AO$24&lt;A47+1)*$AP$5:$AP$24)*C47+IF(14=0,IF(sel_loc&lt;&gt;"miami",personal_costoMudanzaInicial,0),0)</f>
        <v/>
      </c>
      <c r="O47" s="7">
        <f>MIN(personal_aporte403bPct*D47,retiro_limite403b*C47)</f>
        <v/>
      </c>
      <c r="P47" s="7">
        <f>MIN(personal_aporte403bPct,personal_match403bPct)*E47</f>
        <v/>
      </c>
      <c r="Q47" s="7">
        <f>IF(G47&gt;0,MAX(0,G47-impuestos_scorpCostoAnual*C47),0)</f>
        <v/>
      </c>
      <c r="R47" s="7">
        <f>Q47*impuestos_scorpSalarioPct/(1+impuestos_ssTasa+impuestos_medicareTasa)</f>
        <v/>
      </c>
      <c r="S47" s="7">
        <f>impuestos_ssTasa*MIN(R47,MAX(0,impuestos_ssTope*C47-D47))+impuestos_medicareTasa*R47</f>
        <v/>
      </c>
      <c r="T47" s="7">
        <f>Q47-R47-S47</f>
        <v/>
      </c>
      <c r="U47" s="7">
        <f>D47+R47</f>
        <v/>
      </c>
      <c r="V47" s="7">
        <f>H47*0.9235</f>
        <v/>
      </c>
      <c r="W47" s="7">
        <f>IF(H47&gt;0,2*impuestos_ssTasa*MIN(V47,MAX(0,impuestos_ssTope*C47-U47))+2*impuestos_medicareTasa*V47,0)</f>
        <v/>
      </c>
      <c r="X47" s="7">
        <f>impuestos_ssTasa*MIN(U47,impuestos_ssTope*C47)+impuestos_medicareTasa*U47+impuestos_medicareAdicional*MAX(0,U47+H47*0.9235-impuestos_medicareUmbral)</f>
        <v/>
      </c>
      <c r="Y47" s="7">
        <f>MAX(0,D47-O47+R47+T47+H47-W47/2)</f>
        <v/>
      </c>
      <c r="Z47" s="7">
        <f>MAX(0,Y47-impuestos_deduccionEstandar*C47)</f>
        <v/>
      </c>
      <c r="AA47" s="7">
        <f>MIN(0.2*MAX(0,T47+H47-W47/2)*MAX(0,MIN(1,1-(Z47-impuestos_qbiUmbral*C47)/(impuestos_qbiRango*C47))),0.2*Z47)</f>
        <v/>
      </c>
      <c r="AB47" s="7">
        <f>MAX(0,Z47-AA47)</f>
        <v/>
      </c>
      <c r="AC47" s="7">
        <f>SUMPRODUCT((AB47&gt;tb_federalBrackets_lo*C47)*(AB47-tb_federalBrackets_lo*C47)*tb_federalBrackets_dr)</f>
        <v/>
      </c>
      <c r="AD47" s="7">
        <f>MAX(0,Y47-impuestos_nyDeduccion*C47)</f>
        <v/>
      </c>
      <c r="AE47" s="7">
        <f>CHOOSE(loc_taxcode,0,impuestos_ohTasa*MAX(0,Y47-impuestos_ohExento*C47)+impuestos_ohMunicipal*U47,SUMPRODUCT((AD47&gt;tb_nyBrackets_lo*C47)*(AD47-tb_nyBrackets_lo*C47)*tb_nyBrackets_dr)+loc_nyc*SUMPRODUCT((AD47&gt;tb_nycBrackets_lo*C47)*(AD47-tb_nycBrackets_lo*C47)*tb_nycBrackets_dr))</f>
        <v/>
      </c>
      <c r="AF47" s="7">
        <f>AC47+AE47+X47+W47</f>
        <v/>
      </c>
      <c r="AG47" s="7">
        <f>D47+F47+R47+T47+H47</f>
        <v/>
      </c>
      <c r="AH47" s="7">
        <f>AG47-AF47-O47</f>
        <v/>
      </c>
      <c r="AI47" s="7">
        <f>D47+F47+G47+H47</f>
        <v/>
      </c>
      <c r="AJ47" s="7">
        <f>loc_gastosVida*C47*g_gastos</f>
        <v/>
      </c>
      <c r="AK47" s="7">
        <f>IF(14=0,personal_liquidoInicial,DR46)</f>
        <v/>
      </c>
      <c r="AL47" s="7">
        <f>IF(14=0,0,BB46)</f>
        <v/>
      </c>
      <c r="AM47" s="7">
        <f>CHOOSE(sel_cfgIdx,loc_precio_duplex,loc_precio_inlaw,loc_precio_dosCasas,loc_precio_casaAdu,loc_precio_multi)</f>
        <v/>
      </c>
      <c r="AN47" s="7">
        <f>AM47*(1+g_appr)^(A47-2026)</f>
        <v/>
      </c>
      <c r="AO47" s="7">
        <f>IF(AND(M47=1,vivienda_prestamoMedico=1),1,0)</f>
        <v/>
      </c>
      <c r="AP47" s="7">
        <f>IF(AO47=1,0.05,vivienda_enganchePct)</f>
        <v/>
      </c>
      <c r="AQ47" s="7">
        <f>AN47*(1-AP47)</f>
        <v/>
      </c>
      <c r="AR47" s="7">
        <f>PMT(g_mortRate/12,vivienda_plazoHipoteca*12,-AQ47)</f>
        <v/>
      </c>
      <c r="AS47" s="7">
        <f>INDEX(cfg_units,sel_cfgIdx)</f>
        <v/>
      </c>
      <c r="AT47" s="7">
        <f>AS47*loc_rentaUnidad*(1+g_inf)^(A47-2026)*(1-vivienda_vacancia)</f>
        <v/>
      </c>
      <c r="AU47" s="7">
        <f>AR47+AN47*loc_impuestoPropPct/12+AM47*loc_seguroPct*(1+vivienda_inflacionSeguro)^(A47-2026)/12+IF(AND(AO47=0,AP47&lt;0.2),AQ47*vivienda_pmiTasa/12,0)</f>
        <v/>
      </c>
      <c r="AV47" s="7">
        <f>AN47*AP47+AN47*vivienda_cierrePct+general_reservaMeses/12*AJ47</f>
        <v/>
      </c>
      <c r="AW47" s="7">
        <f>(IF(14=0,MIN(personal_irsSaldo,personal_irsPagoMensual*12),MIN(CD46,personal_irsPagoMensual*12))+IF(CE47&gt;0,PMT(CF47,MAX(1,prestamos_plazoAnios-CG47),-CE47),0)+IF(CR47&gt;0,PMT(CS47,MAX(1,prestamos_plazoAnios-CT47),-CR47),0))/12</f>
        <v/>
      </c>
      <c r="AX47" s="7">
        <f>IF(OR(sel_cfg="duplex",sel_cfg="multi",sel_cfg="dosCasas"),0.75*personal_aporteFamiliaMensual,0)</f>
        <v/>
      </c>
      <c r="AY47" s="7">
        <f>AU47-0.75*AT47-AX47+AW47</f>
        <v/>
      </c>
      <c r="AZ47" s="7">
        <f>(D47+G47+H47+0.5*F47)/12</f>
        <v/>
      </c>
      <c r="BA47" s="7">
        <f>IF(AND(AL47=0,A47&gt;=vivienda_anioMinCompra,J47&lt;0.5,AI47&gt;0,AK47&gt;=AV47,AY47&lt;=vivienda_dtiMax*AZ47),1,0)</f>
        <v/>
      </c>
      <c r="BB47" s="7">
        <f>MAX(AL47,BA47)</f>
        <v/>
      </c>
      <c r="BC47" s="7">
        <f>IF(BA47=1,A47,IF(14=0,"",BC46))</f>
        <v/>
      </c>
      <c r="BD47" s="7">
        <f>AK47-IF(BA47=1,AN47*AP47+AN47*vivienda_cierrePct,0)</f>
        <v/>
      </c>
      <c r="BE47" s="7">
        <f>IF(BA47=1,AN47,IF(14=0,0,BE46))</f>
        <v/>
      </c>
      <c r="BF47" s="7">
        <f>IF(BA47=1,AR47,IF(14=0,0,BF46))</f>
        <v/>
      </c>
      <c r="BG47" s="7">
        <f>IF(BA47=1,IF(AND(AO47=0,AP47&lt;0.2),1,0),IF(14=0,0,BY46))</f>
        <v/>
      </c>
      <c r="BH47" s="7">
        <f>IF(sel_cfg="casaAdu",1,0)</f>
        <v/>
      </c>
      <c r="BI47" s="7">
        <f>IF(AND(BB47=1,BH47=1,IF(14=0,0,BJ46)=0,A47&gt;=IF(BC47="",9999,BC47)+vivienda_aduRetrasoAnios),1,0)</f>
        <v/>
      </c>
      <c r="BJ47" s="7">
        <f>MAX(IF(14=0,0,BJ46),BI47)</f>
        <v/>
      </c>
      <c r="BK47" s="7">
        <f>IF(BI47=1,PMT((g_mortRate+0.005)/12,180,-loc_precio_aduCosto*C47),IF(14=0,0,BK46))</f>
        <v/>
      </c>
      <c r="BL47" s="7">
        <f>IF(BA47=1,AN47,IF(14=0,0,DT46))+IF(BI47=1,loc_precio_aduCosto*C47,0)</f>
        <v/>
      </c>
      <c r="BM47" s="7">
        <f>IF(BA47=1,AQ47,IF(14=0,0,DU46))</f>
        <v/>
      </c>
      <c r="BN47" s="7">
        <f>IF(BM47&lt;=0,0,FV(g_mortRate/12,12,BF47,-BM47))</f>
        <v/>
      </c>
      <c r="BO47" s="7">
        <f>IF(BM47&lt;=0,0,12*BF47+MIN(0,BN47))</f>
        <v/>
      </c>
      <c r="BP47" s="7">
        <f>MAX(0,BN47)</f>
        <v/>
      </c>
      <c r="BQ47" s="7">
        <f>IF(BI47=1,loc_precio_aduCosto*C47,IF(14=0,0,DV46))</f>
        <v/>
      </c>
      <c r="BR47" s="7">
        <f>IF(BQ47&lt;=0,0,FV((g_mortRate+0.005)/12,12,BK47,-BQ47))</f>
        <v/>
      </c>
      <c r="BS47" s="7">
        <f>IF(BQ47&lt;=0,0,12*BK47+MIN(0,BR47))</f>
        <v/>
      </c>
      <c r="BT47" s="7">
        <f>MAX(0,BR47)</f>
        <v/>
      </c>
      <c r="BU47" s="7">
        <f>IF(BB47=1,AM47*loc_seguroPct*(1+vivienda_inflacionSeguro)^(A47-2026)*IF(BJ47=1,1+loc_precio_aduCosto/AM47,1),0)</f>
        <v/>
      </c>
      <c r="BV47" s="7">
        <f>BL47*loc_impuestoPropPct</f>
        <v/>
      </c>
      <c r="BW47" s="7">
        <f>BL47*vivienda_mantenimientoPct</f>
        <v/>
      </c>
      <c r="BX47" s="7">
        <f>IF(AND(BG47=1,BP47&gt;0.8*BE47),BE47*(1-vivienda_enganchePct)*vivienda_pmiTasa,0)</f>
        <v/>
      </c>
      <c r="BY47" s="7">
        <f>IF(AND(BG47=1,BP47&gt;0.8*BE47),1,0)</f>
        <v/>
      </c>
      <c r="BZ47" s="7">
        <f>IF(BB47=1,AS47*loc_rentaUnidad*12*C47*(1-vivienda_vacancia)*(1-vivienda_gestionPct),0)</f>
        <v/>
      </c>
      <c r="CA47" s="7">
        <f>IF(BB47=1,BO47+BS47+BU47+BV47+BW47+BX47,loc_rentaMensual*12*C47)</f>
        <v/>
      </c>
      <c r="CB47" s="7">
        <f>IF(BB47=1,personal_aporteFamiliaMensual*12,0)</f>
        <v/>
      </c>
      <c r="CC47" s="7">
        <f>MIN(IF(14=0,personal_irsSaldo,CD46),personal_irsPagoMensual*12)</f>
        <v/>
      </c>
      <c r="CD47" s="7">
        <f>IF(14=0,personal_irsSaldo,CD46)-CC47</f>
        <v/>
      </c>
      <c r="CE47" s="7">
        <f>IF(14=0,IF(personal_deudaEsFederal=1,personal_deudaEstudiantil,0),DW46)</f>
        <v/>
      </c>
      <c r="CF47" s="7">
        <f>IF(14=0,personal_tasaDeudaEstudiantil,DX46)</f>
        <v/>
      </c>
      <c r="CG47" s="7">
        <f>IF(14=0,0,DY46)</f>
        <v/>
      </c>
      <c r="CH47" s="7">
        <f>IF(J47&gt;=0.5,1,0)</f>
        <v/>
      </c>
      <c r="CI47" s="7">
        <f>IF(AND(CH47=0,prestamos_pslfActivo=1,K47&gt;=0.5,CE47&gt;0),1,0)</f>
        <v/>
      </c>
      <c r="CJ47" s="7">
        <f>CE47*CF47</f>
        <v/>
      </c>
      <c r="CK47" s="7">
        <f>MAX(prestamos_rapPagoMinimoAnual,IF(Y47&lt;10000,0,MIN(0.1,INT(Y47/10000)/100))*Y47)</f>
        <v/>
      </c>
      <c r="CL47" s="7">
        <f>IF(CE47&lt;=0,0,IF(CH47=1,0,IF(CI47=1,MIN(CE47+CJ47,CK47),PMT(CF47,MAX(1,prestamos_plazoAnios-CG47),-CE47))))</f>
        <v/>
      </c>
      <c r="CM47" s="7">
        <f>IF(CE47&lt;=0,0,IF(CH47=1,CE47+CJ47,IF(CI47=1,MAX(0,CE47-MAX(CL47-CJ47,MIN(600,CL47))),MAX(0,CE47*(1+CF47)-CL47))))</f>
        <v/>
      </c>
      <c r="CN47" s="7">
        <f>IF(14=0,0,CN46)+IF(CI47=1,12*MIN(1,K47),0)</f>
        <v/>
      </c>
      <c r="CO47" s="7">
        <f>IF(AND(CI47=1,CN47&gt;=prestamos_pslfPagos,CM47&gt;0),CM47,0)</f>
        <v/>
      </c>
      <c r="CP47" s="7">
        <f>CM47-CO47</f>
        <v/>
      </c>
      <c r="CQ47" s="7">
        <f>IF(AND(CE47&gt;0,CH47=0,CI47=0),CG47+1,CG47)</f>
        <v/>
      </c>
      <c r="CR47" s="7">
        <f>IF(14=0,IF(personal_deudaEsFederal=1,0,personal_deudaEstudiantil),EA46)</f>
        <v/>
      </c>
      <c r="CS47" s="7">
        <f>IF(14=0,IF(personal_deudaEsFederal=1,prestamos_tasaPrivada,personal_tasaDeudaEstudiantil),EB46)</f>
        <v/>
      </c>
      <c r="CT47" s="7">
        <f>IF(14=0,0,EC46)</f>
        <v/>
      </c>
      <c r="CU47" s="7">
        <f>IF(OR(CR47&lt;=0,CH47=1),0,PMT(CS47,MAX(1,prestamos_plazoAnios-CT47),-CR47))</f>
        <v/>
      </c>
      <c r="CV47" s="7">
        <f>IF(CR47&lt;=0,0,IF(CH47=1,CR47*(1+CS47),MAX(0,CR47*(1+CS47)-CU47)))</f>
        <v/>
      </c>
      <c r="CW47" s="7">
        <f>IF(AND(CR47&gt;0,CH47=0),CT47+1,CT47)</f>
        <v/>
      </c>
      <c r="CX47" s="7">
        <f>IF(14=0,0,ED46)*(1+general_tasaDeudaConsumo)</f>
        <v/>
      </c>
      <c r="CY47" s="7">
        <f>L47*12*tiempos_travelGastoExtraMes*C47</f>
        <v/>
      </c>
      <c r="CZ47" s="7">
        <f>AJ47+CY47+CA47+CC47+CL47+CU47+I47+N47-BZ47-CB47</f>
        <v/>
      </c>
      <c r="DA47" s="7">
        <f>AH47-CZ47</f>
        <v/>
      </c>
      <c r="DB47" s="7">
        <f>IF(14=0,0,DB46)+DA47</f>
        <v/>
      </c>
      <c r="DC47" s="7">
        <f>AN47*vivienda_enganchePct+AN47*vivienda_cierrePct+general_reservaMeses/12*AJ47</f>
        <v/>
      </c>
      <c r="DD47" s="7">
        <f>IF(BB47=1,g_ret,IF(BD47&gt;0,MIN(1,DC47/BD47),1)*g_cash+(1-IF(BD47&gt;0,MIN(1,DC47/BD47),1))*g_ret)</f>
        <v/>
      </c>
      <c r="DE47" s="7">
        <f>IF(DA47&gt;=0,MIN(CX47,DA47),0)</f>
        <v/>
      </c>
      <c r="DF47" s="7">
        <f>IF(DA47&gt;=0,(1-general_tasaAhorro)*(DA47-DE47),0)</f>
        <v/>
      </c>
      <c r="DG47" s="7">
        <f>IF(DA47&gt;=0,DA47-DE47-DF47,0)</f>
        <v/>
      </c>
      <c r="DH47" s="7">
        <f>MIN(personal_rothAnual,DG47)</f>
        <v/>
      </c>
      <c r="DI47" s="7">
        <f>IF(AND(DA47&gt;=0,BB47=1,BP47+BT47&gt;0),MIN(vivienda_prepagoPct*(DG47-DH47),BP47+BT47),0)</f>
        <v/>
      </c>
      <c r="DJ47" s="7">
        <f>MIN(DI47,BP47)</f>
        <v/>
      </c>
      <c r="DK47" s="7">
        <f>IF(DA47&lt;0,MIN(MAX(0,BD47),-DA47),0)</f>
        <v/>
      </c>
      <c r="DL47" s="7">
        <f>IF(DA47&lt;0,-DA47-DK47,0)</f>
        <v/>
      </c>
      <c r="DM47" s="7">
        <f>IF(14=0,0,DZ46)</f>
        <v/>
      </c>
      <c r="DN47" s="7">
        <f>IF(AND(DL47&gt;0,J47&gt;0),MIN(DL47,MIN(prestamos_topeAnualPosgrado*MIN(1,J47),MAX(0,prestamos_topeTotalPosgrado-DM47))),0)</f>
        <v/>
      </c>
      <c r="DO47" s="7">
        <f>IF(AND(DL47&gt;0,J47&gt;0),DL47-DN47,0)</f>
        <v/>
      </c>
      <c r="DP47" s="7">
        <f>IF(AND(DL47&gt;0,J47&lt;=0),DL47,0)</f>
        <v/>
      </c>
      <c r="DQ47" s="7">
        <f>IF(DA47&gt;=0,DG47-DH47-DI47,-DK47)</f>
        <v/>
      </c>
      <c r="DR47" s="7">
        <f>BD47*(1+DD47)+DQ47*(1+DD47/2)</f>
        <v/>
      </c>
      <c r="DS47" s="7">
        <f>IF(14=0,personal_retiroInicial,DS46)*(1+g_ret)+(O47+P47+DH47)*(1+g_ret/2)</f>
        <v/>
      </c>
      <c r="DT47" s="7">
        <f>IF(BB47=1,BL47*(1+g_appr),0)</f>
        <v/>
      </c>
      <c r="DU47" s="7">
        <f>BP47-DJ47</f>
        <v/>
      </c>
      <c r="DV47" s="7">
        <f>BT47-(DI47-DJ47)</f>
        <v/>
      </c>
      <c r="DW47" s="7">
        <f>CP47+DN47</f>
        <v/>
      </c>
      <c r="DX47" s="7">
        <f>IF(DN47&gt;0,(CP47*CF47+DN47*prestamos_tasaFederalPosgrado)/(CP47+DN47),CF47)</f>
        <v/>
      </c>
      <c r="DY47" s="7">
        <f>IF(DN47&gt;0,0,CQ47)</f>
        <v/>
      </c>
      <c r="DZ47" s="7">
        <f>DM47+DN47</f>
        <v/>
      </c>
      <c r="EA47" s="7">
        <f>CV47+DO47</f>
        <v/>
      </c>
      <c r="EB47" s="7">
        <f>IF(DO47&gt;0,(CV47*CS47+DO47*prestamos_tasaPrivada)/(CV47+DO47),CS47)</f>
        <v/>
      </c>
      <c r="EC47" s="7">
        <f>IF(DO47&gt;0,0,CW47)</f>
        <v/>
      </c>
      <c r="ED47" s="7">
        <f>CX47-DE47+DP47</f>
        <v/>
      </c>
      <c r="EE47" s="7">
        <f>IF(IF(14=0,"",EE46)&lt;&gt;"",EE46,IF(AND(BB47=1,DU47&lt;=0.5,DV47&lt;=0.5,OR(BH47=0,BJ47=1)),A47,""))</f>
        <v/>
      </c>
      <c r="EF47" s="7">
        <f>DU47+DV47+DW47+EA47+ED47+CD47</f>
        <v/>
      </c>
      <c r="EG47" s="7">
        <f>DR47+DS47+DT47-EF47</f>
        <v/>
      </c>
      <c r="EH47" s="7">
        <f>EG47/(1+g_inf)^(A47+1-2026)</f>
        <v/>
      </c>
    </row>
    <row r="48">
      <c r="A48" t="n">
        <v>2042</v>
      </c>
      <c r="B48" t="n">
        <v>15</v>
      </c>
      <c r="C48" s="7">
        <f>(1+g_inf)^(A48-2026)</f>
        <v/>
      </c>
      <c r="D48" s="7">
        <f>SUMPRODUCT($AI$5:$AI$29,$E$5:$E$29*(1+$F$5:$F$29)^(A48-2026)*$G$5:$G$29*$H$5:$H$29*(1-$N$5:$N$29*$O$5:$O$29))*g_salMult+SUMPRODUCT(($B$5:$B$29&gt;=A48)*($B$5:$B$29&lt;A48+1)*$I$5:$I$29)*g_salMult</f>
        <v/>
      </c>
      <c r="E48" s="7">
        <f>SUMPRODUCT($AI$5:$AI$29,$E$5:$E$29*(1+$F$5:$F$29)^(A48-2026)*$G$5:$G$29*$H$5:$H$29*$M$5:$M$29)*g_salMult</f>
        <v/>
      </c>
      <c r="F48" s="7">
        <f>SUMPRODUCT($AI$5:$AI$29,$E$5:$E$29*(1+$F$5:$F$29)^(A48-2026)*$G$5:$G$29*$H$5:$H$29*$N$5:$N$29*$O$5:$O$29)*g_salMult</f>
        <v/>
      </c>
      <c r="G48" s="7">
        <f>SUMPRODUCT($AI$5:$AI$29,$P$5:$P$29*(1+$F$5:$F$29)^(A48-2026))</f>
        <v/>
      </c>
      <c r="H48" s="7">
        <f>SUMPRODUCT($AI$5:$AI$29,$Q$5:$Q$29*(1+$F$5:$F$29)^(A48-2026))+IF(personal_llcActivo=1,personal_llcNeto*(1+personal_llcCrecimiento)^15,0)</f>
        <v/>
      </c>
      <c r="I48" s="7">
        <f>SUMPRODUCT($AI$5:$AI$29,$J$5:$J$29/($C$5:$C$29-$B$5:$B$29+($C$5:$C$29=$B$5:$B$29)))*C48</f>
        <v/>
      </c>
      <c r="J48" s="7">
        <f>SUMPRODUCT($AI$5:$AI$29,$K$5:$K$29)</f>
        <v/>
      </c>
      <c r="K48" s="7">
        <f>SUMPRODUCT($AI$5:$AI$29,$L$5:$L$29)</f>
        <v/>
      </c>
      <c r="L48" s="7">
        <f>SUMPRODUCT($AI$5:$AI$29,$N$5:$N$29)</f>
        <v/>
      </c>
      <c r="M48" s="7">
        <f>IF(SUMPRODUCT($AI$5:$AI$29,$R$5:$R$29)&gt;0,1,0)</f>
        <v/>
      </c>
      <c r="N48" s="7">
        <f>SUMPRODUCT(($AO$5:$AO$24&gt;=A48)*($AO$5:$AO$24&lt;A48+1)*$AP$5:$AP$24)*C48+IF(15=0,IF(sel_loc&lt;&gt;"miami",personal_costoMudanzaInicial,0),0)</f>
        <v/>
      </c>
      <c r="O48" s="7">
        <f>MIN(personal_aporte403bPct*D48,retiro_limite403b*C48)</f>
        <v/>
      </c>
      <c r="P48" s="7">
        <f>MIN(personal_aporte403bPct,personal_match403bPct)*E48</f>
        <v/>
      </c>
      <c r="Q48" s="7">
        <f>IF(G48&gt;0,MAX(0,G48-impuestos_scorpCostoAnual*C48),0)</f>
        <v/>
      </c>
      <c r="R48" s="7">
        <f>Q48*impuestos_scorpSalarioPct/(1+impuestos_ssTasa+impuestos_medicareTasa)</f>
        <v/>
      </c>
      <c r="S48" s="7">
        <f>impuestos_ssTasa*MIN(R48,MAX(0,impuestos_ssTope*C48-D48))+impuestos_medicareTasa*R48</f>
        <v/>
      </c>
      <c r="T48" s="7">
        <f>Q48-R48-S48</f>
        <v/>
      </c>
      <c r="U48" s="7">
        <f>D48+R48</f>
        <v/>
      </c>
      <c r="V48" s="7">
        <f>H48*0.9235</f>
        <v/>
      </c>
      <c r="W48" s="7">
        <f>IF(H48&gt;0,2*impuestos_ssTasa*MIN(V48,MAX(0,impuestos_ssTope*C48-U48))+2*impuestos_medicareTasa*V48,0)</f>
        <v/>
      </c>
      <c r="X48" s="7">
        <f>impuestos_ssTasa*MIN(U48,impuestos_ssTope*C48)+impuestos_medicareTasa*U48+impuestos_medicareAdicional*MAX(0,U48+H48*0.9235-impuestos_medicareUmbral)</f>
        <v/>
      </c>
      <c r="Y48" s="7">
        <f>MAX(0,D48-O48+R48+T48+H48-W48/2)</f>
        <v/>
      </c>
      <c r="Z48" s="7">
        <f>MAX(0,Y48-impuestos_deduccionEstandar*C48)</f>
        <v/>
      </c>
      <c r="AA48" s="7">
        <f>MIN(0.2*MAX(0,T48+H48-W48/2)*MAX(0,MIN(1,1-(Z48-impuestos_qbiUmbral*C48)/(impuestos_qbiRango*C48))),0.2*Z48)</f>
        <v/>
      </c>
      <c r="AB48" s="7">
        <f>MAX(0,Z48-AA48)</f>
        <v/>
      </c>
      <c r="AC48" s="7">
        <f>SUMPRODUCT((AB48&gt;tb_federalBrackets_lo*C48)*(AB48-tb_federalBrackets_lo*C48)*tb_federalBrackets_dr)</f>
        <v/>
      </c>
      <c r="AD48" s="7">
        <f>MAX(0,Y48-impuestos_nyDeduccion*C48)</f>
        <v/>
      </c>
      <c r="AE48" s="7">
        <f>CHOOSE(loc_taxcode,0,impuestos_ohTasa*MAX(0,Y48-impuestos_ohExento*C48)+impuestos_ohMunicipal*U48,SUMPRODUCT((AD48&gt;tb_nyBrackets_lo*C48)*(AD48-tb_nyBrackets_lo*C48)*tb_nyBrackets_dr)+loc_nyc*SUMPRODUCT((AD48&gt;tb_nycBrackets_lo*C48)*(AD48-tb_nycBrackets_lo*C48)*tb_nycBrackets_dr))</f>
        <v/>
      </c>
      <c r="AF48" s="7">
        <f>AC48+AE48+X48+W48</f>
        <v/>
      </c>
      <c r="AG48" s="7">
        <f>D48+F48+R48+T48+H48</f>
        <v/>
      </c>
      <c r="AH48" s="7">
        <f>AG48-AF48-O48</f>
        <v/>
      </c>
      <c r="AI48" s="7">
        <f>D48+F48+G48+H48</f>
        <v/>
      </c>
      <c r="AJ48" s="7">
        <f>loc_gastosVida*C48*g_gastos</f>
        <v/>
      </c>
      <c r="AK48" s="7">
        <f>IF(15=0,personal_liquidoInicial,DR47)</f>
        <v/>
      </c>
      <c r="AL48" s="7">
        <f>IF(15=0,0,BB47)</f>
        <v/>
      </c>
      <c r="AM48" s="7">
        <f>CHOOSE(sel_cfgIdx,loc_precio_duplex,loc_precio_inlaw,loc_precio_dosCasas,loc_precio_casaAdu,loc_precio_multi)</f>
        <v/>
      </c>
      <c r="AN48" s="7">
        <f>AM48*(1+g_appr)^(A48-2026)</f>
        <v/>
      </c>
      <c r="AO48" s="7">
        <f>IF(AND(M48=1,vivienda_prestamoMedico=1),1,0)</f>
        <v/>
      </c>
      <c r="AP48" s="7">
        <f>IF(AO48=1,0.05,vivienda_enganchePct)</f>
        <v/>
      </c>
      <c r="AQ48" s="7">
        <f>AN48*(1-AP48)</f>
        <v/>
      </c>
      <c r="AR48" s="7">
        <f>PMT(g_mortRate/12,vivienda_plazoHipoteca*12,-AQ48)</f>
        <v/>
      </c>
      <c r="AS48" s="7">
        <f>INDEX(cfg_units,sel_cfgIdx)</f>
        <v/>
      </c>
      <c r="AT48" s="7">
        <f>AS48*loc_rentaUnidad*(1+g_inf)^(A48-2026)*(1-vivienda_vacancia)</f>
        <v/>
      </c>
      <c r="AU48" s="7">
        <f>AR48+AN48*loc_impuestoPropPct/12+AM48*loc_seguroPct*(1+vivienda_inflacionSeguro)^(A48-2026)/12+IF(AND(AO48=0,AP48&lt;0.2),AQ48*vivienda_pmiTasa/12,0)</f>
        <v/>
      </c>
      <c r="AV48" s="7">
        <f>AN48*AP48+AN48*vivienda_cierrePct+general_reservaMeses/12*AJ48</f>
        <v/>
      </c>
      <c r="AW48" s="7">
        <f>(IF(15=0,MIN(personal_irsSaldo,personal_irsPagoMensual*12),MIN(CD47,personal_irsPagoMensual*12))+IF(CE48&gt;0,PMT(CF48,MAX(1,prestamos_plazoAnios-CG48),-CE48),0)+IF(CR48&gt;0,PMT(CS48,MAX(1,prestamos_plazoAnios-CT48),-CR48),0))/12</f>
        <v/>
      </c>
      <c r="AX48" s="7">
        <f>IF(OR(sel_cfg="duplex",sel_cfg="multi",sel_cfg="dosCasas"),0.75*personal_aporteFamiliaMensual,0)</f>
        <v/>
      </c>
      <c r="AY48" s="7">
        <f>AU48-0.75*AT48-AX48+AW48</f>
        <v/>
      </c>
      <c r="AZ48" s="7">
        <f>(D48+G48+H48+0.5*F48)/12</f>
        <v/>
      </c>
      <c r="BA48" s="7">
        <f>IF(AND(AL48=0,A48&gt;=vivienda_anioMinCompra,J48&lt;0.5,AI48&gt;0,AK48&gt;=AV48,AY48&lt;=vivienda_dtiMax*AZ48),1,0)</f>
        <v/>
      </c>
      <c r="BB48" s="7">
        <f>MAX(AL48,BA48)</f>
        <v/>
      </c>
      <c r="BC48" s="7">
        <f>IF(BA48=1,A48,IF(15=0,"",BC47))</f>
        <v/>
      </c>
      <c r="BD48" s="7">
        <f>AK48-IF(BA48=1,AN48*AP48+AN48*vivienda_cierrePct,0)</f>
        <v/>
      </c>
      <c r="BE48" s="7">
        <f>IF(BA48=1,AN48,IF(15=0,0,BE47))</f>
        <v/>
      </c>
      <c r="BF48" s="7">
        <f>IF(BA48=1,AR48,IF(15=0,0,BF47))</f>
        <v/>
      </c>
      <c r="BG48" s="7">
        <f>IF(BA48=1,IF(AND(AO48=0,AP48&lt;0.2),1,0),IF(15=0,0,BY47))</f>
        <v/>
      </c>
      <c r="BH48" s="7">
        <f>IF(sel_cfg="casaAdu",1,0)</f>
        <v/>
      </c>
      <c r="BI48" s="7">
        <f>IF(AND(BB48=1,BH48=1,IF(15=0,0,BJ47)=0,A48&gt;=IF(BC48="",9999,BC48)+vivienda_aduRetrasoAnios),1,0)</f>
        <v/>
      </c>
      <c r="BJ48" s="7">
        <f>MAX(IF(15=0,0,BJ47),BI48)</f>
        <v/>
      </c>
      <c r="BK48" s="7">
        <f>IF(BI48=1,PMT((g_mortRate+0.005)/12,180,-loc_precio_aduCosto*C48),IF(15=0,0,BK47))</f>
        <v/>
      </c>
      <c r="BL48" s="7">
        <f>IF(BA48=1,AN48,IF(15=0,0,DT47))+IF(BI48=1,loc_precio_aduCosto*C48,0)</f>
        <v/>
      </c>
      <c r="BM48" s="7">
        <f>IF(BA48=1,AQ48,IF(15=0,0,DU47))</f>
        <v/>
      </c>
      <c r="BN48" s="7">
        <f>IF(BM48&lt;=0,0,FV(g_mortRate/12,12,BF48,-BM48))</f>
        <v/>
      </c>
      <c r="BO48" s="7">
        <f>IF(BM48&lt;=0,0,12*BF48+MIN(0,BN48))</f>
        <v/>
      </c>
      <c r="BP48" s="7">
        <f>MAX(0,BN48)</f>
        <v/>
      </c>
      <c r="BQ48" s="7">
        <f>IF(BI48=1,loc_precio_aduCosto*C48,IF(15=0,0,DV47))</f>
        <v/>
      </c>
      <c r="BR48" s="7">
        <f>IF(BQ48&lt;=0,0,FV((g_mortRate+0.005)/12,12,BK48,-BQ48))</f>
        <v/>
      </c>
      <c r="BS48" s="7">
        <f>IF(BQ48&lt;=0,0,12*BK48+MIN(0,BR48))</f>
        <v/>
      </c>
      <c r="BT48" s="7">
        <f>MAX(0,BR48)</f>
        <v/>
      </c>
      <c r="BU48" s="7">
        <f>IF(BB48=1,AM48*loc_seguroPct*(1+vivienda_inflacionSeguro)^(A48-2026)*IF(BJ48=1,1+loc_precio_aduCosto/AM48,1),0)</f>
        <v/>
      </c>
      <c r="BV48" s="7">
        <f>BL48*loc_impuestoPropPct</f>
        <v/>
      </c>
      <c r="BW48" s="7">
        <f>BL48*vivienda_mantenimientoPct</f>
        <v/>
      </c>
      <c r="BX48" s="7">
        <f>IF(AND(BG48=1,BP48&gt;0.8*BE48),BE48*(1-vivienda_enganchePct)*vivienda_pmiTasa,0)</f>
        <v/>
      </c>
      <c r="BY48" s="7">
        <f>IF(AND(BG48=1,BP48&gt;0.8*BE48),1,0)</f>
        <v/>
      </c>
      <c r="BZ48" s="7">
        <f>IF(BB48=1,AS48*loc_rentaUnidad*12*C48*(1-vivienda_vacancia)*(1-vivienda_gestionPct),0)</f>
        <v/>
      </c>
      <c r="CA48" s="7">
        <f>IF(BB48=1,BO48+BS48+BU48+BV48+BW48+BX48,loc_rentaMensual*12*C48)</f>
        <v/>
      </c>
      <c r="CB48" s="7">
        <f>IF(BB48=1,personal_aporteFamiliaMensual*12,0)</f>
        <v/>
      </c>
      <c r="CC48" s="7">
        <f>MIN(IF(15=0,personal_irsSaldo,CD47),personal_irsPagoMensual*12)</f>
        <v/>
      </c>
      <c r="CD48" s="7">
        <f>IF(15=0,personal_irsSaldo,CD47)-CC48</f>
        <v/>
      </c>
      <c r="CE48" s="7">
        <f>IF(15=0,IF(personal_deudaEsFederal=1,personal_deudaEstudiantil,0),DW47)</f>
        <v/>
      </c>
      <c r="CF48" s="7">
        <f>IF(15=0,personal_tasaDeudaEstudiantil,DX47)</f>
        <v/>
      </c>
      <c r="CG48" s="7">
        <f>IF(15=0,0,DY47)</f>
        <v/>
      </c>
      <c r="CH48" s="7">
        <f>IF(J48&gt;=0.5,1,0)</f>
        <v/>
      </c>
      <c r="CI48" s="7">
        <f>IF(AND(CH48=0,prestamos_pslfActivo=1,K48&gt;=0.5,CE48&gt;0),1,0)</f>
        <v/>
      </c>
      <c r="CJ48" s="7">
        <f>CE48*CF48</f>
        <v/>
      </c>
      <c r="CK48" s="7">
        <f>MAX(prestamos_rapPagoMinimoAnual,IF(Y48&lt;10000,0,MIN(0.1,INT(Y48/10000)/100))*Y48)</f>
        <v/>
      </c>
      <c r="CL48" s="7">
        <f>IF(CE48&lt;=0,0,IF(CH48=1,0,IF(CI48=1,MIN(CE48+CJ48,CK48),PMT(CF48,MAX(1,prestamos_plazoAnios-CG48),-CE48))))</f>
        <v/>
      </c>
      <c r="CM48" s="7">
        <f>IF(CE48&lt;=0,0,IF(CH48=1,CE48+CJ48,IF(CI48=1,MAX(0,CE48-MAX(CL48-CJ48,MIN(600,CL48))),MAX(0,CE48*(1+CF48)-CL48))))</f>
        <v/>
      </c>
      <c r="CN48" s="7">
        <f>IF(15=0,0,CN47)+IF(CI48=1,12*MIN(1,K48),0)</f>
        <v/>
      </c>
      <c r="CO48" s="7">
        <f>IF(AND(CI48=1,CN48&gt;=prestamos_pslfPagos,CM48&gt;0),CM48,0)</f>
        <v/>
      </c>
      <c r="CP48" s="7">
        <f>CM48-CO48</f>
        <v/>
      </c>
      <c r="CQ48" s="7">
        <f>IF(AND(CE48&gt;0,CH48=0,CI48=0),CG48+1,CG48)</f>
        <v/>
      </c>
      <c r="CR48" s="7">
        <f>IF(15=0,IF(personal_deudaEsFederal=1,0,personal_deudaEstudiantil),EA47)</f>
        <v/>
      </c>
      <c r="CS48" s="7">
        <f>IF(15=0,IF(personal_deudaEsFederal=1,prestamos_tasaPrivada,personal_tasaDeudaEstudiantil),EB47)</f>
        <v/>
      </c>
      <c r="CT48" s="7">
        <f>IF(15=0,0,EC47)</f>
        <v/>
      </c>
      <c r="CU48" s="7">
        <f>IF(OR(CR48&lt;=0,CH48=1),0,PMT(CS48,MAX(1,prestamos_plazoAnios-CT48),-CR48))</f>
        <v/>
      </c>
      <c r="CV48" s="7">
        <f>IF(CR48&lt;=0,0,IF(CH48=1,CR48*(1+CS48),MAX(0,CR48*(1+CS48)-CU48)))</f>
        <v/>
      </c>
      <c r="CW48" s="7">
        <f>IF(AND(CR48&gt;0,CH48=0),CT48+1,CT48)</f>
        <v/>
      </c>
      <c r="CX48" s="7">
        <f>IF(15=0,0,ED47)*(1+general_tasaDeudaConsumo)</f>
        <v/>
      </c>
      <c r="CY48" s="7">
        <f>L48*12*tiempos_travelGastoExtraMes*C48</f>
        <v/>
      </c>
      <c r="CZ48" s="7">
        <f>AJ48+CY48+CA48+CC48+CL48+CU48+I48+N48-BZ48-CB48</f>
        <v/>
      </c>
      <c r="DA48" s="7">
        <f>AH48-CZ48</f>
        <v/>
      </c>
      <c r="DB48" s="7">
        <f>IF(15=0,0,DB47)+DA48</f>
        <v/>
      </c>
      <c r="DC48" s="7">
        <f>AN48*vivienda_enganchePct+AN48*vivienda_cierrePct+general_reservaMeses/12*AJ48</f>
        <v/>
      </c>
      <c r="DD48" s="7">
        <f>IF(BB48=1,g_ret,IF(BD48&gt;0,MIN(1,DC48/BD48),1)*g_cash+(1-IF(BD48&gt;0,MIN(1,DC48/BD48),1))*g_ret)</f>
        <v/>
      </c>
      <c r="DE48" s="7">
        <f>IF(DA48&gt;=0,MIN(CX48,DA48),0)</f>
        <v/>
      </c>
      <c r="DF48" s="7">
        <f>IF(DA48&gt;=0,(1-general_tasaAhorro)*(DA48-DE48),0)</f>
        <v/>
      </c>
      <c r="DG48" s="7">
        <f>IF(DA48&gt;=0,DA48-DE48-DF48,0)</f>
        <v/>
      </c>
      <c r="DH48" s="7">
        <f>MIN(personal_rothAnual,DG48)</f>
        <v/>
      </c>
      <c r="DI48" s="7">
        <f>IF(AND(DA48&gt;=0,BB48=1,BP48+BT48&gt;0),MIN(vivienda_prepagoPct*(DG48-DH48),BP48+BT48),0)</f>
        <v/>
      </c>
      <c r="DJ48" s="7">
        <f>MIN(DI48,BP48)</f>
        <v/>
      </c>
      <c r="DK48" s="7">
        <f>IF(DA48&lt;0,MIN(MAX(0,BD48),-DA48),0)</f>
        <v/>
      </c>
      <c r="DL48" s="7">
        <f>IF(DA48&lt;0,-DA48-DK48,0)</f>
        <v/>
      </c>
      <c r="DM48" s="7">
        <f>IF(15=0,0,DZ47)</f>
        <v/>
      </c>
      <c r="DN48" s="7">
        <f>IF(AND(DL48&gt;0,J48&gt;0),MIN(DL48,MIN(prestamos_topeAnualPosgrado*MIN(1,J48),MAX(0,prestamos_topeTotalPosgrado-DM48))),0)</f>
        <v/>
      </c>
      <c r="DO48" s="7">
        <f>IF(AND(DL48&gt;0,J48&gt;0),DL48-DN48,0)</f>
        <v/>
      </c>
      <c r="DP48" s="7">
        <f>IF(AND(DL48&gt;0,J48&lt;=0),DL48,0)</f>
        <v/>
      </c>
      <c r="DQ48" s="7">
        <f>IF(DA48&gt;=0,DG48-DH48-DI48,-DK48)</f>
        <v/>
      </c>
      <c r="DR48" s="7">
        <f>BD48*(1+DD48)+DQ48*(1+DD48/2)</f>
        <v/>
      </c>
      <c r="DS48" s="7">
        <f>IF(15=0,personal_retiroInicial,DS47)*(1+g_ret)+(O48+P48+DH48)*(1+g_ret/2)</f>
        <v/>
      </c>
      <c r="DT48" s="7">
        <f>IF(BB48=1,BL48*(1+g_appr),0)</f>
        <v/>
      </c>
      <c r="DU48" s="7">
        <f>BP48-DJ48</f>
        <v/>
      </c>
      <c r="DV48" s="7">
        <f>BT48-(DI48-DJ48)</f>
        <v/>
      </c>
      <c r="DW48" s="7">
        <f>CP48+DN48</f>
        <v/>
      </c>
      <c r="DX48" s="7">
        <f>IF(DN48&gt;0,(CP48*CF48+DN48*prestamos_tasaFederalPosgrado)/(CP48+DN48),CF48)</f>
        <v/>
      </c>
      <c r="DY48" s="7">
        <f>IF(DN48&gt;0,0,CQ48)</f>
        <v/>
      </c>
      <c r="DZ48" s="7">
        <f>DM48+DN48</f>
        <v/>
      </c>
      <c r="EA48" s="7">
        <f>CV48+DO48</f>
        <v/>
      </c>
      <c r="EB48" s="7">
        <f>IF(DO48&gt;0,(CV48*CS48+DO48*prestamos_tasaPrivada)/(CV48+DO48),CS48)</f>
        <v/>
      </c>
      <c r="EC48" s="7">
        <f>IF(DO48&gt;0,0,CW48)</f>
        <v/>
      </c>
      <c r="ED48" s="7">
        <f>CX48-DE48+DP48</f>
        <v/>
      </c>
      <c r="EE48" s="7">
        <f>IF(IF(15=0,"",EE47)&lt;&gt;"",EE47,IF(AND(BB48=1,DU48&lt;=0.5,DV48&lt;=0.5,OR(BH48=0,BJ48=1)),A48,""))</f>
        <v/>
      </c>
      <c r="EF48" s="7">
        <f>DU48+DV48+DW48+EA48+ED48+CD48</f>
        <v/>
      </c>
      <c r="EG48" s="7">
        <f>DR48+DS48+DT48-EF48</f>
        <v/>
      </c>
      <c r="EH48" s="7">
        <f>EG48/(1+g_inf)^(A48+1-2026)</f>
        <v/>
      </c>
    </row>
    <row r="49">
      <c r="A49" t="n">
        <v>2043</v>
      </c>
      <c r="B49" t="n">
        <v>16</v>
      </c>
      <c r="C49" s="7">
        <f>(1+g_inf)^(A49-2026)</f>
        <v/>
      </c>
      <c r="D49" s="7">
        <f>SUMPRODUCT($AJ$5:$AJ$29,$E$5:$E$29*(1+$F$5:$F$29)^(A49-2026)*$G$5:$G$29*$H$5:$H$29*(1-$N$5:$N$29*$O$5:$O$29))*g_salMult+SUMPRODUCT(($B$5:$B$29&gt;=A49)*($B$5:$B$29&lt;A49+1)*$I$5:$I$29)*g_salMult</f>
        <v/>
      </c>
      <c r="E49" s="7">
        <f>SUMPRODUCT($AJ$5:$AJ$29,$E$5:$E$29*(1+$F$5:$F$29)^(A49-2026)*$G$5:$G$29*$H$5:$H$29*$M$5:$M$29)*g_salMult</f>
        <v/>
      </c>
      <c r="F49" s="7">
        <f>SUMPRODUCT($AJ$5:$AJ$29,$E$5:$E$29*(1+$F$5:$F$29)^(A49-2026)*$G$5:$G$29*$H$5:$H$29*$N$5:$N$29*$O$5:$O$29)*g_salMult</f>
        <v/>
      </c>
      <c r="G49" s="7">
        <f>SUMPRODUCT($AJ$5:$AJ$29,$P$5:$P$29*(1+$F$5:$F$29)^(A49-2026))</f>
        <v/>
      </c>
      <c r="H49" s="7">
        <f>SUMPRODUCT($AJ$5:$AJ$29,$Q$5:$Q$29*(1+$F$5:$F$29)^(A49-2026))+IF(personal_llcActivo=1,personal_llcNeto*(1+personal_llcCrecimiento)^16,0)</f>
        <v/>
      </c>
      <c r="I49" s="7">
        <f>SUMPRODUCT($AJ$5:$AJ$29,$J$5:$J$29/($C$5:$C$29-$B$5:$B$29+($C$5:$C$29=$B$5:$B$29)))*C49</f>
        <v/>
      </c>
      <c r="J49" s="7">
        <f>SUMPRODUCT($AJ$5:$AJ$29,$K$5:$K$29)</f>
        <v/>
      </c>
      <c r="K49" s="7">
        <f>SUMPRODUCT($AJ$5:$AJ$29,$L$5:$L$29)</f>
        <v/>
      </c>
      <c r="L49" s="7">
        <f>SUMPRODUCT($AJ$5:$AJ$29,$N$5:$N$29)</f>
        <v/>
      </c>
      <c r="M49" s="7">
        <f>IF(SUMPRODUCT($AJ$5:$AJ$29,$R$5:$R$29)&gt;0,1,0)</f>
        <v/>
      </c>
      <c r="N49" s="7">
        <f>SUMPRODUCT(($AO$5:$AO$24&gt;=A49)*($AO$5:$AO$24&lt;A49+1)*$AP$5:$AP$24)*C49+IF(16=0,IF(sel_loc&lt;&gt;"miami",personal_costoMudanzaInicial,0),0)</f>
        <v/>
      </c>
      <c r="O49" s="7">
        <f>MIN(personal_aporte403bPct*D49,retiro_limite403b*C49)</f>
        <v/>
      </c>
      <c r="P49" s="7">
        <f>MIN(personal_aporte403bPct,personal_match403bPct)*E49</f>
        <v/>
      </c>
      <c r="Q49" s="7">
        <f>IF(G49&gt;0,MAX(0,G49-impuestos_scorpCostoAnual*C49),0)</f>
        <v/>
      </c>
      <c r="R49" s="7">
        <f>Q49*impuestos_scorpSalarioPct/(1+impuestos_ssTasa+impuestos_medicareTasa)</f>
        <v/>
      </c>
      <c r="S49" s="7">
        <f>impuestos_ssTasa*MIN(R49,MAX(0,impuestos_ssTope*C49-D49))+impuestos_medicareTasa*R49</f>
        <v/>
      </c>
      <c r="T49" s="7">
        <f>Q49-R49-S49</f>
        <v/>
      </c>
      <c r="U49" s="7">
        <f>D49+R49</f>
        <v/>
      </c>
      <c r="V49" s="7">
        <f>H49*0.9235</f>
        <v/>
      </c>
      <c r="W49" s="7">
        <f>IF(H49&gt;0,2*impuestos_ssTasa*MIN(V49,MAX(0,impuestos_ssTope*C49-U49))+2*impuestos_medicareTasa*V49,0)</f>
        <v/>
      </c>
      <c r="X49" s="7">
        <f>impuestos_ssTasa*MIN(U49,impuestos_ssTope*C49)+impuestos_medicareTasa*U49+impuestos_medicareAdicional*MAX(0,U49+H49*0.9235-impuestos_medicareUmbral)</f>
        <v/>
      </c>
      <c r="Y49" s="7">
        <f>MAX(0,D49-O49+R49+T49+H49-W49/2)</f>
        <v/>
      </c>
      <c r="Z49" s="7">
        <f>MAX(0,Y49-impuestos_deduccionEstandar*C49)</f>
        <v/>
      </c>
      <c r="AA49" s="7">
        <f>MIN(0.2*MAX(0,T49+H49-W49/2)*MAX(0,MIN(1,1-(Z49-impuestos_qbiUmbral*C49)/(impuestos_qbiRango*C49))),0.2*Z49)</f>
        <v/>
      </c>
      <c r="AB49" s="7">
        <f>MAX(0,Z49-AA49)</f>
        <v/>
      </c>
      <c r="AC49" s="7">
        <f>SUMPRODUCT((AB49&gt;tb_federalBrackets_lo*C49)*(AB49-tb_federalBrackets_lo*C49)*tb_federalBrackets_dr)</f>
        <v/>
      </c>
      <c r="AD49" s="7">
        <f>MAX(0,Y49-impuestos_nyDeduccion*C49)</f>
        <v/>
      </c>
      <c r="AE49" s="7">
        <f>CHOOSE(loc_taxcode,0,impuestos_ohTasa*MAX(0,Y49-impuestos_ohExento*C49)+impuestos_ohMunicipal*U49,SUMPRODUCT((AD49&gt;tb_nyBrackets_lo*C49)*(AD49-tb_nyBrackets_lo*C49)*tb_nyBrackets_dr)+loc_nyc*SUMPRODUCT((AD49&gt;tb_nycBrackets_lo*C49)*(AD49-tb_nycBrackets_lo*C49)*tb_nycBrackets_dr))</f>
        <v/>
      </c>
      <c r="AF49" s="7">
        <f>AC49+AE49+X49+W49</f>
        <v/>
      </c>
      <c r="AG49" s="7">
        <f>D49+F49+R49+T49+H49</f>
        <v/>
      </c>
      <c r="AH49" s="7">
        <f>AG49-AF49-O49</f>
        <v/>
      </c>
      <c r="AI49" s="7">
        <f>D49+F49+G49+H49</f>
        <v/>
      </c>
      <c r="AJ49" s="7">
        <f>loc_gastosVida*C49*g_gastos</f>
        <v/>
      </c>
      <c r="AK49" s="7">
        <f>IF(16=0,personal_liquidoInicial,DR48)</f>
        <v/>
      </c>
      <c r="AL49" s="7">
        <f>IF(16=0,0,BB48)</f>
        <v/>
      </c>
      <c r="AM49" s="7">
        <f>CHOOSE(sel_cfgIdx,loc_precio_duplex,loc_precio_inlaw,loc_precio_dosCasas,loc_precio_casaAdu,loc_precio_multi)</f>
        <v/>
      </c>
      <c r="AN49" s="7">
        <f>AM49*(1+g_appr)^(A49-2026)</f>
        <v/>
      </c>
      <c r="AO49" s="7">
        <f>IF(AND(M49=1,vivienda_prestamoMedico=1),1,0)</f>
        <v/>
      </c>
      <c r="AP49" s="7">
        <f>IF(AO49=1,0.05,vivienda_enganchePct)</f>
        <v/>
      </c>
      <c r="AQ49" s="7">
        <f>AN49*(1-AP49)</f>
        <v/>
      </c>
      <c r="AR49" s="7">
        <f>PMT(g_mortRate/12,vivienda_plazoHipoteca*12,-AQ49)</f>
        <v/>
      </c>
      <c r="AS49" s="7">
        <f>INDEX(cfg_units,sel_cfgIdx)</f>
        <v/>
      </c>
      <c r="AT49" s="7">
        <f>AS49*loc_rentaUnidad*(1+g_inf)^(A49-2026)*(1-vivienda_vacancia)</f>
        <v/>
      </c>
      <c r="AU49" s="7">
        <f>AR49+AN49*loc_impuestoPropPct/12+AM49*loc_seguroPct*(1+vivienda_inflacionSeguro)^(A49-2026)/12+IF(AND(AO49=0,AP49&lt;0.2),AQ49*vivienda_pmiTasa/12,0)</f>
        <v/>
      </c>
      <c r="AV49" s="7">
        <f>AN49*AP49+AN49*vivienda_cierrePct+general_reservaMeses/12*AJ49</f>
        <v/>
      </c>
      <c r="AW49" s="7">
        <f>(IF(16=0,MIN(personal_irsSaldo,personal_irsPagoMensual*12),MIN(CD48,personal_irsPagoMensual*12))+IF(CE49&gt;0,PMT(CF49,MAX(1,prestamos_plazoAnios-CG49),-CE49),0)+IF(CR49&gt;0,PMT(CS49,MAX(1,prestamos_plazoAnios-CT49),-CR49),0))/12</f>
        <v/>
      </c>
      <c r="AX49" s="7">
        <f>IF(OR(sel_cfg="duplex",sel_cfg="multi",sel_cfg="dosCasas"),0.75*personal_aporteFamiliaMensual,0)</f>
        <v/>
      </c>
      <c r="AY49" s="7">
        <f>AU49-0.75*AT49-AX49+AW49</f>
        <v/>
      </c>
      <c r="AZ49" s="7">
        <f>(D49+G49+H49+0.5*F49)/12</f>
        <v/>
      </c>
      <c r="BA49" s="7">
        <f>IF(AND(AL49=0,A49&gt;=vivienda_anioMinCompra,J49&lt;0.5,AI49&gt;0,AK49&gt;=AV49,AY49&lt;=vivienda_dtiMax*AZ49),1,0)</f>
        <v/>
      </c>
      <c r="BB49" s="7">
        <f>MAX(AL49,BA49)</f>
        <v/>
      </c>
      <c r="BC49" s="7">
        <f>IF(BA49=1,A49,IF(16=0,"",BC48))</f>
        <v/>
      </c>
      <c r="BD49" s="7">
        <f>AK49-IF(BA49=1,AN49*AP49+AN49*vivienda_cierrePct,0)</f>
        <v/>
      </c>
      <c r="BE49" s="7">
        <f>IF(BA49=1,AN49,IF(16=0,0,BE48))</f>
        <v/>
      </c>
      <c r="BF49" s="7">
        <f>IF(BA49=1,AR49,IF(16=0,0,BF48))</f>
        <v/>
      </c>
      <c r="BG49" s="7">
        <f>IF(BA49=1,IF(AND(AO49=0,AP49&lt;0.2),1,0),IF(16=0,0,BY48))</f>
        <v/>
      </c>
      <c r="BH49" s="7">
        <f>IF(sel_cfg="casaAdu",1,0)</f>
        <v/>
      </c>
      <c r="BI49" s="7">
        <f>IF(AND(BB49=1,BH49=1,IF(16=0,0,BJ48)=0,A49&gt;=IF(BC49="",9999,BC49)+vivienda_aduRetrasoAnios),1,0)</f>
        <v/>
      </c>
      <c r="BJ49" s="7">
        <f>MAX(IF(16=0,0,BJ48),BI49)</f>
        <v/>
      </c>
      <c r="BK49" s="7">
        <f>IF(BI49=1,PMT((g_mortRate+0.005)/12,180,-loc_precio_aduCosto*C49),IF(16=0,0,BK48))</f>
        <v/>
      </c>
      <c r="BL49" s="7">
        <f>IF(BA49=1,AN49,IF(16=0,0,DT48))+IF(BI49=1,loc_precio_aduCosto*C49,0)</f>
        <v/>
      </c>
      <c r="BM49" s="7">
        <f>IF(BA49=1,AQ49,IF(16=0,0,DU48))</f>
        <v/>
      </c>
      <c r="BN49" s="7">
        <f>IF(BM49&lt;=0,0,FV(g_mortRate/12,12,BF49,-BM49))</f>
        <v/>
      </c>
      <c r="BO49" s="7">
        <f>IF(BM49&lt;=0,0,12*BF49+MIN(0,BN49))</f>
        <v/>
      </c>
      <c r="BP49" s="7">
        <f>MAX(0,BN49)</f>
        <v/>
      </c>
      <c r="BQ49" s="7">
        <f>IF(BI49=1,loc_precio_aduCosto*C49,IF(16=0,0,DV48))</f>
        <v/>
      </c>
      <c r="BR49" s="7">
        <f>IF(BQ49&lt;=0,0,FV((g_mortRate+0.005)/12,12,BK49,-BQ49))</f>
        <v/>
      </c>
      <c r="BS49" s="7">
        <f>IF(BQ49&lt;=0,0,12*BK49+MIN(0,BR49))</f>
        <v/>
      </c>
      <c r="BT49" s="7">
        <f>MAX(0,BR49)</f>
        <v/>
      </c>
      <c r="BU49" s="7">
        <f>IF(BB49=1,AM49*loc_seguroPct*(1+vivienda_inflacionSeguro)^(A49-2026)*IF(BJ49=1,1+loc_precio_aduCosto/AM49,1),0)</f>
        <v/>
      </c>
      <c r="BV49" s="7">
        <f>BL49*loc_impuestoPropPct</f>
        <v/>
      </c>
      <c r="BW49" s="7">
        <f>BL49*vivienda_mantenimientoPct</f>
        <v/>
      </c>
      <c r="BX49" s="7">
        <f>IF(AND(BG49=1,BP49&gt;0.8*BE49),BE49*(1-vivienda_enganchePct)*vivienda_pmiTasa,0)</f>
        <v/>
      </c>
      <c r="BY49" s="7">
        <f>IF(AND(BG49=1,BP49&gt;0.8*BE49),1,0)</f>
        <v/>
      </c>
      <c r="BZ49" s="7">
        <f>IF(BB49=1,AS49*loc_rentaUnidad*12*C49*(1-vivienda_vacancia)*(1-vivienda_gestionPct),0)</f>
        <v/>
      </c>
      <c r="CA49" s="7">
        <f>IF(BB49=1,BO49+BS49+BU49+BV49+BW49+BX49,loc_rentaMensual*12*C49)</f>
        <v/>
      </c>
      <c r="CB49" s="7">
        <f>IF(BB49=1,personal_aporteFamiliaMensual*12,0)</f>
        <v/>
      </c>
      <c r="CC49" s="7">
        <f>MIN(IF(16=0,personal_irsSaldo,CD48),personal_irsPagoMensual*12)</f>
        <v/>
      </c>
      <c r="CD49" s="7">
        <f>IF(16=0,personal_irsSaldo,CD48)-CC49</f>
        <v/>
      </c>
      <c r="CE49" s="7">
        <f>IF(16=0,IF(personal_deudaEsFederal=1,personal_deudaEstudiantil,0),DW48)</f>
        <v/>
      </c>
      <c r="CF49" s="7">
        <f>IF(16=0,personal_tasaDeudaEstudiantil,DX48)</f>
        <v/>
      </c>
      <c r="CG49" s="7">
        <f>IF(16=0,0,DY48)</f>
        <v/>
      </c>
      <c r="CH49" s="7">
        <f>IF(J49&gt;=0.5,1,0)</f>
        <v/>
      </c>
      <c r="CI49" s="7">
        <f>IF(AND(CH49=0,prestamos_pslfActivo=1,K49&gt;=0.5,CE49&gt;0),1,0)</f>
        <v/>
      </c>
      <c r="CJ49" s="7">
        <f>CE49*CF49</f>
        <v/>
      </c>
      <c r="CK49" s="7">
        <f>MAX(prestamos_rapPagoMinimoAnual,IF(Y49&lt;10000,0,MIN(0.1,INT(Y49/10000)/100))*Y49)</f>
        <v/>
      </c>
      <c r="CL49" s="7">
        <f>IF(CE49&lt;=0,0,IF(CH49=1,0,IF(CI49=1,MIN(CE49+CJ49,CK49),PMT(CF49,MAX(1,prestamos_plazoAnios-CG49),-CE49))))</f>
        <v/>
      </c>
      <c r="CM49" s="7">
        <f>IF(CE49&lt;=0,0,IF(CH49=1,CE49+CJ49,IF(CI49=1,MAX(0,CE49-MAX(CL49-CJ49,MIN(600,CL49))),MAX(0,CE49*(1+CF49)-CL49))))</f>
        <v/>
      </c>
      <c r="CN49" s="7">
        <f>IF(16=0,0,CN48)+IF(CI49=1,12*MIN(1,K49),0)</f>
        <v/>
      </c>
      <c r="CO49" s="7">
        <f>IF(AND(CI49=1,CN49&gt;=prestamos_pslfPagos,CM49&gt;0),CM49,0)</f>
        <v/>
      </c>
      <c r="CP49" s="7">
        <f>CM49-CO49</f>
        <v/>
      </c>
      <c r="CQ49" s="7">
        <f>IF(AND(CE49&gt;0,CH49=0,CI49=0),CG49+1,CG49)</f>
        <v/>
      </c>
      <c r="CR49" s="7">
        <f>IF(16=0,IF(personal_deudaEsFederal=1,0,personal_deudaEstudiantil),EA48)</f>
        <v/>
      </c>
      <c r="CS49" s="7">
        <f>IF(16=0,IF(personal_deudaEsFederal=1,prestamos_tasaPrivada,personal_tasaDeudaEstudiantil),EB48)</f>
        <v/>
      </c>
      <c r="CT49" s="7">
        <f>IF(16=0,0,EC48)</f>
        <v/>
      </c>
      <c r="CU49" s="7">
        <f>IF(OR(CR49&lt;=0,CH49=1),0,PMT(CS49,MAX(1,prestamos_plazoAnios-CT49),-CR49))</f>
        <v/>
      </c>
      <c r="CV49" s="7">
        <f>IF(CR49&lt;=0,0,IF(CH49=1,CR49*(1+CS49),MAX(0,CR49*(1+CS49)-CU49)))</f>
        <v/>
      </c>
      <c r="CW49" s="7">
        <f>IF(AND(CR49&gt;0,CH49=0),CT49+1,CT49)</f>
        <v/>
      </c>
      <c r="CX49" s="7">
        <f>IF(16=0,0,ED48)*(1+general_tasaDeudaConsumo)</f>
        <v/>
      </c>
      <c r="CY49" s="7">
        <f>L49*12*tiempos_travelGastoExtraMes*C49</f>
        <v/>
      </c>
      <c r="CZ49" s="7">
        <f>AJ49+CY49+CA49+CC49+CL49+CU49+I49+N49-BZ49-CB49</f>
        <v/>
      </c>
      <c r="DA49" s="7">
        <f>AH49-CZ49</f>
        <v/>
      </c>
      <c r="DB49" s="7">
        <f>IF(16=0,0,DB48)+DA49</f>
        <v/>
      </c>
      <c r="DC49" s="7">
        <f>AN49*vivienda_enganchePct+AN49*vivienda_cierrePct+general_reservaMeses/12*AJ49</f>
        <v/>
      </c>
      <c r="DD49" s="7">
        <f>IF(BB49=1,g_ret,IF(BD49&gt;0,MIN(1,DC49/BD49),1)*g_cash+(1-IF(BD49&gt;0,MIN(1,DC49/BD49),1))*g_ret)</f>
        <v/>
      </c>
      <c r="DE49" s="7">
        <f>IF(DA49&gt;=0,MIN(CX49,DA49),0)</f>
        <v/>
      </c>
      <c r="DF49" s="7">
        <f>IF(DA49&gt;=0,(1-general_tasaAhorro)*(DA49-DE49),0)</f>
        <v/>
      </c>
      <c r="DG49" s="7">
        <f>IF(DA49&gt;=0,DA49-DE49-DF49,0)</f>
        <v/>
      </c>
      <c r="DH49" s="7">
        <f>MIN(personal_rothAnual,DG49)</f>
        <v/>
      </c>
      <c r="DI49" s="7">
        <f>IF(AND(DA49&gt;=0,BB49=1,BP49+BT49&gt;0),MIN(vivienda_prepagoPct*(DG49-DH49),BP49+BT49),0)</f>
        <v/>
      </c>
      <c r="DJ49" s="7">
        <f>MIN(DI49,BP49)</f>
        <v/>
      </c>
      <c r="DK49" s="7">
        <f>IF(DA49&lt;0,MIN(MAX(0,BD49),-DA49),0)</f>
        <v/>
      </c>
      <c r="DL49" s="7">
        <f>IF(DA49&lt;0,-DA49-DK49,0)</f>
        <v/>
      </c>
      <c r="DM49" s="7">
        <f>IF(16=0,0,DZ48)</f>
        <v/>
      </c>
      <c r="DN49" s="7">
        <f>IF(AND(DL49&gt;0,J49&gt;0),MIN(DL49,MIN(prestamos_topeAnualPosgrado*MIN(1,J49),MAX(0,prestamos_topeTotalPosgrado-DM49))),0)</f>
        <v/>
      </c>
      <c r="DO49" s="7">
        <f>IF(AND(DL49&gt;0,J49&gt;0),DL49-DN49,0)</f>
        <v/>
      </c>
      <c r="DP49" s="7">
        <f>IF(AND(DL49&gt;0,J49&lt;=0),DL49,0)</f>
        <v/>
      </c>
      <c r="DQ49" s="7">
        <f>IF(DA49&gt;=0,DG49-DH49-DI49,-DK49)</f>
        <v/>
      </c>
      <c r="DR49" s="7">
        <f>BD49*(1+DD49)+DQ49*(1+DD49/2)</f>
        <v/>
      </c>
      <c r="DS49" s="7">
        <f>IF(16=0,personal_retiroInicial,DS48)*(1+g_ret)+(O49+P49+DH49)*(1+g_ret/2)</f>
        <v/>
      </c>
      <c r="DT49" s="7">
        <f>IF(BB49=1,BL49*(1+g_appr),0)</f>
        <v/>
      </c>
      <c r="DU49" s="7">
        <f>BP49-DJ49</f>
        <v/>
      </c>
      <c r="DV49" s="7">
        <f>BT49-(DI49-DJ49)</f>
        <v/>
      </c>
      <c r="DW49" s="7">
        <f>CP49+DN49</f>
        <v/>
      </c>
      <c r="DX49" s="7">
        <f>IF(DN49&gt;0,(CP49*CF49+DN49*prestamos_tasaFederalPosgrado)/(CP49+DN49),CF49)</f>
        <v/>
      </c>
      <c r="DY49" s="7">
        <f>IF(DN49&gt;0,0,CQ49)</f>
        <v/>
      </c>
      <c r="DZ49" s="7">
        <f>DM49+DN49</f>
        <v/>
      </c>
      <c r="EA49" s="7">
        <f>CV49+DO49</f>
        <v/>
      </c>
      <c r="EB49" s="7">
        <f>IF(DO49&gt;0,(CV49*CS49+DO49*prestamos_tasaPrivada)/(CV49+DO49),CS49)</f>
        <v/>
      </c>
      <c r="EC49" s="7">
        <f>IF(DO49&gt;0,0,CW49)</f>
        <v/>
      </c>
      <c r="ED49" s="7">
        <f>CX49-DE49+DP49</f>
        <v/>
      </c>
      <c r="EE49" s="7">
        <f>IF(IF(16=0,"",EE48)&lt;&gt;"",EE48,IF(AND(BB49=1,DU49&lt;=0.5,DV49&lt;=0.5,OR(BH49=0,BJ49=1)),A49,""))</f>
        <v/>
      </c>
      <c r="EF49" s="7">
        <f>DU49+DV49+DW49+EA49+ED49+CD49</f>
        <v/>
      </c>
      <c r="EG49" s="7">
        <f>DR49+DS49+DT49-EF49</f>
        <v/>
      </c>
      <c r="EH49" s="7">
        <f>EG49/(1+g_inf)^(A49+1-2026)</f>
        <v/>
      </c>
    </row>
    <row r="50">
      <c r="A50" t="n">
        <v>2044</v>
      </c>
      <c r="B50" t="n">
        <v>17</v>
      </c>
      <c r="C50" s="7">
        <f>(1+g_inf)^(A50-2026)</f>
        <v/>
      </c>
      <c r="D50" s="7">
        <f>SUMPRODUCT($AK$5:$AK$29,$E$5:$E$29*(1+$F$5:$F$29)^(A50-2026)*$G$5:$G$29*$H$5:$H$29*(1-$N$5:$N$29*$O$5:$O$29))*g_salMult+SUMPRODUCT(($B$5:$B$29&gt;=A50)*($B$5:$B$29&lt;A50+1)*$I$5:$I$29)*g_salMult</f>
        <v/>
      </c>
      <c r="E50" s="7">
        <f>SUMPRODUCT($AK$5:$AK$29,$E$5:$E$29*(1+$F$5:$F$29)^(A50-2026)*$G$5:$G$29*$H$5:$H$29*$M$5:$M$29)*g_salMult</f>
        <v/>
      </c>
      <c r="F50" s="7">
        <f>SUMPRODUCT($AK$5:$AK$29,$E$5:$E$29*(1+$F$5:$F$29)^(A50-2026)*$G$5:$G$29*$H$5:$H$29*$N$5:$N$29*$O$5:$O$29)*g_salMult</f>
        <v/>
      </c>
      <c r="G50" s="7">
        <f>SUMPRODUCT($AK$5:$AK$29,$P$5:$P$29*(1+$F$5:$F$29)^(A50-2026))</f>
        <v/>
      </c>
      <c r="H50" s="7">
        <f>SUMPRODUCT($AK$5:$AK$29,$Q$5:$Q$29*(1+$F$5:$F$29)^(A50-2026))+IF(personal_llcActivo=1,personal_llcNeto*(1+personal_llcCrecimiento)^17,0)</f>
        <v/>
      </c>
      <c r="I50" s="7">
        <f>SUMPRODUCT($AK$5:$AK$29,$J$5:$J$29/($C$5:$C$29-$B$5:$B$29+($C$5:$C$29=$B$5:$B$29)))*C50</f>
        <v/>
      </c>
      <c r="J50" s="7">
        <f>SUMPRODUCT($AK$5:$AK$29,$K$5:$K$29)</f>
        <v/>
      </c>
      <c r="K50" s="7">
        <f>SUMPRODUCT($AK$5:$AK$29,$L$5:$L$29)</f>
        <v/>
      </c>
      <c r="L50" s="7">
        <f>SUMPRODUCT($AK$5:$AK$29,$N$5:$N$29)</f>
        <v/>
      </c>
      <c r="M50" s="7">
        <f>IF(SUMPRODUCT($AK$5:$AK$29,$R$5:$R$29)&gt;0,1,0)</f>
        <v/>
      </c>
      <c r="N50" s="7">
        <f>SUMPRODUCT(($AO$5:$AO$24&gt;=A50)*($AO$5:$AO$24&lt;A50+1)*$AP$5:$AP$24)*C50+IF(17=0,IF(sel_loc&lt;&gt;"miami",personal_costoMudanzaInicial,0),0)</f>
        <v/>
      </c>
      <c r="O50" s="7">
        <f>MIN(personal_aporte403bPct*D50,retiro_limite403b*C50)</f>
        <v/>
      </c>
      <c r="P50" s="7">
        <f>MIN(personal_aporte403bPct,personal_match403bPct)*E50</f>
        <v/>
      </c>
      <c r="Q50" s="7">
        <f>IF(G50&gt;0,MAX(0,G50-impuestos_scorpCostoAnual*C50),0)</f>
        <v/>
      </c>
      <c r="R50" s="7">
        <f>Q50*impuestos_scorpSalarioPct/(1+impuestos_ssTasa+impuestos_medicareTasa)</f>
        <v/>
      </c>
      <c r="S50" s="7">
        <f>impuestos_ssTasa*MIN(R50,MAX(0,impuestos_ssTope*C50-D50))+impuestos_medicareTasa*R50</f>
        <v/>
      </c>
      <c r="T50" s="7">
        <f>Q50-R50-S50</f>
        <v/>
      </c>
      <c r="U50" s="7">
        <f>D50+R50</f>
        <v/>
      </c>
      <c r="V50" s="7">
        <f>H50*0.9235</f>
        <v/>
      </c>
      <c r="W50" s="7">
        <f>IF(H50&gt;0,2*impuestos_ssTasa*MIN(V50,MAX(0,impuestos_ssTope*C50-U50))+2*impuestos_medicareTasa*V50,0)</f>
        <v/>
      </c>
      <c r="X50" s="7">
        <f>impuestos_ssTasa*MIN(U50,impuestos_ssTope*C50)+impuestos_medicareTasa*U50+impuestos_medicareAdicional*MAX(0,U50+H50*0.9235-impuestos_medicareUmbral)</f>
        <v/>
      </c>
      <c r="Y50" s="7">
        <f>MAX(0,D50-O50+R50+T50+H50-W50/2)</f>
        <v/>
      </c>
      <c r="Z50" s="7">
        <f>MAX(0,Y50-impuestos_deduccionEstandar*C50)</f>
        <v/>
      </c>
      <c r="AA50" s="7">
        <f>MIN(0.2*MAX(0,T50+H50-W50/2)*MAX(0,MIN(1,1-(Z50-impuestos_qbiUmbral*C50)/(impuestos_qbiRango*C50))),0.2*Z50)</f>
        <v/>
      </c>
      <c r="AB50" s="7">
        <f>MAX(0,Z50-AA50)</f>
        <v/>
      </c>
      <c r="AC50" s="7">
        <f>SUMPRODUCT((AB50&gt;tb_federalBrackets_lo*C50)*(AB50-tb_federalBrackets_lo*C50)*tb_federalBrackets_dr)</f>
        <v/>
      </c>
      <c r="AD50" s="7">
        <f>MAX(0,Y50-impuestos_nyDeduccion*C50)</f>
        <v/>
      </c>
      <c r="AE50" s="7">
        <f>CHOOSE(loc_taxcode,0,impuestos_ohTasa*MAX(0,Y50-impuestos_ohExento*C50)+impuestos_ohMunicipal*U50,SUMPRODUCT((AD50&gt;tb_nyBrackets_lo*C50)*(AD50-tb_nyBrackets_lo*C50)*tb_nyBrackets_dr)+loc_nyc*SUMPRODUCT((AD50&gt;tb_nycBrackets_lo*C50)*(AD50-tb_nycBrackets_lo*C50)*tb_nycBrackets_dr))</f>
        <v/>
      </c>
      <c r="AF50" s="7">
        <f>AC50+AE50+X50+W50</f>
        <v/>
      </c>
      <c r="AG50" s="7">
        <f>D50+F50+R50+T50+H50</f>
        <v/>
      </c>
      <c r="AH50" s="7">
        <f>AG50-AF50-O50</f>
        <v/>
      </c>
      <c r="AI50" s="7">
        <f>D50+F50+G50+H50</f>
        <v/>
      </c>
      <c r="AJ50" s="7">
        <f>loc_gastosVida*C50*g_gastos</f>
        <v/>
      </c>
      <c r="AK50" s="7">
        <f>IF(17=0,personal_liquidoInicial,DR49)</f>
        <v/>
      </c>
      <c r="AL50" s="7">
        <f>IF(17=0,0,BB49)</f>
        <v/>
      </c>
      <c r="AM50" s="7">
        <f>CHOOSE(sel_cfgIdx,loc_precio_duplex,loc_precio_inlaw,loc_precio_dosCasas,loc_precio_casaAdu,loc_precio_multi)</f>
        <v/>
      </c>
      <c r="AN50" s="7">
        <f>AM50*(1+g_appr)^(A50-2026)</f>
        <v/>
      </c>
      <c r="AO50" s="7">
        <f>IF(AND(M50=1,vivienda_prestamoMedico=1),1,0)</f>
        <v/>
      </c>
      <c r="AP50" s="7">
        <f>IF(AO50=1,0.05,vivienda_enganchePct)</f>
        <v/>
      </c>
      <c r="AQ50" s="7">
        <f>AN50*(1-AP50)</f>
        <v/>
      </c>
      <c r="AR50" s="7">
        <f>PMT(g_mortRate/12,vivienda_plazoHipoteca*12,-AQ50)</f>
        <v/>
      </c>
      <c r="AS50" s="7">
        <f>INDEX(cfg_units,sel_cfgIdx)</f>
        <v/>
      </c>
      <c r="AT50" s="7">
        <f>AS50*loc_rentaUnidad*(1+g_inf)^(A50-2026)*(1-vivienda_vacancia)</f>
        <v/>
      </c>
      <c r="AU50" s="7">
        <f>AR50+AN50*loc_impuestoPropPct/12+AM50*loc_seguroPct*(1+vivienda_inflacionSeguro)^(A50-2026)/12+IF(AND(AO50=0,AP50&lt;0.2),AQ50*vivienda_pmiTasa/12,0)</f>
        <v/>
      </c>
      <c r="AV50" s="7">
        <f>AN50*AP50+AN50*vivienda_cierrePct+general_reservaMeses/12*AJ50</f>
        <v/>
      </c>
      <c r="AW50" s="7">
        <f>(IF(17=0,MIN(personal_irsSaldo,personal_irsPagoMensual*12),MIN(CD49,personal_irsPagoMensual*12))+IF(CE50&gt;0,PMT(CF50,MAX(1,prestamos_plazoAnios-CG50),-CE50),0)+IF(CR50&gt;0,PMT(CS50,MAX(1,prestamos_plazoAnios-CT50),-CR50),0))/12</f>
        <v/>
      </c>
      <c r="AX50" s="7">
        <f>IF(OR(sel_cfg="duplex",sel_cfg="multi",sel_cfg="dosCasas"),0.75*personal_aporteFamiliaMensual,0)</f>
        <v/>
      </c>
      <c r="AY50" s="7">
        <f>AU50-0.75*AT50-AX50+AW50</f>
        <v/>
      </c>
      <c r="AZ50" s="7">
        <f>(D50+G50+H50+0.5*F50)/12</f>
        <v/>
      </c>
      <c r="BA50" s="7">
        <f>IF(AND(AL50=0,A50&gt;=vivienda_anioMinCompra,J50&lt;0.5,AI50&gt;0,AK50&gt;=AV50,AY50&lt;=vivienda_dtiMax*AZ50),1,0)</f>
        <v/>
      </c>
      <c r="BB50" s="7">
        <f>MAX(AL50,BA50)</f>
        <v/>
      </c>
      <c r="BC50" s="7">
        <f>IF(BA50=1,A50,IF(17=0,"",BC49))</f>
        <v/>
      </c>
      <c r="BD50" s="7">
        <f>AK50-IF(BA50=1,AN50*AP50+AN50*vivienda_cierrePct,0)</f>
        <v/>
      </c>
      <c r="BE50" s="7">
        <f>IF(BA50=1,AN50,IF(17=0,0,BE49))</f>
        <v/>
      </c>
      <c r="BF50" s="7">
        <f>IF(BA50=1,AR50,IF(17=0,0,BF49))</f>
        <v/>
      </c>
      <c r="BG50" s="7">
        <f>IF(BA50=1,IF(AND(AO50=0,AP50&lt;0.2),1,0),IF(17=0,0,BY49))</f>
        <v/>
      </c>
      <c r="BH50" s="7">
        <f>IF(sel_cfg="casaAdu",1,0)</f>
        <v/>
      </c>
      <c r="BI50" s="7">
        <f>IF(AND(BB50=1,BH50=1,IF(17=0,0,BJ49)=0,A50&gt;=IF(BC50="",9999,BC50)+vivienda_aduRetrasoAnios),1,0)</f>
        <v/>
      </c>
      <c r="BJ50" s="7">
        <f>MAX(IF(17=0,0,BJ49),BI50)</f>
        <v/>
      </c>
      <c r="BK50" s="7">
        <f>IF(BI50=1,PMT((g_mortRate+0.005)/12,180,-loc_precio_aduCosto*C50),IF(17=0,0,BK49))</f>
        <v/>
      </c>
      <c r="BL50" s="7">
        <f>IF(BA50=1,AN50,IF(17=0,0,DT49))+IF(BI50=1,loc_precio_aduCosto*C50,0)</f>
        <v/>
      </c>
      <c r="BM50" s="7">
        <f>IF(BA50=1,AQ50,IF(17=0,0,DU49))</f>
        <v/>
      </c>
      <c r="BN50" s="7">
        <f>IF(BM50&lt;=0,0,FV(g_mortRate/12,12,BF50,-BM50))</f>
        <v/>
      </c>
      <c r="BO50" s="7">
        <f>IF(BM50&lt;=0,0,12*BF50+MIN(0,BN50))</f>
        <v/>
      </c>
      <c r="BP50" s="7">
        <f>MAX(0,BN50)</f>
        <v/>
      </c>
      <c r="BQ50" s="7">
        <f>IF(BI50=1,loc_precio_aduCosto*C50,IF(17=0,0,DV49))</f>
        <v/>
      </c>
      <c r="BR50" s="7">
        <f>IF(BQ50&lt;=0,0,FV((g_mortRate+0.005)/12,12,BK50,-BQ50))</f>
        <v/>
      </c>
      <c r="BS50" s="7">
        <f>IF(BQ50&lt;=0,0,12*BK50+MIN(0,BR50))</f>
        <v/>
      </c>
      <c r="BT50" s="7">
        <f>MAX(0,BR50)</f>
        <v/>
      </c>
      <c r="BU50" s="7">
        <f>IF(BB50=1,AM50*loc_seguroPct*(1+vivienda_inflacionSeguro)^(A50-2026)*IF(BJ50=1,1+loc_precio_aduCosto/AM50,1),0)</f>
        <v/>
      </c>
      <c r="BV50" s="7">
        <f>BL50*loc_impuestoPropPct</f>
        <v/>
      </c>
      <c r="BW50" s="7">
        <f>BL50*vivienda_mantenimientoPct</f>
        <v/>
      </c>
      <c r="BX50" s="7">
        <f>IF(AND(BG50=1,BP50&gt;0.8*BE50),BE50*(1-vivienda_enganchePct)*vivienda_pmiTasa,0)</f>
        <v/>
      </c>
      <c r="BY50" s="7">
        <f>IF(AND(BG50=1,BP50&gt;0.8*BE50),1,0)</f>
        <v/>
      </c>
      <c r="BZ50" s="7">
        <f>IF(BB50=1,AS50*loc_rentaUnidad*12*C50*(1-vivienda_vacancia)*(1-vivienda_gestionPct),0)</f>
        <v/>
      </c>
      <c r="CA50" s="7">
        <f>IF(BB50=1,BO50+BS50+BU50+BV50+BW50+BX50,loc_rentaMensual*12*C50)</f>
        <v/>
      </c>
      <c r="CB50" s="7">
        <f>IF(BB50=1,personal_aporteFamiliaMensual*12,0)</f>
        <v/>
      </c>
      <c r="CC50" s="7">
        <f>MIN(IF(17=0,personal_irsSaldo,CD49),personal_irsPagoMensual*12)</f>
        <v/>
      </c>
      <c r="CD50" s="7">
        <f>IF(17=0,personal_irsSaldo,CD49)-CC50</f>
        <v/>
      </c>
      <c r="CE50" s="7">
        <f>IF(17=0,IF(personal_deudaEsFederal=1,personal_deudaEstudiantil,0),DW49)</f>
        <v/>
      </c>
      <c r="CF50" s="7">
        <f>IF(17=0,personal_tasaDeudaEstudiantil,DX49)</f>
        <v/>
      </c>
      <c r="CG50" s="7">
        <f>IF(17=0,0,DY49)</f>
        <v/>
      </c>
      <c r="CH50" s="7">
        <f>IF(J50&gt;=0.5,1,0)</f>
        <v/>
      </c>
      <c r="CI50" s="7">
        <f>IF(AND(CH50=0,prestamos_pslfActivo=1,K50&gt;=0.5,CE50&gt;0),1,0)</f>
        <v/>
      </c>
      <c r="CJ50" s="7">
        <f>CE50*CF50</f>
        <v/>
      </c>
      <c r="CK50" s="7">
        <f>MAX(prestamos_rapPagoMinimoAnual,IF(Y50&lt;10000,0,MIN(0.1,INT(Y50/10000)/100))*Y50)</f>
        <v/>
      </c>
      <c r="CL50" s="7">
        <f>IF(CE50&lt;=0,0,IF(CH50=1,0,IF(CI50=1,MIN(CE50+CJ50,CK50),PMT(CF50,MAX(1,prestamos_plazoAnios-CG50),-CE50))))</f>
        <v/>
      </c>
      <c r="CM50" s="7">
        <f>IF(CE50&lt;=0,0,IF(CH50=1,CE50+CJ50,IF(CI50=1,MAX(0,CE50-MAX(CL50-CJ50,MIN(600,CL50))),MAX(0,CE50*(1+CF50)-CL50))))</f>
        <v/>
      </c>
      <c r="CN50" s="7">
        <f>IF(17=0,0,CN49)+IF(CI50=1,12*MIN(1,K50),0)</f>
        <v/>
      </c>
      <c r="CO50" s="7">
        <f>IF(AND(CI50=1,CN50&gt;=prestamos_pslfPagos,CM50&gt;0),CM50,0)</f>
        <v/>
      </c>
      <c r="CP50" s="7">
        <f>CM50-CO50</f>
        <v/>
      </c>
      <c r="CQ50" s="7">
        <f>IF(AND(CE50&gt;0,CH50=0,CI50=0),CG50+1,CG50)</f>
        <v/>
      </c>
      <c r="CR50" s="7">
        <f>IF(17=0,IF(personal_deudaEsFederal=1,0,personal_deudaEstudiantil),EA49)</f>
        <v/>
      </c>
      <c r="CS50" s="7">
        <f>IF(17=0,IF(personal_deudaEsFederal=1,prestamos_tasaPrivada,personal_tasaDeudaEstudiantil),EB49)</f>
        <v/>
      </c>
      <c r="CT50" s="7">
        <f>IF(17=0,0,EC49)</f>
        <v/>
      </c>
      <c r="CU50" s="7">
        <f>IF(OR(CR50&lt;=0,CH50=1),0,PMT(CS50,MAX(1,prestamos_plazoAnios-CT50),-CR50))</f>
        <v/>
      </c>
      <c r="CV50" s="7">
        <f>IF(CR50&lt;=0,0,IF(CH50=1,CR50*(1+CS50),MAX(0,CR50*(1+CS50)-CU50)))</f>
        <v/>
      </c>
      <c r="CW50" s="7">
        <f>IF(AND(CR50&gt;0,CH50=0),CT50+1,CT50)</f>
        <v/>
      </c>
      <c r="CX50" s="7">
        <f>IF(17=0,0,ED49)*(1+general_tasaDeudaConsumo)</f>
        <v/>
      </c>
      <c r="CY50" s="7">
        <f>L50*12*tiempos_travelGastoExtraMes*C50</f>
        <v/>
      </c>
      <c r="CZ50" s="7">
        <f>AJ50+CY50+CA50+CC50+CL50+CU50+I50+N50-BZ50-CB50</f>
        <v/>
      </c>
      <c r="DA50" s="7">
        <f>AH50-CZ50</f>
        <v/>
      </c>
      <c r="DB50" s="7">
        <f>IF(17=0,0,DB49)+DA50</f>
        <v/>
      </c>
      <c r="DC50" s="7">
        <f>AN50*vivienda_enganchePct+AN50*vivienda_cierrePct+general_reservaMeses/12*AJ50</f>
        <v/>
      </c>
      <c r="DD50" s="7">
        <f>IF(BB50=1,g_ret,IF(BD50&gt;0,MIN(1,DC50/BD50),1)*g_cash+(1-IF(BD50&gt;0,MIN(1,DC50/BD50),1))*g_ret)</f>
        <v/>
      </c>
      <c r="DE50" s="7">
        <f>IF(DA50&gt;=0,MIN(CX50,DA50),0)</f>
        <v/>
      </c>
      <c r="DF50" s="7">
        <f>IF(DA50&gt;=0,(1-general_tasaAhorro)*(DA50-DE50),0)</f>
        <v/>
      </c>
      <c r="DG50" s="7">
        <f>IF(DA50&gt;=0,DA50-DE50-DF50,0)</f>
        <v/>
      </c>
      <c r="DH50" s="7">
        <f>MIN(personal_rothAnual,DG50)</f>
        <v/>
      </c>
      <c r="DI50" s="7">
        <f>IF(AND(DA50&gt;=0,BB50=1,BP50+BT50&gt;0),MIN(vivienda_prepagoPct*(DG50-DH50),BP50+BT50),0)</f>
        <v/>
      </c>
      <c r="DJ50" s="7">
        <f>MIN(DI50,BP50)</f>
        <v/>
      </c>
      <c r="DK50" s="7">
        <f>IF(DA50&lt;0,MIN(MAX(0,BD50),-DA50),0)</f>
        <v/>
      </c>
      <c r="DL50" s="7">
        <f>IF(DA50&lt;0,-DA50-DK50,0)</f>
        <v/>
      </c>
      <c r="DM50" s="7">
        <f>IF(17=0,0,DZ49)</f>
        <v/>
      </c>
      <c r="DN50" s="7">
        <f>IF(AND(DL50&gt;0,J50&gt;0),MIN(DL50,MIN(prestamos_topeAnualPosgrado*MIN(1,J50),MAX(0,prestamos_topeTotalPosgrado-DM50))),0)</f>
        <v/>
      </c>
      <c r="DO50" s="7">
        <f>IF(AND(DL50&gt;0,J50&gt;0),DL50-DN50,0)</f>
        <v/>
      </c>
      <c r="DP50" s="7">
        <f>IF(AND(DL50&gt;0,J50&lt;=0),DL50,0)</f>
        <v/>
      </c>
      <c r="DQ50" s="7">
        <f>IF(DA50&gt;=0,DG50-DH50-DI50,-DK50)</f>
        <v/>
      </c>
      <c r="DR50" s="7">
        <f>BD50*(1+DD50)+DQ50*(1+DD50/2)</f>
        <v/>
      </c>
      <c r="DS50" s="7">
        <f>IF(17=0,personal_retiroInicial,DS49)*(1+g_ret)+(O50+P50+DH50)*(1+g_ret/2)</f>
        <v/>
      </c>
      <c r="DT50" s="7">
        <f>IF(BB50=1,BL50*(1+g_appr),0)</f>
        <v/>
      </c>
      <c r="DU50" s="7">
        <f>BP50-DJ50</f>
        <v/>
      </c>
      <c r="DV50" s="7">
        <f>BT50-(DI50-DJ50)</f>
        <v/>
      </c>
      <c r="DW50" s="7">
        <f>CP50+DN50</f>
        <v/>
      </c>
      <c r="DX50" s="7">
        <f>IF(DN50&gt;0,(CP50*CF50+DN50*prestamos_tasaFederalPosgrado)/(CP50+DN50),CF50)</f>
        <v/>
      </c>
      <c r="DY50" s="7">
        <f>IF(DN50&gt;0,0,CQ50)</f>
        <v/>
      </c>
      <c r="DZ50" s="7">
        <f>DM50+DN50</f>
        <v/>
      </c>
      <c r="EA50" s="7">
        <f>CV50+DO50</f>
        <v/>
      </c>
      <c r="EB50" s="7">
        <f>IF(DO50&gt;0,(CV50*CS50+DO50*prestamos_tasaPrivada)/(CV50+DO50),CS50)</f>
        <v/>
      </c>
      <c r="EC50" s="7">
        <f>IF(DO50&gt;0,0,CW50)</f>
        <v/>
      </c>
      <c r="ED50" s="7">
        <f>CX50-DE50+DP50</f>
        <v/>
      </c>
      <c r="EE50" s="7">
        <f>IF(IF(17=0,"",EE49)&lt;&gt;"",EE49,IF(AND(BB50=1,DU50&lt;=0.5,DV50&lt;=0.5,OR(BH50=0,BJ50=1)),A50,""))</f>
        <v/>
      </c>
      <c r="EF50" s="7">
        <f>DU50+DV50+DW50+EA50+ED50+CD50</f>
        <v/>
      </c>
      <c r="EG50" s="7">
        <f>DR50+DS50+DT50-EF50</f>
        <v/>
      </c>
      <c r="EH50" s="7">
        <f>EG50/(1+g_inf)^(A50+1-2026)</f>
        <v/>
      </c>
    </row>
    <row r="51">
      <c r="A51" t="n">
        <v>2045</v>
      </c>
      <c r="B51" t="n">
        <v>18</v>
      </c>
      <c r="C51" s="7">
        <f>(1+g_inf)^(A51-2026)</f>
        <v/>
      </c>
      <c r="D51" s="7">
        <f>SUMPRODUCT($AL$5:$AL$29,$E$5:$E$29*(1+$F$5:$F$29)^(A51-2026)*$G$5:$G$29*$H$5:$H$29*(1-$N$5:$N$29*$O$5:$O$29))*g_salMult+SUMPRODUCT(($B$5:$B$29&gt;=A51)*($B$5:$B$29&lt;A51+1)*$I$5:$I$29)*g_salMult</f>
        <v/>
      </c>
      <c r="E51" s="7">
        <f>SUMPRODUCT($AL$5:$AL$29,$E$5:$E$29*(1+$F$5:$F$29)^(A51-2026)*$G$5:$G$29*$H$5:$H$29*$M$5:$M$29)*g_salMult</f>
        <v/>
      </c>
      <c r="F51" s="7">
        <f>SUMPRODUCT($AL$5:$AL$29,$E$5:$E$29*(1+$F$5:$F$29)^(A51-2026)*$G$5:$G$29*$H$5:$H$29*$N$5:$N$29*$O$5:$O$29)*g_salMult</f>
        <v/>
      </c>
      <c r="G51" s="7">
        <f>SUMPRODUCT($AL$5:$AL$29,$P$5:$P$29*(1+$F$5:$F$29)^(A51-2026))</f>
        <v/>
      </c>
      <c r="H51" s="7">
        <f>SUMPRODUCT($AL$5:$AL$29,$Q$5:$Q$29*(1+$F$5:$F$29)^(A51-2026))+IF(personal_llcActivo=1,personal_llcNeto*(1+personal_llcCrecimiento)^18,0)</f>
        <v/>
      </c>
      <c r="I51" s="7">
        <f>SUMPRODUCT($AL$5:$AL$29,$J$5:$J$29/($C$5:$C$29-$B$5:$B$29+($C$5:$C$29=$B$5:$B$29)))*C51</f>
        <v/>
      </c>
      <c r="J51" s="7">
        <f>SUMPRODUCT($AL$5:$AL$29,$K$5:$K$29)</f>
        <v/>
      </c>
      <c r="K51" s="7">
        <f>SUMPRODUCT($AL$5:$AL$29,$L$5:$L$29)</f>
        <v/>
      </c>
      <c r="L51" s="7">
        <f>SUMPRODUCT($AL$5:$AL$29,$N$5:$N$29)</f>
        <v/>
      </c>
      <c r="M51" s="7">
        <f>IF(SUMPRODUCT($AL$5:$AL$29,$R$5:$R$29)&gt;0,1,0)</f>
        <v/>
      </c>
      <c r="N51" s="7">
        <f>SUMPRODUCT(($AO$5:$AO$24&gt;=A51)*($AO$5:$AO$24&lt;A51+1)*$AP$5:$AP$24)*C51+IF(18=0,IF(sel_loc&lt;&gt;"miami",personal_costoMudanzaInicial,0),0)</f>
        <v/>
      </c>
      <c r="O51" s="7">
        <f>MIN(personal_aporte403bPct*D51,retiro_limite403b*C51)</f>
        <v/>
      </c>
      <c r="P51" s="7">
        <f>MIN(personal_aporte403bPct,personal_match403bPct)*E51</f>
        <v/>
      </c>
      <c r="Q51" s="7">
        <f>IF(G51&gt;0,MAX(0,G51-impuestos_scorpCostoAnual*C51),0)</f>
        <v/>
      </c>
      <c r="R51" s="7">
        <f>Q51*impuestos_scorpSalarioPct/(1+impuestos_ssTasa+impuestos_medicareTasa)</f>
        <v/>
      </c>
      <c r="S51" s="7">
        <f>impuestos_ssTasa*MIN(R51,MAX(0,impuestos_ssTope*C51-D51))+impuestos_medicareTasa*R51</f>
        <v/>
      </c>
      <c r="T51" s="7">
        <f>Q51-R51-S51</f>
        <v/>
      </c>
      <c r="U51" s="7">
        <f>D51+R51</f>
        <v/>
      </c>
      <c r="V51" s="7">
        <f>H51*0.9235</f>
        <v/>
      </c>
      <c r="W51" s="7">
        <f>IF(H51&gt;0,2*impuestos_ssTasa*MIN(V51,MAX(0,impuestos_ssTope*C51-U51))+2*impuestos_medicareTasa*V51,0)</f>
        <v/>
      </c>
      <c r="X51" s="7">
        <f>impuestos_ssTasa*MIN(U51,impuestos_ssTope*C51)+impuestos_medicareTasa*U51+impuestos_medicareAdicional*MAX(0,U51+H51*0.9235-impuestos_medicareUmbral)</f>
        <v/>
      </c>
      <c r="Y51" s="7">
        <f>MAX(0,D51-O51+R51+T51+H51-W51/2)</f>
        <v/>
      </c>
      <c r="Z51" s="7">
        <f>MAX(0,Y51-impuestos_deduccionEstandar*C51)</f>
        <v/>
      </c>
      <c r="AA51" s="7">
        <f>MIN(0.2*MAX(0,T51+H51-W51/2)*MAX(0,MIN(1,1-(Z51-impuestos_qbiUmbral*C51)/(impuestos_qbiRango*C51))),0.2*Z51)</f>
        <v/>
      </c>
      <c r="AB51" s="7">
        <f>MAX(0,Z51-AA51)</f>
        <v/>
      </c>
      <c r="AC51" s="7">
        <f>SUMPRODUCT((AB51&gt;tb_federalBrackets_lo*C51)*(AB51-tb_federalBrackets_lo*C51)*tb_federalBrackets_dr)</f>
        <v/>
      </c>
      <c r="AD51" s="7">
        <f>MAX(0,Y51-impuestos_nyDeduccion*C51)</f>
        <v/>
      </c>
      <c r="AE51" s="7">
        <f>CHOOSE(loc_taxcode,0,impuestos_ohTasa*MAX(0,Y51-impuestos_ohExento*C51)+impuestos_ohMunicipal*U51,SUMPRODUCT((AD51&gt;tb_nyBrackets_lo*C51)*(AD51-tb_nyBrackets_lo*C51)*tb_nyBrackets_dr)+loc_nyc*SUMPRODUCT((AD51&gt;tb_nycBrackets_lo*C51)*(AD51-tb_nycBrackets_lo*C51)*tb_nycBrackets_dr))</f>
        <v/>
      </c>
      <c r="AF51" s="7">
        <f>AC51+AE51+X51+W51</f>
        <v/>
      </c>
      <c r="AG51" s="7">
        <f>D51+F51+R51+T51+H51</f>
        <v/>
      </c>
      <c r="AH51" s="7">
        <f>AG51-AF51-O51</f>
        <v/>
      </c>
      <c r="AI51" s="7">
        <f>D51+F51+G51+H51</f>
        <v/>
      </c>
      <c r="AJ51" s="7">
        <f>loc_gastosVida*C51*g_gastos</f>
        <v/>
      </c>
      <c r="AK51" s="7">
        <f>IF(18=0,personal_liquidoInicial,DR50)</f>
        <v/>
      </c>
      <c r="AL51" s="7">
        <f>IF(18=0,0,BB50)</f>
        <v/>
      </c>
      <c r="AM51" s="7">
        <f>CHOOSE(sel_cfgIdx,loc_precio_duplex,loc_precio_inlaw,loc_precio_dosCasas,loc_precio_casaAdu,loc_precio_multi)</f>
        <v/>
      </c>
      <c r="AN51" s="7">
        <f>AM51*(1+g_appr)^(A51-2026)</f>
        <v/>
      </c>
      <c r="AO51" s="7">
        <f>IF(AND(M51=1,vivienda_prestamoMedico=1),1,0)</f>
        <v/>
      </c>
      <c r="AP51" s="7">
        <f>IF(AO51=1,0.05,vivienda_enganchePct)</f>
        <v/>
      </c>
      <c r="AQ51" s="7">
        <f>AN51*(1-AP51)</f>
        <v/>
      </c>
      <c r="AR51" s="7">
        <f>PMT(g_mortRate/12,vivienda_plazoHipoteca*12,-AQ51)</f>
        <v/>
      </c>
      <c r="AS51" s="7">
        <f>INDEX(cfg_units,sel_cfgIdx)</f>
        <v/>
      </c>
      <c r="AT51" s="7">
        <f>AS51*loc_rentaUnidad*(1+g_inf)^(A51-2026)*(1-vivienda_vacancia)</f>
        <v/>
      </c>
      <c r="AU51" s="7">
        <f>AR51+AN51*loc_impuestoPropPct/12+AM51*loc_seguroPct*(1+vivienda_inflacionSeguro)^(A51-2026)/12+IF(AND(AO51=0,AP51&lt;0.2),AQ51*vivienda_pmiTasa/12,0)</f>
        <v/>
      </c>
      <c r="AV51" s="7">
        <f>AN51*AP51+AN51*vivienda_cierrePct+general_reservaMeses/12*AJ51</f>
        <v/>
      </c>
      <c r="AW51" s="7">
        <f>(IF(18=0,MIN(personal_irsSaldo,personal_irsPagoMensual*12),MIN(CD50,personal_irsPagoMensual*12))+IF(CE51&gt;0,PMT(CF51,MAX(1,prestamos_plazoAnios-CG51),-CE51),0)+IF(CR51&gt;0,PMT(CS51,MAX(1,prestamos_plazoAnios-CT51),-CR51),0))/12</f>
        <v/>
      </c>
      <c r="AX51" s="7">
        <f>IF(OR(sel_cfg="duplex",sel_cfg="multi",sel_cfg="dosCasas"),0.75*personal_aporteFamiliaMensual,0)</f>
        <v/>
      </c>
      <c r="AY51" s="7">
        <f>AU51-0.75*AT51-AX51+AW51</f>
        <v/>
      </c>
      <c r="AZ51" s="7">
        <f>(D51+G51+H51+0.5*F51)/12</f>
        <v/>
      </c>
      <c r="BA51" s="7">
        <f>IF(AND(AL51=0,A51&gt;=vivienda_anioMinCompra,J51&lt;0.5,AI51&gt;0,AK51&gt;=AV51,AY51&lt;=vivienda_dtiMax*AZ51),1,0)</f>
        <v/>
      </c>
      <c r="BB51" s="7">
        <f>MAX(AL51,BA51)</f>
        <v/>
      </c>
      <c r="BC51" s="7">
        <f>IF(BA51=1,A51,IF(18=0,"",BC50))</f>
        <v/>
      </c>
      <c r="BD51" s="7">
        <f>AK51-IF(BA51=1,AN51*AP51+AN51*vivienda_cierrePct,0)</f>
        <v/>
      </c>
      <c r="BE51" s="7">
        <f>IF(BA51=1,AN51,IF(18=0,0,BE50))</f>
        <v/>
      </c>
      <c r="BF51" s="7">
        <f>IF(BA51=1,AR51,IF(18=0,0,BF50))</f>
        <v/>
      </c>
      <c r="BG51" s="7">
        <f>IF(BA51=1,IF(AND(AO51=0,AP51&lt;0.2),1,0),IF(18=0,0,BY50))</f>
        <v/>
      </c>
      <c r="BH51" s="7">
        <f>IF(sel_cfg="casaAdu",1,0)</f>
        <v/>
      </c>
      <c r="BI51" s="7">
        <f>IF(AND(BB51=1,BH51=1,IF(18=0,0,BJ50)=0,A51&gt;=IF(BC51="",9999,BC51)+vivienda_aduRetrasoAnios),1,0)</f>
        <v/>
      </c>
      <c r="BJ51" s="7">
        <f>MAX(IF(18=0,0,BJ50),BI51)</f>
        <v/>
      </c>
      <c r="BK51" s="7">
        <f>IF(BI51=1,PMT((g_mortRate+0.005)/12,180,-loc_precio_aduCosto*C51),IF(18=0,0,BK50))</f>
        <v/>
      </c>
      <c r="BL51" s="7">
        <f>IF(BA51=1,AN51,IF(18=0,0,DT50))+IF(BI51=1,loc_precio_aduCosto*C51,0)</f>
        <v/>
      </c>
      <c r="BM51" s="7">
        <f>IF(BA51=1,AQ51,IF(18=0,0,DU50))</f>
        <v/>
      </c>
      <c r="BN51" s="7">
        <f>IF(BM51&lt;=0,0,FV(g_mortRate/12,12,BF51,-BM51))</f>
        <v/>
      </c>
      <c r="BO51" s="7">
        <f>IF(BM51&lt;=0,0,12*BF51+MIN(0,BN51))</f>
        <v/>
      </c>
      <c r="BP51" s="7">
        <f>MAX(0,BN51)</f>
        <v/>
      </c>
      <c r="BQ51" s="7">
        <f>IF(BI51=1,loc_precio_aduCosto*C51,IF(18=0,0,DV50))</f>
        <v/>
      </c>
      <c r="BR51" s="7">
        <f>IF(BQ51&lt;=0,0,FV((g_mortRate+0.005)/12,12,BK51,-BQ51))</f>
        <v/>
      </c>
      <c r="BS51" s="7">
        <f>IF(BQ51&lt;=0,0,12*BK51+MIN(0,BR51))</f>
        <v/>
      </c>
      <c r="BT51" s="7">
        <f>MAX(0,BR51)</f>
        <v/>
      </c>
      <c r="BU51" s="7">
        <f>IF(BB51=1,AM51*loc_seguroPct*(1+vivienda_inflacionSeguro)^(A51-2026)*IF(BJ51=1,1+loc_precio_aduCosto/AM51,1),0)</f>
        <v/>
      </c>
      <c r="BV51" s="7">
        <f>BL51*loc_impuestoPropPct</f>
        <v/>
      </c>
      <c r="BW51" s="7">
        <f>BL51*vivienda_mantenimientoPct</f>
        <v/>
      </c>
      <c r="BX51" s="7">
        <f>IF(AND(BG51=1,BP51&gt;0.8*BE51),BE51*(1-vivienda_enganchePct)*vivienda_pmiTasa,0)</f>
        <v/>
      </c>
      <c r="BY51" s="7">
        <f>IF(AND(BG51=1,BP51&gt;0.8*BE51),1,0)</f>
        <v/>
      </c>
      <c r="BZ51" s="7">
        <f>IF(BB51=1,AS51*loc_rentaUnidad*12*C51*(1-vivienda_vacancia)*(1-vivienda_gestionPct),0)</f>
        <v/>
      </c>
      <c r="CA51" s="7">
        <f>IF(BB51=1,BO51+BS51+BU51+BV51+BW51+BX51,loc_rentaMensual*12*C51)</f>
        <v/>
      </c>
      <c r="CB51" s="7">
        <f>IF(BB51=1,personal_aporteFamiliaMensual*12,0)</f>
        <v/>
      </c>
      <c r="CC51" s="7">
        <f>MIN(IF(18=0,personal_irsSaldo,CD50),personal_irsPagoMensual*12)</f>
        <v/>
      </c>
      <c r="CD51" s="7">
        <f>IF(18=0,personal_irsSaldo,CD50)-CC51</f>
        <v/>
      </c>
      <c r="CE51" s="7">
        <f>IF(18=0,IF(personal_deudaEsFederal=1,personal_deudaEstudiantil,0),DW50)</f>
        <v/>
      </c>
      <c r="CF51" s="7">
        <f>IF(18=0,personal_tasaDeudaEstudiantil,DX50)</f>
        <v/>
      </c>
      <c r="CG51" s="7">
        <f>IF(18=0,0,DY50)</f>
        <v/>
      </c>
      <c r="CH51" s="7">
        <f>IF(J51&gt;=0.5,1,0)</f>
        <v/>
      </c>
      <c r="CI51" s="7">
        <f>IF(AND(CH51=0,prestamos_pslfActivo=1,K51&gt;=0.5,CE51&gt;0),1,0)</f>
        <v/>
      </c>
      <c r="CJ51" s="7">
        <f>CE51*CF51</f>
        <v/>
      </c>
      <c r="CK51" s="7">
        <f>MAX(prestamos_rapPagoMinimoAnual,IF(Y51&lt;10000,0,MIN(0.1,INT(Y51/10000)/100))*Y51)</f>
        <v/>
      </c>
      <c r="CL51" s="7">
        <f>IF(CE51&lt;=0,0,IF(CH51=1,0,IF(CI51=1,MIN(CE51+CJ51,CK51),PMT(CF51,MAX(1,prestamos_plazoAnios-CG51),-CE51))))</f>
        <v/>
      </c>
      <c r="CM51" s="7">
        <f>IF(CE51&lt;=0,0,IF(CH51=1,CE51+CJ51,IF(CI51=1,MAX(0,CE51-MAX(CL51-CJ51,MIN(600,CL51))),MAX(0,CE51*(1+CF51)-CL51))))</f>
        <v/>
      </c>
      <c r="CN51" s="7">
        <f>IF(18=0,0,CN50)+IF(CI51=1,12*MIN(1,K51),0)</f>
        <v/>
      </c>
      <c r="CO51" s="7">
        <f>IF(AND(CI51=1,CN51&gt;=prestamos_pslfPagos,CM51&gt;0),CM51,0)</f>
        <v/>
      </c>
      <c r="CP51" s="7">
        <f>CM51-CO51</f>
        <v/>
      </c>
      <c r="CQ51" s="7">
        <f>IF(AND(CE51&gt;0,CH51=0,CI51=0),CG51+1,CG51)</f>
        <v/>
      </c>
      <c r="CR51" s="7">
        <f>IF(18=0,IF(personal_deudaEsFederal=1,0,personal_deudaEstudiantil),EA50)</f>
        <v/>
      </c>
      <c r="CS51" s="7">
        <f>IF(18=0,IF(personal_deudaEsFederal=1,prestamos_tasaPrivada,personal_tasaDeudaEstudiantil),EB50)</f>
        <v/>
      </c>
      <c r="CT51" s="7">
        <f>IF(18=0,0,EC50)</f>
        <v/>
      </c>
      <c r="CU51" s="7">
        <f>IF(OR(CR51&lt;=0,CH51=1),0,PMT(CS51,MAX(1,prestamos_plazoAnios-CT51),-CR51))</f>
        <v/>
      </c>
      <c r="CV51" s="7">
        <f>IF(CR51&lt;=0,0,IF(CH51=1,CR51*(1+CS51),MAX(0,CR51*(1+CS51)-CU51)))</f>
        <v/>
      </c>
      <c r="CW51" s="7">
        <f>IF(AND(CR51&gt;0,CH51=0),CT51+1,CT51)</f>
        <v/>
      </c>
      <c r="CX51" s="7">
        <f>IF(18=0,0,ED50)*(1+general_tasaDeudaConsumo)</f>
        <v/>
      </c>
      <c r="CY51" s="7">
        <f>L51*12*tiempos_travelGastoExtraMes*C51</f>
        <v/>
      </c>
      <c r="CZ51" s="7">
        <f>AJ51+CY51+CA51+CC51+CL51+CU51+I51+N51-BZ51-CB51</f>
        <v/>
      </c>
      <c r="DA51" s="7">
        <f>AH51-CZ51</f>
        <v/>
      </c>
      <c r="DB51" s="7">
        <f>IF(18=0,0,DB50)+DA51</f>
        <v/>
      </c>
      <c r="DC51" s="7">
        <f>AN51*vivienda_enganchePct+AN51*vivienda_cierrePct+general_reservaMeses/12*AJ51</f>
        <v/>
      </c>
      <c r="DD51" s="7">
        <f>IF(BB51=1,g_ret,IF(BD51&gt;0,MIN(1,DC51/BD51),1)*g_cash+(1-IF(BD51&gt;0,MIN(1,DC51/BD51),1))*g_ret)</f>
        <v/>
      </c>
      <c r="DE51" s="7">
        <f>IF(DA51&gt;=0,MIN(CX51,DA51),0)</f>
        <v/>
      </c>
      <c r="DF51" s="7">
        <f>IF(DA51&gt;=0,(1-general_tasaAhorro)*(DA51-DE51),0)</f>
        <v/>
      </c>
      <c r="DG51" s="7">
        <f>IF(DA51&gt;=0,DA51-DE51-DF51,0)</f>
        <v/>
      </c>
      <c r="DH51" s="7">
        <f>MIN(personal_rothAnual,DG51)</f>
        <v/>
      </c>
      <c r="DI51" s="7">
        <f>IF(AND(DA51&gt;=0,BB51=1,BP51+BT51&gt;0),MIN(vivienda_prepagoPct*(DG51-DH51),BP51+BT51),0)</f>
        <v/>
      </c>
      <c r="DJ51" s="7">
        <f>MIN(DI51,BP51)</f>
        <v/>
      </c>
      <c r="DK51" s="7">
        <f>IF(DA51&lt;0,MIN(MAX(0,BD51),-DA51),0)</f>
        <v/>
      </c>
      <c r="DL51" s="7">
        <f>IF(DA51&lt;0,-DA51-DK51,0)</f>
        <v/>
      </c>
      <c r="DM51" s="7">
        <f>IF(18=0,0,DZ50)</f>
        <v/>
      </c>
      <c r="DN51" s="7">
        <f>IF(AND(DL51&gt;0,J51&gt;0),MIN(DL51,MIN(prestamos_topeAnualPosgrado*MIN(1,J51),MAX(0,prestamos_topeTotalPosgrado-DM51))),0)</f>
        <v/>
      </c>
      <c r="DO51" s="7">
        <f>IF(AND(DL51&gt;0,J51&gt;0),DL51-DN51,0)</f>
        <v/>
      </c>
      <c r="DP51" s="7">
        <f>IF(AND(DL51&gt;0,J51&lt;=0),DL51,0)</f>
        <v/>
      </c>
      <c r="DQ51" s="7">
        <f>IF(DA51&gt;=0,DG51-DH51-DI51,-DK51)</f>
        <v/>
      </c>
      <c r="DR51" s="7">
        <f>BD51*(1+DD51)+DQ51*(1+DD51/2)</f>
        <v/>
      </c>
      <c r="DS51" s="7">
        <f>IF(18=0,personal_retiroInicial,DS50)*(1+g_ret)+(O51+P51+DH51)*(1+g_ret/2)</f>
        <v/>
      </c>
      <c r="DT51" s="7">
        <f>IF(BB51=1,BL51*(1+g_appr),0)</f>
        <v/>
      </c>
      <c r="DU51" s="7">
        <f>BP51-DJ51</f>
        <v/>
      </c>
      <c r="DV51" s="7">
        <f>BT51-(DI51-DJ51)</f>
        <v/>
      </c>
      <c r="DW51" s="7">
        <f>CP51+DN51</f>
        <v/>
      </c>
      <c r="DX51" s="7">
        <f>IF(DN51&gt;0,(CP51*CF51+DN51*prestamos_tasaFederalPosgrado)/(CP51+DN51),CF51)</f>
        <v/>
      </c>
      <c r="DY51" s="7">
        <f>IF(DN51&gt;0,0,CQ51)</f>
        <v/>
      </c>
      <c r="DZ51" s="7">
        <f>DM51+DN51</f>
        <v/>
      </c>
      <c r="EA51" s="7">
        <f>CV51+DO51</f>
        <v/>
      </c>
      <c r="EB51" s="7">
        <f>IF(DO51&gt;0,(CV51*CS51+DO51*prestamos_tasaPrivada)/(CV51+DO51),CS51)</f>
        <v/>
      </c>
      <c r="EC51" s="7">
        <f>IF(DO51&gt;0,0,CW51)</f>
        <v/>
      </c>
      <c r="ED51" s="7">
        <f>CX51-DE51+DP51</f>
        <v/>
      </c>
      <c r="EE51" s="7">
        <f>IF(IF(18=0,"",EE50)&lt;&gt;"",EE50,IF(AND(BB51=1,DU51&lt;=0.5,DV51&lt;=0.5,OR(BH51=0,BJ51=1)),A51,""))</f>
        <v/>
      </c>
      <c r="EF51" s="7">
        <f>DU51+DV51+DW51+EA51+ED51+CD51</f>
        <v/>
      </c>
      <c r="EG51" s="7">
        <f>DR51+DS51+DT51-EF51</f>
        <v/>
      </c>
      <c r="EH51" s="7">
        <f>EG51/(1+g_inf)^(A51+1-2026)</f>
        <v/>
      </c>
    </row>
    <row r="52">
      <c r="A52" t="n">
        <v>2046</v>
      </c>
      <c r="B52" t="n">
        <v>19</v>
      </c>
      <c r="C52" s="7">
        <f>(1+g_inf)^(A52-2026)</f>
        <v/>
      </c>
      <c r="D52" s="7">
        <f>SUMPRODUCT($AM$5:$AM$29,$E$5:$E$29*(1+$F$5:$F$29)^(A52-2026)*$G$5:$G$29*$H$5:$H$29*(1-$N$5:$N$29*$O$5:$O$29))*g_salMult+SUMPRODUCT(($B$5:$B$29&gt;=A52)*($B$5:$B$29&lt;A52+1)*$I$5:$I$29)*g_salMult</f>
        <v/>
      </c>
      <c r="E52" s="7">
        <f>SUMPRODUCT($AM$5:$AM$29,$E$5:$E$29*(1+$F$5:$F$29)^(A52-2026)*$G$5:$G$29*$H$5:$H$29*$M$5:$M$29)*g_salMult</f>
        <v/>
      </c>
      <c r="F52" s="7">
        <f>SUMPRODUCT($AM$5:$AM$29,$E$5:$E$29*(1+$F$5:$F$29)^(A52-2026)*$G$5:$G$29*$H$5:$H$29*$N$5:$N$29*$O$5:$O$29)*g_salMult</f>
        <v/>
      </c>
      <c r="G52" s="7">
        <f>SUMPRODUCT($AM$5:$AM$29,$P$5:$P$29*(1+$F$5:$F$29)^(A52-2026))</f>
        <v/>
      </c>
      <c r="H52" s="7">
        <f>SUMPRODUCT($AM$5:$AM$29,$Q$5:$Q$29*(1+$F$5:$F$29)^(A52-2026))+IF(personal_llcActivo=1,personal_llcNeto*(1+personal_llcCrecimiento)^19,0)</f>
        <v/>
      </c>
      <c r="I52" s="7">
        <f>SUMPRODUCT($AM$5:$AM$29,$J$5:$J$29/($C$5:$C$29-$B$5:$B$29+($C$5:$C$29=$B$5:$B$29)))*C52</f>
        <v/>
      </c>
      <c r="J52" s="7">
        <f>SUMPRODUCT($AM$5:$AM$29,$K$5:$K$29)</f>
        <v/>
      </c>
      <c r="K52" s="7">
        <f>SUMPRODUCT($AM$5:$AM$29,$L$5:$L$29)</f>
        <v/>
      </c>
      <c r="L52" s="7">
        <f>SUMPRODUCT($AM$5:$AM$29,$N$5:$N$29)</f>
        <v/>
      </c>
      <c r="M52" s="7">
        <f>IF(SUMPRODUCT($AM$5:$AM$29,$R$5:$R$29)&gt;0,1,0)</f>
        <v/>
      </c>
      <c r="N52" s="7">
        <f>SUMPRODUCT(($AO$5:$AO$24&gt;=A52)*($AO$5:$AO$24&lt;A52+1)*$AP$5:$AP$24)*C52+IF(19=0,IF(sel_loc&lt;&gt;"miami",personal_costoMudanzaInicial,0),0)</f>
        <v/>
      </c>
      <c r="O52" s="7">
        <f>MIN(personal_aporte403bPct*D52,retiro_limite403b*C52)</f>
        <v/>
      </c>
      <c r="P52" s="7">
        <f>MIN(personal_aporte403bPct,personal_match403bPct)*E52</f>
        <v/>
      </c>
      <c r="Q52" s="7">
        <f>IF(G52&gt;0,MAX(0,G52-impuestos_scorpCostoAnual*C52),0)</f>
        <v/>
      </c>
      <c r="R52" s="7">
        <f>Q52*impuestos_scorpSalarioPct/(1+impuestos_ssTasa+impuestos_medicareTasa)</f>
        <v/>
      </c>
      <c r="S52" s="7">
        <f>impuestos_ssTasa*MIN(R52,MAX(0,impuestos_ssTope*C52-D52))+impuestos_medicareTasa*R52</f>
        <v/>
      </c>
      <c r="T52" s="7">
        <f>Q52-R52-S52</f>
        <v/>
      </c>
      <c r="U52" s="7">
        <f>D52+R52</f>
        <v/>
      </c>
      <c r="V52" s="7">
        <f>H52*0.9235</f>
        <v/>
      </c>
      <c r="W52" s="7">
        <f>IF(H52&gt;0,2*impuestos_ssTasa*MIN(V52,MAX(0,impuestos_ssTope*C52-U52))+2*impuestos_medicareTasa*V52,0)</f>
        <v/>
      </c>
      <c r="X52" s="7">
        <f>impuestos_ssTasa*MIN(U52,impuestos_ssTope*C52)+impuestos_medicareTasa*U52+impuestos_medicareAdicional*MAX(0,U52+H52*0.9235-impuestos_medicareUmbral)</f>
        <v/>
      </c>
      <c r="Y52" s="7">
        <f>MAX(0,D52-O52+R52+T52+H52-W52/2)</f>
        <v/>
      </c>
      <c r="Z52" s="7">
        <f>MAX(0,Y52-impuestos_deduccionEstandar*C52)</f>
        <v/>
      </c>
      <c r="AA52" s="7">
        <f>MIN(0.2*MAX(0,T52+H52-W52/2)*MAX(0,MIN(1,1-(Z52-impuestos_qbiUmbral*C52)/(impuestos_qbiRango*C52))),0.2*Z52)</f>
        <v/>
      </c>
      <c r="AB52" s="7">
        <f>MAX(0,Z52-AA52)</f>
        <v/>
      </c>
      <c r="AC52" s="7">
        <f>SUMPRODUCT((AB52&gt;tb_federalBrackets_lo*C52)*(AB52-tb_federalBrackets_lo*C52)*tb_federalBrackets_dr)</f>
        <v/>
      </c>
      <c r="AD52" s="7">
        <f>MAX(0,Y52-impuestos_nyDeduccion*C52)</f>
        <v/>
      </c>
      <c r="AE52" s="7">
        <f>CHOOSE(loc_taxcode,0,impuestos_ohTasa*MAX(0,Y52-impuestos_ohExento*C52)+impuestos_ohMunicipal*U52,SUMPRODUCT((AD52&gt;tb_nyBrackets_lo*C52)*(AD52-tb_nyBrackets_lo*C52)*tb_nyBrackets_dr)+loc_nyc*SUMPRODUCT((AD52&gt;tb_nycBrackets_lo*C52)*(AD52-tb_nycBrackets_lo*C52)*tb_nycBrackets_dr))</f>
        <v/>
      </c>
      <c r="AF52" s="7">
        <f>AC52+AE52+X52+W52</f>
        <v/>
      </c>
      <c r="AG52" s="7">
        <f>D52+F52+R52+T52+H52</f>
        <v/>
      </c>
      <c r="AH52" s="7">
        <f>AG52-AF52-O52</f>
        <v/>
      </c>
      <c r="AI52" s="7">
        <f>D52+F52+G52+H52</f>
        <v/>
      </c>
      <c r="AJ52" s="7">
        <f>loc_gastosVida*C52*g_gastos</f>
        <v/>
      </c>
      <c r="AK52" s="7">
        <f>IF(19=0,personal_liquidoInicial,DR51)</f>
        <v/>
      </c>
      <c r="AL52" s="7">
        <f>IF(19=0,0,BB51)</f>
        <v/>
      </c>
      <c r="AM52" s="7">
        <f>CHOOSE(sel_cfgIdx,loc_precio_duplex,loc_precio_inlaw,loc_precio_dosCasas,loc_precio_casaAdu,loc_precio_multi)</f>
        <v/>
      </c>
      <c r="AN52" s="7">
        <f>AM52*(1+g_appr)^(A52-2026)</f>
        <v/>
      </c>
      <c r="AO52" s="7">
        <f>IF(AND(M52=1,vivienda_prestamoMedico=1),1,0)</f>
        <v/>
      </c>
      <c r="AP52" s="7">
        <f>IF(AO52=1,0.05,vivienda_enganchePct)</f>
        <v/>
      </c>
      <c r="AQ52" s="7">
        <f>AN52*(1-AP52)</f>
        <v/>
      </c>
      <c r="AR52" s="7">
        <f>PMT(g_mortRate/12,vivienda_plazoHipoteca*12,-AQ52)</f>
        <v/>
      </c>
      <c r="AS52" s="7">
        <f>INDEX(cfg_units,sel_cfgIdx)</f>
        <v/>
      </c>
      <c r="AT52" s="7">
        <f>AS52*loc_rentaUnidad*(1+g_inf)^(A52-2026)*(1-vivienda_vacancia)</f>
        <v/>
      </c>
      <c r="AU52" s="7">
        <f>AR52+AN52*loc_impuestoPropPct/12+AM52*loc_seguroPct*(1+vivienda_inflacionSeguro)^(A52-2026)/12+IF(AND(AO52=0,AP52&lt;0.2),AQ52*vivienda_pmiTasa/12,0)</f>
        <v/>
      </c>
      <c r="AV52" s="7">
        <f>AN52*AP52+AN52*vivienda_cierrePct+general_reservaMeses/12*AJ52</f>
        <v/>
      </c>
      <c r="AW52" s="7">
        <f>(IF(19=0,MIN(personal_irsSaldo,personal_irsPagoMensual*12),MIN(CD51,personal_irsPagoMensual*12))+IF(CE52&gt;0,PMT(CF52,MAX(1,prestamos_plazoAnios-CG52),-CE52),0)+IF(CR52&gt;0,PMT(CS52,MAX(1,prestamos_plazoAnios-CT52),-CR52),0))/12</f>
        <v/>
      </c>
      <c r="AX52" s="7">
        <f>IF(OR(sel_cfg="duplex",sel_cfg="multi",sel_cfg="dosCasas"),0.75*personal_aporteFamiliaMensual,0)</f>
        <v/>
      </c>
      <c r="AY52" s="7">
        <f>AU52-0.75*AT52-AX52+AW52</f>
        <v/>
      </c>
      <c r="AZ52" s="7">
        <f>(D52+G52+H52+0.5*F52)/12</f>
        <v/>
      </c>
      <c r="BA52" s="7">
        <f>IF(AND(AL52=0,A52&gt;=vivienda_anioMinCompra,J52&lt;0.5,AI52&gt;0,AK52&gt;=AV52,AY52&lt;=vivienda_dtiMax*AZ52),1,0)</f>
        <v/>
      </c>
      <c r="BB52" s="7">
        <f>MAX(AL52,BA52)</f>
        <v/>
      </c>
      <c r="BC52" s="7">
        <f>IF(BA52=1,A52,IF(19=0,"",BC51))</f>
        <v/>
      </c>
      <c r="BD52" s="7">
        <f>AK52-IF(BA52=1,AN52*AP52+AN52*vivienda_cierrePct,0)</f>
        <v/>
      </c>
      <c r="BE52" s="7">
        <f>IF(BA52=1,AN52,IF(19=0,0,BE51))</f>
        <v/>
      </c>
      <c r="BF52" s="7">
        <f>IF(BA52=1,AR52,IF(19=0,0,BF51))</f>
        <v/>
      </c>
      <c r="BG52" s="7">
        <f>IF(BA52=1,IF(AND(AO52=0,AP52&lt;0.2),1,0),IF(19=0,0,BY51))</f>
        <v/>
      </c>
      <c r="BH52" s="7">
        <f>IF(sel_cfg="casaAdu",1,0)</f>
        <v/>
      </c>
      <c r="BI52" s="7">
        <f>IF(AND(BB52=1,BH52=1,IF(19=0,0,BJ51)=0,A52&gt;=IF(BC52="",9999,BC52)+vivienda_aduRetrasoAnios),1,0)</f>
        <v/>
      </c>
      <c r="BJ52" s="7">
        <f>MAX(IF(19=0,0,BJ51),BI52)</f>
        <v/>
      </c>
      <c r="BK52" s="7">
        <f>IF(BI52=1,PMT((g_mortRate+0.005)/12,180,-loc_precio_aduCosto*C52),IF(19=0,0,BK51))</f>
        <v/>
      </c>
      <c r="BL52" s="7">
        <f>IF(BA52=1,AN52,IF(19=0,0,DT51))+IF(BI52=1,loc_precio_aduCosto*C52,0)</f>
        <v/>
      </c>
      <c r="BM52" s="7">
        <f>IF(BA52=1,AQ52,IF(19=0,0,DU51))</f>
        <v/>
      </c>
      <c r="BN52" s="7">
        <f>IF(BM52&lt;=0,0,FV(g_mortRate/12,12,BF52,-BM52))</f>
        <v/>
      </c>
      <c r="BO52" s="7">
        <f>IF(BM52&lt;=0,0,12*BF52+MIN(0,BN52))</f>
        <v/>
      </c>
      <c r="BP52" s="7">
        <f>MAX(0,BN52)</f>
        <v/>
      </c>
      <c r="BQ52" s="7">
        <f>IF(BI52=1,loc_precio_aduCosto*C52,IF(19=0,0,DV51))</f>
        <v/>
      </c>
      <c r="BR52" s="7">
        <f>IF(BQ52&lt;=0,0,FV((g_mortRate+0.005)/12,12,BK52,-BQ52))</f>
        <v/>
      </c>
      <c r="BS52" s="7">
        <f>IF(BQ52&lt;=0,0,12*BK52+MIN(0,BR52))</f>
        <v/>
      </c>
      <c r="BT52" s="7">
        <f>MAX(0,BR52)</f>
        <v/>
      </c>
      <c r="BU52" s="7">
        <f>IF(BB52=1,AM52*loc_seguroPct*(1+vivienda_inflacionSeguro)^(A52-2026)*IF(BJ52=1,1+loc_precio_aduCosto/AM52,1),0)</f>
        <v/>
      </c>
      <c r="BV52" s="7">
        <f>BL52*loc_impuestoPropPct</f>
        <v/>
      </c>
      <c r="BW52" s="7">
        <f>BL52*vivienda_mantenimientoPct</f>
        <v/>
      </c>
      <c r="BX52" s="7">
        <f>IF(AND(BG52=1,BP52&gt;0.8*BE52),BE52*(1-vivienda_enganchePct)*vivienda_pmiTasa,0)</f>
        <v/>
      </c>
      <c r="BY52" s="7">
        <f>IF(AND(BG52=1,BP52&gt;0.8*BE52),1,0)</f>
        <v/>
      </c>
      <c r="BZ52" s="7">
        <f>IF(BB52=1,AS52*loc_rentaUnidad*12*C52*(1-vivienda_vacancia)*(1-vivienda_gestionPct),0)</f>
        <v/>
      </c>
      <c r="CA52" s="7">
        <f>IF(BB52=1,BO52+BS52+BU52+BV52+BW52+BX52,loc_rentaMensual*12*C52)</f>
        <v/>
      </c>
      <c r="CB52" s="7">
        <f>IF(BB52=1,personal_aporteFamiliaMensual*12,0)</f>
        <v/>
      </c>
      <c r="CC52" s="7">
        <f>MIN(IF(19=0,personal_irsSaldo,CD51),personal_irsPagoMensual*12)</f>
        <v/>
      </c>
      <c r="CD52" s="7">
        <f>IF(19=0,personal_irsSaldo,CD51)-CC52</f>
        <v/>
      </c>
      <c r="CE52" s="7">
        <f>IF(19=0,IF(personal_deudaEsFederal=1,personal_deudaEstudiantil,0),DW51)</f>
        <v/>
      </c>
      <c r="CF52" s="7">
        <f>IF(19=0,personal_tasaDeudaEstudiantil,DX51)</f>
        <v/>
      </c>
      <c r="CG52" s="7">
        <f>IF(19=0,0,DY51)</f>
        <v/>
      </c>
      <c r="CH52" s="7">
        <f>IF(J52&gt;=0.5,1,0)</f>
        <v/>
      </c>
      <c r="CI52" s="7">
        <f>IF(AND(CH52=0,prestamos_pslfActivo=1,K52&gt;=0.5,CE52&gt;0),1,0)</f>
        <v/>
      </c>
      <c r="CJ52" s="7">
        <f>CE52*CF52</f>
        <v/>
      </c>
      <c r="CK52" s="7">
        <f>MAX(prestamos_rapPagoMinimoAnual,IF(Y52&lt;10000,0,MIN(0.1,INT(Y52/10000)/100))*Y52)</f>
        <v/>
      </c>
      <c r="CL52" s="7">
        <f>IF(CE52&lt;=0,0,IF(CH52=1,0,IF(CI52=1,MIN(CE52+CJ52,CK52),PMT(CF52,MAX(1,prestamos_plazoAnios-CG52),-CE52))))</f>
        <v/>
      </c>
      <c r="CM52" s="7">
        <f>IF(CE52&lt;=0,0,IF(CH52=1,CE52+CJ52,IF(CI52=1,MAX(0,CE52-MAX(CL52-CJ52,MIN(600,CL52))),MAX(0,CE52*(1+CF52)-CL52))))</f>
        <v/>
      </c>
      <c r="CN52" s="7">
        <f>IF(19=0,0,CN51)+IF(CI52=1,12*MIN(1,K52),0)</f>
        <v/>
      </c>
      <c r="CO52" s="7">
        <f>IF(AND(CI52=1,CN52&gt;=prestamos_pslfPagos,CM52&gt;0),CM52,0)</f>
        <v/>
      </c>
      <c r="CP52" s="7">
        <f>CM52-CO52</f>
        <v/>
      </c>
      <c r="CQ52" s="7">
        <f>IF(AND(CE52&gt;0,CH52=0,CI52=0),CG52+1,CG52)</f>
        <v/>
      </c>
      <c r="CR52" s="7">
        <f>IF(19=0,IF(personal_deudaEsFederal=1,0,personal_deudaEstudiantil),EA51)</f>
        <v/>
      </c>
      <c r="CS52" s="7">
        <f>IF(19=0,IF(personal_deudaEsFederal=1,prestamos_tasaPrivada,personal_tasaDeudaEstudiantil),EB51)</f>
        <v/>
      </c>
      <c r="CT52" s="7">
        <f>IF(19=0,0,EC51)</f>
        <v/>
      </c>
      <c r="CU52" s="7">
        <f>IF(OR(CR52&lt;=0,CH52=1),0,PMT(CS52,MAX(1,prestamos_plazoAnios-CT52),-CR52))</f>
        <v/>
      </c>
      <c r="CV52" s="7">
        <f>IF(CR52&lt;=0,0,IF(CH52=1,CR52*(1+CS52),MAX(0,CR52*(1+CS52)-CU52)))</f>
        <v/>
      </c>
      <c r="CW52" s="7">
        <f>IF(AND(CR52&gt;0,CH52=0),CT52+1,CT52)</f>
        <v/>
      </c>
      <c r="CX52" s="7">
        <f>IF(19=0,0,ED51)*(1+general_tasaDeudaConsumo)</f>
        <v/>
      </c>
      <c r="CY52" s="7">
        <f>L52*12*tiempos_travelGastoExtraMes*C52</f>
        <v/>
      </c>
      <c r="CZ52" s="7">
        <f>AJ52+CY52+CA52+CC52+CL52+CU52+I52+N52-BZ52-CB52</f>
        <v/>
      </c>
      <c r="DA52" s="7">
        <f>AH52-CZ52</f>
        <v/>
      </c>
      <c r="DB52" s="7">
        <f>IF(19=0,0,DB51)+DA52</f>
        <v/>
      </c>
      <c r="DC52" s="7">
        <f>AN52*vivienda_enganchePct+AN52*vivienda_cierrePct+general_reservaMeses/12*AJ52</f>
        <v/>
      </c>
      <c r="DD52" s="7">
        <f>IF(BB52=1,g_ret,IF(BD52&gt;0,MIN(1,DC52/BD52),1)*g_cash+(1-IF(BD52&gt;0,MIN(1,DC52/BD52),1))*g_ret)</f>
        <v/>
      </c>
      <c r="DE52" s="7">
        <f>IF(DA52&gt;=0,MIN(CX52,DA52),0)</f>
        <v/>
      </c>
      <c r="DF52" s="7">
        <f>IF(DA52&gt;=0,(1-general_tasaAhorro)*(DA52-DE52),0)</f>
        <v/>
      </c>
      <c r="DG52" s="7">
        <f>IF(DA52&gt;=0,DA52-DE52-DF52,0)</f>
        <v/>
      </c>
      <c r="DH52" s="7">
        <f>MIN(personal_rothAnual,DG52)</f>
        <v/>
      </c>
      <c r="DI52" s="7">
        <f>IF(AND(DA52&gt;=0,BB52=1,BP52+BT52&gt;0),MIN(vivienda_prepagoPct*(DG52-DH52),BP52+BT52),0)</f>
        <v/>
      </c>
      <c r="DJ52" s="7">
        <f>MIN(DI52,BP52)</f>
        <v/>
      </c>
      <c r="DK52" s="7">
        <f>IF(DA52&lt;0,MIN(MAX(0,BD52),-DA52),0)</f>
        <v/>
      </c>
      <c r="DL52" s="7">
        <f>IF(DA52&lt;0,-DA52-DK52,0)</f>
        <v/>
      </c>
      <c r="DM52" s="7">
        <f>IF(19=0,0,DZ51)</f>
        <v/>
      </c>
      <c r="DN52" s="7">
        <f>IF(AND(DL52&gt;0,J52&gt;0),MIN(DL52,MIN(prestamos_topeAnualPosgrado*MIN(1,J52),MAX(0,prestamos_topeTotalPosgrado-DM52))),0)</f>
        <v/>
      </c>
      <c r="DO52" s="7">
        <f>IF(AND(DL52&gt;0,J52&gt;0),DL52-DN52,0)</f>
        <v/>
      </c>
      <c r="DP52" s="7">
        <f>IF(AND(DL52&gt;0,J52&lt;=0),DL52,0)</f>
        <v/>
      </c>
      <c r="DQ52" s="7">
        <f>IF(DA52&gt;=0,DG52-DH52-DI52,-DK52)</f>
        <v/>
      </c>
      <c r="DR52" s="7">
        <f>BD52*(1+DD52)+DQ52*(1+DD52/2)</f>
        <v/>
      </c>
      <c r="DS52" s="7">
        <f>IF(19=0,personal_retiroInicial,DS51)*(1+g_ret)+(O52+P52+DH52)*(1+g_ret/2)</f>
        <v/>
      </c>
      <c r="DT52" s="7">
        <f>IF(BB52=1,BL52*(1+g_appr),0)</f>
        <v/>
      </c>
      <c r="DU52" s="7">
        <f>BP52-DJ52</f>
        <v/>
      </c>
      <c r="DV52" s="7">
        <f>BT52-(DI52-DJ52)</f>
        <v/>
      </c>
      <c r="DW52" s="7">
        <f>CP52+DN52</f>
        <v/>
      </c>
      <c r="DX52" s="7">
        <f>IF(DN52&gt;0,(CP52*CF52+DN52*prestamos_tasaFederalPosgrado)/(CP52+DN52),CF52)</f>
        <v/>
      </c>
      <c r="DY52" s="7">
        <f>IF(DN52&gt;0,0,CQ52)</f>
        <v/>
      </c>
      <c r="DZ52" s="7">
        <f>DM52+DN52</f>
        <v/>
      </c>
      <c r="EA52" s="7">
        <f>CV52+DO52</f>
        <v/>
      </c>
      <c r="EB52" s="7">
        <f>IF(DO52&gt;0,(CV52*CS52+DO52*prestamos_tasaPrivada)/(CV52+DO52),CS52)</f>
        <v/>
      </c>
      <c r="EC52" s="7">
        <f>IF(DO52&gt;0,0,CW52)</f>
        <v/>
      </c>
      <c r="ED52" s="7">
        <f>CX52-DE52+DP52</f>
        <v/>
      </c>
      <c r="EE52" s="7">
        <f>IF(IF(19=0,"",EE51)&lt;&gt;"",EE51,IF(AND(BB52=1,DU52&lt;=0.5,DV52&lt;=0.5,OR(BH52=0,BJ52=1)),A52,""))</f>
        <v/>
      </c>
      <c r="EF52" s="7">
        <f>DU52+DV52+DW52+EA52+ED52+CD52</f>
        <v/>
      </c>
      <c r="EG52" s="7">
        <f>DR52+DS52+DT52-EF52</f>
        <v/>
      </c>
      <c r="EH52" s="7">
        <f>EG52/(1+g_inf)^(A52+1-2026)</f>
        <v/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H52"/>
  <sheetViews>
    <sheetView workbookViewId="0">
      <pane xSplit="1" ySplit="32" topLeftCell="B3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0" customWidth="1" min="1" max="1"/>
  </cols>
  <sheetData>
    <row r="1">
      <c r="A1" s="1" t="inlineStr">
        <is>
          <t>A5 · ICU → charge → nurse manager</t>
        </is>
      </c>
    </row>
    <row r="2">
      <c r="A2" s="2" t="inlineStr">
        <is>
          <t>Etapas (celdas azules editables; fechas decimales: 2027.67 = sep-2027). Traslape por año en columnas T→AM. Hitos con costo en AN→AP.</t>
        </is>
      </c>
    </row>
    <row r="4">
      <c r="A4" s="5" t="inlineStr">
        <is>
          <t>Etapa</t>
        </is>
      </c>
      <c r="B4" s="5" t="inlineStr">
        <is>
          <t>Inicio</t>
        </is>
      </c>
      <c r="C4" s="5" t="inlineStr">
        <is>
          <t>Fin</t>
        </is>
      </c>
      <c r="D4" s="5" t="inlineStr">
        <is>
          <t>Rol</t>
        </is>
      </c>
      <c r="E4" s="5" t="inlineStr">
        <is>
          <t>Salario base FT 2026 ($)</t>
        </is>
      </c>
      <c r="F4" s="5" t="inlineStr">
        <is>
          <t>Aumento anual</t>
        </is>
      </c>
      <c r="G4" s="5" t="inlineStr">
        <is>
          <t>Horas (FTE)</t>
        </is>
      </c>
      <c r="H4" s="5" t="inlineStr">
        <is>
          <t>Multiplicador</t>
        </is>
      </c>
      <c r="I4" s="5" t="inlineStr">
        <is>
          <t>Bono al inicio</t>
        </is>
      </c>
      <c r="J4" s="5" t="inlineStr">
        <is>
          <t>Matrícula total (2026$)</t>
        </is>
      </c>
      <c r="K4" s="5" t="inlineStr">
        <is>
          <t>Estudio (1/0)</t>
        </is>
      </c>
      <c r="L4" s="5" t="inlineStr">
        <is>
          <t>PSLF (1/0)</t>
        </is>
      </c>
      <c r="M4" s="5" t="inlineStr">
        <is>
          <t>Match 403b (1/0)</t>
        </is>
      </c>
      <c r="N4" s="5" t="inlineStr">
        <is>
          <t>Travel (1/0)</t>
        </is>
      </c>
      <c r="O4" s="5" t="inlineStr">
        <is>
          <t>% stipend libre</t>
        </is>
      </c>
      <c r="P4" s="5" t="inlineStr">
        <is>
          <t>S-corp anual base</t>
        </is>
      </c>
      <c r="Q4" s="5" t="inlineStr">
        <is>
          <t>Autoempleo anual base</t>
        </is>
      </c>
      <c r="R4" s="5" t="inlineStr">
        <is>
          <t>Attending (1/0)</t>
        </is>
      </c>
      <c r="T4" s="8" t="n">
        <v>2027</v>
      </c>
      <c r="U4" s="8" t="n">
        <v>2028</v>
      </c>
      <c r="V4" s="8" t="n">
        <v>2029</v>
      </c>
      <c r="W4" s="8" t="n">
        <v>2030</v>
      </c>
      <c r="X4" s="8" t="n">
        <v>2031</v>
      </c>
      <c r="Y4" s="8" t="n">
        <v>2032</v>
      </c>
      <c r="Z4" s="8" t="n">
        <v>2033</v>
      </c>
      <c r="AA4" s="8" t="n">
        <v>2034</v>
      </c>
      <c r="AB4" s="8" t="n">
        <v>2035</v>
      </c>
      <c r="AC4" s="8" t="n">
        <v>2036</v>
      </c>
      <c r="AD4" s="8" t="n">
        <v>2037</v>
      </c>
      <c r="AE4" s="8" t="n">
        <v>2038</v>
      </c>
      <c r="AF4" s="8" t="n">
        <v>2039</v>
      </c>
      <c r="AG4" s="8" t="n">
        <v>2040</v>
      </c>
      <c r="AH4" s="8" t="n">
        <v>2041</v>
      </c>
      <c r="AI4" s="8" t="n">
        <v>2042</v>
      </c>
      <c r="AJ4" s="8" t="n">
        <v>2043</v>
      </c>
      <c r="AK4" s="8" t="n">
        <v>2044</v>
      </c>
      <c r="AL4" s="8" t="n">
        <v>2045</v>
      </c>
      <c r="AM4" s="8" t="n">
        <v>2046</v>
      </c>
      <c r="AN4" s="5" t="inlineStr">
        <is>
          <t>Hito</t>
        </is>
      </c>
      <c r="AO4" s="5" t="inlineStr">
        <is>
          <t>Fecha</t>
        </is>
      </c>
      <c r="AP4" s="5" t="inlineStr">
        <is>
          <t>Costo (2026$)</t>
        </is>
      </c>
    </row>
    <row r="5">
      <c r="A5" t="inlineStr">
        <is>
          <t>Case manager RN (cursando BSN)</t>
        </is>
      </c>
      <c r="B5" s="3" t="n">
        <v>2027</v>
      </c>
      <c r="C5" s="3" t="n">
        <v>2027.5</v>
      </c>
      <c r="D5" t="inlineStr">
        <is>
          <t>cm</t>
        </is>
      </c>
      <c r="E5">
        <f>personal_tarifaHora*2080*loc_factorRN/ubic_miami_factorRN</f>
        <v/>
      </c>
      <c r="F5">
        <f>roles_cm_aumento</f>
        <v/>
      </c>
      <c r="G5">
        <f>personal_horasSemana/40</f>
        <v/>
      </c>
      <c r="H5" s="3" t="n">
        <v>1</v>
      </c>
      <c r="I5" s="3" t="n">
        <v>0</v>
      </c>
      <c r="J5" s="3" t="n">
        <v>0</v>
      </c>
      <c r="K5" s="3" t="n">
        <v>0</v>
      </c>
      <c r="L5" s="3" t="n">
        <v>1</v>
      </c>
      <c r="M5" s="3" t="n">
        <v>1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T5">
        <f>MAX(0,MIN($C5,T$4+1)-MAX($B5,T$4))</f>
        <v/>
      </c>
      <c r="U5">
        <f>MAX(0,MIN($C5,U$4+1)-MAX($B5,U$4))</f>
        <v/>
      </c>
      <c r="V5">
        <f>MAX(0,MIN($C5,V$4+1)-MAX($B5,V$4))</f>
        <v/>
      </c>
      <c r="W5">
        <f>MAX(0,MIN($C5,W$4+1)-MAX($B5,W$4))</f>
        <v/>
      </c>
      <c r="X5">
        <f>MAX(0,MIN($C5,X$4+1)-MAX($B5,X$4))</f>
        <v/>
      </c>
      <c r="Y5">
        <f>MAX(0,MIN($C5,Y$4+1)-MAX($B5,Y$4))</f>
        <v/>
      </c>
      <c r="Z5">
        <f>MAX(0,MIN($C5,Z$4+1)-MAX($B5,Z$4))</f>
        <v/>
      </c>
      <c r="AA5">
        <f>MAX(0,MIN($C5,AA$4+1)-MAX($B5,AA$4))</f>
        <v/>
      </c>
      <c r="AB5">
        <f>MAX(0,MIN($C5,AB$4+1)-MAX($B5,AB$4))</f>
        <v/>
      </c>
      <c r="AC5">
        <f>MAX(0,MIN($C5,AC$4+1)-MAX($B5,AC$4))</f>
        <v/>
      </c>
      <c r="AD5">
        <f>MAX(0,MIN($C5,AD$4+1)-MAX($B5,AD$4))</f>
        <v/>
      </c>
      <c r="AE5">
        <f>MAX(0,MIN($C5,AE$4+1)-MAX($B5,AE$4))</f>
        <v/>
      </c>
      <c r="AF5">
        <f>MAX(0,MIN($C5,AF$4+1)-MAX($B5,AF$4))</f>
        <v/>
      </c>
      <c r="AG5">
        <f>MAX(0,MIN($C5,AG$4+1)-MAX($B5,AG$4))</f>
        <v/>
      </c>
      <c r="AH5">
        <f>MAX(0,MIN($C5,AH$4+1)-MAX($B5,AH$4))</f>
        <v/>
      </c>
      <c r="AI5">
        <f>MAX(0,MIN($C5,AI$4+1)-MAX($B5,AI$4))</f>
        <v/>
      </c>
      <c r="AJ5">
        <f>MAX(0,MIN($C5,AJ$4+1)-MAX($B5,AJ$4))</f>
        <v/>
      </c>
      <c r="AK5">
        <f>MAX(0,MIN($C5,AK$4+1)-MAX($B5,AK$4))</f>
        <v/>
      </c>
      <c r="AL5">
        <f>MAX(0,MIN($C5,AL$4+1)-MAX($B5,AL$4))</f>
        <v/>
      </c>
      <c r="AM5">
        <f>MAX(0,MIN($C5,AM$4+1)-MAX($B5,AM$4))</f>
        <v/>
      </c>
      <c r="AN5" t="inlineStr">
        <is>
          <t>Graduación RN-BSN</t>
        </is>
      </c>
      <c r="AO5" s="3" t="n">
        <v>2027.5</v>
      </c>
      <c r="AP5" s="3" t="n">
        <v>0</v>
      </c>
    </row>
    <row r="6">
      <c r="A6" t="inlineStr">
        <is>
          <t>Case manager RN (BSN)</t>
        </is>
      </c>
      <c r="B6" s="3" t="n">
        <v>2027.5</v>
      </c>
      <c r="C6" s="3" t="n">
        <v>2027.75</v>
      </c>
      <c r="D6" t="inlineStr">
        <is>
          <t>cm</t>
        </is>
      </c>
      <c r="E6">
        <f>personal_tarifaHora*2080*loc_factorRN/ubic_miami_factorRN</f>
        <v/>
      </c>
      <c r="F6">
        <f>roles_cm_aumento</f>
        <v/>
      </c>
      <c r="G6">
        <f>personal_horasSemana/40</f>
        <v/>
      </c>
      <c r="H6">
        <f>1+personal_bsnAumento</f>
        <v/>
      </c>
      <c r="I6" s="3" t="n">
        <v>0</v>
      </c>
      <c r="J6" s="3" t="n">
        <v>0</v>
      </c>
      <c r="K6" s="3" t="n">
        <v>0</v>
      </c>
      <c r="L6" s="3" t="n">
        <v>1</v>
      </c>
      <c r="M6" s="3" t="n">
        <v>1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  <c r="T6">
        <f>MAX(0,MIN($C6,T$4+1)-MAX($B6,T$4))</f>
        <v/>
      </c>
      <c r="U6">
        <f>MAX(0,MIN($C6,U$4+1)-MAX($B6,U$4))</f>
        <v/>
      </c>
      <c r="V6">
        <f>MAX(0,MIN($C6,V$4+1)-MAX($B6,V$4))</f>
        <v/>
      </c>
      <c r="W6">
        <f>MAX(0,MIN($C6,W$4+1)-MAX($B6,W$4))</f>
        <v/>
      </c>
      <c r="X6">
        <f>MAX(0,MIN($C6,X$4+1)-MAX($B6,X$4))</f>
        <v/>
      </c>
      <c r="Y6">
        <f>MAX(0,MIN($C6,Y$4+1)-MAX($B6,Y$4))</f>
        <v/>
      </c>
      <c r="Z6">
        <f>MAX(0,MIN($C6,Z$4+1)-MAX($B6,Z$4))</f>
        <v/>
      </c>
      <c r="AA6">
        <f>MAX(0,MIN($C6,AA$4+1)-MAX($B6,AA$4))</f>
        <v/>
      </c>
      <c r="AB6">
        <f>MAX(0,MIN($C6,AB$4+1)-MAX($B6,AB$4))</f>
        <v/>
      </c>
      <c r="AC6">
        <f>MAX(0,MIN($C6,AC$4+1)-MAX($B6,AC$4))</f>
        <v/>
      </c>
      <c r="AD6">
        <f>MAX(0,MIN($C6,AD$4+1)-MAX($B6,AD$4))</f>
        <v/>
      </c>
      <c r="AE6">
        <f>MAX(0,MIN($C6,AE$4+1)-MAX($B6,AE$4))</f>
        <v/>
      </c>
      <c r="AF6">
        <f>MAX(0,MIN($C6,AF$4+1)-MAX($B6,AF$4))</f>
        <v/>
      </c>
      <c r="AG6">
        <f>MAX(0,MIN($C6,AG$4+1)-MAX($B6,AG$4))</f>
        <v/>
      </c>
      <c r="AH6">
        <f>MAX(0,MIN($C6,AH$4+1)-MAX($B6,AH$4))</f>
        <v/>
      </c>
      <c r="AI6">
        <f>MAX(0,MIN($C6,AI$4+1)-MAX($B6,AI$4))</f>
        <v/>
      </c>
      <c r="AJ6">
        <f>MAX(0,MIN($C6,AJ$4+1)-MAX($B6,AJ$4))</f>
        <v/>
      </c>
      <c r="AK6">
        <f>MAX(0,MIN($C6,AK$4+1)-MAX($B6,AK$4))</f>
        <v/>
      </c>
      <c r="AL6">
        <f>MAX(0,MIN($C6,AL$4+1)-MAX($B6,AL$4))</f>
        <v/>
      </c>
      <c r="AM6">
        <f>MAX(0,MIN($C6,AM$4+1)-MAX($B6,AM$4))</f>
        <v/>
      </c>
      <c r="AN6" t="inlineStr">
        <is>
          <t>Matrícula restante BSN</t>
        </is>
      </c>
      <c r="AO6" s="3" t="n">
        <v>2027</v>
      </c>
      <c r="AP6" s="3">
        <f>personal_bsnCostoRestante</f>
        <v/>
      </c>
    </row>
    <row r="7">
      <c r="A7" t="inlineStr">
        <is>
          <t>ICU (programa de transición, años 1-2)</t>
        </is>
      </c>
      <c r="B7" s="3" t="n">
        <v>2027.75</v>
      </c>
      <c r="C7" s="3" t="n">
        <v>2029.75</v>
      </c>
      <c r="D7" t="inlineStr">
        <is>
          <t>icuNuevo</t>
        </is>
      </c>
      <c r="E7">
        <f>roles_icuNuevo_base*loc_factorRN</f>
        <v/>
      </c>
      <c r="F7">
        <f>roles_icuNuevo_aumento</f>
        <v/>
      </c>
      <c r="G7" s="3" t="n">
        <v>1</v>
      </c>
      <c r="H7" s="3" t="n">
        <v>1</v>
      </c>
      <c r="I7">
        <f>tiempos_bonoFirmaICU</f>
        <v/>
      </c>
      <c r="J7" s="3" t="n">
        <v>0</v>
      </c>
      <c r="K7" s="3" t="n">
        <v>0</v>
      </c>
      <c r="L7" s="3" t="n">
        <v>1</v>
      </c>
      <c r="M7" s="3" t="n">
        <v>1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T7">
        <f>MAX(0,MIN($C7,T$4+1)-MAX($B7,T$4))</f>
        <v/>
      </c>
      <c r="U7">
        <f>MAX(0,MIN($C7,U$4+1)-MAX($B7,U$4))</f>
        <v/>
      </c>
      <c r="V7">
        <f>MAX(0,MIN($C7,V$4+1)-MAX($B7,V$4))</f>
        <v/>
      </c>
      <c r="W7">
        <f>MAX(0,MIN($C7,W$4+1)-MAX($B7,W$4))</f>
        <v/>
      </c>
      <c r="X7">
        <f>MAX(0,MIN($C7,X$4+1)-MAX($B7,X$4))</f>
        <v/>
      </c>
      <c r="Y7">
        <f>MAX(0,MIN($C7,Y$4+1)-MAX($B7,Y$4))</f>
        <v/>
      </c>
      <c r="Z7">
        <f>MAX(0,MIN($C7,Z$4+1)-MAX($B7,Z$4))</f>
        <v/>
      </c>
      <c r="AA7">
        <f>MAX(0,MIN($C7,AA$4+1)-MAX($B7,AA$4))</f>
        <v/>
      </c>
      <c r="AB7">
        <f>MAX(0,MIN($C7,AB$4+1)-MAX($B7,AB$4))</f>
        <v/>
      </c>
      <c r="AC7">
        <f>MAX(0,MIN($C7,AC$4+1)-MAX($B7,AC$4))</f>
        <v/>
      </c>
      <c r="AD7">
        <f>MAX(0,MIN($C7,AD$4+1)-MAX($B7,AD$4))</f>
        <v/>
      </c>
      <c r="AE7">
        <f>MAX(0,MIN($C7,AE$4+1)-MAX($B7,AE$4))</f>
        <v/>
      </c>
      <c r="AF7">
        <f>MAX(0,MIN($C7,AF$4+1)-MAX($B7,AF$4))</f>
        <v/>
      </c>
      <c r="AG7">
        <f>MAX(0,MIN($C7,AG$4+1)-MAX($B7,AG$4))</f>
        <v/>
      </c>
      <c r="AH7">
        <f>MAX(0,MIN($C7,AH$4+1)-MAX($B7,AH$4))</f>
        <v/>
      </c>
      <c r="AI7">
        <f>MAX(0,MIN($C7,AI$4+1)-MAX($B7,AI$4))</f>
        <v/>
      </c>
      <c r="AJ7">
        <f>MAX(0,MIN($C7,AJ$4+1)-MAX($B7,AJ$4))</f>
        <v/>
      </c>
      <c r="AK7">
        <f>MAX(0,MIN($C7,AK$4+1)-MAX($B7,AK$4))</f>
        <v/>
      </c>
      <c r="AL7">
        <f>MAX(0,MIN($C7,AL$4+1)-MAX($B7,AL$4))</f>
        <v/>
      </c>
      <c r="AM7">
        <f>MAX(0,MIN($C7,AM$4+1)-MAX($B7,AM$4))</f>
        <v/>
      </c>
      <c r="AN7" t="inlineStr">
        <is>
          <t>Nurse manager</t>
        </is>
      </c>
      <c r="AO7" s="3" t="n">
        <v>2031.25</v>
      </c>
      <c r="AP7" s="3" t="n">
        <v>0</v>
      </c>
    </row>
    <row r="8">
      <c r="A8" t="inlineStr">
        <is>
          <t>Charge nurse + MSN liderazgo</t>
        </is>
      </c>
      <c r="B8" s="3" t="n">
        <v>2029.75</v>
      </c>
      <c r="C8" s="3" t="n">
        <v>2031.25</v>
      </c>
      <c r="D8" t="inlineStr">
        <is>
          <t>icuExp</t>
        </is>
      </c>
      <c r="E8">
        <f>roles_icuExp_base*loc_factorRN</f>
        <v/>
      </c>
      <c r="F8">
        <f>roles_icuExp_aumento</f>
        <v/>
      </c>
      <c r="G8" s="3" t="n">
        <v>1</v>
      </c>
      <c r="H8" s="3" t="n">
        <v>1.08</v>
      </c>
      <c r="I8" s="3" t="n">
        <v>0</v>
      </c>
      <c r="J8">
        <f>tiempos_msnLiderazgoCosto</f>
        <v/>
      </c>
      <c r="K8" s="3" t="n">
        <v>0</v>
      </c>
      <c r="L8" s="3" t="n">
        <v>1</v>
      </c>
      <c r="M8" s="3" t="n">
        <v>1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T8">
        <f>MAX(0,MIN($C8,T$4+1)-MAX($B8,T$4))</f>
        <v/>
      </c>
      <c r="U8">
        <f>MAX(0,MIN($C8,U$4+1)-MAX($B8,U$4))</f>
        <v/>
      </c>
      <c r="V8">
        <f>MAX(0,MIN($C8,V$4+1)-MAX($B8,V$4))</f>
        <v/>
      </c>
      <c r="W8">
        <f>MAX(0,MIN($C8,W$4+1)-MAX($B8,W$4))</f>
        <v/>
      </c>
      <c r="X8">
        <f>MAX(0,MIN($C8,X$4+1)-MAX($B8,X$4))</f>
        <v/>
      </c>
      <c r="Y8">
        <f>MAX(0,MIN($C8,Y$4+1)-MAX($B8,Y$4))</f>
        <v/>
      </c>
      <c r="Z8">
        <f>MAX(0,MIN($C8,Z$4+1)-MAX($B8,Z$4))</f>
        <v/>
      </c>
      <c r="AA8">
        <f>MAX(0,MIN($C8,AA$4+1)-MAX($B8,AA$4))</f>
        <v/>
      </c>
      <c r="AB8">
        <f>MAX(0,MIN($C8,AB$4+1)-MAX($B8,AB$4))</f>
        <v/>
      </c>
      <c r="AC8">
        <f>MAX(0,MIN($C8,AC$4+1)-MAX($B8,AC$4))</f>
        <v/>
      </c>
      <c r="AD8">
        <f>MAX(0,MIN($C8,AD$4+1)-MAX($B8,AD$4))</f>
        <v/>
      </c>
      <c r="AE8">
        <f>MAX(0,MIN($C8,AE$4+1)-MAX($B8,AE$4))</f>
        <v/>
      </c>
      <c r="AF8">
        <f>MAX(0,MIN($C8,AF$4+1)-MAX($B8,AF$4))</f>
        <v/>
      </c>
      <c r="AG8">
        <f>MAX(0,MIN($C8,AG$4+1)-MAX($B8,AG$4))</f>
        <v/>
      </c>
      <c r="AH8">
        <f>MAX(0,MIN($C8,AH$4+1)-MAX($B8,AH$4))</f>
        <v/>
      </c>
      <c r="AI8">
        <f>MAX(0,MIN($C8,AI$4+1)-MAX($B8,AI$4))</f>
        <v/>
      </c>
      <c r="AJ8">
        <f>MAX(0,MIN($C8,AJ$4+1)-MAX($B8,AJ$4))</f>
        <v/>
      </c>
      <c r="AK8">
        <f>MAX(0,MIN($C8,AK$4+1)-MAX($B8,AK$4))</f>
        <v/>
      </c>
      <c r="AL8">
        <f>MAX(0,MIN($C8,AL$4+1)-MAX($B8,AL$4))</f>
        <v/>
      </c>
      <c r="AM8">
        <f>MAX(0,MIN($C8,AM$4+1)-MAX($B8,AM$4))</f>
        <v/>
      </c>
      <c r="AO8" t="n">
        <v>0</v>
      </c>
      <c r="AP8" t="n">
        <v>0</v>
      </c>
    </row>
    <row r="9">
      <c r="A9" t="inlineStr">
        <is>
          <t>Nurse manager</t>
        </is>
      </c>
      <c r="B9" s="3" t="n">
        <v>2031.25</v>
      </c>
      <c r="C9" s="3" t="n">
        <v>2048</v>
      </c>
      <c r="D9" t="inlineStr">
        <is>
          <t>manager</t>
        </is>
      </c>
      <c r="E9">
        <f>roles_manager_base*loc_factorRN</f>
        <v/>
      </c>
      <c r="F9">
        <f>roles_manager_aumento</f>
        <v/>
      </c>
      <c r="G9" s="3" t="n">
        <v>1</v>
      </c>
      <c r="H9" s="3" t="n">
        <v>1</v>
      </c>
      <c r="I9" s="3" t="n">
        <v>0</v>
      </c>
      <c r="J9" s="3" t="n">
        <v>0</v>
      </c>
      <c r="K9" s="3" t="n">
        <v>0</v>
      </c>
      <c r="L9" s="3" t="n">
        <v>1</v>
      </c>
      <c r="M9" s="3" t="n">
        <v>1</v>
      </c>
      <c r="N9" s="3" t="n">
        <v>0</v>
      </c>
      <c r="O9" s="3" t="n">
        <v>0</v>
      </c>
      <c r="P9" s="3" t="n">
        <v>0</v>
      </c>
      <c r="Q9" s="3" t="n">
        <v>0</v>
      </c>
      <c r="R9" s="3" t="n">
        <v>0</v>
      </c>
      <c r="T9">
        <f>MAX(0,MIN($C9,T$4+1)-MAX($B9,T$4))</f>
        <v/>
      </c>
      <c r="U9">
        <f>MAX(0,MIN($C9,U$4+1)-MAX($B9,U$4))</f>
        <v/>
      </c>
      <c r="V9">
        <f>MAX(0,MIN($C9,V$4+1)-MAX($B9,V$4))</f>
        <v/>
      </c>
      <c r="W9">
        <f>MAX(0,MIN($C9,W$4+1)-MAX($B9,W$4))</f>
        <v/>
      </c>
      <c r="X9">
        <f>MAX(0,MIN($C9,X$4+1)-MAX($B9,X$4))</f>
        <v/>
      </c>
      <c r="Y9">
        <f>MAX(0,MIN($C9,Y$4+1)-MAX($B9,Y$4))</f>
        <v/>
      </c>
      <c r="Z9">
        <f>MAX(0,MIN($C9,Z$4+1)-MAX($B9,Z$4))</f>
        <v/>
      </c>
      <c r="AA9">
        <f>MAX(0,MIN($C9,AA$4+1)-MAX($B9,AA$4))</f>
        <v/>
      </c>
      <c r="AB9">
        <f>MAX(0,MIN($C9,AB$4+1)-MAX($B9,AB$4))</f>
        <v/>
      </c>
      <c r="AC9">
        <f>MAX(0,MIN($C9,AC$4+1)-MAX($B9,AC$4))</f>
        <v/>
      </c>
      <c r="AD9">
        <f>MAX(0,MIN($C9,AD$4+1)-MAX($B9,AD$4))</f>
        <v/>
      </c>
      <c r="AE9">
        <f>MAX(0,MIN($C9,AE$4+1)-MAX($B9,AE$4))</f>
        <v/>
      </c>
      <c r="AF9">
        <f>MAX(0,MIN($C9,AF$4+1)-MAX($B9,AF$4))</f>
        <v/>
      </c>
      <c r="AG9">
        <f>MAX(0,MIN($C9,AG$4+1)-MAX($B9,AG$4))</f>
        <v/>
      </c>
      <c r="AH9">
        <f>MAX(0,MIN($C9,AH$4+1)-MAX($B9,AH$4))</f>
        <v/>
      </c>
      <c r="AI9">
        <f>MAX(0,MIN($C9,AI$4+1)-MAX($B9,AI$4))</f>
        <v/>
      </c>
      <c r="AJ9">
        <f>MAX(0,MIN($C9,AJ$4+1)-MAX($B9,AJ$4))</f>
        <v/>
      </c>
      <c r="AK9">
        <f>MAX(0,MIN($C9,AK$4+1)-MAX($B9,AK$4))</f>
        <v/>
      </c>
      <c r="AL9">
        <f>MAX(0,MIN($C9,AL$4+1)-MAX($B9,AL$4))</f>
        <v/>
      </c>
      <c r="AM9">
        <f>MAX(0,MIN($C9,AM$4+1)-MAX($B9,AM$4))</f>
        <v/>
      </c>
      <c r="AO9" t="n">
        <v>0</v>
      </c>
      <c r="AP9" t="n">
        <v>0</v>
      </c>
    </row>
    <row r="10">
      <c r="A10" t="inlineStr"/>
      <c r="B10" s="3" t="n">
        <v>0</v>
      </c>
      <c r="C10" s="3" t="n">
        <v>0</v>
      </c>
      <c r="D10" t="inlineStr"/>
      <c r="E10" t="n">
        <v>0</v>
      </c>
      <c r="F10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T10">
        <f>MAX(0,MIN($C10,T$4+1)-MAX($B10,T$4))</f>
        <v/>
      </c>
      <c r="U10">
        <f>MAX(0,MIN($C10,U$4+1)-MAX($B10,U$4))</f>
        <v/>
      </c>
      <c r="V10">
        <f>MAX(0,MIN($C10,V$4+1)-MAX($B10,V$4))</f>
        <v/>
      </c>
      <c r="W10">
        <f>MAX(0,MIN($C10,W$4+1)-MAX($B10,W$4))</f>
        <v/>
      </c>
      <c r="X10">
        <f>MAX(0,MIN($C10,X$4+1)-MAX($B10,X$4))</f>
        <v/>
      </c>
      <c r="Y10">
        <f>MAX(0,MIN($C10,Y$4+1)-MAX($B10,Y$4))</f>
        <v/>
      </c>
      <c r="Z10">
        <f>MAX(0,MIN($C10,Z$4+1)-MAX($B10,Z$4))</f>
        <v/>
      </c>
      <c r="AA10">
        <f>MAX(0,MIN($C10,AA$4+1)-MAX($B10,AA$4))</f>
        <v/>
      </c>
      <c r="AB10">
        <f>MAX(0,MIN($C10,AB$4+1)-MAX($B10,AB$4))</f>
        <v/>
      </c>
      <c r="AC10">
        <f>MAX(0,MIN($C10,AC$4+1)-MAX($B10,AC$4))</f>
        <v/>
      </c>
      <c r="AD10">
        <f>MAX(0,MIN($C10,AD$4+1)-MAX($B10,AD$4))</f>
        <v/>
      </c>
      <c r="AE10">
        <f>MAX(0,MIN($C10,AE$4+1)-MAX($B10,AE$4))</f>
        <v/>
      </c>
      <c r="AF10">
        <f>MAX(0,MIN($C10,AF$4+1)-MAX($B10,AF$4))</f>
        <v/>
      </c>
      <c r="AG10">
        <f>MAX(0,MIN($C10,AG$4+1)-MAX($B10,AG$4))</f>
        <v/>
      </c>
      <c r="AH10">
        <f>MAX(0,MIN($C10,AH$4+1)-MAX($B10,AH$4))</f>
        <v/>
      </c>
      <c r="AI10">
        <f>MAX(0,MIN($C10,AI$4+1)-MAX($B10,AI$4))</f>
        <v/>
      </c>
      <c r="AJ10">
        <f>MAX(0,MIN($C10,AJ$4+1)-MAX($B10,AJ$4))</f>
        <v/>
      </c>
      <c r="AK10">
        <f>MAX(0,MIN($C10,AK$4+1)-MAX($B10,AK$4))</f>
        <v/>
      </c>
      <c r="AL10">
        <f>MAX(0,MIN($C10,AL$4+1)-MAX($B10,AL$4))</f>
        <v/>
      </c>
      <c r="AM10">
        <f>MAX(0,MIN($C10,AM$4+1)-MAX($B10,AM$4))</f>
        <v/>
      </c>
      <c r="AO10" t="n">
        <v>0</v>
      </c>
      <c r="AP10" t="n">
        <v>0</v>
      </c>
    </row>
    <row r="11">
      <c r="A11" t="inlineStr"/>
      <c r="B11" s="3" t="n">
        <v>0</v>
      </c>
      <c r="C11" s="3" t="n">
        <v>0</v>
      </c>
      <c r="D11" t="inlineStr"/>
      <c r="E11" t="n">
        <v>0</v>
      </c>
      <c r="F11" t="n">
        <v>0</v>
      </c>
      <c r="G11" s="3" t="n">
        <v>0</v>
      </c>
      <c r="H11" s="3" t="n">
        <v>0</v>
      </c>
      <c r="I11" s="3" t="n">
        <v>0</v>
      </c>
      <c r="J11" s="3" t="n">
        <v>0</v>
      </c>
      <c r="K11" s="3" t="n">
        <v>0</v>
      </c>
      <c r="L11" s="3" t="n">
        <v>0</v>
      </c>
      <c r="M11" s="3" t="n">
        <v>0</v>
      </c>
      <c r="N11" s="3" t="n">
        <v>0</v>
      </c>
      <c r="O11" s="3" t="n">
        <v>0</v>
      </c>
      <c r="P11" s="3" t="n">
        <v>0</v>
      </c>
      <c r="Q11" s="3" t="n">
        <v>0</v>
      </c>
      <c r="R11" s="3" t="n">
        <v>0</v>
      </c>
      <c r="T11">
        <f>MAX(0,MIN($C11,T$4+1)-MAX($B11,T$4))</f>
        <v/>
      </c>
      <c r="U11">
        <f>MAX(0,MIN($C11,U$4+1)-MAX($B11,U$4))</f>
        <v/>
      </c>
      <c r="V11">
        <f>MAX(0,MIN($C11,V$4+1)-MAX($B11,V$4))</f>
        <v/>
      </c>
      <c r="W11">
        <f>MAX(0,MIN($C11,W$4+1)-MAX($B11,W$4))</f>
        <v/>
      </c>
      <c r="X11">
        <f>MAX(0,MIN($C11,X$4+1)-MAX($B11,X$4))</f>
        <v/>
      </c>
      <c r="Y11">
        <f>MAX(0,MIN($C11,Y$4+1)-MAX($B11,Y$4))</f>
        <v/>
      </c>
      <c r="Z11">
        <f>MAX(0,MIN($C11,Z$4+1)-MAX($B11,Z$4))</f>
        <v/>
      </c>
      <c r="AA11">
        <f>MAX(0,MIN($C11,AA$4+1)-MAX($B11,AA$4))</f>
        <v/>
      </c>
      <c r="AB11">
        <f>MAX(0,MIN($C11,AB$4+1)-MAX($B11,AB$4))</f>
        <v/>
      </c>
      <c r="AC11">
        <f>MAX(0,MIN($C11,AC$4+1)-MAX($B11,AC$4))</f>
        <v/>
      </c>
      <c r="AD11">
        <f>MAX(0,MIN($C11,AD$4+1)-MAX($B11,AD$4))</f>
        <v/>
      </c>
      <c r="AE11">
        <f>MAX(0,MIN($C11,AE$4+1)-MAX($B11,AE$4))</f>
        <v/>
      </c>
      <c r="AF11">
        <f>MAX(0,MIN($C11,AF$4+1)-MAX($B11,AF$4))</f>
        <v/>
      </c>
      <c r="AG11">
        <f>MAX(0,MIN($C11,AG$4+1)-MAX($B11,AG$4))</f>
        <v/>
      </c>
      <c r="AH11">
        <f>MAX(0,MIN($C11,AH$4+1)-MAX($B11,AH$4))</f>
        <v/>
      </c>
      <c r="AI11">
        <f>MAX(0,MIN($C11,AI$4+1)-MAX($B11,AI$4))</f>
        <v/>
      </c>
      <c r="AJ11">
        <f>MAX(0,MIN($C11,AJ$4+1)-MAX($B11,AJ$4))</f>
        <v/>
      </c>
      <c r="AK11">
        <f>MAX(0,MIN($C11,AK$4+1)-MAX($B11,AK$4))</f>
        <v/>
      </c>
      <c r="AL11">
        <f>MAX(0,MIN($C11,AL$4+1)-MAX($B11,AL$4))</f>
        <v/>
      </c>
      <c r="AM11">
        <f>MAX(0,MIN($C11,AM$4+1)-MAX($B11,AM$4))</f>
        <v/>
      </c>
      <c r="AO11" t="n">
        <v>0</v>
      </c>
      <c r="AP11" t="n">
        <v>0</v>
      </c>
    </row>
    <row r="12">
      <c r="A12" t="inlineStr"/>
      <c r="B12" s="3" t="n">
        <v>0</v>
      </c>
      <c r="C12" s="3" t="n">
        <v>0</v>
      </c>
      <c r="D12" t="inlineStr"/>
      <c r="E12" t="n">
        <v>0</v>
      </c>
      <c r="F12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T12">
        <f>MAX(0,MIN($C12,T$4+1)-MAX($B12,T$4))</f>
        <v/>
      </c>
      <c r="U12">
        <f>MAX(0,MIN($C12,U$4+1)-MAX($B12,U$4))</f>
        <v/>
      </c>
      <c r="V12">
        <f>MAX(0,MIN($C12,V$4+1)-MAX($B12,V$4))</f>
        <v/>
      </c>
      <c r="W12">
        <f>MAX(0,MIN($C12,W$4+1)-MAX($B12,W$4))</f>
        <v/>
      </c>
      <c r="X12">
        <f>MAX(0,MIN($C12,X$4+1)-MAX($B12,X$4))</f>
        <v/>
      </c>
      <c r="Y12">
        <f>MAX(0,MIN($C12,Y$4+1)-MAX($B12,Y$4))</f>
        <v/>
      </c>
      <c r="Z12">
        <f>MAX(0,MIN($C12,Z$4+1)-MAX($B12,Z$4))</f>
        <v/>
      </c>
      <c r="AA12">
        <f>MAX(0,MIN($C12,AA$4+1)-MAX($B12,AA$4))</f>
        <v/>
      </c>
      <c r="AB12">
        <f>MAX(0,MIN($C12,AB$4+1)-MAX($B12,AB$4))</f>
        <v/>
      </c>
      <c r="AC12">
        <f>MAX(0,MIN($C12,AC$4+1)-MAX($B12,AC$4))</f>
        <v/>
      </c>
      <c r="AD12">
        <f>MAX(0,MIN($C12,AD$4+1)-MAX($B12,AD$4))</f>
        <v/>
      </c>
      <c r="AE12">
        <f>MAX(0,MIN($C12,AE$4+1)-MAX($B12,AE$4))</f>
        <v/>
      </c>
      <c r="AF12">
        <f>MAX(0,MIN($C12,AF$4+1)-MAX($B12,AF$4))</f>
        <v/>
      </c>
      <c r="AG12">
        <f>MAX(0,MIN($C12,AG$4+1)-MAX($B12,AG$4))</f>
        <v/>
      </c>
      <c r="AH12">
        <f>MAX(0,MIN($C12,AH$4+1)-MAX($B12,AH$4))</f>
        <v/>
      </c>
      <c r="AI12">
        <f>MAX(0,MIN($C12,AI$4+1)-MAX($B12,AI$4))</f>
        <v/>
      </c>
      <c r="AJ12">
        <f>MAX(0,MIN($C12,AJ$4+1)-MAX($B12,AJ$4))</f>
        <v/>
      </c>
      <c r="AK12">
        <f>MAX(0,MIN($C12,AK$4+1)-MAX($B12,AK$4))</f>
        <v/>
      </c>
      <c r="AL12">
        <f>MAX(0,MIN($C12,AL$4+1)-MAX($B12,AL$4))</f>
        <v/>
      </c>
      <c r="AM12">
        <f>MAX(0,MIN($C12,AM$4+1)-MAX($B12,AM$4))</f>
        <v/>
      </c>
      <c r="AO12" t="n">
        <v>0</v>
      </c>
      <c r="AP12" t="n">
        <v>0</v>
      </c>
    </row>
    <row r="13">
      <c r="A13" t="inlineStr"/>
      <c r="B13" s="3" t="n">
        <v>0</v>
      </c>
      <c r="C13" s="3" t="n">
        <v>0</v>
      </c>
      <c r="D13" t="inlineStr"/>
      <c r="E13" t="n">
        <v>0</v>
      </c>
      <c r="F1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T13">
        <f>MAX(0,MIN($C13,T$4+1)-MAX($B13,T$4))</f>
        <v/>
      </c>
      <c r="U13">
        <f>MAX(0,MIN($C13,U$4+1)-MAX($B13,U$4))</f>
        <v/>
      </c>
      <c r="V13">
        <f>MAX(0,MIN($C13,V$4+1)-MAX($B13,V$4))</f>
        <v/>
      </c>
      <c r="W13">
        <f>MAX(0,MIN($C13,W$4+1)-MAX($B13,W$4))</f>
        <v/>
      </c>
      <c r="X13">
        <f>MAX(0,MIN($C13,X$4+1)-MAX($B13,X$4))</f>
        <v/>
      </c>
      <c r="Y13">
        <f>MAX(0,MIN($C13,Y$4+1)-MAX($B13,Y$4))</f>
        <v/>
      </c>
      <c r="Z13">
        <f>MAX(0,MIN($C13,Z$4+1)-MAX($B13,Z$4))</f>
        <v/>
      </c>
      <c r="AA13">
        <f>MAX(0,MIN($C13,AA$4+1)-MAX($B13,AA$4))</f>
        <v/>
      </c>
      <c r="AB13">
        <f>MAX(0,MIN($C13,AB$4+1)-MAX($B13,AB$4))</f>
        <v/>
      </c>
      <c r="AC13">
        <f>MAX(0,MIN($C13,AC$4+1)-MAX($B13,AC$4))</f>
        <v/>
      </c>
      <c r="AD13">
        <f>MAX(0,MIN($C13,AD$4+1)-MAX($B13,AD$4))</f>
        <v/>
      </c>
      <c r="AE13">
        <f>MAX(0,MIN($C13,AE$4+1)-MAX($B13,AE$4))</f>
        <v/>
      </c>
      <c r="AF13">
        <f>MAX(0,MIN($C13,AF$4+1)-MAX($B13,AF$4))</f>
        <v/>
      </c>
      <c r="AG13">
        <f>MAX(0,MIN($C13,AG$4+1)-MAX($B13,AG$4))</f>
        <v/>
      </c>
      <c r="AH13">
        <f>MAX(0,MIN($C13,AH$4+1)-MAX($B13,AH$4))</f>
        <v/>
      </c>
      <c r="AI13">
        <f>MAX(0,MIN($C13,AI$4+1)-MAX($B13,AI$4))</f>
        <v/>
      </c>
      <c r="AJ13">
        <f>MAX(0,MIN($C13,AJ$4+1)-MAX($B13,AJ$4))</f>
        <v/>
      </c>
      <c r="AK13">
        <f>MAX(0,MIN($C13,AK$4+1)-MAX($B13,AK$4))</f>
        <v/>
      </c>
      <c r="AL13">
        <f>MAX(0,MIN($C13,AL$4+1)-MAX($B13,AL$4))</f>
        <v/>
      </c>
      <c r="AM13">
        <f>MAX(0,MIN($C13,AM$4+1)-MAX($B13,AM$4))</f>
        <v/>
      </c>
      <c r="AO13" t="n">
        <v>0</v>
      </c>
      <c r="AP13" t="n">
        <v>0</v>
      </c>
    </row>
    <row r="14">
      <c r="A14" t="inlineStr"/>
      <c r="B14" s="3" t="n">
        <v>0</v>
      </c>
      <c r="C14" s="3" t="n">
        <v>0</v>
      </c>
      <c r="D14" t="inlineStr"/>
      <c r="E14" t="n">
        <v>0</v>
      </c>
      <c r="F14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T14">
        <f>MAX(0,MIN($C14,T$4+1)-MAX($B14,T$4))</f>
        <v/>
      </c>
      <c r="U14">
        <f>MAX(0,MIN($C14,U$4+1)-MAX($B14,U$4))</f>
        <v/>
      </c>
      <c r="V14">
        <f>MAX(0,MIN($C14,V$4+1)-MAX($B14,V$4))</f>
        <v/>
      </c>
      <c r="W14">
        <f>MAX(0,MIN($C14,W$4+1)-MAX($B14,W$4))</f>
        <v/>
      </c>
      <c r="X14">
        <f>MAX(0,MIN($C14,X$4+1)-MAX($B14,X$4))</f>
        <v/>
      </c>
      <c r="Y14">
        <f>MAX(0,MIN($C14,Y$4+1)-MAX($B14,Y$4))</f>
        <v/>
      </c>
      <c r="Z14">
        <f>MAX(0,MIN($C14,Z$4+1)-MAX($B14,Z$4))</f>
        <v/>
      </c>
      <c r="AA14">
        <f>MAX(0,MIN($C14,AA$4+1)-MAX($B14,AA$4))</f>
        <v/>
      </c>
      <c r="AB14">
        <f>MAX(0,MIN($C14,AB$4+1)-MAX($B14,AB$4))</f>
        <v/>
      </c>
      <c r="AC14">
        <f>MAX(0,MIN($C14,AC$4+1)-MAX($B14,AC$4))</f>
        <v/>
      </c>
      <c r="AD14">
        <f>MAX(0,MIN($C14,AD$4+1)-MAX($B14,AD$4))</f>
        <v/>
      </c>
      <c r="AE14">
        <f>MAX(0,MIN($C14,AE$4+1)-MAX($B14,AE$4))</f>
        <v/>
      </c>
      <c r="AF14">
        <f>MAX(0,MIN($C14,AF$4+1)-MAX($B14,AF$4))</f>
        <v/>
      </c>
      <c r="AG14">
        <f>MAX(0,MIN($C14,AG$4+1)-MAX($B14,AG$4))</f>
        <v/>
      </c>
      <c r="AH14">
        <f>MAX(0,MIN($C14,AH$4+1)-MAX($B14,AH$4))</f>
        <v/>
      </c>
      <c r="AI14">
        <f>MAX(0,MIN($C14,AI$4+1)-MAX($B14,AI$4))</f>
        <v/>
      </c>
      <c r="AJ14">
        <f>MAX(0,MIN($C14,AJ$4+1)-MAX($B14,AJ$4))</f>
        <v/>
      </c>
      <c r="AK14">
        <f>MAX(0,MIN($C14,AK$4+1)-MAX($B14,AK$4))</f>
        <v/>
      </c>
      <c r="AL14">
        <f>MAX(0,MIN($C14,AL$4+1)-MAX($B14,AL$4))</f>
        <v/>
      </c>
      <c r="AM14">
        <f>MAX(0,MIN($C14,AM$4+1)-MAX($B14,AM$4))</f>
        <v/>
      </c>
      <c r="AO14" t="n">
        <v>0</v>
      </c>
      <c r="AP14" t="n">
        <v>0</v>
      </c>
    </row>
    <row r="15">
      <c r="A15" t="inlineStr"/>
      <c r="B15" s="3" t="n">
        <v>0</v>
      </c>
      <c r="C15" s="3" t="n">
        <v>0</v>
      </c>
      <c r="D15" t="inlineStr"/>
      <c r="E15" t="n">
        <v>0</v>
      </c>
      <c r="F15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T15">
        <f>MAX(0,MIN($C15,T$4+1)-MAX($B15,T$4))</f>
        <v/>
      </c>
      <c r="U15">
        <f>MAX(0,MIN($C15,U$4+1)-MAX($B15,U$4))</f>
        <v/>
      </c>
      <c r="V15">
        <f>MAX(0,MIN($C15,V$4+1)-MAX($B15,V$4))</f>
        <v/>
      </c>
      <c r="W15">
        <f>MAX(0,MIN($C15,W$4+1)-MAX($B15,W$4))</f>
        <v/>
      </c>
      <c r="X15">
        <f>MAX(0,MIN($C15,X$4+1)-MAX($B15,X$4))</f>
        <v/>
      </c>
      <c r="Y15">
        <f>MAX(0,MIN($C15,Y$4+1)-MAX($B15,Y$4))</f>
        <v/>
      </c>
      <c r="Z15">
        <f>MAX(0,MIN($C15,Z$4+1)-MAX($B15,Z$4))</f>
        <v/>
      </c>
      <c r="AA15">
        <f>MAX(0,MIN($C15,AA$4+1)-MAX($B15,AA$4))</f>
        <v/>
      </c>
      <c r="AB15">
        <f>MAX(0,MIN($C15,AB$4+1)-MAX($B15,AB$4))</f>
        <v/>
      </c>
      <c r="AC15">
        <f>MAX(0,MIN($C15,AC$4+1)-MAX($B15,AC$4))</f>
        <v/>
      </c>
      <c r="AD15">
        <f>MAX(0,MIN($C15,AD$4+1)-MAX($B15,AD$4))</f>
        <v/>
      </c>
      <c r="AE15">
        <f>MAX(0,MIN($C15,AE$4+1)-MAX($B15,AE$4))</f>
        <v/>
      </c>
      <c r="AF15">
        <f>MAX(0,MIN($C15,AF$4+1)-MAX($B15,AF$4))</f>
        <v/>
      </c>
      <c r="AG15">
        <f>MAX(0,MIN($C15,AG$4+1)-MAX($B15,AG$4))</f>
        <v/>
      </c>
      <c r="AH15">
        <f>MAX(0,MIN($C15,AH$4+1)-MAX($B15,AH$4))</f>
        <v/>
      </c>
      <c r="AI15">
        <f>MAX(0,MIN($C15,AI$4+1)-MAX($B15,AI$4))</f>
        <v/>
      </c>
      <c r="AJ15">
        <f>MAX(0,MIN($C15,AJ$4+1)-MAX($B15,AJ$4))</f>
        <v/>
      </c>
      <c r="AK15">
        <f>MAX(0,MIN($C15,AK$4+1)-MAX($B15,AK$4))</f>
        <v/>
      </c>
      <c r="AL15">
        <f>MAX(0,MIN($C15,AL$4+1)-MAX($B15,AL$4))</f>
        <v/>
      </c>
      <c r="AM15">
        <f>MAX(0,MIN($C15,AM$4+1)-MAX($B15,AM$4))</f>
        <v/>
      </c>
      <c r="AO15" t="n">
        <v>0</v>
      </c>
      <c r="AP15" t="n">
        <v>0</v>
      </c>
    </row>
    <row r="16">
      <c r="A16" t="inlineStr"/>
      <c r="B16" s="3" t="n">
        <v>0</v>
      </c>
      <c r="C16" s="3" t="n">
        <v>0</v>
      </c>
      <c r="D16" t="inlineStr"/>
      <c r="E16" t="n">
        <v>0</v>
      </c>
      <c r="F16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0</v>
      </c>
      <c r="T16">
        <f>MAX(0,MIN($C16,T$4+1)-MAX($B16,T$4))</f>
        <v/>
      </c>
      <c r="U16">
        <f>MAX(0,MIN($C16,U$4+1)-MAX($B16,U$4))</f>
        <v/>
      </c>
      <c r="V16">
        <f>MAX(0,MIN($C16,V$4+1)-MAX($B16,V$4))</f>
        <v/>
      </c>
      <c r="W16">
        <f>MAX(0,MIN($C16,W$4+1)-MAX($B16,W$4))</f>
        <v/>
      </c>
      <c r="X16">
        <f>MAX(0,MIN($C16,X$4+1)-MAX($B16,X$4))</f>
        <v/>
      </c>
      <c r="Y16">
        <f>MAX(0,MIN($C16,Y$4+1)-MAX($B16,Y$4))</f>
        <v/>
      </c>
      <c r="Z16">
        <f>MAX(0,MIN($C16,Z$4+1)-MAX($B16,Z$4))</f>
        <v/>
      </c>
      <c r="AA16">
        <f>MAX(0,MIN($C16,AA$4+1)-MAX($B16,AA$4))</f>
        <v/>
      </c>
      <c r="AB16">
        <f>MAX(0,MIN($C16,AB$4+1)-MAX($B16,AB$4))</f>
        <v/>
      </c>
      <c r="AC16">
        <f>MAX(0,MIN($C16,AC$4+1)-MAX($B16,AC$4))</f>
        <v/>
      </c>
      <c r="AD16">
        <f>MAX(0,MIN($C16,AD$4+1)-MAX($B16,AD$4))</f>
        <v/>
      </c>
      <c r="AE16">
        <f>MAX(0,MIN($C16,AE$4+1)-MAX($B16,AE$4))</f>
        <v/>
      </c>
      <c r="AF16">
        <f>MAX(0,MIN($C16,AF$4+1)-MAX($B16,AF$4))</f>
        <v/>
      </c>
      <c r="AG16">
        <f>MAX(0,MIN($C16,AG$4+1)-MAX($B16,AG$4))</f>
        <v/>
      </c>
      <c r="AH16">
        <f>MAX(0,MIN($C16,AH$4+1)-MAX($B16,AH$4))</f>
        <v/>
      </c>
      <c r="AI16">
        <f>MAX(0,MIN($C16,AI$4+1)-MAX($B16,AI$4))</f>
        <v/>
      </c>
      <c r="AJ16">
        <f>MAX(0,MIN($C16,AJ$4+1)-MAX($B16,AJ$4))</f>
        <v/>
      </c>
      <c r="AK16">
        <f>MAX(0,MIN($C16,AK$4+1)-MAX($B16,AK$4))</f>
        <v/>
      </c>
      <c r="AL16">
        <f>MAX(0,MIN($C16,AL$4+1)-MAX($B16,AL$4))</f>
        <v/>
      </c>
      <c r="AM16">
        <f>MAX(0,MIN($C16,AM$4+1)-MAX($B16,AM$4))</f>
        <v/>
      </c>
      <c r="AO16" t="n">
        <v>0</v>
      </c>
      <c r="AP16" t="n">
        <v>0</v>
      </c>
    </row>
    <row r="17">
      <c r="A17" t="inlineStr"/>
      <c r="B17" s="3" t="n">
        <v>0</v>
      </c>
      <c r="C17" s="3" t="n">
        <v>0</v>
      </c>
      <c r="D17" t="inlineStr"/>
      <c r="E17" t="n">
        <v>0</v>
      </c>
      <c r="F17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T17">
        <f>MAX(0,MIN($C17,T$4+1)-MAX($B17,T$4))</f>
        <v/>
      </c>
      <c r="U17">
        <f>MAX(0,MIN($C17,U$4+1)-MAX($B17,U$4))</f>
        <v/>
      </c>
      <c r="V17">
        <f>MAX(0,MIN($C17,V$4+1)-MAX($B17,V$4))</f>
        <v/>
      </c>
      <c r="W17">
        <f>MAX(0,MIN($C17,W$4+1)-MAX($B17,W$4))</f>
        <v/>
      </c>
      <c r="X17">
        <f>MAX(0,MIN($C17,X$4+1)-MAX($B17,X$4))</f>
        <v/>
      </c>
      <c r="Y17">
        <f>MAX(0,MIN($C17,Y$4+1)-MAX($B17,Y$4))</f>
        <v/>
      </c>
      <c r="Z17">
        <f>MAX(0,MIN($C17,Z$4+1)-MAX($B17,Z$4))</f>
        <v/>
      </c>
      <c r="AA17">
        <f>MAX(0,MIN($C17,AA$4+1)-MAX($B17,AA$4))</f>
        <v/>
      </c>
      <c r="AB17">
        <f>MAX(0,MIN($C17,AB$4+1)-MAX($B17,AB$4))</f>
        <v/>
      </c>
      <c r="AC17">
        <f>MAX(0,MIN($C17,AC$4+1)-MAX($B17,AC$4))</f>
        <v/>
      </c>
      <c r="AD17">
        <f>MAX(0,MIN($C17,AD$4+1)-MAX($B17,AD$4))</f>
        <v/>
      </c>
      <c r="AE17">
        <f>MAX(0,MIN($C17,AE$4+1)-MAX($B17,AE$4))</f>
        <v/>
      </c>
      <c r="AF17">
        <f>MAX(0,MIN($C17,AF$4+1)-MAX($B17,AF$4))</f>
        <v/>
      </c>
      <c r="AG17">
        <f>MAX(0,MIN($C17,AG$4+1)-MAX($B17,AG$4))</f>
        <v/>
      </c>
      <c r="AH17">
        <f>MAX(0,MIN($C17,AH$4+1)-MAX($B17,AH$4))</f>
        <v/>
      </c>
      <c r="AI17">
        <f>MAX(0,MIN($C17,AI$4+1)-MAX($B17,AI$4))</f>
        <v/>
      </c>
      <c r="AJ17">
        <f>MAX(0,MIN($C17,AJ$4+1)-MAX($B17,AJ$4))</f>
        <v/>
      </c>
      <c r="AK17">
        <f>MAX(0,MIN($C17,AK$4+1)-MAX($B17,AK$4))</f>
        <v/>
      </c>
      <c r="AL17">
        <f>MAX(0,MIN($C17,AL$4+1)-MAX($B17,AL$4))</f>
        <v/>
      </c>
      <c r="AM17">
        <f>MAX(0,MIN($C17,AM$4+1)-MAX($B17,AM$4))</f>
        <v/>
      </c>
      <c r="AO17" t="n">
        <v>0</v>
      </c>
      <c r="AP17" t="n">
        <v>0</v>
      </c>
    </row>
    <row r="18">
      <c r="A18" t="inlineStr"/>
      <c r="B18" s="3" t="n">
        <v>0</v>
      </c>
      <c r="C18" s="3" t="n">
        <v>0</v>
      </c>
      <c r="D18" t="inlineStr"/>
      <c r="E18" t="n">
        <v>0</v>
      </c>
      <c r="F18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T18">
        <f>MAX(0,MIN($C18,T$4+1)-MAX($B18,T$4))</f>
        <v/>
      </c>
      <c r="U18">
        <f>MAX(0,MIN($C18,U$4+1)-MAX($B18,U$4))</f>
        <v/>
      </c>
      <c r="V18">
        <f>MAX(0,MIN($C18,V$4+1)-MAX($B18,V$4))</f>
        <v/>
      </c>
      <c r="W18">
        <f>MAX(0,MIN($C18,W$4+1)-MAX($B18,W$4))</f>
        <v/>
      </c>
      <c r="X18">
        <f>MAX(0,MIN($C18,X$4+1)-MAX($B18,X$4))</f>
        <v/>
      </c>
      <c r="Y18">
        <f>MAX(0,MIN($C18,Y$4+1)-MAX($B18,Y$4))</f>
        <v/>
      </c>
      <c r="Z18">
        <f>MAX(0,MIN($C18,Z$4+1)-MAX($B18,Z$4))</f>
        <v/>
      </c>
      <c r="AA18">
        <f>MAX(0,MIN($C18,AA$4+1)-MAX($B18,AA$4))</f>
        <v/>
      </c>
      <c r="AB18">
        <f>MAX(0,MIN($C18,AB$4+1)-MAX($B18,AB$4))</f>
        <v/>
      </c>
      <c r="AC18">
        <f>MAX(0,MIN($C18,AC$4+1)-MAX($B18,AC$4))</f>
        <v/>
      </c>
      <c r="AD18">
        <f>MAX(0,MIN($C18,AD$4+1)-MAX($B18,AD$4))</f>
        <v/>
      </c>
      <c r="AE18">
        <f>MAX(0,MIN($C18,AE$4+1)-MAX($B18,AE$4))</f>
        <v/>
      </c>
      <c r="AF18">
        <f>MAX(0,MIN($C18,AF$4+1)-MAX($B18,AF$4))</f>
        <v/>
      </c>
      <c r="AG18">
        <f>MAX(0,MIN($C18,AG$4+1)-MAX($B18,AG$4))</f>
        <v/>
      </c>
      <c r="AH18">
        <f>MAX(0,MIN($C18,AH$4+1)-MAX($B18,AH$4))</f>
        <v/>
      </c>
      <c r="AI18">
        <f>MAX(0,MIN($C18,AI$4+1)-MAX($B18,AI$4))</f>
        <v/>
      </c>
      <c r="AJ18">
        <f>MAX(0,MIN($C18,AJ$4+1)-MAX($B18,AJ$4))</f>
        <v/>
      </c>
      <c r="AK18">
        <f>MAX(0,MIN($C18,AK$4+1)-MAX($B18,AK$4))</f>
        <v/>
      </c>
      <c r="AL18">
        <f>MAX(0,MIN($C18,AL$4+1)-MAX($B18,AL$4))</f>
        <v/>
      </c>
      <c r="AM18">
        <f>MAX(0,MIN($C18,AM$4+1)-MAX($B18,AM$4))</f>
        <v/>
      </c>
      <c r="AO18" t="n">
        <v>0</v>
      </c>
      <c r="AP18" t="n">
        <v>0</v>
      </c>
    </row>
    <row r="19">
      <c r="A19" t="inlineStr"/>
      <c r="B19" s="3" t="n">
        <v>0</v>
      </c>
      <c r="C19" s="3" t="n">
        <v>0</v>
      </c>
      <c r="D19" t="inlineStr"/>
      <c r="E19" t="n">
        <v>0</v>
      </c>
      <c r="F19" t="n">
        <v>0</v>
      </c>
      <c r="G19" s="3" t="n">
        <v>0</v>
      </c>
      <c r="H19" s="3" t="n">
        <v>0</v>
      </c>
      <c r="I19" s="3" t="n">
        <v>0</v>
      </c>
      <c r="J19" s="3" t="n">
        <v>0</v>
      </c>
      <c r="K19" s="3" t="n">
        <v>0</v>
      </c>
      <c r="L19" s="3" t="n">
        <v>0</v>
      </c>
      <c r="M19" s="3" t="n">
        <v>0</v>
      </c>
      <c r="N19" s="3" t="n">
        <v>0</v>
      </c>
      <c r="O19" s="3" t="n">
        <v>0</v>
      </c>
      <c r="P19" s="3" t="n">
        <v>0</v>
      </c>
      <c r="Q19" s="3" t="n">
        <v>0</v>
      </c>
      <c r="R19" s="3" t="n">
        <v>0</v>
      </c>
      <c r="T19">
        <f>MAX(0,MIN($C19,T$4+1)-MAX($B19,T$4))</f>
        <v/>
      </c>
      <c r="U19">
        <f>MAX(0,MIN($C19,U$4+1)-MAX($B19,U$4))</f>
        <v/>
      </c>
      <c r="V19">
        <f>MAX(0,MIN($C19,V$4+1)-MAX($B19,V$4))</f>
        <v/>
      </c>
      <c r="W19">
        <f>MAX(0,MIN($C19,W$4+1)-MAX($B19,W$4))</f>
        <v/>
      </c>
      <c r="X19">
        <f>MAX(0,MIN($C19,X$4+1)-MAX($B19,X$4))</f>
        <v/>
      </c>
      <c r="Y19">
        <f>MAX(0,MIN($C19,Y$4+1)-MAX($B19,Y$4))</f>
        <v/>
      </c>
      <c r="Z19">
        <f>MAX(0,MIN($C19,Z$4+1)-MAX($B19,Z$4))</f>
        <v/>
      </c>
      <c r="AA19">
        <f>MAX(0,MIN($C19,AA$4+1)-MAX($B19,AA$4))</f>
        <v/>
      </c>
      <c r="AB19">
        <f>MAX(0,MIN($C19,AB$4+1)-MAX($B19,AB$4))</f>
        <v/>
      </c>
      <c r="AC19">
        <f>MAX(0,MIN($C19,AC$4+1)-MAX($B19,AC$4))</f>
        <v/>
      </c>
      <c r="AD19">
        <f>MAX(0,MIN($C19,AD$4+1)-MAX($B19,AD$4))</f>
        <v/>
      </c>
      <c r="AE19">
        <f>MAX(0,MIN($C19,AE$4+1)-MAX($B19,AE$4))</f>
        <v/>
      </c>
      <c r="AF19">
        <f>MAX(0,MIN($C19,AF$4+1)-MAX($B19,AF$4))</f>
        <v/>
      </c>
      <c r="AG19">
        <f>MAX(0,MIN($C19,AG$4+1)-MAX($B19,AG$4))</f>
        <v/>
      </c>
      <c r="AH19">
        <f>MAX(0,MIN($C19,AH$4+1)-MAX($B19,AH$4))</f>
        <v/>
      </c>
      <c r="AI19">
        <f>MAX(0,MIN($C19,AI$4+1)-MAX($B19,AI$4))</f>
        <v/>
      </c>
      <c r="AJ19">
        <f>MAX(0,MIN($C19,AJ$4+1)-MAX($B19,AJ$4))</f>
        <v/>
      </c>
      <c r="AK19">
        <f>MAX(0,MIN($C19,AK$4+1)-MAX($B19,AK$4))</f>
        <v/>
      </c>
      <c r="AL19">
        <f>MAX(0,MIN($C19,AL$4+1)-MAX($B19,AL$4))</f>
        <v/>
      </c>
      <c r="AM19">
        <f>MAX(0,MIN($C19,AM$4+1)-MAX($B19,AM$4))</f>
        <v/>
      </c>
      <c r="AO19" t="n">
        <v>0</v>
      </c>
      <c r="AP19" t="n">
        <v>0</v>
      </c>
    </row>
    <row r="20">
      <c r="A20" t="inlineStr"/>
      <c r="B20" s="3" t="n">
        <v>0</v>
      </c>
      <c r="C20" s="3" t="n">
        <v>0</v>
      </c>
      <c r="D20" t="inlineStr"/>
      <c r="E20" t="n">
        <v>0</v>
      </c>
      <c r="F20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T20">
        <f>MAX(0,MIN($C20,T$4+1)-MAX($B20,T$4))</f>
        <v/>
      </c>
      <c r="U20">
        <f>MAX(0,MIN($C20,U$4+1)-MAX($B20,U$4))</f>
        <v/>
      </c>
      <c r="V20">
        <f>MAX(0,MIN($C20,V$4+1)-MAX($B20,V$4))</f>
        <v/>
      </c>
      <c r="W20">
        <f>MAX(0,MIN($C20,W$4+1)-MAX($B20,W$4))</f>
        <v/>
      </c>
      <c r="X20">
        <f>MAX(0,MIN($C20,X$4+1)-MAX($B20,X$4))</f>
        <v/>
      </c>
      <c r="Y20">
        <f>MAX(0,MIN($C20,Y$4+1)-MAX($B20,Y$4))</f>
        <v/>
      </c>
      <c r="Z20">
        <f>MAX(0,MIN($C20,Z$4+1)-MAX($B20,Z$4))</f>
        <v/>
      </c>
      <c r="AA20">
        <f>MAX(0,MIN($C20,AA$4+1)-MAX($B20,AA$4))</f>
        <v/>
      </c>
      <c r="AB20">
        <f>MAX(0,MIN($C20,AB$4+1)-MAX($B20,AB$4))</f>
        <v/>
      </c>
      <c r="AC20">
        <f>MAX(0,MIN($C20,AC$4+1)-MAX($B20,AC$4))</f>
        <v/>
      </c>
      <c r="AD20">
        <f>MAX(0,MIN($C20,AD$4+1)-MAX($B20,AD$4))</f>
        <v/>
      </c>
      <c r="AE20">
        <f>MAX(0,MIN($C20,AE$4+1)-MAX($B20,AE$4))</f>
        <v/>
      </c>
      <c r="AF20">
        <f>MAX(0,MIN($C20,AF$4+1)-MAX($B20,AF$4))</f>
        <v/>
      </c>
      <c r="AG20">
        <f>MAX(0,MIN($C20,AG$4+1)-MAX($B20,AG$4))</f>
        <v/>
      </c>
      <c r="AH20">
        <f>MAX(0,MIN($C20,AH$4+1)-MAX($B20,AH$4))</f>
        <v/>
      </c>
      <c r="AI20">
        <f>MAX(0,MIN($C20,AI$4+1)-MAX($B20,AI$4))</f>
        <v/>
      </c>
      <c r="AJ20">
        <f>MAX(0,MIN($C20,AJ$4+1)-MAX($B20,AJ$4))</f>
        <v/>
      </c>
      <c r="AK20">
        <f>MAX(0,MIN($C20,AK$4+1)-MAX($B20,AK$4))</f>
        <v/>
      </c>
      <c r="AL20">
        <f>MAX(0,MIN($C20,AL$4+1)-MAX($B20,AL$4))</f>
        <v/>
      </c>
      <c r="AM20">
        <f>MAX(0,MIN($C20,AM$4+1)-MAX($B20,AM$4))</f>
        <v/>
      </c>
      <c r="AO20" t="n">
        <v>0</v>
      </c>
      <c r="AP20" t="n">
        <v>0</v>
      </c>
    </row>
    <row r="21">
      <c r="A21" t="inlineStr"/>
      <c r="B21" s="3" t="n">
        <v>0</v>
      </c>
      <c r="C21" s="3" t="n">
        <v>0</v>
      </c>
      <c r="D21" t="inlineStr"/>
      <c r="E21" t="n">
        <v>0</v>
      </c>
      <c r="F21" t="n">
        <v>0</v>
      </c>
      <c r="G21" s="3" t="n">
        <v>0</v>
      </c>
      <c r="H21" s="3" t="n">
        <v>0</v>
      </c>
      <c r="I21" s="3" t="n">
        <v>0</v>
      </c>
      <c r="J21" s="3" t="n">
        <v>0</v>
      </c>
      <c r="K21" s="3" t="n">
        <v>0</v>
      </c>
      <c r="L21" s="3" t="n">
        <v>0</v>
      </c>
      <c r="M21" s="3" t="n">
        <v>0</v>
      </c>
      <c r="N21" s="3" t="n">
        <v>0</v>
      </c>
      <c r="O21" s="3" t="n">
        <v>0</v>
      </c>
      <c r="P21" s="3" t="n">
        <v>0</v>
      </c>
      <c r="Q21" s="3" t="n">
        <v>0</v>
      </c>
      <c r="R21" s="3" t="n">
        <v>0</v>
      </c>
      <c r="T21">
        <f>MAX(0,MIN($C21,T$4+1)-MAX($B21,T$4))</f>
        <v/>
      </c>
      <c r="U21">
        <f>MAX(0,MIN($C21,U$4+1)-MAX($B21,U$4))</f>
        <v/>
      </c>
      <c r="V21">
        <f>MAX(0,MIN($C21,V$4+1)-MAX($B21,V$4))</f>
        <v/>
      </c>
      <c r="W21">
        <f>MAX(0,MIN($C21,W$4+1)-MAX($B21,W$4))</f>
        <v/>
      </c>
      <c r="X21">
        <f>MAX(0,MIN($C21,X$4+1)-MAX($B21,X$4))</f>
        <v/>
      </c>
      <c r="Y21">
        <f>MAX(0,MIN($C21,Y$4+1)-MAX($B21,Y$4))</f>
        <v/>
      </c>
      <c r="Z21">
        <f>MAX(0,MIN($C21,Z$4+1)-MAX($B21,Z$4))</f>
        <v/>
      </c>
      <c r="AA21">
        <f>MAX(0,MIN($C21,AA$4+1)-MAX($B21,AA$4))</f>
        <v/>
      </c>
      <c r="AB21">
        <f>MAX(0,MIN($C21,AB$4+1)-MAX($B21,AB$4))</f>
        <v/>
      </c>
      <c r="AC21">
        <f>MAX(0,MIN($C21,AC$4+1)-MAX($B21,AC$4))</f>
        <v/>
      </c>
      <c r="AD21">
        <f>MAX(0,MIN($C21,AD$4+1)-MAX($B21,AD$4))</f>
        <v/>
      </c>
      <c r="AE21">
        <f>MAX(0,MIN($C21,AE$4+1)-MAX($B21,AE$4))</f>
        <v/>
      </c>
      <c r="AF21">
        <f>MAX(0,MIN($C21,AF$4+1)-MAX($B21,AF$4))</f>
        <v/>
      </c>
      <c r="AG21">
        <f>MAX(0,MIN($C21,AG$4+1)-MAX($B21,AG$4))</f>
        <v/>
      </c>
      <c r="AH21">
        <f>MAX(0,MIN($C21,AH$4+1)-MAX($B21,AH$4))</f>
        <v/>
      </c>
      <c r="AI21">
        <f>MAX(0,MIN($C21,AI$4+1)-MAX($B21,AI$4))</f>
        <v/>
      </c>
      <c r="AJ21">
        <f>MAX(0,MIN($C21,AJ$4+1)-MAX($B21,AJ$4))</f>
        <v/>
      </c>
      <c r="AK21">
        <f>MAX(0,MIN($C21,AK$4+1)-MAX($B21,AK$4))</f>
        <v/>
      </c>
      <c r="AL21">
        <f>MAX(0,MIN($C21,AL$4+1)-MAX($B21,AL$4))</f>
        <v/>
      </c>
      <c r="AM21">
        <f>MAX(0,MIN($C21,AM$4+1)-MAX($B21,AM$4))</f>
        <v/>
      </c>
      <c r="AO21" t="n">
        <v>0</v>
      </c>
      <c r="AP21" t="n">
        <v>0</v>
      </c>
    </row>
    <row r="22">
      <c r="A22" t="inlineStr"/>
      <c r="B22" s="3" t="n">
        <v>0</v>
      </c>
      <c r="C22" s="3" t="n">
        <v>0</v>
      </c>
      <c r="D22" t="inlineStr"/>
      <c r="E22" t="n">
        <v>0</v>
      </c>
      <c r="F22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T22">
        <f>MAX(0,MIN($C22,T$4+1)-MAX($B22,T$4))</f>
        <v/>
      </c>
      <c r="U22">
        <f>MAX(0,MIN($C22,U$4+1)-MAX($B22,U$4))</f>
        <v/>
      </c>
      <c r="V22">
        <f>MAX(0,MIN($C22,V$4+1)-MAX($B22,V$4))</f>
        <v/>
      </c>
      <c r="W22">
        <f>MAX(0,MIN($C22,W$4+1)-MAX($B22,W$4))</f>
        <v/>
      </c>
      <c r="X22">
        <f>MAX(0,MIN($C22,X$4+1)-MAX($B22,X$4))</f>
        <v/>
      </c>
      <c r="Y22">
        <f>MAX(0,MIN($C22,Y$4+1)-MAX($B22,Y$4))</f>
        <v/>
      </c>
      <c r="Z22">
        <f>MAX(0,MIN($C22,Z$4+1)-MAX($B22,Z$4))</f>
        <v/>
      </c>
      <c r="AA22">
        <f>MAX(0,MIN($C22,AA$4+1)-MAX($B22,AA$4))</f>
        <v/>
      </c>
      <c r="AB22">
        <f>MAX(0,MIN($C22,AB$4+1)-MAX($B22,AB$4))</f>
        <v/>
      </c>
      <c r="AC22">
        <f>MAX(0,MIN($C22,AC$4+1)-MAX($B22,AC$4))</f>
        <v/>
      </c>
      <c r="AD22">
        <f>MAX(0,MIN($C22,AD$4+1)-MAX($B22,AD$4))</f>
        <v/>
      </c>
      <c r="AE22">
        <f>MAX(0,MIN($C22,AE$4+1)-MAX($B22,AE$4))</f>
        <v/>
      </c>
      <c r="AF22">
        <f>MAX(0,MIN($C22,AF$4+1)-MAX($B22,AF$4))</f>
        <v/>
      </c>
      <c r="AG22">
        <f>MAX(0,MIN($C22,AG$4+1)-MAX($B22,AG$4))</f>
        <v/>
      </c>
      <c r="AH22">
        <f>MAX(0,MIN($C22,AH$4+1)-MAX($B22,AH$4))</f>
        <v/>
      </c>
      <c r="AI22">
        <f>MAX(0,MIN($C22,AI$4+1)-MAX($B22,AI$4))</f>
        <v/>
      </c>
      <c r="AJ22">
        <f>MAX(0,MIN($C22,AJ$4+1)-MAX($B22,AJ$4))</f>
        <v/>
      </c>
      <c r="AK22">
        <f>MAX(0,MIN($C22,AK$4+1)-MAX($B22,AK$4))</f>
        <v/>
      </c>
      <c r="AL22">
        <f>MAX(0,MIN($C22,AL$4+1)-MAX($B22,AL$4))</f>
        <v/>
      </c>
      <c r="AM22">
        <f>MAX(0,MIN($C22,AM$4+1)-MAX($B22,AM$4))</f>
        <v/>
      </c>
      <c r="AO22" t="n">
        <v>0</v>
      </c>
      <c r="AP22" t="n">
        <v>0</v>
      </c>
    </row>
    <row r="23">
      <c r="A23" t="inlineStr"/>
      <c r="B23" s="3" t="n">
        <v>0</v>
      </c>
      <c r="C23" s="3" t="n">
        <v>0</v>
      </c>
      <c r="D23" t="inlineStr"/>
      <c r="E23" t="n">
        <v>0</v>
      </c>
      <c r="F2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T23">
        <f>MAX(0,MIN($C23,T$4+1)-MAX($B23,T$4))</f>
        <v/>
      </c>
      <c r="U23">
        <f>MAX(0,MIN($C23,U$4+1)-MAX($B23,U$4))</f>
        <v/>
      </c>
      <c r="V23">
        <f>MAX(0,MIN($C23,V$4+1)-MAX($B23,V$4))</f>
        <v/>
      </c>
      <c r="W23">
        <f>MAX(0,MIN($C23,W$4+1)-MAX($B23,W$4))</f>
        <v/>
      </c>
      <c r="X23">
        <f>MAX(0,MIN($C23,X$4+1)-MAX($B23,X$4))</f>
        <v/>
      </c>
      <c r="Y23">
        <f>MAX(0,MIN($C23,Y$4+1)-MAX($B23,Y$4))</f>
        <v/>
      </c>
      <c r="Z23">
        <f>MAX(0,MIN($C23,Z$4+1)-MAX($B23,Z$4))</f>
        <v/>
      </c>
      <c r="AA23">
        <f>MAX(0,MIN($C23,AA$4+1)-MAX($B23,AA$4))</f>
        <v/>
      </c>
      <c r="AB23">
        <f>MAX(0,MIN($C23,AB$4+1)-MAX($B23,AB$4))</f>
        <v/>
      </c>
      <c r="AC23">
        <f>MAX(0,MIN($C23,AC$4+1)-MAX($B23,AC$4))</f>
        <v/>
      </c>
      <c r="AD23">
        <f>MAX(0,MIN($C23,AD$4+1)-MAX($B23,AD$4))</f>
        <v/>
      </c>
      <c r="AE23">
        <f>MAX(0,MIN($C23,AE$4+1)-MAX($B23,AE$4))</f>
        <v/>
      </c>
      <c r="AF23">
        <f>MAX(0,MIN($C23,AF$4+1)-MAX($B23,AF$4))</f>
        <v/>
      </c>
      <c r="AG23">
        <f>MAX(0,MIN($C23,AG$4+1)-MAX($B23,AG$4))</f>
        <v/>
      </c>
      <c r="AH23">
        <f>MAX(0,MIN($C23,AH$4+1)-MAX($B23,AH$4))</f>
        <v/>
      </c>
      <c r="AI23">
        <f>MAX(0,MIN($C23,AI$4+1)-MAX($B23,AI$4))</f>
        <v/>
      </c>
      <c r="AJ23">
        <f>MAX(0,MIN($C23,AJ$4+1)-MAX($B23,AJ$4))</f>
        <v/>
      </c>
      <c r="AK23">
        <f>MAX(0,MIN($C23,AK$4+1)-MAX($B23,AK$4))</f>
        <v/>
      </c>
      <c r="AL23">
        <f>MAX(0,MIN($C23,AL$4+1)-MAX($B23,AL$4))</f>
        <v/>
      </c>
      <c r="AM23">
        <f>MAX(0,MIN($C23,AM$4+1)-MAX($B23,AM$4))</f>
        <v/>
      </c>
      <c r="AO23" t="n">
        <v>0</v>
      </c>
      <c r="AP23" t="n">
        <v>0</v>
      </c>
    </row>
    <row r="24">
      <c r="A24" t="inlineStr"/>
      <c r="B24" s="3" t="n">
        <v>0</v>
      </c>
      <c r="C24" s="3" t="n">
        <v>0</v>
      </c>
      <c r="D24" t="inlineStr"/>
      <c r="E24" t="n">
        <v>0</v>
      </c>
      <c r="F24" t="n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  <c r="P24" s="3" t="n">
        <v>0</v>
      </c>
      <c r="Q24" s="3" t="n">
        <v>0</v>
      </c>
      <c r="R24" s="3" t="n">
        <v>0</v>
      </c>
      <c r="T24">
        <f>MAX(0,MIN($C24,T$4+1)-MAX($B24,T$4))</f>
        <v/>
      </c>
      <c r="U24">
        <f>MAX(0,MIN($C24,U$4+1)-MAX($B24,U$4))</f>
        <v/>
      </c>
      <c r="V24">
        <f>MAX(0,MIN($C24,V$4+1)-MAX($B24,V$4))</f>
        <v/>
      </c>
      <c r="W24">
        <f>MAX(0,MIN($C24,W$4+1)-MAX($B24,W$4))</f>
        <v/>
      </c>
      <c r="X24">
        <f>MAX(0,MIN($C24,X$4+1)-MAX($B24,X$4))</f>
        <v/>
      </c>
      <c r="Y24">
        <f>MAX(0,MIN($C24,Y$4+1)-MAX($B24,Y$4))</f>
        <v/>
      </c>
      <c r="Z24">
        <f>MAX(0,MIN($C24,Z$4+1)-MAX($B24,Z$4))</f>
        <v/>
      </c>
      <c r="AA24">
        <f>MAX(0,MIN($C24,AA$4+1)-MAX($B24,AA$4))</f>
        <v/>
      </c>
      <c r="AB24">
        <f>MAX(0,MIN($C24,AB$4+1)-MAX($B24,AB$4))</f>
        <v/>
      </c>
      <c r="AC24">
        <f>MAX(0,MIN($C24,AC$4+1)-MAX($B24,AC$4))</f>
        <v/>
      </c>
      <c r="AD24">
        <f>MAX(0,MIN($C24,AD$4+1)-MAX($B24,AD$4))</f>
        <v/>
      </c>
      <c r="AE24">
        <f>MAX(0,MIN($C24,AE$4+1)-MAX($B24,AE$4))</f>
        <v/>
      </c>
      <c r="AF24">
        <f>MAX(0,MIN($C24,AF$4+1)-MAX($B24,AF$4))</f>
        <v/>
      </c>
      <c r="AG24">
        <f>MAX(0,MIN($C24,AG$4+1)-MAX($B24,AG$4))</f>
        <v/>
      </c>
      <c r="AH24">
        <f>MAX(0,MIN($C24,AH$4+1)-MAX($B24,AH$4))</f>
        <v/>
      </c>
      <c r="AI24">
        <f>MAX(0,MIN($C24,AI$4+1)-MAX($B24,AI$4))</f>
        <v/>
      </c>
      <c r="AJ24">
        <f>MAX(0,MIN($C24,AJ$4+1)-MAX($B24,AJ$4))</f>
        <v/>
      </c>
      <c r="AK24">
        <f>MAX(0,MIN($C24,AK$4+1)-MAX($B24,AK$4))</f>
        <v/>
      </c>
      <c r="AL24">
        <f>MAX(0,MIN($C24,AL$4+1)-MAX($B24,AL$4))</f>
        <v/>
      </c>
      <c r="AM24">
        <f>MAX(0,MIN($C24,AM$4+1)-MAX($B24,AM$4))</f>
        <v/>
      </c>
      <c r="AO24" t="n">
        <v>0</v>
      </c>
      <c r="AP24" t="n">
        <v>0</v>
      </c>
    </row>
    <row r="25">
      <c r="A25" t="inlineStr"/>
      <c r="B25" s="3" t="n">
        <v>0</v>
      </c>
      <c r="C25" s="3" t="n">
        <v>0</v>
      </c>
      <c r="D25" t="inlineStr"/>
      <c r="E25" t="n">
        <v>0</v>
      </c>
      <c r="F25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T25">
        <f>MAX(0,MIN($C25,T$4+1)-MAX($B25,T$4))</f>
        <v/>
      </c>
      <c r="U25">
        <f>MAX(0,MIN($C25,U$4+1)-MAX($B25,U$4))</f>
        <v/>
      </c>
      <c r="V25">
        <f>MAX(0,MIN($C25,V$4+1)-MAX($B25,V$4))</f>
        <v/>
      </c>
      <c r="W25">
        <f>MAX(0,MIN($C25,W$4+1)-MAX($B25,W$4))</f>
        <v/>
      </c>
      <c r="X25">
        <f>MAX(0,MIN($C25,X$4+1)-MAX($B25,X$4))</f>
        <v/>
      </c>
      <c r="Y25">
        <f>MAX(0,MIN($C25,Y$4+1)-MAX($B25,Y$4))</f>
        <v/>
      </c>
      <c r="Z25">
        <f>MAX(0,MIN($C25,Z$4+1)-MAX($B25,Z$4))</f>
        <v/>
      </c>
      <c r="AA25">
        <f>MAX(0,MIN($C25,AA$4+1)-MAX($B25,AA$4))</f>
        <v/>
      </c>
      <c r="AB25">
        <f>MAX(0,MIN($C25,AB$4+1)-MAX($B25,AB$4))</f>
        <v/>
      </c>
      <c r="AC25">
        <f>MAX(0,MIN($C25,AC$4+1)-MAX($B25,AC$4))</f>
        <v/>
      </c>
      <c r="AD25">
        <f>MAX(0,MIN($C25,AD$4+1)-MAX($B25,AD$4))</f>
        <v/>
      </c>
      <c r="AE25">
        <f>MAX(0,MIN($C25,AE$4+1)-MAX($B25,AE$4))</f>
        <v/>
      </c>
      <c r="AF25">
        <f>MAX(0,MIN($C25,AF$4+1)-MAX($B25,AF$4))</f>
        <v/>
      </c>
      <c r="AG25">
        <f>MAX(0,MIN($C25,AG$4+1)-MAX($B25,AG$4))</f>
        <v/>
      </c>
      <c r="AH25">
        <f>MAX(0,MIN($C25,AH$4+1)-MAX($B25,AH$4))</f>
        <v/>
      </c>
      <c r="AI25">
        <f>MAX(0,MIN($C25,AI$4+1)-MAX($B25,AI$4))</f>
        <v/>
      </c>
      <c r="AJ25">
        <f>MAX(0,MIN($C25,AJ$4+1)-MAX($B25,AJ$4))</f>
        <v/>
      </c>
      <c r="AK25">
        <f>MAX(0,MIN($C25,AK$4+1)-MAX($B25,AK$4))</f>
        <v/>
      </c>
      <c r="AL25">
        <f>MAX(0,MIN($C25,AL$4+1)-MAX($B25,AL$4))</f>
        <v/>
      </c>
      <c r="AM25">
        <f>MAX(0,MIN($C25,AM$4+1)-MAX($B25,AM$4))</f>
        <v/>
      </c>
    </row>
    <row r="26">
      <c r="A26" t="inlineStr"/>
      <c r="B26" s="3" t="n">
        <v>0</v>
      </c>
      <c r="C26" s="3" t="n">
        <v>0</v>
      </c>
      <c r="D26" t="inlineStr"/>
      <c r="E26" t="n">
        <v>0</v>
      </c>
      <c r="F26" t="n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  <c r="T26">
        <f>MAX(0,MIN($C26,T$4+1)-MAX($B26,T$4))</f>
        <v/>
      </c>
      <c r="U26">
        <f>MAX(0,MIN($C26,U$4+1)-MAX($B26,U$4))</f>
        <v/>
      </c>
      <c r="V26">
        <f>MAX(0,MIN($C26,V$4+1)-MAX($B26,V$4))</f>
        <v/>
      </c>
      <c r="W26">
        <f>MAX(0,MIN($C26,W$4+1)-MAX($B26,W$4))</f>
        <v/>
      </c>
      <c r="X26">
        <f>MAX(0,MIN($C26,X$4+1)-MAX($B26,X$4))</f>
        <v/>
      </c>
      <c r="Y26">
        <f>MAX(0,MIN($C26,Y$4+1)-MAX($B26,Y$4))</f>
        <v/>
      </c>
      <c r="Z26">
        <f>MAX(0,MIN($C26,Z$4+1)-MAX($B26,Z$4))</f>
        <v/>
      </c>
      <c r="AA26">
        <f>MAX(0,MIN($C26,AA$4+1)-MAX($B26,AA$4))</f>
        <v/>
      </c>
      <c r="AB26">
        <f>MAX(0,MIN($C26,AB$4+1)-MAX($B26,AB$4))</f>
        <v/>
      </c>
      <c r="AC26">
        <f>MAX(0,MIN($C26,AC$4+1)-MAX($B26,AC$4))</f>
        <v/>
      </c>
      <c r="AD26">
        <f>MAX(0,MIN($C26,AD$4+1)-MAX($B26,AD$4))</f>
        <v/>
      </c>
      <c r="AE26">
        <f>MAX(0,MIN($C26,AE$4+1)-MAX($B26,AE$4))</f>
        <v/>
      </c>
      <c r="AF26">
        <f>MAX(0,MIN($C26,AF$4+1)-MAX($B26,AF$4))</f>
        <v/>
      </c>
      <c r="AG26">
        <f>MAX(0,MIN($C26,AG$4+1)-MAX($B26,AG$4))</f>
        <v/>
      </c>
      <c r="AH26">
        <f>MAX(0,MIN($C26,AH$4+1)-MAX($B26,AH$4))</f>
        <v/>
      </c>
      <c r="AI26">
        <f>MAX(0,MIN($C26,AI$4+1)-MAX($B26,AI$4))</f>
        <v/>
      </c>
      <c r="AJ26">
        <f>MAX(0,MIN($C26,AJ$4+1)-MAX($B26,AJ$4))</f>
        <v/>
      </c>
      <c r="AK26">
        <f>MAX(0,MIN($C26,AK$4+1)-MAX($B26,AK$4))</f>
        <v/>
      </c>
      <c r="AL26">
        <f>MAX(0,MIN($C26,AL$4+1)-MAX($B26,AL$4))</f>
        <v/>
      </c>
      <c r="AM26">
        <f>MAX(0,MIN($C26,AM$4+1)-MAX($B26,AM$4))</f>
        <v/>
      </c>
    </row>
    <row r="27">
      <c r="A27" t="inlineStr"/>
      <c r="B27" s="3" t="n">
        <v>0</v>
      </c>
      <c r="C27" s="3" t="n">
        <v>0</v>
      </c>
      <c r="D27" t="inlineStr"/>
      <c r="E27" t="n">
        <v>0</v>
      </c>
      <c r="F27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T27">
        <f>MAX(0,MIN($C27,T$4+1)-MAX($B27,T$4))</f>
        <v/>
      </c>
      <c r="U27">
        <f>MAX(0,MIN($C27,U$4+1)-MAX($B27,U$4))</f>
        <v/>
      </c>
      <c r="V27">
        <f>MAX(0,MIN($C27,V$4+1)-MAX($B27,V$4))</f>
        <v/>
      </c>
      <c r="W27">
        <f>MAX(0,MIN($C27,W$4+1)-MAX($B27,W$4))</f>
        <v/>
      </c>
      <c r="X27">
        <f>MAX(0,MIN($C27,X$4+1)-MAX($B27,X$4))</f>
        <v/>
      </c>
      <c r="Y27">
        <f>MAX(0,MIN($C27,Y$4+1)-MAX($B27,Y$4))</f>
        <v/>
      </c>
      <c r="Z27">
        <f>MAX(0,MIN($C27,Z$4+1)-MAX($B27,Z$4))</f>
        <v/>
      </c>
      <c r="AA27">
        <f>MAX(0,MIN($C27,AA$4+1)-MAX($B27,AA$4))</f>
        <v/>
      </c>
      <c r="AB27">
        <f>MAX(0,MIN($C27,AB$4+1)-MAX($B27,AB$4))</f>
        <v/>
      </c>
      <c r="AC27">
        <f>MAX(0,MIN($C27,AC$4+1)-MAX($B27,AC$4))</f>
        <v/>
      </c>
      <c r="AD27">
        <f>MAX(0,MIN($C27,AD$4+1)-MAX($B27,AD$4))</f>
        <v/>
      </c>
      <c r="AE27">
        <f>MAX(0,MIN($C27,AE$4+1)-MAX($B27,AE$4))</f>
        <v/>
      </c>
      <c r="AF27">
        <f>MAX(0,MIN($C27,AF$4+1)-MAX($B27,AF$4))</f>
        <v/>
      </c>
      <c r="AG27">
        <f>MAX(0,MIN($C27,AG$4+1)-MAX($B27,AG$4))</f>
        <v/>
      </c>
      <c r="AH27">
        <f>MAX(0,MIN($C27,AH$4+1)-MAX($B27,AH$4))</f>
        <v/>
      </c>
      <c r="AI27">
        <f>MAX(0,MIN($C27,AI$4+1)-MAX($B27,AI$4))</f>
        <v/>
      </c>
      <c r="AJ27">
        <f>MAX(0,MIN($C27,AJ$4+1)-MAX($B27,AJ$4))</f>
        <v/>
      </c>
      <c r="AK27">
        <f>MAX(0,MIN($C27,AK$4+1)-MAX($B27,AK$4))</f>
        <v/>
      </c>
      <c r="AL27">
        <f>MAX(0,MIN($C27,AL$4+1)-MAX($B27,AL$4))</f>
        <v/>
      </c>
      <c r="AM27">
        <f>MAX(0,MIN($C27,AM$4+1)-MAX($B27,AM$4))</f>
        <v/>
      </c>
    </row>
    <row r="28">
      <c r="A28" t="inlineStr"/>
      <c r="B28" s="3" t="n">
        <v>0</v>
      </c>
      <c r="C28" s="3" t="n">
        <v>0</v>
      </c>
      <c r="D28" t="inlineStr"/>
      <c r="E28" t="n">
        <v>0</v>
      </c>
      <c r="F28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T28">
        <f>MAX(0,MIN($C28,T$4+1)-MAX($B28,T$4))</f>
        <v/>
      </c>
      <c r="U28">
        <f>MAX(0,MIN($C28,U$4+1)-MAX($B28,U$4))</f>
        <v/>
      </c>
      <c r="V28">
        <f>MAX(0,MIN($C28,V$4+1)-MAX($B28,V$4))</f>
        <v/>
      </c>
      <c r="W28">
        <f>MAX(0,MIN($C28,W$4+1)-MAX($B28,W$4))</f>
        <v/>
      </c>
      <c r="X28">
        <f>MAX(0,MIN($C28,X$4+1)-MAX($B28,X$4))</f>
        <v/>
      </c>
      <c r="Y28">
        <f>MAX(0,MIN($C28,Y$4+1)-MAX($B28,Y$4))</f>
        <v/>
      </c>
      <c r="Z28">
        <f>MAX(0,MIN($C28,Z$4+1)-MAX($B28,Z$4))</f>
        <v/>
      </c>
      <c r="AA28">
        <f>MAX(0,MIN($C28,AA$4+1)-MAX($B28,AA$4))</f>
        <v/>
      </c>
      <c r="AB28">
        <f>MAX(0,MIN($C28,AB$4+1)-MAX($B28,AB$4))</f>
        <v/>
      </c>
      <c r="AC28">
        <f>MAX(0,MIN($C28,AC$4+1)-MAX($B28,AC$4))</f>
        <v/>
      </c>
      <c r="AD28">
        <f>MAX(0,MIN($C28,AD$4+1)-MAX($B28,AD$4))</f>
        <v/>
      </c>
      <c r="AE28">
        <f>MAX(0,MIN($C28,AE$4+1)-MAX($B28,AE$4))</f>
        <v/>
      </c>
      <c r="AF28">
        <f>MAX(0,MIN($C28,AF$4+1)-MAX($B28,AF$4))</f>
        <v/>
      </c>
      <c r="AG28">
        <f>MAX(0,MIN($C28,AG$4+1)-MAX($B28,AG$4))</f>
        <v/>
      </c>
      <c r="AH28">
        <f>MAX(0,MIN($C28,AH$4+1)-MAX($B28,AH$4))</f>
        <v/>
      </c>
      <c r="AI28">
        <f>MAX(0,MIN($C28,AI$4+1)-MAX($B28,AI$4))</f>
        <v/>
      </c>
      <c r="AJ28">
        <f>MAX(0,MIN($C28,AJ$4+1)-MAX($B28,AJ$4))</f>
        <v/>
      </c>
      <c r="AK28">
        <f>MAX(0,MIN($C28,AK$4+1)-MAX($B28,AK$4))</f>
        <v/>
      </c>
      <c r="AL28">
        <f>MAX(0,MIN($C28,AL$4+1)-MAX($B28,AL$4))</f>
        <v/>
      </c>
      <c r="AM28">
        <f>MAX(0,MIN($C28,AM$4+1)-MAX($B28,AM$4))</f>
        <v/>
      </c>
    </row>
    <row r="29">
      <c r="A29" t="inlineStr"/>
      <c r="B29" s="3" t="n">
        <v>0</v>
      </c>
      <c r="C29" s="3" t="n">
        <v>0</v>
      </c>
      <c r="D29" t="inlineStr"/>
      <c r="E29" t="n">
        <v>0</v>
      </c>
      <c r="F29" t="n">
        <v>0</v>
      </c>
      <c r="G29" s="3" t="n">
        <v>0</v>
      </c>
      <c r="H29" s="3" t="n">
        <v>0</v>
      </c>
      <c r="I29" s="3" t="n">
        <v>0</v>
      </c>
      <c r="J29" s="3" t="n">
        <v>0</v>
      </c>
      <c r="K29" s="3" t="n">
        <v>0</v>
      </c>
      <c r="L29" s="3" t="n">
        <v>0</v>
      </c>
      <c r="M29" s="3" t="n">
        <v>0</v>
      </c>
      <c r="N29" s="3" t="n">
        <v>0</v>
      </c>
      <c r="O29" s="3" t="n">
        <v>0</v>
      </c>
      <c r="P29" s="3" t="n">
        <v>0</v>
      </c>
      <c r="Q29" s="3" t="n">
        <v>0</v>
      </c>
      <c r="R29" s="3" t="n">
        <v>0</v>
      </c>
      <c r="T29">
        <f>MAX(0,MIN($C29,T$4+1)-MAX($B29,T$4))</f>
        <v/>
      </c>
      <c r="U29">
        <f>MAX(0,MIN($C29,U$4+1)-MAX($B29,U$4))</f>
        <v/>
      </c>
      <c r="V29">
        <f>MAX(0,MIN($C29,V$4+1)-MAX($B29,V$4))</f>
        <v/>
      </c>
      <c r="W29">
        <f>MAX(0,MIN($C29,W$4+1)-MAX($B29,W$4))</f>
        <v/>
      </c>
      <c r="X29">
        <f>MAX(0,MIN($C29,X$4+1)-MAX($B29,X$4))</f>
        <v/>
      </c>
      <c r="Y29">
        <f>MAX(0,MIN($C29,Y$4+1)-MAX($B29,Y$4))</f>
        <v/>
      </c>
      <c r="Z29">
        <f>MAX(0,MIN($C29,Z$4+1)-MAX($B29,Z$4))</f>
        <v/>
      </c>
      <c r="AA29">
        <f>MAX(0,MIN($C29,AA$4+1)-MAX($B29,AA$4))</f>
        <v/>
      </c>
      <c r="AB29">
        <f>MAX(0,MIN($C29,AB$4+1)-MAX($B29,AB$4))</f>
        <v/>
      </c>
      <c r="AC29">
        <f>MAX(0,MIN($C29,AC$4+1)-MAX($B29,AC$4))</f>
        <v/>
      </c>
      <c r="AD29">
        <f>MAX(0,MIN($C29,AD$4+1)-MAX($B29,AD$4))</f>
        <v/>
      </c>
      <c r="AE29">
        <f>MAX(0,MIN($C29,AE$4+1)-MAX($B29,AE$4))</f>
        <v/>
      </c>
      <c r="AF29">
        <f>MAX(0,MIN($C29,AF$4+1)-MAX($B29,AF$4))</f>
        <v/>
      </c>
      <c r="AG29">
        <f>MAX(0,MIN($C29,AG$4+1)-MAX($B29,AG$4))</f>
        <v/>
      </c>
      <c r="AH29">
        <f>MAX(0,MIN($C29,AH$4+1)-MAX($B29,AH$4))</f>
        <v/>
      </c>
      <c r="AI29">
        <f>MAX(0,MIN($C29,AI$4+1)-MAX($B29,AI$4))</f>
        <v/>
      </c>
      <c r="AJ29">
        <f>MAX(0,MIN($C29,AJ$4+1)-MAX($B29,AJ$4))</f>
        <v/>
      </c>
      <c r="AK29">
        <f>MAX(0,MIN($C29,AK$4+1)-MAX($B29,AK$4))</f>
        <v/>
      </c>
      <c r="AL29">
        <f>MAX(0,MIN($C29,AL$4+1)-MAX($B29,AL$4))</f>
        <v/>
      </c>
      <c r="AM29">
        <f>MAX(0,MIN($C29,AM$4+1)-MAX($B29,AM$4))</f>
        <v/>
      </c>
    </row>
    <row r="31">
      <c r="A31" s="1" t="inlineStr">
        <is>
          <t>Simulación anual (todas las celdas son fórmulas)</t>
        </is>
      </c>
    </row>
    <row r="32">
      <c r="A32" s="5" t="inlineStr">
        <is>
          <t>Año</t>
        </is>
      </c>
      <c r="B32" s="5" t="inlineStr">
        <is>
          <t>k</t>
        </is>
      </c>
      <c r="C32" s="5" t="inlineStr">
        <is>
          <t>Índice inflación</t>
        </is>
      </c>
      <c r="D32" s="5" t="inlineStr">
        <is>
          <t>Salarios W-2</t>
        </is>
      </c>
      <c r="E32" s="5" t="inlineStr">
        <is>
          <t>W-2 con match</t>
        </is>
      </c>
      <c r="F32" s="5" t="inlineStr">
        <is>
          <t>Stipends libres</t>
        </is>
      </c>
      <c r="G32" s="5" t="inlineStr">
        <is>
          <t>Ingreso S-corp</t>
        </is>
      </c>
      <c r="H32" s="5" t="inlineStr">
        <is>
          <t>Autoempleo (LLC/tutoría)</t>
        </is>
      </c>
      <c r="I32" s="5" t="inlineStr">
        <is>
          <t>Matrícula</t>
        </is>
      </c>
      <c r="J32" s="5" t="inlineStr">
        <is>
          <t>Fracción estudio</t>
        </is>
      </c>
      <c r="K32" s="5" t="inlineStr">
        <is>
          <t>Fracción PSLF</t>
        </is>
      </c>
      <c r="L32" s="5" t="inlineStr">
        <is>
          <t>Fracción travel</t>
        </is>
      </c>
      <c r="M32" s="5" t="inlineStr">
        <is>
          <t>Attending</t>
        </is>
      </c>
      <c r="N32" s="5" t="inlineStr">
        <is>
          <t>Hitos (costos)</t>
        </is>
      </c>
      <c r="O32" s="5" t="inlineStr">
        <is>
          <t>Aporte 403b</t>
        </is>
      </c>
      <c r="P32" s="5" t="inlineStr">
        <is>
          <t>Match empleador</t>
        </is>
      </c>
      <c r="Q32" s="5" t="inlineStr">
        <is>
          <t>S-corp neto</t>
        </is>
      </c>
      <c r="R32" s="5" t="inlineStr">
        <is>
          <t>Salario S-corp</t>
        </is>
      </c>
      <c r="S32" s="5" t="inlineStr">
        <is>
          <t>FICA patronal S-corp</t>
        </is>
      </c>
      <c r="T32" s="5" t="inlineStr">
        <is>
          <t>Distribución S-corp</t>
        </is>
      </c>
      <c r="U32" s="5" t="inlineStr">
        <is>
          <t>Salarios totales</t>
        </is>
      </c>
      <c r="V32" s="5" t="inlineStr">
        <is>
          <t>Base autoempleo</t>
        </is>
      </c>
      <c r="W32" s="5" t="inlineStr">
        <is>
          <t>Impuesto autoempleo</t>
        </is>
      </c>
      <c r="X32" s="5" t="inlineStr">
        <is>
          <t>FICA empleado</t>
        </is>
      </c>
      <c r="Y32" s="5" t="inlineStr">
        <is>
          <t>AGI</t>
        </is>
      </c>
      <c r="Z32" s="5" t="inlineStr">
        <is>
          <t>Ingreso gravable antes QBI</t>
        </is>
      </c>
      <c r="AA32" s="5" t="inlineStr">
        <is>
          <t>Deducción QBI</t>
        </is>
      </c>
      <c r="AB32" s="5" t="inlineStr">
        <is>
          <t>Ingreso gravable</t>
        </is>
      </c>
      <c r="AC32" s="5" t="inlineStr">
        <is>
          <t>Impuesto federal</t>
        </is>
      </c>
      <c r="AD32" s="5" t="inlineStr">
        <is>
          <t>Gravable NY</t>
        </is>
      </c>
      <c r="AE32" s="5" t="inlineStr">
        <is>
          <t>Impuesto estatal/local</t>
        </is>
      </c>
      <c r="AF32" s="5" t="inlineStr">
        <is>
          <t>Impuestos totales</t>
        </is>
      </c>
      <c r="AG32" s="5" t="inlineStr">
        <is>
          <t>Ingreso personal bruto en efectivo</t>
        </is>
      </c>
      <c r="AH32" s="5" t="inlineStr">
        <is>
          <t>Efectivo neto (tras impuestos y 403b)</t>
        </is>
      </c>
      <c r="AI32" s="5" t="inlineStr">
        <is>
          <t>Ingreso bruto</t>
        </is>
      </c>
      <c r="AJ32" s="5" t="inlineStr">
        <is>
          <t>Gastos de vida</t>
        </is>
      </c>
      <c r="AK32" s="5" t="inlineStr">
        <is>
          <t>Ahorro líquido inicio</t>
        </is>
      </c>
      <c r="AL32" s="5" t="inlineStr">
        <is>
          <t>Ya era dueño</t>
        </is>
      </c>
      <c r="AM32" s="5" t="inlineStr">
        <is>
          <t>Precio base 2026</t>
        </is>
      </c>
      <c r="AN32" s="5" t="inlineStr">
        <is>
          <t>Precio en el año</t>
        </is>
      </c>
      <c r="AO32" s="5" t="inlineStr">
        <is>
          <t>Physician loan</t>
        </is>
      </c>
      <c r="AP32" s="5" t="inlineStr">
        <is>
          <t>% enganche</t>
        </is>
      </c>
      <c r="AQ32" s="5" t="inlineStr">
        <is>
          <t>Préstamo</t>
        </is>
      </c>
      <c r="AR32" s="5" t="inlineStr">
        <is>
          <t>Cuota P&amp;I mensual</t>
        </is>
      </c>
      <c r="AS32" s="5" t="inlineStr">
        <is>
          <t>Unidades rentadas</t>
        </is>
      </c>
      <c r="AT32" s="5" t="inlineStr">
        <is>
          <t>Renta mensual (cotización)</t>
        </is>
      </c>
      <c r="AU32" s="5" t="inlineStr">
        <is>
          <t>PITI mensual</t>
        </is>
      </c>
      <c r="AV32" s="5" t="inlineStr">
        <is>
          <t>Efectivo requerido</t>
        </is>
      </c>
      <c r="AW32" s="5" t="inlineStr">
        <is>
          <t>Otras deudas mensuales</t>
        </is>
      </c>
      <c r="AX32" s="5" t="inlineStr">
        <is>
          <t>Crédito aporte familiar</t>
        </is>
      </c>
      <c r="AY32" s="5" t="inlineStr">
        <is>
          <t>Carga mensual para DTI</t>
        </is>
      </c>
      <c r="AZ32" s="5" t="inlineStr">
        <is>
          <t>Ingreso mensual para DTI</t>
        </is>
      </c>
      <c r="BA32" s="5" t="inlineStr">
        <is>
          <t>Compra este año</t>
        </is>
      </c>
      <c r="BB32" s="5" t="inlineStr">
        <is>
          <t>Dueño</t>
        </is>
      </c>
      <c r="BC32" s="5" t="inlineStr">
        <is>
          <t>Año de compra</t>
        </is>
      </c>
      <c r="BD32" s="5" t="inlineStr">
        <is>
          <t>Ahorro tras enganche</t>
        </is>
      </c>
      <c r="BE32" s="5" t="inlineStr">
        <is>
          <t>Precio de compra</t>
        </is>
      </c>
      <c r="BF32" s="5" t="inlineStr">
        <is>
          <t>Cuota hipoteca</t>
        </is>
      </c>
      <c r="BG32" s="5" t="inlineStr">
        <is>
          <t>PMI activo (antes)</t>
        </is>
      </c>
      <c r="BH32" s="5" t="inlineStr">
        <is>
          <t>Config. con ADU</t>
        </is>
      </c>
      <c r="BI32" s="5" t="inlineStr">
        <is>
          <t>Construye ADU</t>
        </is>
      </c>
      <c r="BJ32" s="5" t="inlineStr">
        <is>
          <t>ADU construido</t>
        </is>
      </c>
      <c r="BK32" s="5" t="inlineStr">
        <is>
          <t>Cuota ADU</t>
        </is>
      </c>
      <c r="BL32" s="5" t="inlineStr">
        <is>
          <t>Valor vivienda inicio</t>
        </is>
      </c>
      <c r="BM32" s="5" t="inlineStr">
        <is>
          <t>Hipoteca inicio</t>
        </is>
      </c>
      <c r="BN32" s="5" t="inlineStr">
        <is>
          <t>Hipoteca tras 12 pagos</t>
        </is>
      </c>
      <c r="BO32" s="5" t="inlineStr">
        <is>
          <t>Pagado hipoteca</t>
        </is>
      </c>
      <c r="BP32" s="5" t="inlineStr">
        <is>
          <t>Hipoteca tras pagos</t>
        </is>
      </c>
      <c r="BQ32" s="5" t="inlineStr">
        <is>
          <t>ADU inicio</t>
        </is>
      </c>
      <c r="BR32" s="5" t="inlineStr">
        <is>
          <t>ADU tras 12 pagos</t>
        </is>
      </c>
      <c r="BS32" s="5" t="inlineStr">
        <is>
          <t>Pagado ADU</t>
        </is>
      </c>
      <c r="BT32" s="5" t="inlineStr">
        <is>
          <t>ADU tras pagos</t>
        </is>
      </c>
      <c r="BU32" s="5" t="inlineStr">
        <is>
          <t>Seguro</t>
        </is>
      </c>
      <c r="BV32" s="5" t="inlineStr">
        <is>
          <t>Impuesto predial</t>
        </is>
      </c>
      <c r="BW32" s="5" t="inlineStr">
        <is>
          <t>Mantenimiento</t>
        </is>
      </c>
      <c r="BX32" s="5" t="inlineStr">
        <is>
          <t>PMI</t>
        </is>
      </c>
      <c r="BY32" s="5" t="inlineStr">
        <is>
          <t>PMI activo (después)</t>
        </is>
      </c>
      <c r="BZ32" s="5" t="inlineStr">
        <is>
          <t>Renta recibida</t>
        </is>
      </c>
      <c r="CA32" s="5" t="inlineStr">
        <is>
          <t>Costo de vivienda</t>
        </is>
      </c>
      <c r="CB32" s="5" t="inlineStr">
        <is>
          <t>Aporte familiar</t>
        </is>
      </c>
      <c r="CC32" s="5" t="inlineStr">
        <is>
          <t>IRS pagado</t>
        </is>
      </c>
      <c r="CD32" s="5" t="inlineStr">
        <is>
          <t>IRS saldo</t>
        </is>
      </c>
      <c r="CE32" s="5" t="inlineStr">
        <is>
          <t>Federal inicio</t>
        </is>
      </c>
      <c r="CF32" s="5" t="inlineStr">
        <is>
          <t>Tasa federal</t>
        </is>
      </c>
      <c r="CG32" s="5" t="inlineStr">
        <is>
          <t>Años repago fed.</t>
        </is>
      </c>
      <c r="CH32" s="5" t="inlineStr">
        <is>
          <t>En estudios (≥50%)</t>
        </is>
      </c>
      <c r="CI32" s="5" t="inlineStr">
        <is>
          <t>Usa RAP/PSLF</t>
        </is>
      </c>
      <c r="CJ32" s="5" t="inlineStr">
        <is>
          <t>Interés federal</t>
        </is>
      </c>
      <c r="CK32" s="5" t="inlineStr">
        <is>
          <t>Pago RAP</t>
        </is>
      </c>
      <c r="CL32" s="5" t="inlineStr">
        <is>
          <t>Pago federal</t>
        </is>
      </c>
      <c r="CM32" s="5" t="inlineStr">
        <is>
          <t>Federal tras pago</t>
        </is>
      </c>
      <c r="CN32" s="5" t="inlineStr">
        <is>
          <t>Meses PSLF</t>
        </is>
      </c>
      <c r="CO32" s="5" t="inlineStr">
        <is>
          <t>Condonado PSLF</t>
        </is>
      </c>
      <c r="CP32" s="5" t="inlineStr">
        <is>
          <t>Federal tras PSLF</t>
        </is>
      </c>
      <c r="CQ32" s="5" t="inlineStr">
        <is>
          <t>Años repago (tras pago)</t>
        </is>
      </c>
      <c r="CR32" s="5" t="inlineStr">
        <is>
          <t>Privado inicio</t>
        </is>
      </c>
      <c r="CS32" s="5" t="inlineStr">
        <is>
          <t>Tasa privada</t>
        </is>
      </c>
      <c r="CT32" s="5" t="inlineStr">
        <is>
          <t>Años repago priv.</t>
        </is>
      </c>
      <c r="CU32" s="5" t="inlineStr">
        <is>
          <t>Pago privado</t>
        </is>
      </c>
      <c r="CV32" s="5" t="inlineStr">
        <is>
          <t>Privado tras pago</t>
        </is>
      </c>
      <c r="CW32" s="5" t="inlineStr">
        <is>
          <t>Años repago priv. (tras)</t>
        </is>
      </c>
      <c r="CX32" s="5" t="inlineStr">
        <is>
          <t>Consumo tras interés</t>
        </is>
      </c>
      <c r="CY32" s="5" t="inlineStr">
        <is>
          <t>Gasto extra travel</t>
        </is>
      </c>
      <c r="CZ32" s="5" t="inlineStr">
        <is>
          <t>Salidas</t>
        </is>
      </c>
      <c r="DA32" s="5" t="inlineStr">
        <is>
          <t>Excedente (déficit)</t>
        </is>
      </c>
      <c r="DB32" s="5" t="inlineStr">
        <is>
          <t>Flujo acumulado</t>
        </is>
      </c>
      <c r="DC32" s="5" t="inlineStr">
        <is>
          <t>Meta enganche</t>
        </is>
      </c>
      <c r="DD32" s="5" t="inlineStr">
        <is>
          <t>Retorno del ahorro líquido</t>
        </is>
      </c>
      <c r="DE32" s="5" t="inlineStr">
        <is>
          <t>Pago deuda consumo</t>
        </is>
      </c>
      <c r="DF32" s="5" t="inlineStr">
        <is>
          <t>Gasto discrecional</t>
        </is>
      </c>
      <c r="DG32" s="5" t="inlineStr">
        <is>
          <t>Ahorro</t>
        </is>
      </c>
      <c r="DH32" s="5" t="inlineStr">
        <is>
          <t>Roth</t>
        </is>
      </c>
      <c r="DI32" s="5" t="inlineStr">
        <is>
          <t>Prepago</t>
        </is>
      </c>
      <c r="DJ32" s="5" t="inlineStr">
        <is>
          <t>Prepago a hipoteca</t>
        </is>
      </c>
      <c r="DK32" s="5" t="inlineStr">
        <is>
          <t>Retiro del ahorro</t>
        </is>
      </c>
      <c r="DL32" s="5" t="inlineStr">
        <is>
          <t>Déficit por financiar</t>
        </is>
      </c>
      <c r="DM32" s="5" t="inlineStr">
        <is>
          <t>Federal acumulado (antes)</t>
        </is>
      </c>
      <c r="DN32" s="5" t="inlineStr">
        <is>
          <t>Nuevo préstamo federal</t>
        </is>
      </c>
      <c r="DO32" s="5" t="inlineStr">
        <is>
          <t>Nuevo préstamo privado</t>
        </is>
      </c>
      <c r="DP32" s="5" t="inlineStr">
        <is>
          <t>Nueva deuda consumo</t>
        </is>
      </c>
      <c r="DQ32" s="5" t="inlineStr">
        <is>
          <t>Flujo al ahorro líquido</t>
        </is>
      </c>
      <c r="DR32" s="5" t="inlineStr">
        <is>
          <t>Ahorro líquido fin</t>
        </is>
      </c>
      <c r="DS32" s="5" t="inlineStr">
        <is>
          <t>Retiro fin</t>
        </is>
      </c>
      <c r="DT32" s="5" t="inlineStr">
        <is>
          <t>Valor vivienda fin</t>
        </is>
      </c>
      <c r="DU32" s="5" t="inlineStr">
        <is>
          <t>Hipoteca fin</t>
        </is>
      </c>
      <c r="DV32" s="5" t="inlineStr">
        <is>
          <t>ADU fin</t>
        </is>
      </c>
      <c r="DW32" s="5" t="inlineStr">
        <is>
          <t>Federal fin</t>
        </is>
      </c>
      <c r="DX32" s="5" t="inlineStr">
        <is>
          <t>Tasa federal fin</t>
        </is>
      </c>
      <c r="DY32" s="5" t="inlineStr">
        <is>
          <t>Años repago fed. fin</t>
        </is>
      </c>
      <c r="DZ32" s="5" t="inlineStr">
        <is>
          <t>Federal acumulado</t>
        </is>
      </c>
      <c r="EA32" s="5" t="inlineStr">
        <is>
          <t>Privado fin</t>
        </is>
      </c>
      <c r="EB32" s="5" t="inlineStr">
        <is>
          <t>Tasa privada fin</t>
        </is>
      </c>
      <c r="EC32" s="5" t="inlineStr">
        <is>
          <t>Años repago priv. fin</t>
        </is>
      </c>
      <c r="ED32" s="5" t="inlineStr">
        <is>
          <t>Deuda consumo fin</t>
        </is>
      </c>
      <c r="EE32" s="5" t="inlineStr">
        <is>
          <t>Año vivienda pagada</t>
        </is>
      </c>
      <c r="EF32" s="5" t="inlineStr">
        <is>
          <t>Deuda total</t>
        </is>
      </c>
      <c r="EG32" s="9" t="inlineStr">
        <is>
          <t>PATRIMONIO NETO</t>
        </is>
      </c>
      <c r="EH32" s="5" t="inlineStr">
        <is>
          <t>Patrimonio (dólares 2026)</t>
        </is>
      </c>
    </row>
    <row r="33">
      <c r="A33" t="n">
        <v>2027</v>
      </c>
      <c r="B33" t="n">
        <v>0</v>
      </c>
      <c r="C33" s="7">
        <f>(1+g_inf)^(A33-2026)</f>
        <v/>
      </c>
      <c r="D33" s="7">
        <f>SUMPRODUCT($T$5:$T$29,$E$5:$E$29*(1+$F$5:$F$29)^(A33-2026)*$G$5:$G$29*$H$5:$H$29*(1-$N$5:$N$29*$O$5:$O$29))*g_salMult+SUMPRODUCT(($B$5:$B$29&gt;=A33)*($B$5:$B$29&lt;A33+1)*$I$5:$I$29)*g_salMult</f>
        <v/>
      </c>
      <c r="E33" s="7">
        <f>SUMPRODUCT($T$5:$T$29,$E$5:$E$29*(1+$F$5:$F$29)^(A33-2026)*$G$5:$G$29*$H$5:$H$29*$M$5:$M$29)*g_salMult</f>
        <v/>
      </c>
      <c r="F33" s="7">
        <f>SUMPRODUCT($T$5:$T$29,$E$5:$E$29*(1+$F$5:$F$29)^(A33-2026)*$G$5:$G$29*$H$5:$H$29*$N$5:$N$29*$O$5:$O$29)*g_salMult</f>
        <v/>
      </c>
      <c r="G33" s="7">
        <f>SUMPRODUCT($T$5:$T$29,$P$5:$P$29*(1+$F$5:$F$29)^(A33-2026))</f>
        <v/>
      </c>
      <c r="H33" s="7">
        <f>SUMPRODUCT($T$5:$T$29,$Q$5:$Q$29*(1+$F$5:$F$29)^(A33-2026))+IF(personal_llcActivo=1,personal_llcNeto*(1+personal_llcCrecimiento)^0,0)</f>
        <v/>
      </c>
      <c r="I33" s="7">
        <f>SUMPRODUCT($T$5:$T$29,$J$5:$J$29/($C$5:$C$29-$B$5:$B$29+($C$5:$C$29=$B$5:$B$29)))*C33</f>
        <v/>
      </c>
      <c r="J33" s="7">
        <f>SUMPRODUCT($T$5:$T$29,$K$5:$K$29)</f>
        <v/>
      </c>
      <c r="K33" s="7">
        <f>SUMPRODUCT($T$5:$T$29,$L$5:$L$29)</f>
        <v/>
      </c>
      <c r="L33" s="7">
        <f>SUMPRODUCT($T$5:$T$29,$N$5:$N$29)</f>
        <v/>
      </c>
      <c r="M33" s="7">
        <f>IF(SUMPRODUCT($T$5:$T$29,$R$5:$R$29)&gt;0,1,0)</f>
        <v/>
      </c>
      <c r="N33" s="7">
        <f>SUMPRODUCT(($AO$5:$AO$24&gt;=A33)*($AO$5:$AO$24&lt;A33+1)*$AP$5:$AP$24)*C33+IF(0=0,IF(sel_loc&lt;&gt;"miami",personal_costoMudanzaInicial,0),0)</f>
        <v/>
      </c>
      <c r="O33" s="7">
        <f>MIN(personal_aporte403bPct*D33,retiro_limite403b*C33)</f>
        <v/>
      </c>
      <c r="P33" s="7">
        <f>MIN(personal_aporte403bPct,personal_match403bPct)*E33</f>
        <v/>
      </c>
      <c r="Q33" s="7">
        <f>IF(G33&gt;0,MAX(0,G33-impuestos_scorpCostoAnual*C33),0)</f>
        <v/>
      </c>
      <c r="R33" s="7">
        <f>Q33*impuestos_scorpSalarioPct/(1+impuestos_ssTasa+impuestos_medicareTasa)</f>
        <v/>
      </c>
      <c r="S33" s="7">
        <f>impuestos_ssTasa*MIN(R33,MAX(0,impuestos_ssTope*C33-D33))+impuestos_medicareTasa*R33</f>
        <v/>
      </c>
      <c r="T33" s="7">
        <f>Q33-R33-S33</f>
        <v/>
      </c>
      <c r="U33" s="7">
        <f>D33+R33</f>
        <v/>
      </c>
      <c r="V33" s="7">
        <f>H33*0.9235</f>
        <v/>
      </c>
      <c r="W33" s="7">
        <f>IF(H33&gt;0,2*impuestos_ssTasa*MIN(V33,MAX(0,impuestos_ssTope*C33-U33))+2*impuestos_medicareTasa*V33,0)</f>
        <v/>
      </c>
      <c r="X33" s="7">
        <f>impuestos_ssTasa*MIN(U33,impuestos_ssTope*C33)+impuestos_medicareTasa*U33+impuestos_medicareAdicional*MAX(0,U33+H33*0.9235-impuestos_medicareUmbral)</f>
        <v/>
      </c>
      <c r="Y33" s="7">
        <f>MAX(0,D33-O33+R33+T33+H33-W33/2)</f>
        <v/>
      </c>
      <c r="Z33" s="7">
        <f>MAX(0,Y33-impuestos_deduccionEstandar*C33)</f>
        <v/>
      </c>
      <c r="AA33" s="7">
        <f>MIN(0.2*MAX(0,T33+H33-W33/2)*MAX(0,MIN(1,1-(Z33-impuestos_qbiUmbral*C33)/(impuestos_qbiRango*C33))),0.2*Z33)</f>
        <v/>
      </c>
      <c r="AB33" s="7">
        <f>MAX(0,Z33-AA33)</f>
        <v/>
      </c>
      <c r="AC33" s="7">
        <f>SUMPRODUCT((AB33&gt;tb_federalBrackets_lo*C33)*(AB33-tb_federalBrackets_lo*C33)*tb_federalBrackets_dr)</f>
        <v/>
      </c>
      <c r="AD33" s="7">
        <f>MAX(0,Y33-impuestos_nyDeduccion*C33)</f>
        <v/>
      </c>
      <c r="AE33" s="7">
        <f>CHOOSE(loc_taxcode,0,impuestos_ohTasa*MAX(0,Y33-impuestos_ohExento*C33)+impuestos_ohMunicipal*U33,SUMPRODUCT((AD33&gt;tb_nyBrackets_lo*C33)*(AD33-tb_nyBrackets_lo*C33)*tb_nyBrackets_dr)+loc_nyc*SUMPRODUCT((AD33&gt;tb_nycBrackets_lo*C33)*(AD33-tb_nycBrackets_lo*C33)*tb_nycBrackets_dr))</f>
        <v/>
      </c>
      <c r="AF33" s="7">
        <f>AC33+AE33+X33+W33</f>
        <v/>
      </c>
      <c r="AG33" s="7">
        <f>D33+F33+R33+T33+H33</f>
        <v/>
      </c>
      <c r="AH33" s="7">
        <f>AG33-AF33-O33</f>
        <v/>
      </c>
      <c r="AI33" s="7">
        <f>D33+F33+G33+H33</f>
        <v/>
      </c>
      <c r="AJ33" s="7">
        <f>loc_gastosVida*C33*g_gastos</f>
        <v/>
      </c>
      <c r="AK33" s="7">
        <f>IF(0=0,personal_liquidoInicial,DR32)</f>
        <v/>
      </c>
      <c r="AL33" s="7">
        <f>IF(0=0,0,BB32)</f>
        <v/>
      </c>
      <c r="AM33" s="7">
        <f>CHOOSE(sel_cfgIdx,loc_precio_duplex,loc_precio_inlaw,loc_precio_dosCasas,loc_precio_casaAdu,loc_precio_multi)</f>
        <v/>
      </c>
      <c r="AN33" s="7">
        <f>AM33*(1+g_appr)^(A33-2026)</f>
        <v/>
      </c>
      <c r="AO33" s="7">
        <f>IF(AND(M33=1,vivienda_prestamoMedico=1),1,0)</f>
        <v/>
      </c>
      <c r="AP33" s="7">
        <f>IF(AO33=1,0.05,vivienda_enganchePct)</f>
        <v/>
      </c>
      <c r="AQ33" s="7">
        <f>AN33*(1-AP33)</f>
        <v/>
      </c>
      <c r="AR33" s="7">
        <f>PMT(g_mortRate/12,vivienda_plazoHipoteca*12,-AQ33)</f>
        <v/>
      </c>
      <c r="AS33" s="7">
        <f>INDEX(cfg_units,sel_cfgIdx)</f>
        <v/>
      </c>
      <c r="AT33" s="7">
        <f>AS33*loc_rentaUnidad*(1+g_inf)^(A33-2026)*(1-vivienda_vacancia)</f>
        <v/>
      </c>
      <c r="AU33" s="7">
        <f>AR33+AN33*loc_impuestoPropPct/12+AM33*loc_seguroPct*(1+vivienda_inflacionSeguro)^(A33-2026)/12+IF(AND(AO33=0,AP33&lt;0.2),AQ33*vivienda_pmiTasa/12,0)</f>
        <v/>
      </c>
      <c r="AV33" s="7">
        <f>AN33*AP33+AN33*vivienda_cierrePct+general_reservaMeses/12*AJ33</f>
        <v/>
      </c>
      <c r="AW33" s="7">
        <f>(IF(0=0,MIN(personal_irsSaldo,personal_irsPagoMensual*12),MIN(CD32,personal_irsPagoMensual*12))+IF(CE33&gt;0,PMT(CF33,MAX(1,prestamos_plazoAnios-CG33),-CE33),0)+IF(CR33&gt;0,PMT(CS33,MAX(1,prestamos_plazoAnios-CT33),-CR33),0))/12</f>
        <v/>
      </c>
      <c r="AX33" s="7">
        <f>IF(OR(sel_cfg="duplex",sel_cfg="multi",sel_cfg="dosCasas"),0.75*personal_aporteFamiliaMensual,0)</f>
        <v/>
      </c>
      <c r="AY33" s="7">
        <f>AU33-0.75*AT33-AX33+AW33</f>
        <v/>
      </c>
      <c r="AZ33" s="7">
        <f>(D33+G33+H33+0.5*F33)/12</f>
        <v/>
      </c>
      <c r="BA33" s="7">
        <f>IF(AND(AL33=0,A33&gt;=vivienda_anioMinCompra,J33&lt;0.5,AI33&gt;0,AK33&gt;=AV33,AY33&lt;=vivienda_dtiMax*AZ33),1,0)</f>
        <v/>
      </c>
      <c r="BB33" s="7">
        <f>MAX(AL33,BA33)</f>
        <v/>
      </c>
      <c r="BC33" s="7">
        <f>IF(BA33=1,A33,IF(0=0,"",BC32))</f>
        <v/>
      </c>
      <c r="BD33" s="7">
        <f>AK33-IF(BA33=1,AN33*AP33+AN33*vivienda_cierrePct,0)</f>
        <v/>
      </c>
      <c r="BE33" s="7">
        <f>IF(BA33=1,AN33,IF(0=0,0,BE32))</f>
        <v/>
      </c>
      <c r="BF33" s="7">
        <f>IF(BA33=1,AR33,IF(0=0,0,BF32))</f>
        <v/>
      </c>
      <c r="BG33" s="7">
        <f>IF(BA33=1,IF(AND(AO33=0,AP33&lt;0.2),1,0),IF(0=0,0,BY32))</f>
        <v/>
      </c>
      <c r="BH33" s="7">
        <f>IF(sel_cfg="casaAdu",1,0)</f>
        <v/>
      </c>
      <c r="BI33" s="7">
        <f>IF(AND(BB33=1,BH33=1,IF(0=0,0,BJ32)=0,A33&gt;=IF(BC33="",9999,BC33)+vivienda_aduRetrasoAnios),1,0)</f>
        <v/>
      </c>
      <c r="BJ33" s="7">
        <f>MAX(IF(0=0,0,BJ32),BI33)</f>
        <v/>
      </c>
      <c r="BK33" s="7">
        <f>IF(BI33=1,PMT((g_mortRate+0.005)/12,180,-loc_precio_aduCosto*C33),IF(0=0,0,BK32))</f>
        <v/>
      </c>
      <c r="BL33" s="7">
        <f>IF(BA33=1,AN33,IF(0=0,0,DT32))+IF(BI33=1,loc_precio_aduCosto*C33,0)</f>
        <v/>
      </c>
      <c r="BM33" s="7">
        <f>IF(BA33=1,AQ33,IF(0=0,0,DU32))</f>
        <v/>
      </c>
      <c r="BN33" s="7">
        <f>IF(BM33&lt;=0,0,FV(g_mortRate/12,12,BF33,-BM33))</f>
        <v/>
      </c>
      <c r="BO33" s="7">
        <f>IF(BM33&lt;=0,0,12*BF33+MIN(0,BN33))</f>
        <v/>
      </c>
      <c r="BP33" s="7">
        <f>MAX(0,BN33)</f>
        <v/>
      </c>
      <c r="BQ33" s="7">
        <f>IF(BI33=1,loc_precio_aduCosto*C33,IF(0=0,0,DV32))</f>
        <v/>
      </c>
      <c r="BR33" s="7">
        <f>IF(BQ33&lt;=0,0,FV((g_mortRate+0.005)/12,12,BK33,-BQ33))</f>
        <v/>
      </c>
      <c r="BS33" s="7">
        <f>IF(BQ33&lt;=0,0,12*BK33+MIN(0,BR33))</f>
        <v/>
      </c>
      <c r="BT33" s="7">
        <f>MAX(0,BR33)</f>
        <v/>
      </c>
      <c r="BU33" s="7">
        <f>IF(BB33=1,AM33*loc_seguroPct*(1+vivienda_inflacionSeguro)^(A33-2026)*IF(BJ33=1,1+loc_precio_aduCosto/AM33,1),0)</f>
        <v/>
      </c>
      <c r="BV33" s="7">
        <f>BL33*loc_impuestoPropPct</f>
        <v/>
      </c>
      <c r="BW33" s="7">
        <f>BL33*vivienda_mantenimientoPct</f>
        <v/>
      </c>
      <c r="BX33" s="7">
        <f>IF(AND(BG33=1,BP33&gt;0.8*BE33),BE33*(1-vivienda_enganchePct)*vivienda_pmiTasa,0)</f>
        <v/>
      </c>
      <c r="BY33" s="7">
        <f>IF(AND(BG33=1,BP33&gt;0.8*BE33),1,0)</f>
        <v/>
      </c>
      <c r="BZ33" s="7">
        <f>IF(BB33=1,AS33*loc_rentaUnidad*12*C33*(1-vivienda_vacancia)*(1-vivienda_gestionPct),0)</f>
        <v/>
      </c>
      <c r="CA33" s="7">
        <f>IF(BB33=1,BO33+BS33+BU33+BV33+BW33+BX33,loc_rentaMensual*12*C33)</f>
        <v/>
      </c>
      <c r="CB33" s="7">
        <f>IF(BB33=1,personal_aporteFamiliaMensual*12,0)</f>
        <v/>
      </c>
      <c r="CC33" s="7">
        <f>MIN(IF(0=0,personal_irsSaldo,CD32),personal_irsPagoMensual*12)</f>
        <v/>
      </c>
      <c r="CD33" s="7">
        <f>IF(0=0,personal_irsSaldo,CD32)-CC33</f>
        <v/>
      </c>
      <c r="CE33" s="7">
        <f>IF(0=0,IF(personal_deudaEsFederal=1,personal_deudaEstudiantil,0),DW32)</f>
        <v/>
      </c>
      <c r="CF33" s="7">
        <f>IF(0=0,personal_tasaDeudaEstudiantil,DX32)</f>
        <v/>
      </c>
      <c r="CG33" s="7">
        <f>IF(0=0,0,DY32)</f>
        <v/>
      </c>
      <c r="CH33" s="7">
        <f>IF(J33&gt;=0.5,1,0)</f>
        <v/>
      </c>
      <c r="CI33" s="7">
        <f>IF(AND(CH33=0,prestamos_pslfActivo=1,K33&gt;=0.5,CE33&gt;0),1,0)</f>
        <v/>
      </c>
      <c r="CJ33" s="7">
        <f>CE33*CF33</f>
        <v/>
      </c>
      <c r="CK33" s="7">
        <f>MAX(prestamos_rapPagoMinimoAnual,IF(Y33&lt;10000,0,MIN(0.1,INT(Y33/10000)/100))*Y33)</f>
        <v/>
      </c>
      <c r="CL33" s="7">
        <f>IF(CE33&lt;=0,0,IF(CH33=1,0,IF(CI33=1,MIN(CE33+CJ33,CK33),PMT(CF33,MAX(1,prestamos_plazoAnios-CG33),-CE33))))</f>
        <v/>
      </c>
      <c r="CM33" s="7">
        <f>IF(CE33&lt;=0,0,IF(CH33=1,CE33+CJ33,IF(CI33=1,MAX(0,CE33-MAX(CL33-CJ33,MIN(600,CL33))),MAX(0,CE33*(1+CF33)-CL33))))</f>
        <v/>
      </c>
      <c r="CN33" s="7">
        <f>IF(0=0,0,CN32)+IF(CI33=1,12*MIN(1,K33),0)</f>
        <v/>
      </c>
      <c r="CO33" s="7">
        <f>IF(AND(CI33=1,CN33&gt;=prestamos_pslfPagos,CM33&gt;0),CM33,0)</f>
        <v/>
      </c>
      <c r="CP33" s="7">
        <f>CM33-CO33</f>
        <v/>
      </c>
      <c r="CQ33" s="7">
        <f>IF(AND(CE33&gt;0,CH33=0,CI33=0),CG33+1,CG33)</f>
        <v/>
      </c>
      <c r="CR33" s="7">
        <f>IF(0=0,IF(personal_deudaEsFederal=1,0,personal_deudaEstudiantil),EA32)</f>
        <v/>
      </c>
      <c r="CS33" s="7">
        <f>IF(0=0,IF(personal_deudaEsFederal=1,prestamos_tasaPrivada,personal_tasaDeudaEstudiantil),EB32)</f>
        <v/>
      </c>
      <c r="CT33" s="7">
        <f>IF(0=0,0,EC32)</f>
        <v/>
      </c>
      <c r="CU33" s="7">
        <f>IF(OR(CR33&lt;=0,CH33=1),0,PMT(CS33,MAX(1,prestamos_plazoAnios-CT33),-CR33))</f>
        <v/>
      </c>
      <c r="CV33" s="7">
        <f>IF(CR33&lt;=0,0,IF(CH33=1,CR33*(1+CS33),MAX(0,CR33*(1+CS33)-CU33)))</f>
        <v/>
      </c>
      <c r="CW33" s="7">
        <f>IF(AND(CR33&gt;0,CH33=0),CT33+1,CT33)</f>
        <v/>
      </c>
      <c r="CX33" s="7">
        <f>IF(0=0,0,ED32)*(1+general_tasaDeudaConsumo)</f>
        <v/>
      </c>
      <c r="CY33" s="7">
        <f>L33*12*tiempos_travelGastoExtraMes*C33</f>
        <v/>
      </c>
      <c r="CZ33" s="7">
        <f>AJ33+CY33+CA33+CC33+CL33+CU33+I33+N33-BZ33-CB33</f>
        <v/>
      </c>
      <c r="DA33" s="7">
        <f>AH33-CZ33</f>
        <v/>
      </c>
      <c r="DB33" s="7">
        <f>IF(0=0,0,DB32)+DA33</f>
        <v/>
      </c>
      <c r="DC33" s="7">
        <f>AN33*vivienda_enganchePct+AN33*vivienda_cierrePct+general_reservaMeses/12*AJ33</f>
        <v/>
      </c>
      <c r="DD33" s="7">
        <f>IF(BB33=1,g_ret,IF(BD33&gt;0,MIN(1,DC33/BD33),1)*g_cash+(1-IF(BD33&gt;0,MIN(1,DC33/BD33),1))*g_ret)</f>
        <v/>
      </c>
      <c r="DE33" s="7">
        <f>IF(DA33&gt;=0,MIN(CX33,DA33),0)</f>
        <v/>
      </c>
      <c r="DF33" s="7">
        <f>IF(DA33&gt;=0,(1-general_tasaAhorro)*(DA33-DE33),0)</f>
        <v/>
      </c>
      <c r="DG33" s="7">
        <f>IF(DA33&gt;=0,DA33-DE33-DF33,0)</f>
        <v/>
      </c>
      <c r="DH33" s="7">
        <f>MIN(personal_rothAnual,DG33)</f>
        <v/>
      </c>
      <c r="DI33" s="7">
        <f>IF(AND(DA33&gt;=0,BB33=1,BP33+BT33&gt;0),MIN(vivienda_prepagoPct*(DG33-DH33),BP33+BT33),0)</f>
        <v/>
      </c>
      <c r="DJ33" s="7">
        <f>MIN(DI33,BP33)</f>
        <v/>
      </c>
      <c r="DK33" s="7">
        <f>IF(DA33&lt;0,MIN(MAX(0,BD33),-DA33),0)</f>
        <v/>
      </c>
      <c r="DL33" s="7">
        <f>IF(DA33&lt;0,-DA33-DK33,0)</f>
        <v/>
      </c>
      <c r="DM33" s="7">
        <f>IF(0=0,0,DZ32)</f>
        <v/>
      </c>
      <c r="DN33" s="7">
        <f>IF(AND(DL33&gt;0,J33&gt;0),MIN(DL33,MIN(prestamos_topeAnualPosgrado*MIN(1,J33),MAX(0,prestamos_topeTotalPosgrado-DM33))),0)</f>
        <v/>
      </c>
      <c r="DO33" s="7">
        <f>IF(AND(DL33&gt;0,J33&gt;0),DL33-DN33,0)</f>
        <v/>
      </c>
      <c r="DP33" s="7">
        <f>IF(AND(DL33&gt;0,J33&lt;=0),DL33,0)</f>
        <v/>
      </c>
      <c r="DQ33" s="7">
        <f>IF(DA33&gt;=0,DG33-DH33-DI33,-DK33)</f>
        <v/>
      </c>
      <c r="DR33" s="7">
        <f>BD33*(1+DD33)+DQ33*(1+DD33/2)</f>
        <v/>
      </c>
      <c r="DS33" s="7">
        <f>IF(0=0,personal_retiroInicial,DS32)*(1+g_ret)+(O33+P33+DH33)*(1+g_ret/2)</f>
        <v/>
      </c>
      <c r="DT33" s="7">
        <f>IF(BB33=1,BL33*(1+g_appr),0)</f>
        <v/>
      </c>
      <c r="DU33" s="7">
        <f>BP33-DJ33</f>
        <v/>
      </c>
      <c r="DV33" s="7">
        <f>BT33-(DI33-DJ33)</f>
        <v/>
      </c>
      <c r="DW33" s="7">
        <f>CP33+DN33</f>
        <v/>
      </c>
      <c r="DX33" s="7">
        <f>IF(DN33&gt;0,(CP33*CF33+DN33*prestamos_tasaFederalPosgrado)/(CP33+DN33),CF33)</f>
        <v/>
      </c>
      <c r="DY33" s="7">
        <f>IF(DN33&gt;0,0,CQ33)</f>
        <v/>
      </c>
      <c r="DZ33" s="7">
        <f>DM33+DN33</f>
        <v/>
      </c>
      <c r="EA33" s="7">
        <f>CV33+DO33</f>
        <v/>
      </c>
      <c r="EB33" s="7">
        <f>IF(DO33&gt;0,(CV33*CS33+DO33*prestamos_tasaPrivada)/(CV33+DO33),CS33)</f>
        <v/>
      </c>
      <c r="EC33" s="7">
        <f>IF(DO33&gt;0,0,CW33)</f>
        <v/>
      </c>
      <c r="ED33" s="7">
        <f>CX33-DE33+DP33</f>
        <v/>
      </c>
      <c r="EE33" s="7">
        <f>IF(IF(0=0,"",EE32)&lt;&gt;"",EE32,IF(AND(BB33=1,DU33&lt;=0.5,DV33&lt;=0.5,OR(BH33=0,BJ33=1)),A33,""))</f>
        <v/>
      </c>
      <c r="EF33" s="7">
        <f>DU33+DV33+DW33+EA33+ED33+CD33</f>
        <v/>
      </c>
      <c r="EG33" s="7">
        <f>DR33+DS33+DT33-EF33</f>
        <v/>
      </c>
      <c r="EH33" s="7">
        <f>EG33/(1+g_inf)^(A33+1-2026)</f>
        <v/>
      </c>
    </row>
    <row r="34">
      <c r="A34" t="n">
        <v>2028</v>
      </c>
      <c r="B34" t="n">
        <v>1</v>
      </c>
      <c r="C34" s="7">
        <f>(1+g_inf)^(A34-2026)</f>
        <v/>
      </c>
      <c r="D34" s="7">
        <f>SUMPRODUCT($U$5:$U$29,$E$5:$E$29*(1+$F$5:$F$29)^(A34-2026)*$G$5:$G$29*$H$5:$H$29*(1-$N$5:$N$29*$O$5:$O$29))*g_salMult+SUMPRODUCT(($B$5:$B$29&gt;=A34)*($B$5:$B$29&lt;A34+1)*$I$5:$I$29)*g_salMult</f>
        <v/>
      </c>
      <c r="E34" s="7">
        <f>SUMPRODUCT($U$5:$U$29,$E$5:$E$29*(1+$F$5:$F$29)^(A34-2026)*$G$5:$G$29*$H$5:$H$29*$M$5:$M$29)*g_salMult</f>
        <v/>
      </c>
      <c r="F34" s="7">
        <f>SUMPRODUCT($U$5:$U$29,$E$5:$E$29*(1+$F$5:$F$29)^(A34-2026)*$G$5:$G$29*$H$5:$H$29*$N$5:$N$29*$O$5:$O$29)*g_salMult</f>
        <v/>
      </c>
      <c r="G34" s="7">
        <f>SUMPRODUCT($U$5:$U$29,$P$5:$P$29*(1+$F$5:$F$29)^(A34-2026))</f>
        <v/>
      </c>
      <c r="H34" s="7">
        <f>SUMPRODUCT($U$5:$U$29,$Q$5:$Q$29*(1+$F$5:$F$29)^(A34-2026))+IF(personal_llcActivo=1,personal_llcNeto*(1+personal_llcCrecimiento)^1,0)</f>
        <v/>
      </c>
      <c r="I34" s="7">
        <f>SUMPRODUCT($U$5:$U$29,$J$5:$J$29/($C$5:$C$29-$B$5:$B$29+($C$5:$C$29=$B$5:$B$29)))*C34</f>
        <v/>
      </c>
      <c r="J34" s="7">
        <f>SUMPRODUCT($U$5:$U$29,$K$5:$K$29)</f>
        <v/>
      </c>
      <c r="K34" s="7">
        <f>SUMPRODUCT($U$5:$U$29,$L$5:$L$29)</f>
        <v/>
      </c>
      <c r="L34" s="7">
        <f>SUMPRODUCT($U$5:$U$29,$N$5:$N$29)</f>
        <v/>
      </c>
      <c r="M34" s="7">
        <f>IF(SUMPRODUCT($U$5:$U$29,$R$5:$R$29)&gt;0,1,0)</f>
        <v/>
      </c>
      <c r="N34" s="7">
        <f>SUMPRODUCT(($AO$5:$AO$24&gt;=A34)*($AO$5:$AO$24&lt;A34+1)*$AP$5:$AP$24)*C34+IF(1=0,IF(sel_loc&lt;&gt;"miami",personal_costoMudanzaInicial,0),0)</f>
        <v/>
      </c>
      <c r="O34" s="7">
        <f>MIN(personal_aporte403bPct*D34,retiro_limite403b*C34)</f>
        <v/>
      </c>
      <c r="P34" s="7">
        <f>MIN(personal_aporte403bPct,personal_match403bPct)*E34</f>
        <v/>
      </c>
      <c r="Q34" s="7">
        <f>IF(G34&gt;0,MAX(0,G34-impuestos_scorpCostoAnual*C34),0)</f>
        <v/>
      </c>
      <c r="R34" s="7">
        <f>Q34*impuestos_scorpSalarioPct/(1+impuestos_ssTasa+impuestos_medicareTasa)</f>
        <v/>
      </c>
      <c r="S34" s="7">
        <f>impuestos_ssTasa*MIN(R34,MAX(0,impuestos_ssTope*C34-D34))+impuestos_medicareTasa*R34</f>
        <v/>
      </c>
      <c r="T34" s="7">
        <f>Q34-R34-S34</f>
        <v/>
      </c>
      <c r="U34" s="7">
        <f>D34+R34</f>
        <v/>
      </c>
      <c r="V34" s="7">
        <f>H34*0.9235</f>
        <v/>
      </c>
      <c r="W34" s="7">
        <f>IF(H34&gt;0,2*impuestos_ssTasa*MIN(V34,MAX(0,impuestos_ssTope*C34-U34))+2*impuestos_medicareTasa*V34,0)</f>
        <v/>
      </c>
      <c r="X34" s="7">
        <f>impuestos_ssTasa*MIN(U34,impuestos_ssTope*C34)+impuestos_medicareTasa*U34+impuestos_medicareAdicional*MAX(0,U34+H34*0.9235-impuestos_medicareUmbral)</f>
        <v/>
      </c>
      <c r="Y34" s="7">
        <f>MAX(0,D34-O34+R34+T34+H34-W34/2)</f>
        <v/>
      </c>
      <c r="Z34" s="7">
        <f>MAX(0,Y34-impuestos_deduccionEstandar*C34)</f>
        <v/>
      </c>
      <c r="AA34" s="7">
        <f>MIN(0.2*MAX(0,T34+H34-W34/2)*MAX(0,MIN(1,1-(Z34-impuestos_qbiUmbral*C34)/(impuestos_qbiRango*C34))),0.2*Z34)</f>
        <v/>
      </c>
      <c r="AB34" s="7">
        <f>MAX(0,Z34-AA34)</f>
        <v/>
      </c>
      <c r="AC34" s="7">
        <f>SUMPRODUCT((AB34&gt;tb_federalBrackets_lo*C34)*(AB34-tb_federalBrackets_lo*C34)*tb_federalBrackets_dr)</f>
        <v/>
      </c>
      <c r="AD34" s="7">
        <f>MAX(0,Y34-impuestos_nyDeduccion*C34)</f>
        <v/>
      </c>
      <c r="AE34" s="7">
        <f>CHOOSE(loc_taxcode,0,impuestos_ohTasa*MAX(0,Y34-impuestos_ohExento*C34)+impuestos_ohMunicipal*U34,SUMPRODUCT((AD34&gt;tb_nyBrackets_lo*C34)*(AD34-tb_nyBrackets_lo*C34)*tb_nyBrackets_dr)+loc_nyc*SUMPRODUCT((AD34&gt;tb_nycBrackets_lo*C34)*(AD34-tb_nycBrackets_lo*C34)*tb_nycBrackets_dr))</f>
        <v/>
      </c>
      <c r="AF34" s="7">
        <f>AC34+AE34+X34+W34</f>
        <v/>
      </c>
      <c r="AG34" s="7">
        <f>D34+F34+R34+T34+H34</f>
        <v/>
      </c>
      <c r="AH34" s="7">
        <f>AG34-AF34-O34</f>
        <v/>
      </c>
      <c r="AI34" s="7">
        <f>D34+F34+G34+H34</f>
        <v/>
      </c>
      <c r="AJ34" s="7">
        <f>loc_gastosVida*C34*g_gastos</f>
        <v/>
      </c>
      <c r="AK34" s="7">
        <f>IF(1=0,personal_liquidoInicial,DR33)</f>
        <v/>
      </c>
      <c r="AL34" s="7">
        <f>IF(1=0,0,BB33)</f>
        <v/>
      </c>
      <c r="AM34" s="7">
        <f>CHOOSE(sel_cfgIdx,loc_precio_duplex,loc_precio_inlaw,loc_precio_dosCasas,loc_precio_casaAdu,loc_precio_multi)</f>
        <v/>
      </c>
      <c r="AN34" s="7">
        <f>AM34*(1+g_appr)^(A34-2026)</f>
        <v/>
      </c>
      <c r="AO34" s="7">
        <f>IF(AND(M34=1,vivienda_prestamoMedico=1),1,0)</f>
        <v/>
      </c>
      <c r="AP34" s="7">
        <f>IF(AO34=1,0.05,vivienda_enganchePct)</f>
        <v/>
      </c>
      <c r="AQ34" s="7">
        <f>AN34*(1-AP34)</f>
        <v/>
      </c>
      <c r="AR34" s="7">
        <f>PMT(g_mortRate/12,vivienda_plazoHipoteca*12,-AQ34)</f>
        <v/>
      </c>
      <c r="AS34" s="7">
        <f>INDEX(cfg_units,sel_cfgIdx)</f>
        <v/>
      </c>
      <c r="AT34" s="7">
        <f>AS34*loc_rentaUnidad*(1+g_inf)^(A34-2026)*(1-vivienda_vacancia)</f>
        <v/>
      </c>
      <c r="AU34" s="7">
        <f>AR34+AN34*loc_impuestoPropPct/12+AM34*loc_seguroPct*(1+vivienda_inflacionSeguro)^(A34-2026)/12+IF(AND(AO34=0,AP34&lt;0.2),AQ34*vivienda_pmiTasa/12,0)</f>
        <v/>
      </c>
      <c r="AV34" s="7">
        <f>AN34*AP34+AN34*vivienda_cierrePct+general_reservaMeses/12*AJ34</f>
        <v/>
      </c>
      <c r="AW34" s="7">
        <f>(IF(1=0,MIN(personal_irsSaldo,personal_irsPagoMensual*12),MIN(CD33,personal_irsPagoMensual*12))+IF(CE34&gt;0,PMT(CF34,MAX(1,prestamos_plazoAnios-CG34),-CE34),0)+IF(CR34&gt;0,PMT(CS34,MAX(1,prestamos_plazoAnios-CT34),-CR34),0))/12</f>
        <v/>
      </c>
      <c r="AX34" s="7">
        <f>IF(OR(sel_cfg="duplex",sel_cfg="multi",sel_cfg="dosCasas"),0.75*personal_aporteFamiliaMensual,0)</f>
        <v/>
      </c>
      <c r="AY34" s="7">
        <f>AU34-0.75*AT34-AX34+AW34</f>
        <v/>
      </c>
      <c r="AZ34" s="7">
        <f>(D34+G34+H34+0.5*F34)/12</f>
        <v/>
      </c>
      <c r="BA34" s="7">
        <f>IF(AND(AL34=0,A34&gt;=vivienda_anioMinCompra,J34&lt;0.5,AI34&gt;0,AK34&gt;=AV34,AY34&lt;=vivienda_dtiMax*AZ34),1,0)</f>
        <v/>
      </c>
      <c r="BB34" s="7">
        <f>MAX(AL34,BA34)</f>
        <v/>
      </c>
      <c r="BC34" s="7">
        <f>IF(BA34=1,A34,IF(1=0,"",BC33))</f>
        <v/>
      </c>
      <c r="BD34" s="7">
        <f>AK34-IF(BA34=1,AN34*AP34+AN34*vivienda_cierrePct,0)</f>
        <v/>
      </c>
      <c r="BE34" s="7">
        <f>IF(BA34=1,AN34,IF(1=0,0,BE33))</f>
        <v/>
      </c>
      <c r="BF34" s="7">
        <f>IF(BA34=1,AR34,IF(1=0,0,BF33))</f>
        <v/>
      </c>
      <c r="BG34" s="7">
        <f>IF(BA34=1,IF(AND(AO34=0,AP34&lt;0.2),1,0),IF(1=0,0,BY33))</f>
        <v/>
      </c>
      <c r="BH34" s="7">
        <f>IF(sel_cfg="casaAdu",1,0)</f>
        <v/>
      </c>
      <c r="BI34" s="7">
        <f>IF(AND(BB34=1,BH34=1,IF(1=0,0,BJ33)=0,A34&gt;=IF(BC34="",9999,BC34)+vivienda_aduRetrasoAnios),1,0)</f>
        <v/>
      </c>
      <c r="BJ34" s="7">
        <f>MAX(IF(1=0,0,BJ33),BI34)</f>
        <v/>
      </c>
      <c r="BK34" s="7">
        <f>IF(BI34=1,PMT((g_mortRate+0.005)/12,180,-loc_precio_aduCosto*C34),IF(1=0,0,BK33))</f>
        <v/>
      </c>
      <c r="BL34" s="7">
        <f>IF(BA34=1,AN34,IF(1=0,0,DT33))+IF(BI34=1,loc_precio_aduCosto*C34,0)</f>
        <v/>
      </c>
      <c r="BM34" s="7">
        <f>IF(BA34=1,AQ34,IF(1=0,0,DU33))</f>
        <v/>
      </c>
      <c r="BN34" s="7">
        <f>IF(BM34&lt;=0,0,FV(g_mortRate/12,12,BF34,-BM34))</f>
        <v/>
      </c>
      <c r="BO34" s="7">
        <f>IF(BM34&lt;=0,0,12*BF34+MIN(0,BN34))</f>
        <v/>
      </c>
      <c r="BP34" s="7">
        <f>MAX(0,BN34)</f>
        <v/>
      </c>
      <c r="BQ34" s="7">
        <f>IF(BI34=1,loc_precio_aduCosto*C34,IF(1=0,0,DV33))</f>
        <v/>
      </c>
      <c r="BR34" s="7">
        <f>IF(BQ34&lt;=0,0,FV((g_mortRate+0.005)/12,12,BK34,-BQ34))</f>
        <v/>
      </c>
      <c r="BS34" s="7">
        <f>IF(BQ34&lt;=0,0,12*BK34+MIN(0,BR34))</f>
        <v/>
      </c>
      <c r="BT34" s="7">
        <f>MAX(0,BR34)</f>
        <v/>
      </c>
      <c r="BU34" s="7">
        <f>IF(BB34=1,AM34*loc_seguroPct*(1+vivienda_inflacionSeguro)^(A34-2026)*IF(BJ34=1,1+loc_precio_aduCosto/AM34,1),0)</f>
        <v/>
      </c>
      <c r="BV34" s="7">
        <f>BL34*loc_impuestoPropPct</f>
        <v/>
      </c>
      <c r="BW34" s="7">
        <f>BL34*vivienda_mantenimientoPct</f>
        <v/>
      </c>
      <c r="BX34" s="7">
        <f>IF(AND(BG34=1,BP34&gt;0.8*BE34),BE34*(1-vivienda_enganchePct)*vivienda_pmiTasa,0)</f>
        <v/>
      </c>
      <c r="BY34" s="7">
        <f>IF(AND(BG34=1,BP34&gt;0.8*BE34),1,0)</f>
        <v/>
      </c>
      <c r="BZ34" s="7">
        <f>IF(BB34=1,AS34*loc_rentaUnidad*12*C34*(1-vivienda_vacancia)*(1-vivienda_gestionPct),0)</f>
        <v/>
      </c>
      <c r="CA34" s="7">
        <f>IF(BB34=1,BO34+BS34+BU34+BV34+BW34+BX34,loc_rentaMensual*12*C34)</f>
        <v/>
      </c>
      <c r="CB34" s="7">
        <f>IF(BB34=1,personal_aporteFamiliaMensual*12,0)</f>
        <v/>
      </c>
      <c r="CC34" s="7">
        <f>MIN(IF(1=0,personal_irsSaldo,CD33),personal_irsPagoMensual*12)</f>
        <v/>
      </c>
      <c r="CD34" s="7">
        <f>IF(1=0,personal_irsSaldo,CD33)-CC34</f>
        <v/>
      </c>
      <c r="CE34" s="7">
        <f>IF(1=0,IF(personal_deudaEsFederal=1,personal_deudaEstudiantil,0),DW33)</f>
        <v/>
      </c>
      <c r="CF34" s="7">
        <f>IF(1=0,personal_tasaDeudaEstudiantil,DX33)</f>
        <v/>
      </c>
      <c r="CG34" s="7">
        <f>IF(1=0,0,DY33)</f>
        <v/>
      </c>
      <c r="CH34" s="7">
        <f>IF(J34&gt;=0.5,1,0)</f>
        <v/>
      </c>
      <c r="CI34" s="7">
        <f>IF(AND(CH34=0,prestamos_pslfActivo=1,K34&gt;=0.5,CE34&gt;0),1,0)</f>
        <v/>
      </c>
      <c r="CJ34" s="7">
        <f>CE34*CF34</f>
        <v/>
      </c>
      <c r="CK34" s="7">
        <f>MAX(prestamos_rapPagoMinimoAnual,IF(Y34&lt;10000,0,MIN(0.1,INT(Y34/10000)/100))*Y34)</f>
        <v/>
      </c>
      <c r="CL34" s="7">
        <f>IF(CE34&lt;=0,0,IF(CH34=1,0,IF(CI34=1,MIN(CE34+CJ34,CK34),PMT(CF34,MAX(1,prestamos_plazoAnios-CG34),-CE34))))</f>
        <v/>
      </c>
      <c r="CM34" s="7">
        <f>IF(CE34&lt;=0,0,IF(CH34=1,CE34+CJ34,IF(CI34=1,MAX(0,CE34-MAX(CL34-CJ34,MIN(600,CL34))),MAX(0,CE34*(1+CF34)-CL34))))</f>
        <v/>
      </c>
      <c r="CN34" s="7">
        <f>IF(1=0,0,CN33)+IF(CI34=1,12*MIN(1,K34),0)</f>
        <v/>
      </c>
      <c r="CO34" s="7">
        <f>IF(AND(CI34=1,CN34&gt;=prestamos_pslfPagos,CM34&gt;0),CM34,0)</f>
        <v/>
      </c>
      <c r="CP34" s="7">
        <f>CM34-CO34</f>
        <v/>
      </c>
      <c r="CQ34" s="7">
        <f>IF(AND(CE34&gt;0,CH34=0,CI34=0),CG34+1,CG34)</f>
        <v/>
      </c>
      <c r="CR34" s="7">
        <f>IF(1=0,IF(personal_deudaEsFederal=1,0,personal_deudaEstudiantil),EA33)</f>
        <v/>
      </c>
      <c r="CS34" s="7">
        <f>IF(1=0,IF(personal_deudaEsFederal=1,prestamos_tasaPrivada,personal_tasaDeudaEstudiantil),EB33)</f>
        <v/>
      </c>
      <c r="CT34" s="7">
        <f>IF(1=0,0,EC33)</f>
        <v/>
      </c>
      <c r="CU34" s="7">
        <f>IF(OR(CR34&lt;=0,CH34=1),0,PMT(CS34,MAX(1,prestamos_plazoAnios-CT34),-CR34))</f>
        <v/>
      </c>
      <c r="CV34" s="7">
        <f>IF(CR34&lt;=0,0,IF(CH34=1,CR34*(1+CS34),MAX(0,CR34*(1+CS34)-CU34)))</f>
        <v/>
      </c>
      <c r="CW34" s="7">
        <f>IF(AND(CR34&gt;0,CH34=0),CT34+1,CT34)</f>
        <v/>
      </c>
      <c r="CX34" s="7">
        <f>IF(1=0,0,ED33)*(1+general_tasaDeudaConsumo)</f>
        <v/>
      </c>
      <c r="CY34" s="7">
        <f>L34*12*tiempos_travelGastoExtraMes*C34</f>
        <v/>
      </c>
      <c r="CZ34" s="7">
        <f>AJ34+CY34+CA34+CC34+CL34+CU34+I34+N34-BZ34-CB34</f>
        <v/>
      </c>
      <c r="DA34" s="7">
        <f>AH34-CZ34</f>
        <v/>
      </c>
      <c r="DB34" s="7">
        <f>IF(1=0,0,DB33)+DA34</f>
        <v/>
      </c>
      <c r="DC34" s="7">
        <f>AN34*vivienda_enganchePct+AN34*vivienda_cierrePct+general_reservaMeses/12*AJ34</f>
        <v/>
      </c>
      <c r="DD34" s="7">
        <f>IF(BB34=1,g_ret,IF(BD34&gt;0,MIN(1,DC34/BD34),1)*g_cash+(1-IF(BD34&gt;0,MIN(1,DC34/BD34),1))*g_ret)</f>
        <v/>
      </c>
      <c r="DE34" s="7">
        <f>IF(DA34&gt;=0,MIN(CX34,DA34),0)</f>
        <v/>
      </c>
      <c r="DF34" s="7">
        <f>IF(DA34&gt;=0,(1-general_tasaAhorro)*(DA34-DE34),0)</f>
        <v/>
      </c>
      <c r="DG34" s="7">
        <f>IF(DA34&gt;=0,DA34-DE34-DF34,0)</f>
        <v/>
      </c>
      <c r="DH34" s="7">
        <f>MIN(personal_rothAnual,DG34)</f>
        <v/>
      </c>
      <c r="DI34" s="7">
        <f>IF(AND(DA34&gt;=0,BB34=1,BP34+BT34&gt;0),MIN(vivienda_prepagoPct*(DG34-DH34),BP34+BT34),0)</f>
        <v/>
      </c>
      <c r="DJ34" s="7">
        <f>MIN(DI34,BP34)</f>
        <v/>
      </c>
      <c r="DK34" s="7">
        <f>IF(DA34&lt;0,MIN(MAX(0,BD34),-DA34),0)</f>
        <v/>
      </c>
      <c r="DL34" s="7">
        <f>IF(DA34&lt;0,-DA34-DK34,0)</f>
        <v/>
      </c>
      <c r="DM34" s="7">
        <f>IF(1=0,0,DZ33)</f>
        <v/>
      </c>
      <c r="DN34" s="7">
        <f>IF(AND(DL34&gt;0,J34&gt;0),MIN(DL34,MIN(prestamos_topeAnualPosgrado*MIN(1,J34),MAX(0,prestamos_topeTotalPosgrado-DM34))),0)</f>
        <v/>
      </c>
      <c r="DO34" s="7">
        <f>IF(AND(DL34&gt;0,J34&gt;0),DL34-DN34,0)</f>
        <v/>
      </c>
      <c r="DP34" s="7">
        <f>IF(AND(DL34&gt;0,J34&lt;=0),DL34,0)</f>
        <v/>
      </c>
      <c r="DQ34" s="7">
        <f>IF(DA34&gt;=0,DG34-DH34-DI34,-DK34)</f>
        <v/>
      </c>
      <c r="DR34" s="7">
        <f>BD34*(1+DD34)+DQ34*(1+DD34/2)</f>
        <v/>
      </c>
      <c r="DS34" s="7">
        <f>IF(1=0,personal_retiroInicial,DS33)*(1+g_ret)+(O34+P34+DH34)*(1+g_ret/2)</f>
        <v/>
      </c>
      <c r="DT34" s="7">
        <f>IF(BB34=1,BL34*(1+g_appr),0)</f>
        <v/>
      </c>
      <c r="DU34" s="7">
        <f>BP34-DJ34</f>
        <v/>
      </c>
      <c r="DV34" s="7">
        <f>BT34-(DI34-DJ34)</f>
        <v/>
      </c>
      <c r="DW34" s="7">
        <f>CP34+DN34</f>
        <v/>
      </c>
      <c r="DX34" s="7">
        <f>IF(DN34&gt;0,(CP34*CF34+DN34*prestamos_tasaFederalPosgrado)/(CP34+DN34),CF34)</f>
        <v/>
      </c>
      <c r="DY34" s="7">
        <f>IF(DN34&gt;0,0,CQ34)</f>
        <v/>
      </c>
      <c r="DZ34" s="7">
        <f>DM34+DN34</f>
        <v/>
      </c>
      <c r="EA34" s="7">
        <f>CV34+DO34</f>
        <v/>
      </c>
      <c r="EB34" s="7">
        <f>IF(DO34&gt;0,(CV34*CS34+DO34*prestamos_tasaPrivada)/(CV34+DO34),CS34)</f>
        <v/>
      </c>
      <c r="EC34" s="7">
        <f>IF(DO34&gt;0,0,CW34)</f>
        <v/>
      </c>
      <c r="ED34" s="7">
        <f>CX34-DE34+DP34</f>
        <v/>
      </c>
      <c r="EE34" s="7">
        <f>IF(IF(1=0,"",EE33)&lt;&gt;"",EE33,IF(AND(BB34=1,DU34&lt;=0.5,DV34&lt;=0.5,OR(BH34=0,BJ34=1)),A34,""))</f>
        <v/>
      </c>
      <c r="EF34" s="7">
        <f>DU34+DV34+DW34+EA34+ED34+CD34</f>
        <v/>
      </c>
      <c r="EG34" s="7">
        <f>DR34+DS34+DT34-EF34</f>
        <v/>
      </c>
      <c r="EH34" s="7">
        <f>EG34/(1+g_inf)^(A34+1-2026)</f>
        <v/>
      </c>
    </row>
    <row r="35">
      <c r="A35" t="n">
        <v>2029</v>
      </c>
      <c r="B35" t="n">
        <v>2</v>
      </c>
      <c r="C35" s="7">
        <f>(1+g_inf)^(A35-2026)</f>
        <v/>
      </c>
      <c r="D35" s="7">
        <f>SUMPRODUCT($V$5:$V$29,$E$5:$E$29*(1+$F$5:$F$29)^(A35-2026)*$G$5:$G$29*$H$5:$H$29*(1-$N$5:$N$29*$O$5:$O$29))*g_salMult+SUMPRODUCT(($B$5:$B$29&gt;=A35)*($B$5:$B$29&lt;A35+1)*$I$5:$I$29)*g_salMult</f>
        <v/>
      </c>
      <c r="E35" s="7">
        <f>SUMPRODUCT($V$5:$V$29,$E$5:$E$29*(1+$F$5:$F$29)^(A35-2026)*$G$5:$G$29*$H$5:$H$29*$M$5:$M$29)*g_salMult</f>
        <v/>
      </c>
      <c r="F35" s="7">
        <f>SUMPRODUCT($V$5:$V$29,$E$5:$E$29*(1+$F$5:$F$29)^(A35-2026)*$G$5:$G$29*$H$5:$H$29*$N$5:$N$29*$O$5:$O$29)*g_salMult</f>
        <v/>
      </c>
      <c r="G35" s="7">
        <f>SUMPRODUCT($V$5:$V$29,$P$5:$P$29*(1+$F$5:$F$29)^(A35-2026))</f>
        <v/>
      </c>
      <c r="H35" s="7">
        <f>SUMPRODUCT($V$5:$V$29,$Q$5:$Q$29*(1+$F$5:$F$29)^(A35-2026))+IF(personal_llcActivo=1,personal_llcNeto*(1+personal_llcCrecimiento)^2,0)</f>
        <v/>
      </c>
      <c r="I35" s="7">
        <f>SUMPRODUCT($V$5:$V$29,$J$5:$J$29/($C$5:$C$29-$B$5:$B$29+($C$5:$C$29=$B$5:$B$29)))*C35</f>
        <v/>
      </c>
      <c r="J35" s="7">
        <f>SUMPRODUCT($V$5:$V$29,$K$5:$K$29)</f>
        <v/>
      </c>
      <c r="K35" s="7">
        <f>SUMPRODUCT($V$5:$V$29,$L$5:$L$29)</f>
        <v/>
      </c>
      <c r="L35" s="7">
        <f>SUMPRODUCT($V$5:$V$29,$N$5:$N$29)</f>
        <v/>
      </c>
      <c r="M35" s="7">
        <f>IF(SUMPRODUCT($V$5:$V$29,$R$5:$R$29)&gt;0,1,0)</f>
        <v/>
      </c>
      <c r="N35" s="7">
        <f>SUMPRODUCT(($AO$5:$AO$24&gt;=A35)*($AO$5:$AO$24&lt;A35+1)*$AP$5:$AP$24)*C35+IF(2=0,IF(sel_loc&lt;&gt;"miami",personal_costoMudanzaInicial,0),0)</f>
        <v/>
      </c>
      <c r="O35" s="7">
        <f>MIN(personal_aporte403bPct*D35,retiro_limite403b*C35)</f>
        <v/>
      </c>
      <c r="P35" s="7">
        <f>MIN(personal_aporte403bPct,personal_match403bPct)*E35</f>
        <v/>
      </c>
      <c r="Q35" s="7">
        <f>IF(G35&gt;0,MAX(0,G35-impuestos_scorpCostoAnual*C35),0)</f>
        <v/>
      </c>
      <c r="R35" s="7">
        <f>Q35*impuestos_scorpSalarioPct/(1+impuestos_ssTasa+impuestos_medicareTasa)</f>
        <v/>
      </c>
      <c r="S35" s="7">
        <f>impuestos_ssTasa*MIN(R35,MAX(0,impuestos_ssTope*C35-D35))+impuestos_medicareTasa*R35</f>
        <v/>
      </c>
      <c r="T35" s="7">
        <f>Q35-R35-S35</f>
        <v/>
      </c>
      <c r="U35" s="7">
        <f>D35+R35</f>
        <v/>
      </c>
      <c r="V35" s="7">
        <f>H35*0.9235</f>
        <v/>
      </c>
      <c r="W35" s="7">
        <f>IF(H35&gt;0,2*impuestos_ssTasa*MIN(V35,MAX(0,impuestos_ssTope*C35-U35))+2*impuestos_medicareTasa*V35,0)</f>
        <v/>
      </c>
      <c r="X35" s="7">
        <f>impuestos_ssTasa*MIN(U35,impuestos_ssTope*C35)+impuestos_medicareTasa*U35+impuestos_medicareAdicional*MAX(0,U35+H35*0.9235-impuestos_medicareUmbral)</f>
        <v/>
      </c>
      <c r="Y35" s="7">
        <f>MAX(0,D35-O35+R35+T35+H35-W35/2)</f>
        <v/>
      </c>
      <c r="Z35" s="7">
        <f>MAX(0,Y35-impuestos_deduccionEstandar*C35)</f>
        <v/>
      </c>
      <c r="AA35" s="7">
        <f>MIN(0.2*MAX(0,T35+H35-W35/2)*MAX(0,MIN(1,1-(Z35-impuestos_qbiUmbral*C35)/(impuestos_qbiRango*C35))),0.2*Z35)</f>
        <v/>
      </c>
      <c r="AB35" s="7">
        <f>MAX(0,Z35-AA35)</f>
        <v/>
      </c>
      <c r="AC35" s="7">
        <f>SUMPRODUCT((AB35&gt;tb_federalBrackets_lo*C35)*(AB35-tb_federalBrackets_lo*C35)*tb_federalBrackets_dr)</f>
        <v/>
      </c>
      <c r="AD35" s="7">
        <f>MAX(0,Y35-impuestos_nyDeduccion*C35)</f>
        <v/>
      </c>
      <c r="AE35" s="7">
        <f>CHOOSE(loc_taxcode,0,impuestos_ohTasa*MAX(0,Y35-impuestos_ohExento*C35)+impuestos_ohMunicipal*U35,SUMPRODUCT((AD35&gt;tb_nyBrackets_lo*C35)*(AD35-tb_nyBrackets_lo*C35)*tb_nyBrackets_dr)+loc_nyc*SUMPRODUCT((AD35&gt;tb_nycBrackets_lo*C35)*(AD35-tb_nycBrackets_lo*C35)*tb_nycBrackets_dr))</f>
        <v/>
      </c>
      <c r="AF35" s="7">
        <f>AC35+AE35+X35+W35</f>
        <v/>
      </c>
      <c r="AG35" s="7">
        <f>D35+F35+R35+T35+H35</f>
        <v/>
      </c>
      <c r="AH35" s="7">
        <f>AG35-AF35-O35</f>
        <v/>
      </c>
      <c r="AI35" s="7">
        <f>D35+F35+G35+H35</f>
        <v/>
      </c>
      <c r="AJ35" s="7">
        <f>loc_gastosVida*C35*g_gastos</f>
        <v/>
      </c>
      <c r="AK35" s="7">
        <f>IF(2=0,personal_liquidoInicial,DR34)</f>
        <v/>
      </c>
      <c r="AL35" s="7">
        <f>IF(2=0,0,BB34)</f>
        <v/>
      </c>
      <c r="AM35" s="7">
        <f>CHOOSE(sel_cfgIdx,loc_precio_duplex,loc_precio_inlaw,loc_precio_dosCasas,loc_precio_casaAdu,loc_precio_multi)</f>
        <v/>
      </c>
      <c r="AN35" s="7">
        <f>AM35*(1+g_appr)^(A35-2026)</f>
        <v/>
      </c>
      <c r="AO35" s="7">
        <f>IF(AND(M35=1,vivienda_prestamoMedico=1),1,0)</f>
        <v/>
      </c>
      <c r="AP35" s="7">
        <f>IF(AO35=1,0.05,vivienda_enganchePct)</f>
        <v/>
      </c>
      <c r="AQ35" s="7">
        <f>AN35*(1-AP35)</f>
        <v/>
      </c>
      <c r="AR35" s="7">
        <f>PMT(g_mortRate/12,vivienda_plazoHipoteca*12,-AQ35)</f>
        <v/>
      </c>
      <c r="AS35" s="7">
        <f>INDEX(cfg_units,sel_cfgIdx)</f>
        <v/>
      </c>
      <c r="AT35" s="7">
        <f>AS35*loc_rentaUnidad*(1+g_inf)^(A35-2026)*(1-vivienda_vacancia)</f>
        <v/>
      </c>
      <c r="AU35" s="7">
        <f>AR35+AN35*loc_impuestoPropPct/12+AM35*loc_seguroPct*(1+vivienda_inflacionSeguro)^(A35-2026)/12+IF(AND(AO35=0,AP35&lt;0.2),AQ35*vivienda_pmiTasa/12,0)</f>
        <v/>
      </c>
      <c r="AV35" s="7">
        <f>AN35*AP35+AN35*vivienda_cierrePct+general_reservaMeses/12*AJ35</f>
        <v/>
      </c>
      <c r="AW35" s="7">
        <f>(IF(2=0,MIN(personal_irsSaldo,personal_irsPagoMensual*12),MIN(CD34,personal_irsPagoMensual*12))+IF(CE35&gt;0,PMT(CF35,MAX(1,prestamos_plazoAnios-CG35),-CE35),0)+IF(CR35&gt;0,PMT(CS35,MAX(1,prestamos_plazoAnios-CT35),-CR35),0))/12</f>
        <v/>
      </c>
      <c r="AX35" s="7">
        <f>IF(OR(sel_cfg="duplex",sel_cfg="multi",sel_cfg="dosCasas"),0.75*personal_aporteFamiliaMensual,0)</f>
        <v/>
      </c>
      <c r="AY35" s="7">
        <f>AU35-0.75*AT35-AX35+AW35</f>
        <v/>
      </c>
      <c r="AZ35" s="7">
        <f>(D35+G35+H35+0.5*F35)/12</f>
        <v/>
      </c>
      <c r="BA35" s="7">
        <f>IF(AND(AL35=0,A35&gt;=vivienda_anioMinCompra,J35&lt;0.5,AI35&gt;0,AK35&gt;=AV35,AY35&lt;=vivienda_dtiMax*AZ35),1,0)</f>
        <v/>
      </c>
      <c r="BB35" s="7">
        <f>MAX(AL35,BA35)</f>
        <v/>
      </c>
      <c r="BC35" s="7">
        <f>IF(BA35=1,A35,IF(2=0,"",BC34))</f>
        <v/>
      </c>
      <c r="BD35" s="7">
        <f>AK35-IF(BA35=1,AN35*AP35+AN35*vivienda_cierrePct,0)</f>
        <v/>
      </c>
      <c r="BE35" s="7">
        <f>IF(BA35=1,AN35,IF(2=0,0,BE34))</f>
        <v/>
      </c>
      <c r="BF35" s="7">
        <f>IF(BA35=1,AR35,IF(2=0,0,BF34))</f>
        <v/>
      </c>
      <c r="BG35" s="7">
        <f>IF(BA35=1,IF(AND(AO35=0,AP35&lt;0.2),1,0),IF(2=0,0,BY34))</f>
        <v/>
      </c>
      <c r="BH35" s="7">
        <f>IF(sel_cfg="casaAdu",1,0)</f>
        <v/>
      </c>
      <c r="BI35" s="7">
        <f>IF(AND(BB35=1,BH35=1,IF(2=0,0,BJ34)=0,A35&gt;=IF(BC35="",9999,BC35)+vivienda_aduRetrasoAnios),1,0)</f>
        <v/>
      </c>
      <c r="BJ35" s="7">
        <f>MAX(IF(2=0,0,BJ34),BI35)</f>
        <v/>
      </c>
      <c r="BK35" s="7">
        <f>IF(BI35=1,PMT((g_mortRate+0.005)/12,180,-loc_precio_aduCosto*C35),IF(2=0,0,BK34))</f>
        <v/>
      </c>
      <c r="BL35" s="7">
        <f>IF(BA35=1,AN35,IF(2=0,0,DT34))+IF(BI35=1,loc_precio_aduCosto*C35,0)</f>
        <v/>
      </c>
      <c r="BM35" s="7">
        <f>IF(BA35=1,AQ35,IF(2=0,0,DU34))</f>
        <v/>
      </c>
      <c r="BN35" s="7">
        <f>IF(BM35&lt;=0,0,FV(g_mortRate/12,12,BF35,-BM35))</f>
        <v/>
      </c>
      <c r="BO35" s="7">
        <f>IF(BM35&lt;=0,0,12*BF35+MIN(0,BN35))</f>
        <v/>
      </c>
      <c r="BP35" s="7">
        <f>MAX(0,BN35)</f>
        <v/>
      </c>
      <c r="BQ35" s="7">
        <f>IF(BI35=1,loc_precio_aduCosto*C35,IF(2=0,0,DV34))</f>
        <v/>
      </c>
      <c r="BR35" s="7">
        <f>IF(BQ35&lt;=0,0,FV((g_mortRate+0.005)/12,12,BK35,-BQ35))</f>
        <v/>
      </c>
      <c r="BS35" s="7">
        <f>IF(BQ35&lt;=0,0,12*BK35+MIN(0,BR35))</f>
        <v/>
      </c>
      <c r="BT35" s="7">
        <f>MAX(0,BR35)</f>
        <v/>
      </c>
      <c r="BU35" s="7">
        <f>IF(BB35=1,AM35*loc_seguroPct*(1+vivienda_inflacionSeguro)^(A35-2026)*IF(BJ35=1,1+loc_precio_aduCosto/AM35,1),0)</f>
        <v/>
      </c>
      <c r="BV35" s="7">
        <f>BL35*loc_impuestoPropPct</f>
        <v/>
      </c>
      <c r="BW35" s="7">
        <f>BL35*vivienda_mantenimientoPct</f>
        <v/>
      </c>
      <c r="BX35" s="7">
        <f>IF(AND(BG35=1,BP35&gt;0.8*BE35),BE35*(1-vivienda_enganchePct)*vivienda_pmiTasa,0)</f>
        <v/>
      </c>
      <c r="BY35" s="7">
        <f>IF(AND(BG35=1,BP35&gt;0.8*BE35),1,0)</f>
        <v/>
      </c>
      <c r="BZ35" s="7">
        <f>IF(BB35=1,AS35*loc_rentaUnidad*12*C35*(1-vivienda_vacancia)*(1-vivienda_gestionPct),0)</f>
        <v/>
      </c>
      <c r="CA35" s="7">
        <f>IF(BB35=1,BO35+BS35+BU35+BV35+BW35+BX35,loc_rentaMensual*12*C35)</f>
        <v/>
      </c>
      <c r="CB35" s="7">
        <f>IF(BB35=1,personal_aporteFamiliaMensual*12,0)</f>
        <v/>
      </c>
      <c r="CC35" s="7">
        <f>MIN(IF(2=0,personal_irsSaldo,CD34),personal_irsPagoMensual*12)</f>
        <v/>
      </c>
      <c r="CD35" s="7">
        <f>IF(2=0,personal_irsSaldo,CD34)-CC35</f>
        <v/>
      </c>
      <c r="CE35" s="7">
        <f>IF(2=0,IF(personal_deudaEsFederal=1,personal_deudaEstudiantil,0),DW34)</f>
        <v/>
      </c>
      <c r="CF35" s="7">
        <f>IF(2=0,personal_tasaDeudaEstudiantil,DX34)</f>
        <v/>
      </c>
      <c r="CG35" s="7">
        <f>IF(2=0,0,DY34)</f>
        <v/>
      </c>
      <c r="CH35" s="7">
        <f>IF(J35&gt;=0.5,1,0)</f>
        <v/>
      </c>
      <c r="CI35" s="7">
        <f>IF(AND(CH35=0,prestamos_pslfActivo=1,K35&gt;=0.5,CE35&gt;0),1,0)</f>
        <v/>
      </c>
      <c r="CJ35" s="7">
        <f>CE35*CF35</f>
        <v/>
      </c>
      <c r="CK35" s="7">
        <f>MAX(prestamos_rapPagoMinimoAnual,IF(Y35&lt;10000,0,MIN(0.1,INT(Y35/10000)/100))*Y35)</f>
        <v/>
      </c>
      <c r="CL35" s="7">
        <f>IF(CE35&lt;=0,0,IF(CH35=1,0,IF(CI35=1,MIN(CE35+CJ35,CK35),PMT(CF35,MAX(1,prestamos_plazoAnios-CG35),-CE35))))</f>
        <v/>
      </c>
      <c r="CM35" s="7">
        <f>IF(CE35&lt;=0,0,IF(CH35=1,CE35+CJ35,IF(CI35=1,MAX(0,CE35-MAX(CL35-CJ35,MIN(600,CL35))),MAX(0,CE35*(1+CF35)-CL35))))</f>
        <v/>
      </c>
      <c r="CN35" s="7">
        <f>IF(2=0,0,CN34)+IF(CI35=1,12*MIN(1,K35),0)</f>
        <v/>
      </c>
      <c r="CO35" s="7">
        <f>IF(AND(CI35=1,CN35&gt;=prestamos_pslfPagos,CM35&gt;0),CM35,0)</f>
        <v/>
      </c>
      <c r="CP35" s="7">
        <f>CM35-CO35</f>
        <v/>
      </c>
      <c r="CQ35" s="7">
        <f>IF(AND(CE35&gt;0,CH35=0,CI35=0),CG35+1,CG35)</f>
        <v/>
      </c>
      <c r="CR35" s="7">
        <f>IF(2=0,IF(personal_deudaEsFederal=1,0,personal_deudaEstudiantil),EA34)</f>
        <v/>
      </c>
      <c r="CS35" s="7">
        <f>IF(2=0,IF(personal_deudaEsFederal=1,prestamos_tasaPrivada,personal_tasaDeudaEstudiantil),EB34)</f>
        <v/>
      </c>
      <c r="CT35" s="7">
        <f>IF(2=0,0,EC34)</f>
        <v/>
      </c>
      <c r="CU35" s="7">
        <f>IF(OR(CR35&lt;=0,CH35=1),0,PMT(CS35,MAX(1,prestamos_plazoAnios-CT35),-CR35))</f>
        <v/>
      </c>
      <c r="CV35" s="7">
        <f>IF(CR35&lt;=0,0,IF(CH35=1,CR35*(1+CS35),MAX(0,CR35*(1+CS35)-CU35)))</f>
        <v/>
      </c>
      <c r="CW35" s="7">
        <f>IF(AND(CR35&gt;0,CH35=0),CT35+1,CT35)</f>
        <v/>
      </c>
      <c r="CX35" s="7">
        <f>IF(2=0,0,ED34)*(1+general_tasaDeudaConsumo)</f>
        <v/>
      </c>
      <c r="CY35" s="7">
        <f>L35*12*tiempos_travelGastoExtraMes*C35</f>
        <v/>
      </c>
      <c r="CZ35" s="7">
        <f>AJ35+CY35+CA35+CC35+CL35+CU35+I35+N35-BZ35-CB35</f>
        <v/>
      </c>
      <c r="DA35" s="7">
        <f>AH35-CZ35</f>
        <v/>
      </c>
      <c r="DB35" s="7">
        <f>IF(2=0,0,DB34)+DA35</f>
        <v/>
      </c>
      <c r="DC35" s="7">
        <f>AN35*vivienda_enganchePct+AN35*vivienda_cierrePct+general_reservaMeses/12*AJ35</f>
        <v/>
      </c>
      <c r="DD35" s="7">
        <f>IF(BB35=1,g_ret,IF(BD35&gt;0,MIN(1,DC35/BD35),1)*g_cash+(1-IF(BD35&gt;0,MIN(1,DC35/BD35),1))*g_ret)</f>
        <v/>
      </c>
      <c r="DE35" s="7">
        <f>IF(DA35&gt;=0,MIN(CX35,DA35),0)</f>
        <v/>
      </c>
      <c r="DF35" s="7">
        <f>IF(DA35&gt;=0,(1-general_tasaAhorro)*(DA35-DE35),0)</f>
        <v/>
      </c>
      <c r="DG35" s="7">
        <f>IF(DA35&gt;=0,DA35-DE35-DF35,0)</f>
        <v/>
      </c>
      <c r="DH35" s="7">
        <f>MIN(personal_rothAnual,DG35)</f>
        <v/>
      </c>
      <c r="DI35" s="7">
        <f>IF(AND(DA35&gt;=0,BB35=1,BP35+BT35&gt;0),MIN(vivienda_prepagoPct*(DG35-DH35),BP35+BT35),0)</f>
        <v/>
      </c>
      <c r="DJ35" s="7">
        <f>MIN(DI35,BP35)</f>
        <v/>
      </c>
      <c r="DK35" s="7">
        <f>IF(DA35&lt;0,MIN(MAX(0,BD35),-DA35),0)</f>
        <v/>
      </c>
      <c r="DL35" s="7">
        <f>IF(DA35&lt;0,-DA35-DK35,0)</f>
        <v/>
      </c>
      <c r="DM35" s="7">
        <f>IF(2=0,0,DZ34)</f>
        <v/>
      </c>
      <c r="DN35" s="7">
        <f>IF(AND(DL35&gt;0,J35&gt;0),MIN(DL35,MIN(prestamos_topeAnualPosgrado*MIN(1,J35),MAX(0,prestamos_topeTotalPosgrado-DM35))),0)</f>
        <v/>
      </c>
      <c r="DO35" s="7">
        <f>IF(AND(DL35&gt;0,J35&gt;0),DL35-DN35,0)</f>
        <v/>
      </c>
      <c r="DP35" s="7">
        <f>IF(AND(DL35&gt;0,J35&lt;=0),DL35,0)</f>
        <v/>
      </c>
      <c r="DQ35" s="7">
        <f>IF(DA35&gt;=0,DG35-DH35-DI35,-DK35)</f>
        <v/>
      </c>
      <c r="DR35" s="7">
        <f>BD35*(1+DD35)+DQ35*(1+DD35/2)</f>
        <v/>
      </c>
      <c r="DS35" s="7">
        <f>IF(2=0,personal_retiroInicial,DS34)*(1+g_ret)+(O35+P35+DH35)*(1+g_ret/2)</f>
        <v/>
      </c>
      <c r="DT35" s="7">
        <f>IF(BB35=1,BL35*(1+g_appr),0)</f>
        <v/>
      </c>
      <c r="DU35" s="7">
        <f>BP35-DJ35</f>
        <v/>
      </c>
      <c r="DV35" s="7">
        <f>BT35-(DI35-DJ35)</f>
        <v/>
      </c>
      <c r="DW35" s="7">
        <f>CP35+DN35</f>
        <v/>
      </c>
      <c r="DX35" s="7">
        <f>IF(DN35&gt;0,(CP35*CF35+DN35*prestamos_tasaFederalPosgrado)/(CP35+DN35),CF35)</f>
        <v/>
      </c>
      <c r="DY35" s="7">
        <f>IF(DN35&gt;0,0,CQ35)</f>
        <v/>
      </c>
      <c r="DZ35" s="7">
        <f>DM35+DN35</f>
        <v/>
      </c>
      <c r="EA35" s="7">
        <f>CV35+DO35</f>
        <v/>
      </c>
      <c r="EB35" s="7">
        <f>IF(DO35&gt;0,(CV35*CS35+DO35*prestamos_tasaPrivada)/(CV35+DO35),CS35)</f>
        <v/>
      </c>
      <c r="EC35" s="7">
        <f>IF(DO35&gt;0,0,CW35)</f>
        <v/>
      </c>
      <c r="ED35" s="7">
        <f>CX35-DE35+DP35</f>
        <v/>
      </c>
      <c r="EE35" s="7">
        <f>IF(IF(2=0,"",EE34)&lt;&gt;"",EE34,IF(AND(BB35=1,DU35&lt;=0.5,DV35&lt;=0.5,OR(BH35=0,BJ35=1)),A35,""))</f>
        <v/>
      </c>
      <c r="EF35" s="7">
        <f>DU35+DV35+DW35+EA35+ED35+CD35</f>
        <v/>
      </c>
      <c r="EG35" s="7">
        <f>DR35+DS35+DT35-EF35</f>
        <v/>
      </c>
      <c r="EH35" s="7">
        <f>EG35/(1+g_inf)^(A35+1-2026)</f>
        <v/>
      </c>
    </row>
    <row r="36">
      <c r="A36" t="n">
        <v>2030</v>
      </c>
      <c r="B36" t="n">
        <v>3</v>
      </c>
      <c r="C36" s="7">
        <f>(1+g_inf)^(A36-2026)</f>
        <v/>
      </c>
      <c r="D36" s="7">
        <f>SUMPRODUCT($W$5:$W$29,$E$5:$E$29*(1+$F$5:$F$29)^(A36-2026)*$G$5:$G$29*$H$5:$H$29*(1-$N$5:$N$29*$O$5:$O$29))*g_salMult+SUMPRODUCT(($B$5:$B$29&gt;=A36)*($B$5:$B$29&lt;A36+1)*$I$5:$I$29)*g_salMult</f>
        <v/>
      </c>
      <c r="E36" s="7">
        <f>SUMPRODUCT($W$5:$W$29,$E$5:$E$29*(1+$F$5:$F$29)^(A36-2026)*$G$5:$G$29*$H$5:$H$29*$M$5:$M$29)*g_salMult</f>
        <v/>
      </c>
      <c r="F36" s="7">
        <f>SUMPRODUCT($W$5:$W$29,$E$5:$E$29*(1+$F$5:$F$29)^(A36-2026)*$G$5:$G$29*$H$5:$H$29*$N$5:$N$29*$O$5:$O$29)*g_salMult</f>
        <v/>
      </c>
      <c r="G36" s="7">
        <f>SUMPRODUCT($W$5:$W$29,$P$5:$P$29*(1+$F$5:$F$29)^(A36-2026))</f>
        <v/>
      </c>
      <c r="H36" s="7">
        <f>SUMPRODUCT($W$5:$W$29,$Q$5:$Q$29*(1+$F$5:$F$29)^(A36-2026))+IF(personal_llcActivo=1,personal_llcNeto*(1+personal_llcCrecimiento)^3,0)</f>
        <v/>
      </c>
      <c r="I36" s="7">
        <f>SUMPRODUCT($W$5:$W$29,$J$5:$J$29/($C$5:$C$29-$B$5:$B$29+($C$5:$C$29=$B$5:$B$29)))*C36</f>
        <v/>
      </c>
      <c r="J36" s="7">
        <f>SUMPRODUCT($W$5:$W$29,$K$5:$K$29)</f>
        <v/>
      </c>
      <c r="K36" s="7">
        <f>SUMPRODUCT($W$5:$W$29,$L$5:$L$29)</f>
        <v/>
      </c>
      <c r="L36" s="7">
        <f>SUMPRODUCT($W$5:$W$29,$N$5:$N$29)</f>
        <v/>
      </c>
      <c r="M36" s="7">
        <f>IF(SUMPRODUCT($W$5:$W$29,$R$5:$R$29)&gt;0,1,0)</f>
        <v/>
      </c>
      <c r="N36" s="7">
        <f>SUMPRODUCT(($AO$5:$AO$24&gt;=A36)*($AO$5:$AO$24&lt;A36+1)*$AP$5:$AP$24)*C36+IF(3=0,IF(sel_loc&lt;&gt;"miami",personal_costoMudanzaInicial,0),0)</f>
        <v/>
      </c>
      <c r="O36" s="7">
        <f>MIN(personal_aporte403bPct*D36,retiro_limite403b*C36)</f>
        <v/>
      </c>
      <c r="P36" s="7">
        <f>MIN(personal_aporte403bPct,personal_match403bPct)*E36</f>
        <v/>
      </c>
      <c r="Q36" s="7">
        <f>IF(G36&gt;0,MAX(0,G36-impuestos_scorpCostoAnual*C36),0)</f>
        <v/>
      </c>
      <c r="R36" s="7">
        <f>Q36*impuestos_scorpSalarioPct/(1+impuestos_ssTasa+impuestos_medicareTasa)</f>
        <v/>
      </c>
      <c r="S36" s="7">
        <f>impuestos_ssTasa*MIN(R36,MAX(0,impuestos_ssTope*C36-D36))+impuestos_medicareTasa*R36</f>
        <v/>
      </c>
      <c r="T36" s="7">
        <f>Q36-R36-S36</f>
        <v/>
      </c>
      <c r="U36" s="7">
        <f>D36+R36</f>
        <v/>
      </c>
      <c r="V36" s="7">
        <f>H36*0.9235</f>
        <v/>
      </c>
      <c r="W36" s="7">
        <f>IF(H36&gt;0,2*impuestos_ssTasa*MIN(V36,MAX(0,impuestos_ssTope*C36-U36))+2*impuestos_medicareTasa*V36,0)</f>
        <v/>
      </c>
      <c r="X36" s="7">
        <f>impuestos_ssTasa*MIN(U36,impuestos_ssTope*C36)+impuestos_medicareTasa*U36+impuestos_medicareAdicional*MAX(0,U36+H36*0.9235-impuestos_medicareUmbral)</f>
        <v/>
      </c>
      <c r="Y36" s="7">
        <f>MAX(0,D36-O36+R36+T36+H36-W36/2)</f>
        <v/>
      </c>
      <c r="Z36" s="7">
        <f>MAX(0,Y36-impuestos_deduccionEstandar*C36)</f>
        <v/>
      </c>
      <c r="AA36" s="7">
        <f>MIN(0.2*MAX(0,T36+H36-W36/2)*MAX(0,MIN(1,1-(Z36-impuestos_qbiUmbral*C36)/(impuestos_qbiRango*C36))),0.2*Z36)</f>
        <v/>
      </c>
      <c r="AB36" s="7">
        <f>MAX(0,Z36-AA36)</f>
        <v/>
      </c>
      <c r="AC36" s="7">
        <f>SUMPRODUCT((AB36&gt;tb_federalBrackets_lo*C36)*(AB36-tb_federalBrackets_lo*C36)*tb_federalBrackets_dr)</f>
        <v/>
      </c>
      <c r="AD36" s="7">
        <f>MAX(0,Y36-impuestos_nyDeduccion*C36)</f>
        <v/>
      </c>
      <c r="AE36" s="7">
        <f>CHOOSE(loc_taxcode,0,impuestos_ohTasa*MAX(0,Y36-impuestos_ohExento*C36)+impuestos_ohMunicipal*U36,SUMPRODUCT((AD36&gt;tb_nyBrackets_lo*C36)*(AD36-tb_nyBrackets_lo*C36)*tb_nyBrackets_dr)+loc_nyc*SUMPRODUCT((AD36&gt;tb_nycBrackets_lo*C36)*(AD36-tb_nycBrackets_lo*C36)*tb_nycBrackets_dr))</f>
        <v/>
      </c>
      <c r="AF36" s="7">
        <f>AC36+AE36+X36+W36</f>
        <v/>
      </c>
      <c r="AG36" s="7">
        <f>D36+F36+R36+T36+H36</f>
        <v/>
      </c>
      <c r="AH36" s="7">
        <f>AG36-AF36-O36</f>
        <v/>
      </c>
      <c r="AI36" s="7">
        <f>D36+F36+G36+H36</f>
        <v/>
      </c>
      <c r="AJ36" s="7">
        <f>loc_gastosVida*C36*g_gastos</f>
        <v/>
      </c>
      <c r="AK36" s="7">
        <f>IF(3=0,personal_liquidoInicial,DR35)</f>
        <v/>
      </c>
      <c r="AL36" s="7">
        <f>IF(3=0,0,BB35)</f>
        <v/>
      </c>
      <c r="AM36" s="7">
        <f>CHOOSE(sel_cfgIdx,loc_precio_duplex,loc_precio_inlaw,loc_precio_dosCasas,loc_precio_casaAdu,loc_precio_multi)</f>
        <v/>
      </c>
      <c r="AN36" s="7">
        <f>AM36*(1+g_appr)^(A36-2026)</f>
        <v/>
      </c>
      <c r="AO36" s="7">
        <f>IF(AND(M36=1,vivienda_prestamoMedico=1),1,0)</f>
        <v/>
      </c>
      <c r="AP36" s="7">
        <f>IF(AO36=1,0.05,vivienda_enganchePct)</f>
        <v/>
      </c>
      <c r="AQ36" s="7">
        <f>AN36*(1-AP36)</f>
        <v/>
      </c>
      <c r="AR36" s="7">
        <f>PMT(g_mortRate/12,vivienda_plazoHipoteca*12,-AQ36)</f>
        <v/>
      </c>
      <c r="AS36" s="7">
        <f>INDEX(cfg_units,sel_cfgIdx)</f>
        <v/>
      </c>
      <c r="AT36" s="7">
        <f>AS36*loc_rentaUnidad*(1+g_inf)^(A36-2026)*(1-vivienda_vacancia)</f>
        <v/>
      </c>
      <c r="AU36" s="7">
        <f>AR36+AN36*loc_impuestoPropPct/12+AM36*loc_seguroPct*(1+vivienda_inflacionSeguro)^(A36-2026)/12+IF(AND(AO36=0,AP36&lt;0.2),AQ36*vivienda_pmiTasa/12,0)</f>
        <v/>
      </c>
      <c r="AV36" s="7">
        <f>AN36*AP36+AN36*vivienda_cierrePct+general_reservaMeses/12*AJ36</f>
        <v/>
      </c>
      <c r="AW36" s="7">
        <f>(IF(3=0,MIN(personal_irsSaldo,personal_irsPagoMensual*12),MIN(CD35,personal_irsPagoMensual*12))+IF(CE36&gt;0,PMT(CF36,MAX(1,prestamos_plazoAnios-CG36),-CE36),0)+IF(CR36&gt;0,PMT(CS36,MAX(1,prestamos_plazoAnios-CT36),-CR36),0))/12</f>
        <v/>
      </c>
      <c r="AX36" s="7">
        <f>IF(OR(sel_cfg="duplex",sel_cfg="multi",sel_cfg="dosCasas"),0.75*personal_aporteFamiliaMensual,0)</f>
        <v/>
      </c>
      <c r="AY36" s="7">
        <f>AU36-0.75*AT36-AX36+AW36</f>
        <v/>
      </c>
      <c r="AZ36" s="7">
        <f>(D36+G36+H36+0.5*F36)/12</f>
        <v/>
      </c>
      <c r="BA36" s="7">
        <f>IF(AND(AL36=0,A36&gt;=vivienda_anioMinCompra,J36&lt;0.5,AI36&gt;0,AK36&gt;=AV36,AY36&lt;=vivienda_dtiMax*AZ36),1,0)</f>
        <v/>
      </c>
      <c r="BB36" s="7">
        <f>MAX(AL36,BA36)</f>
        <v/>
      </c>
      <c r="BC36" s="7">
        <f>IF(BA36=1,A36,IF(3=0,"",BC35))</f>
        <v/>
      </c>
      <c r="BD36" s="7">
        <f>AK36-IF(BA36=1,AN36*AP36+AN36*vivienda_cierrePct,0)</f>
        <v/>
      </c>
      <c r="BE36" s="7">
        <f>IF(BA36=1,AN36,IF(3=0,0,BE35))</f>
        <v/>
      </c>
      <c r="BF36" s="7">
        <f>IF(BA36=1,AR36,IF(3=0,0,BF35))</f>
        <v/>
      </c>
      <c r="BG36" s="7">
        <f>IF(BA36=1,IF(AND(AO36=0,AP36&lt;0.2),1,0),IF(3=0,0,BY35))</f>
        <v/>
      </c>
      <c r="BH36" s="7">
        <f>IF(sel_cfg="casaAdu",1,0)</f>
        <v/>
      </c>
      <c r="BI36" s="7">
        <f>IF(AND(BB36=1,BH36=1,IF(3=0,0,BJ35)=0,A36&gt;=IF(BC36="",9999,BC36)+vivienda_aduRetrasoAnios),1,0)</f>
        <v/>
      </c>
      <c r="BJ36" s="7">
        <f>MAX(IF(3=0,0,BJ35),BI36)</f>
        <v/>
      </c>
      <c r="BK36" s="7">
        <f>IF(BI36=1,PMT((g_mortRate+0.005)/12,180,-loc_precio_aduCosto*C36),IF(3=0,0,BK35))</f>
        <v/>
      </c>
      <c r="BL36" s="7">
        <f>IF(BA36=1,AN36,IF(3=0,0,DT35))+IF(BI36=1,loc_precio_aduCosto*C36,0)</f>
        <v/>
      </c>
      <c r="BM36" s="7">
        <f>IF(BA36=1,AQ36,IF(3=0,0,DU35))</f>
        <v/>
      </c>
      <c r="BN36" s="7">
        <f>IF(BM36&lt;=0,0,FV(g_mortRate/12,12,BF36,-BM36))</f>
        <v/>
      </c>
      <c r="BO36" s="7">
        <f>IF(BM36&lt;=0,0,12*BF36+MIN(0,BN36))</f>
        <v/>
      </c>
      <c r="BP36" s="7">
        <f>MAX(0,BN36)</f>
        <v/>
      </c>
      <c r="BQ36" s="7">
        <f>IF(BI36=1,loc_precio_aduCosto*C36,IF(3=0,0,DV35))</f>
        <v/>
      </c>
      <c r="BR36" s="7">
        <f>IF(BQ36&lt;=0,0,FV((g_mortRate+0.005)/12,12,BK36,-BQ36))</f>
        <v/>
      </c>
      <c r="BS36" s="7">
        <f>IF(BQ36&lt;=0,0,12*BK36+MIN(0,BR36))</f>
        <v/>
      </c>
      <c r="BT36" s="7">
        <f>MAX(0,BR36)</f>
        <v/>
      </c>
      <c r="BU36" s="7">
        <f>IF(BB36=1,AM36*loc_seguroPct*(1+vivienda_inflacionSeguro)^(A36-2026)*IF(BJ36=1,1+loc_precio_aduCosto/AM36,1),0)</f>
        <v/>
      </c>
      <c r="BV36" s="7">
        <f>BL36*loc_impuestoPropPct</f>
        <v/>
      </c>
      <c r="BW36" s="7">
        <f>BL36*vivienda_mantenimientoPct</f>
        <v/>
      </c>
      <c r="BX36" s="7">
        <f>IF(AND(BG36=1,BP36&gt;0.8*BE36),BE36*(1-vivienda_enganchePct)*vivienda_pmiTasa,0)</f>
        <v/>
      </c>
      <c r="BY36" s="7">
        <f>IF(AND(BG36=1,BP36&gt;0.8*BE36),1,0)</f>
        <v/>
      </c>
      <c r="BZ36" s="7">
        <f>IF(BB36=1,AS36*loc_rentaUnidad*12*C36*(1-vivienda_vacancia)*(1-vivienda_gestionPct),0)</f>
        <v/>
      </c>
      <c r="CA36" s="7">
        <f>IF(BB36=1,BO36+BS36+BU36+BV36+BW36+BX36,loc_rentaMensual*12*C36)</f>
        <v/>
      </c>
      <c r="CB36" s="7">
        <f>IF(BB36=1,personal_aporteFamiliaMensual*12,0)</f>
        <v/>
      </c>
      <c r="CC36" s="7">
        <f>MIN(IF(3=0,personal_irsSaldo,CD35),personal_irsPagoMensual*12)</f>
        <v/>
      </c>
      <c r="CD36" s="7">
        <f>IF(3=0,personal_irsSaldo,CD35)-CC36</f>
        <v/>
      </c>
      <c r="CE36" s="7">
        <f>IF(3=0,IF(personal_deudaEsFederal=1,personal_deudaEstudiantil,0),DW35)</f>
        <v/>
      </c>
      <c r="CF36" s="7">
        <f>IF(3=0,personal_tasaDeudaEstudiantil,DX35)</f>
        <v/>
      </c>
      <c r="CG36" s="7">
        <f>IF(3=0,0,DY35)</f>
        <v/>
      </c>
      <c r="CH36" s="7">
        <f>IF(J36&gt;=0.5,1,0)</f>
        <v/>
      </c>
      <c r="CI36" s="7">
        <f>IF(AND(CH36=0,prestamos_pslfActivo=1,K36&gt;=0.5,CE36&gt;0),1,0)</f>
        <v/>
      </c>
      <c r="CJ36" s="7">
        <f>CE36*CF36</f>
        <v/>
      </c>
      <c r="CK36" s="7">
        <f>MAX(prestamos_rapPagoMinimoAnual,IF(Y36&lt;10000,0,MIN(0.1,INT(Y36/10000)/100))*Y36)</f>
        <v/>
      </c>
      <c r="CL36" s="7">
        <f>IF(CE36&lt;=0,0,IF(CH36=1,0,IF(CI36=1,MIN(CE36+CJ36,CK36),PMT(CF36,MAX(1,prestamos_plazoAnios-CG36),-CE36))))</f>
        <v/>
      </c>
      <c r="CM36" s="7">
        <f>IF(CE36&lt;=0,0,IF(CH36=1,CE36+CJ36,IF(CI36=1,MAX(0,CE36-MAX(CL36-CJ36,MIN(600,CL36))),MAX(0,CE36*(1+CF36)-CL36))))</f>
        <v/>
      </c>
      <c r="CN36" s="7">
        <f>IF(3=0,0,CN35)+IF(CI36=1,12*MIN(1,K36),0)</f>
        <v/>
      </c>
      <c r="CO36" s="7">
        <f>IF(AND(CI36=1,CN36&gt;=prestamos_pslfPagos,CM36&gt;0),CM36,0)</f>
        <v/>
      </c>
      <c r="CP36" s="7">
        <f>CM36-CO36</f>
        <v/>
      </c>
      <c r="CQ36" s="7">
        <f>IF(AND(CE36&gt;0,CH36=0,CI36=0),CG36+1,CG36)</f>
        <v/>
      </c>
      <c r="CR36" s="7">
        <f>IF(3=0,IF(personal_deudaEsFederal=1,0,personal_deudaEstudiantil),EA35)</f>
        <v/>
      </c>
      <c r="CS36" s="7">
        <f>IF(3=0,IF(personal_deudaEsFederal=1,prestamos_tasaPrivada,personal_tasaDeudaEstudiantil),EB35)</f>
        <v/>
      </c>
      <c r="CT36" s="7">
        <f>IF(3=0,0,EC35)</f>
        <v/>
      </c>
      <c r="CU36" s="7">
        <f>IF(OR(CR36&lt;=0,CH36=1),0,PMT(CS36,MAX(1,prestamos_plazoAnios-CT36),-CR36))</f>
        <v/>
      </c>
      <c r="CV36" s="7">
        <f>IF(CR36&lt;=0,0,IF(CH36=1,CR36*(1+CS36),MAX(0,CR36*(1+CS36)-CU36)))</f>
        <v/>
      </c>
      <c r="CW36" s="7">
        <f>IF(AND(CR36&gt;0,CH36=0),CT36+1,CT36)</f>
        <v/>
      </c>
      <c r="CX36" s="7">
        <f>IF(3=0,0,ED35)*(1+general_tasaDeudaConsumo)</f>
        <v/>
      </c>
      <c r="CY36" s="7">
        <f>L36*12*tiempos_travelGastoExtraMes*C36</f>
        <v/>
      </c>
      <c r="CZ36" s="7">
        <f>AJ36+CY36+CA36+CC36+CL36+CU36+I36+N36-BZ36-CB36</f>
        <v/>
      </c>
      <c r="DA36" s="7">
        <f>AH36-CZ36</f>
        <v/>
      </c>
      <c r="DB36" s="7">
        <f>IF(3=0,0,DB35)+DA36</f>
        <v/>
      </c>
      <c r="DC36" s="7">
        <f>AN36*vivienda_enganchePct+AN36*vivienda_cierrePct+general_reservaMeses/12*AJ36</f>
        <v/>
      </c>
      <c r="DD36" s="7">
        <f>IF(BB36=1,g_ret,IF(BD36&gt;0,MIN(1,DC36/BD36),1)*g_cash+(1-IF(BD36&gt;0,MIN(1,DC36/BD36),1))*g_ret)</f>
        <v/>
      </c>
      <c r="DE36" s="7">
        <f>IF(DA36&gt;=0,MIN(CX36,DA36),0)</f>
        <v/>
      </c>
      <c r="DF36" s="7">
        <f>IF(DA36&gt;=0,(1-general_tasaAhorro)*(DA36-DE36),0)</f>
        <v/>
      </c>
      <c r="DG36" s="7">
        <f>IF(DA36&gt;=0,DA36-DE36-DF36,0)</f>
        <v/>
      </c>
      <c r="DH36" s="7">
        <f>MIN(personal_rothAnual,DG36)</f>
        <v/>
      </c>
      <c r="DI36" s="7">
        <f>IF(AND(DA36&gt;=0,BB36=1,BP36+BT36&gt;0),MIN(vivienda_prepagoPct*(DG36-DH36),BP36+BT36),0)</f>
        <v/>
      </c>
      <c r="DJ36" s="7">
        <f>MIN(DI36,BP36)</f>
        <v/>
      </c>
      <c r="DK36" s="7">
        <f>IF(DA36&lt;0,MIN(MAX(0,BD36),-DA36),0)</f>
        <v/>
      </c>
      <c r="DL36" s="7">
        <f>IF(DA36&lt;0,-DA36-DK36,0)</f>
        <v/>
      </c>
      <c r="DM36" s="7">
        <f>IF(3=0,0,DZ35)</f>
        <v/>
      </c>
      <c r="DN36" s="7">
        <f>IF(AND(DL36&gt;0,J36&gt;0),MIN(DL36,MIN(prestamos_topeAnualPosgrado*MIN(1,J36),MAX(0,prestamos_topeTotalPosgrado-DM36))),0)</f>
        <v/>
      </c>
      <c r="DO36" s="7">
        <f>IF(AND(DL36&gt;0,J36&gt;0),DL36-DN36,0)</f>
        <v/>
      </c>
      <c r="DP36" s="7">
        <f>IF(AND(DL36&gt;0,J36&lt;=0),DL36,0)</f>
        <v/>
      </c>
      <c r="DQ36" s="7">
        <f>IF(DA36&gt;=0,DG36-DH36-DI36,-DK36)</f>
        <v/>
      </c>
      <c r="DR36" s="7">
        <f>BD36*(1+DD36)+DQ36*(1+DD36/2)</f>
        <v/>
      </c>
      <c r="DS36" s="7">
        <f>IF(3=0,personal_retiroInicial,DS35)*(1+g_ret)+(O36+P36+DH36)*(1+g_ret/2)</f>
        <v/>
      </c>
      <c r="DT36" s="7">
        <f>IF(BB36=1,BL36*(1+g_appr),0)</f>
        <v/>
      </c>
      <c r="DU36" s="7">
        <f>BP36-DJ36</f>
        <v/>
      </c>
      <c r="DV36" s="7">
        <f>BT36-(DI36-DJ36)</f>
        <v/>
      </c>
      <c r="DW36" s="7">
        <f>CP36+DN36</f>
        <v/>
      </c>
      <c r="DX36" s="7">
        <f>IF(DN36&gt;0,(CP36*CF36+DN36*prestamos_tasaFederalPosgrado)/(CP36+DN36),CF36)</f>
        <v/>
      </c>
      <c r="DY36" s="7">
        <f>IF(DN36&gt;0,0,CQ36)</f>
        <v/>
      </c>
      <c r="DZ36" s="7">
        <f>DM36+DN36</f>
        <v/>
      </c>
      <c r="EA36" s="7">
        <f>CV36+DO36</f>
        <v/>
      </c>
      <c r="EB36" s="7">
        <f>IF(DO36&gt;0,(CV36*CS36+DO36*prestamos_tasaPrivada)/(CV36+DO36),CS36)</f>
        <v/>
      </c>
      <c r="EC36" s="7">
        <f>IF(DO36&gt;0,0,CW36)</f>
        <v/>
      </c>
      <c r="ED36" s="7">
        <f>CX36-DE36+DP36</f>
        <v/>
      </c>
      <c r="EE36" s="7">
        <f>IF(IF(3=0,"",EE35)&lt;&gt;"",EE35,IF(AND(BB36=1,DU36&lt;=0.5,DV36&lt;=0.5,OR(BH36=0,BJ36=1)),A36,""))</f>
        <v/>
      </c>
      <c r="EF36" s="7">
        <f>DU36+DV36+DW36+EA36+ED36+CD36</f>
        <v/>
      </c>
      <c r="EG36" s="7">
        <f>DR36+DS36+DT36-EF36</f>
        <v/>
      </c>
      <c r="EH36" s="7">
        <f>EG36/(1+g_inf)^(A36+1-2026)</f>
        <v/>
      </c>
    </row>
    <row r="37">
      <c r="A37" t="n">
        <v>2031</v>
      </c>
      <c r="B37" t="n">
        <v>4</v>
      </c>
      <c r="C37" s="7">
        <f>(1+g_inf)^(A37-2026)</f>
        <v/>
      </c>
      <c r="D37" s="7">
        <f>SUMPRODUCT($X$5:$X$29,$E$5:$E$29*(1+$F$5:$F$29)^(A37-2026)*$G$5:$G$29*$H$5:$H$29*(1-$N$5:$N$29*$O$5:$O$29))*g_salMult+SUMPRODUCT(($B$5:$B$29&gt;=A37)*($B$5:$B$29&lt;A37+1)*$I$5:$I$29)*g_salMult</f>
        <v/>
      </c>
      <c r="E37" s="7">
        <f>SUMPRODUCT($X$5:$X$29,$E$5:$E$29*(1+$F$5:$F$29)^(A37-2026)*$G$5:$G$29*$H$5:$H$29*$M$5:$M$29)*g_salMult</f>
        <v/>
      </c>
      <c r="F37" s="7">
        <f>SUMPRODUCT($X$5:$X$29,$E$5:$E$29*(1+$F$5:$F$29)^(A37-2026)*$G$5:$G$29*$H$5:$H$29*$N$5:$N$29*$O$5:$O$29)*g_salMult</f>
        <v/>
      </c>
      <c r="G37" s="7">
        <f>SUMPRODUCT($X$5:$X$29,$P$5:$P$29*(1+$F$5:$F$29)^(A37-2026))</f>
        <v/>
      </c>
      <c r="H37" s="7">
        <f>SUMPRODUCT($X$5:$X$29,$Q$5:$Q$29*(1+$F$5:$F$29)^(A37-2026))+IF(personal_llcActivo=1,personal_llcNeto*(1+personal_llcCrecimiento)^4,0)</f>
        <v/>
      </c>
      <c r="I37" s="7">
        <f>SUMPRODUCT($X$5:$X$29,$J$5:$J$29/($C$5:$C$29-$B$5:$B$29+($C$5:$C$29=$B$5:$B$29)))*C37</f>
        <v/>
      </c>
      <c r="J37" s="7">
        <f>SUMPRODUCT($X$5:$X$29,$K$5:$K$29)</f>
        <v/>
      </c>
      <c r="K37" s="7">
        <f>SUMPRODUCT($X$5:$X$29,$L$5:$L$29)</f>
        <v/>
      </c>
      <c r="L37" s="7">
        <f>SUMPRODUCT($X$5:$X$29,$N$5:$N$29)</f>
        <v/>
      </c>
      <c r="M37" s="7">
        <f>IF(SUMPRODUCT($X$5:$X$29,$R$5:$R$29)&gt;0,1,0)</f>
        <v/>
      </c>
      <c r="N37" s="7">
        <f>SUMPRODUCT(($AO$5:$AO$24&gt;=A37)*($AO$5:$AO$24&lt;A37+1)*$AP$5:$AP$24)*C37+IF(4=0,IF(sel_loc&lt;&gt;"miami",personal_costoMudanzaInicial,0),0)</f>
        <v/>
      </c>
      <c r="O37" s="7">
        <f>MIN(personal_aporte403bPct*D37,retiro_limite403b*C37)</f>
        <v/>
      </c>
      <c r="P37" s="7">
        <f>MIN(personal_aporte403bPct,personal_match403bPct)*E37</f>
        <v/>
      </c>
      <c r="Q37" s="7">
        <f>IF(G37&gt;0,MAX(0,G37-impuestos_scorpCostoAnual*C37),0)</f>
        <v/>
      </c>
      <c r="R37" s="7">
        <f>Q37*impuestos_scorpSalarioPct/(1+impuestos_ssTasa+impuestos_medicareTasa)</f>
        <v/>
      </c>
      <c r="S37" s="7">
        <f>impuestos_ssTasa*MIN(R37,MAX(0,impuestos_ssTope*C37-D37))+impuestos_medicareTasa*R37</f>
        <v/>
      </c>
      <c r="T37" s="7">
        <f>Q37-R37-S37</f>
        <v/>
      </c>
      <c r="U37" s="7">
        <f>D37+R37</f>
        <v/>
      </c>
      <c r="V37" s="7">
        <f>H37*0.9235</f>
        <v/>
      </c>
      <c r="W37" s="7">
        <f>IF(H37&gt;0,2*impuestos_ssTasa*MIN(V37,MAX(0,impuestos_ssTope*C37-U37))+2*impuestos_medicareTasa*V37,0)</f>
        <v/>
      </c>
      <c r="X37" s="7">
        <f>impuestos_ssTasa*MIN(U37,impuestos_ssTope*C37)+impuestos_medicareTasa*U37+impuestos_medicareAdicional*MAX(0,U37+H37*0.9235-impuestos_medicareUmbral)</f>
        <v/>
      </c>
      <c r="Y37" s="7">
        <f>MAX(0,D37-O37+R37+T37+H37-W37/2)</f>
        <v/>
      </c>
      <c r="Z37" s="7">
        <f>MAX(0,Y37-impuestos_deduccionEstandar*C37)</f>
        <v/>
      </c>
      <c r="AA37" s="7">
        <f>MIN(0.2*MAX(0,T37+H37-W37/2)*MAX(0,MIN(1,1-(Z37-impuestos_qbiUmbral*C37)/(impuestos_qbiRango*C37))),0.2*Z37)</f>
        <v/>
      </c>
      <c r="AB37" s="7">
        <f>MAX(0,Z37-AA37)</f>
        <v/>
      </c>
      <c r="AC37" s="7">
        <f>SUMPRODUCT((AB37&gt;tb_federalBrackets_lo*C37)*(AB37-tb_federalBrackets_lo*C37)*tb_federalBrackets_dr)</f>
        <v/>
      </c>
      <c r="AD37" s="7">
        <f>MAX(0,Y37-impuestos_nyDeduccion*C37)</f>
        <v/>
      </c>
      <c r="AE37" s="7">
        <f>CHOOSE(loc_taxcode,0,impuestos_ohTasa*MAX(0,Y37-impuestos_ohExento*C37)+impuestos_ohMunicipal*U37,SUMPRODUCT((AD37&gt;tb_nyBrackets_lo*C37)*(AD37-tb_nyBrackets_lo*C37)*tb_nyBrackets_dr)+loc_nyc*SUMPRODUCT((AD37&gt;tb_nycBrackets_lo*C37)*(AD37-tb_nycBrackets_lo*C37)*tb_nycBrackets_dr))</f>
        <v/>
      </c>
      <c r="AF37" s="7">
        <f>AC37+AE37+X37+W37</f>
        <v/>
      </c>
      <c r="AG37" s="7">
        <f>D37+F37+R37+T37+H37</f>
        <v/>
      </c>
      <c r="AH37" s="7">
        <f>AG37-AF37-O37</f>
        <v/>
      </c>
      <c r="AI37" s="7">
        <f>D37+F37+G37+H37</f>
        <v/>
      </c>
      <c r="AJ37" s="7">
        <f>loc_gastosVida*C37*g_gastos</f>
        <v/>
      </c>
      <c r="AK37" s="7">
        <f>IF(4=0,personal_liquidoInicial,DR36)</f>
        <v/>
      </c>
      <c r="AL37" s="7">
        <f>IF(4=0,0,BB36)</f>
        <v/>
      </c>
      <c r="AM37" s="7">
        <f>CHOOSE(sel_cfgIdx,loc_precio_duplex,loc_precio_inlaw,loc_precio_dosCasas,loc_precio_casaAdu,loc_precio_multi)</f>
        <v/>
      </c>
      <c r="AN37" s="7">
        <f>AM37*(1+g_appr)^(A37-2026)</f>
        <v/>
      </c>
      <c r="AO37" s="7">
        <f>IF(AND(M37=1,vivienda_prestamoMedico=1),1,0)</f>
        <v/>
      </c>
      <c r="AP37" s="7">
        <f>IF(AO37=1,0.05,vivienda_enganchePct)</f>
        <v/>
      </c>
      <c r="AQ37" s="7">
        <f>AN37*(1-AP37)</f>
        <v/>
      </c>
      <c r="AR37" s="7">
        <f>PMT(g_mortRate/12,vivienda_plazoHipoteca*12,-AQ37)</f>
        <v/>
      </c>
      <c r="AS37" s="7">
        <f>INDEX(cfg_units,sel_cfgIdx)</f>
        <v/>
      </c>
      <c r="AT37" s="7">
        <f>AS37*loc_rentaUnidad*(1+g_inf)^(A37-2026)*(1-vivienda_vacancia)</f>
        <v/>
      </c>
      <c r="AU37" s="7">
        <f>AR37+AN37*loc_impuestoPropPct/12+AM37*loc_seguroPct*(1+vivienda_inflacionSeguro)^(A37-2026)/12+IF(AND(AO37=0,AP37&lt;0.2),AQ37*vivienda_pmiTasa/12,0)</f>
        <v/>
      </c>
      <c r="AV37" s="7">
        <f>AN37*AP37+AN37*vivienda_cierrePct+general_reservaMeses/12*AJ37</f>
        <v/>
      </c>
      <c r="AW37" s="7">
        <f>(IF(4=0,MIN(personal_irsSaldo,personal_irsPagoMensual*12),MIN(CD36,personal_irsPagoMensual*12))+IF(CE37&gt;0,PMT(CF37,MAX(1,prestamos_plazoAnios-CG37),-CE37),0)+IF(CR37&gt;0,PMT(CS37,MAX(1,prestamos_plazoAnios-CT37),-CR37),0))/12</f>
        <v/>
      </c>
      <c r="AX37" s="7">
        <f>IF(OR(sel_cfg="duplex",sel_cfg="multi",sel_cfg="dosCasas"),0.75*personal_aporteFamiliaMensual,0)</f>
        <v/>
      </c>
      <c r="AY37" s="7">
        <f>AU37-0.75*AT37-AX37+AW37</f>
        <v/>
      </c>
      <c r="AZ37" s="7">
        <f>(D37+G37+H37+0.5*F37)/12</f>
        <v/>
      </c>
      <c r="BA37" s="7">
        <f>IF(AND(AL37=0,A37&gt;=vivienda_anioMinCompra,J37&lt;0.5,AI37&gt;0,AK37&gt;=AV37,AY37&lt;=vivienda_dtiMax*AZ37),1,0)</f>
        <v/>
      </c>
      <c r="BB37" s="7">
        <f>MAX(AL37,BA37)</f>
        <v/>
      </c>
      <c r="BC37" s="7">
        <f>IF(BA37=1,A37,IF(4=0,"",BC36))</f>
        <v/>
      </c>
      <c r="BD37" s="7">
        <f>AK37-IF(BA37=1,AN37*AP37+AN37*vivienda_cierrePct,0)</f>
        <v/>
      </c>
      <c r="BE37" s="7">
        <f>IF(BA37=1,AN37,IF(4=0,0,BE36))</f>
        <v/>
      </c>
      <c r="BF37" s="7">
        <f>IF(BA37=1,AR37,IF(4=0,0,BF36))</f>
        <v/>
      </c>
      <c r="BG37" s="7">
        <f>IF(BA37=1,IF(AND(AO37=0,AP37&lt;0.2),1,0),IF(4=0,0,BY36))</f>
        <v/>
      </c>
      <c r="BH37" s="7">
        <f>IF(sel_cfg="casaAdu",1,0)</f>
        <v/>
      </c>
      <c r="BI37" s="7">
        <f>IF(AND(BB37=1,BH37=1,IF(4=0,0,BJ36)=0,A37&gt;=IF(BC37="",9999,BC37)+vivienda_aduRetrasoAnios),1,0)</f>
        <v/>
      </c>
      <c r="BJ37" s="7">
        <f>MAX(IF(4=0,0,BJ36),BI37)</f>
        <v/>
      </c>
      <c r="BK37" s="7">
        <f>IF(BI37=1,PMT((g_mortRate+0.005)/12,180,-loc_precio_aduCosto*C37),IF(4=0,0,BK36))</f>
        <v/>
      </c>
      <c r="BL37" s="7">
        <f>IF(BA37=1,AN37,IF(4=0,0,DT36))+IF(BI37=1,loc_precio_aduCosto*C37,0)</f>
        <v/>
      </c>
      <c r="BM37" s="7">
        <f>IF(BA37=1,AQ37,IF(4=0,0,DU36))</f>
        <v/>
      </c>
      <c r="BN37" s="7">
        <f>IF(BM37&lt;=0,0,FV(g_mortRate/12,12,BF37,-BM37))</f>
        <v/>
      </c>
      <c r="BO37" s="7">
        <f>IF(BM37&lt;=0,0,12*BF37+MIN(0,BN37))</f>
        <v/>
      </c>
      <c r="BP37" s="7">
        <f>MAX(0,BN37)</f>
        <v/>
      </c>
      <c r="BQ37" s="7">
        <f>IF(BI37=1,loc_precio_aduCosto*C37,IF(4=0,0,DV36))</f>
        <v/>
      </c>
      <c r="BR37" s="7">
        <f>IF(BQ37&lt;=0,0,FV((g_mortRate+0.005)/12,12,BK37,-BQ37))</f>
        <v/>
      </c>
      <c r="BS37" s="7">
        <f>IF(BQ37&lt;=0,0,12*BK37+MIN(0,BR37))</f>
        <v/>
      </c>
      <c r="BT37" s="7">
        <f>MAX(0,BR37)</f>
        <v/>
      </c>
      <c r="BU37" s="7">
        <f>IF(BB37=1,AM37*loc_seguroPct*(1+vivienda_inflacionSeguro)^(A37-2026)*IF(BJ37=1,1+loc_precio_aduCosto/AM37,1),0)</f>
        <v/>
      </c>
      <c r="BV37" s="7">
        <f>BL37*loc_impuestoPropPct</f>
        <v/>
      </c>
      <c r="BW37" s="7">
        <f>BL37*vivienda_mantenimientoPct</f>
        <v/>
      </c>
      <c r="BX37" s="7">
        <f>IF(AND(BG37=1,BP37&gt;0.8*BE37),BE37*(1-vivienda_enganchePct)*vivienda_pmiTasa,0)</f>
        <v/>
      </c>
      <c r="BY37" s="7">
        <f>IF(AND(BG37=1,BP37&gt;0.8*BE37),1,0)</f>
        <v/>
      </c>
      <c r="BZ37" s="7">
        <f>IF(BB37=1,AS37*loc_rentaUnidad*12*C37*(1-vivienda_vacancia)*(1-vivienda_gestionPct),0)</f>
        <v/>
      </c>
      <c r="CA37" s="7">
        <f>IF(BB37=1,BO37+BS37+BU37+BV37+BW37+BX37,loc_rentaMensual*12*C37)</f>
        <v/>
      </c>
      <c r="CB37" s="7">
        <f>IF(BB37=1,personal_aporteFamiliaMensual*12,0)</f>
        <v/>
      </c>
      <c r="CC37" s="7">
        <f>MIN(IF(4=0,personal_irsSaldo,CD36),personal_irsPagoMensual*12)</f>
        <v/>
      </c>
      <c r="CD37" s="7">
        <f>IF(4=0,personal_irsSaldo,CD36)-CC37</f>
        <v/>
      </c>
      <c r="CE37" s="7">
        <f>IF(4=0,IF(personal_deudaEsFederal=1,personal_deudaEstudiantil,0),DW36)</f>
        <v/>
      </c>
      <c r="CF37" s="7">
        <f>IF(4=0,personal_tasaDeudaEstudiantil,DX36)</f>
        <v/>
      </c>
      <c r="CG37" s="7">
        <f>IF(4=0,0,DY36)</f>
        <v/>
      </c>
      <c r="CH37" s="7">
        <f>IF(J37&gt;=0.5,1,0)</f>
        <v/>
      </c>
      <c r="CI37" s="7">
        <f>IF(AND(CH37=0,prestamos_pslfActivo=1,K37&gt;=0.5,CE37&gt;0),1,0)</f>
        <v/>
      </c>
      <c r="CJ37" s="7">
        <f>CE37*CF37</f>
        <v/>
      </c>
      <c r="CK37" s="7">
        <f>MAX(prestamos_rapPagoMinimoAnual,IF(Y37&lt;10000,0,MIN(0.1,INT(Y37/10000)/100))*Y37)</f>
        <v/>
      </c>
      <c r="CL37" s="7">
        <f>IF(CE37&lt;=0,0,IF(CH37=1,0,IF(CI37=1,MIN(CE37+CJ37,CK37),PMT(CF37,MAX(1,prestamos_plazoAnios-CG37),-CE37))))</f>
        <v/>
      </c>
      <c r="CM37" s="7">
        <f>IF(CE37&lt;=0,0,IF(CH37=1,CE37+CJ37,IF(CI37=1,MAX(0,CE37-MAX(CL37-CJ37,MIN(600,CL37))),MAX(0,CE37*(1+CF37)-CL37))))</f>
        <v/>
      </c>
      <c r="CN37" s="7">
        <f>IF(4=0,0,CN36)+IF(CI37=1,12*MIN(1,K37),0)</f>
        <v/>
      </c>
      <c r="CO37" s="7">
        <f>IF(AND(CI37=1,CN37&gt;=prestamos_pslfPagos,CM37&gt;0),CM37,0)</f>
        <v/>
      </c>
      <c r="CP37" s="7">
        <f>CM37-CO37</f>
        <v/>
      </c>
      <c r="CQ37" s="7">
        <f>IF(AND(CE37&gt;0,CH37=0,CI37=0),CG37+1,CG37)</f>
        <v/>
      </c>
      <c r="CR37" s="7">
        <f>IF(4=0,IF(personal_deudaEsFederal=1,0,personal_deudaEstudiantil),EA36)</f>
        <v/>
      </c>
      <c r="CS37" s="7">
        <f>IF(4=0,IF(personal_deudaEsFederal=1,prestamos_tasaPrivada,personal_tasaDeudaEstudiantil),EB36)</f>
        <v/>
      </c>
      <c r="CT37" s="7">
        <f>IF(4=0,0,EC36)</f>
        <v/>
      </c>
      <c r="CU37" s="7">
        <f>IF(OR(CR37&lt;=0,CH37=1),0,PMT(CS37,MAX(1,prestamos_plazoAnios-CT37),-CR37))</f>
        <v/>
      </c>
      <c r="CV37" s="7">
        <f>IF(CR37&lt;=0,0,IF(CH37=1,CR37*(1+CS37),MAX(0,CR37*(1+CS37)-CU37)))</f>
        <v/>
      </c>
      <c r="CW37" s="7">
        <f>IF(AND(CR37&gt;0,CH37=0),CT37+1,CT37)</f>
        <v/>
      </c>
      <c r="CX37" s="7">
        <f>IF(4=0,0,ED36)*(1+general_tasaDeudaConsumo)</f>
        <v/>
      </c>
      <c r="CY37" s="7">
        <f>L37*12*tiempos_travelGastoExtraMes*C37</f>
        <v/>
      </c>
      <c r="CZ37" s="7">
        <f>AJ37+CY37+CA37+CC37+CL37+CU37+I37+N37-BZ37-CB37</f>
        <v/>
      </c>
      <c r="DA37" s="7">
        <f>AH37-CZ37</f>
        <v/>
      </c>
      <c r="DB37" s="7">
        <f>IF(4=0,0,DB36)+DA37</f>
        <v/>
      </c>
      <c r="DC37" s="7">
        <f>AN37*vivienda_enganchePct+AN37*vivienda_cierrePct+general_reservaMeses/12*AJ37</f>
        <v/>
      </c>
      <c r="DD37" s="7">
        <f>IF(BB37=1,g_ret,IF(BD37&gt;0,MIN(1,DC37/BD37),1)*g_cash+(1-IF(BD37&gt;0,MIN(1,DC37/BD37),1))*g_ret)</f>
        <v/>
      </c>
      <c r="DE37" s="7">
        <f>IF(DA37&gt;=0,MIN(CX37,DA37),0)</f>
        <v/>
      </c>
      <c r="DF37" s="7">
        <f>IF(DA37&gt;=0,(1-general_tasaAhorro)*(DA37-DE37),0)</f>
        <v/>
      </c>
      <c r="DG37" s="7">
        <f>IF(DA37&gt;=0,DA37-DE37-DF37,0)</f>
        <v/>
      </c>
      <c r="DH37" s="7">
        <f>MIN(personal_rothAnual,DG37)</f>
        <v/>
      </c>
      <c r="DI37" s="7">
        <f>IF(AND(DA37&gt;=0,BB37=1,BP37+BT37&gt;0),MIN(vivienda_prepagoPct*(DG37-DH37),BP37+BT37),0)</f>
        <v/>
      </c>
      <c r="DJ37" s="7">
        <f>MIN(DI37,BP37)</f>
        <v/>
      </c>
      <c r="DK37" s="7">
        <f>IF(DA37&lt;0,MIN(MAX(0,BD37),-DA37),0)</f>
        <v/>
      </c>
      <c r="DL37" s="7">
        <f>IF(DA37&lt;0,-DA37-DK37,0)</f>
        <v/>
      </c>
      <c r="DM37" s="7">
        <f>IF(4=0,0,DZ36)</f>
        <v/>
      </c>
      <c r="DN37" s="7">
        <f>IF(AND(DL37&gt;0,J37&gt;0),MIN(DL37,MIN(prestamos_topeAnualPosgrado*MIN(1,J37),MAX(0,prestamos_topeTotalPosgrado-DM37))),0)</f>
        <v/>
      </c>
      <c r="DO37" s="7">
        <f>IF(AND(DL37&gt;0,J37&gt;0),DL37-DN37,0)</f>
        <v/>
      </c>
      <c r="DP37" s="7">
        <f>IF(AND(DL37&gt;0,J37&lt;=0),DL37,0)</f>
        <v/>
      </c>
      <c r="DQ37" s="7">
        <f>IF(DA37&gt;=0,DG37-DH37-DI37,-DK37)</f>
        <v/>
      </c>
      <c r="DR37" s="7">
        <f>BD37*(1+DD37)+DQ37*(1+DD37/2)</f>
        <v/>
      </c>
      <c r="DS37" s="7">
        <f>IF(4=0,personal_retiroInicial,DS36)*(1+g_ret)+(O37+P37+DH37)*(1+g_ret/2)</f>
        <v/>
      </c>
      <c r="DT37" s="7">
        <f>IF(BB37=1,BL37*(1+g_appr),0)</f>
        <v/>
      </c>
      <c r="DU37" s="7">
        <f>BP37-DJ37</f>
        <v/>
      </c>
      <c r="DV37" s="7">
        <f>BT37-(DI37-DJ37)</f>
        <v/>
      </c>
      <c r="DW37" s="7">
        <f>CP37+DN37</f>
        <v/>
      </c>
      <c r="DX37" s="7">
        <f>IF(DN37&gt;0,(CP37*CF37+DN37*prestamos_tasaFederalPosgrado)/(CP37+DN37),CF37)</f>
        <v/>
      </c>
      <c r="DY37" s="7">
        <f>IF(DN37&gt;0,0,CQ37)</f>
        <v/>
      </c>
      <c r="DZ37" s="7">
        <f>DM37+DN37</f>
        <v/>
      </c>
      <c r="EA37" s="7">
        <f>CV37+DO37</f>
        <v/>
      </c>
      <c r="EB37" s="7">
        <f>IF(DO37&gt;0,(CV37*CS37+DO37*prestamos_tasaPrivada)/(CV37+DO37),CS37)</f>
        <v/>
      </c>
      <c r="EC37" s="7">
        <f>IF(DO37&gt;0,0,CW37)</f>
        <v/>
      </c>
      <c r="ED37" s="7">
        <f>CX37-DE37+DP37</f>
        <v/>
      </c>
      <c r="EE37" s="7">
        <f>IF(IF(4=0,"",EE36)&lt;&gt;"",EE36,IF(AND(BB37=1,DU37&lt;=0.5,DV37&lt;=0.5,OR(BH37=0,BJ37=1)),A37,""))</f>
        <v/>
      </c>
      <c r="EF37" s="7">
        <f>DU37+DV37+DW37+EA37+ED37+CD37</f>
        <v/>
      </c>
      <c r="EG37" s="7">
        <f>DR37+DS37+DT37-EF37</f>
        <v/>
      </c>
      <c r="EH37" s="7">
        <f>EG37/(1+g_inf)^(A37+1-2026)</f>
        <v/>
      </c>
    </row>
    <row r="38">
      <c r="A38" t="n">
        <v>2032</v>
      </c>
      <c r="B38" t="n">
        <v>5</v>
      </c>
      <c r="C38" s="7">
        <f>(1+g_inf)^(A38-2026)</f>
        <v/>
      </c>
      <c r="D38" s="7">
        <f>SUMPRODUCT($Y$5:$Y$29,$E$5:$E$29*(1+$F$5:$F$29)^(A38-2026)*$G$5:$G$29*$H$5:$H$29*(1-$N$5:$N$29*$O$5:$O$29))*g_salMult+SUMPRODUCT(($B$5:$B$29&gt;=A38)*($B$5:$B$29&lt;A38+1)*$I$5:$I$29)*g_salMult</f>
        <v/>
      </c>
      <c r="E38" s="7">
        <f>SUMPRODUCT($Y$5:$Y$29,$E$5:$E$29*(1+$F$5:$F$29)^(A38-2026)*$G$5:$G$29*$H$5:$H$29*$M$5:$M$29)*g_salMult</f>
        <v/>
      </c>
      <c r="F38" s="7">
        <f>SUMPRODUCT($Y$5:$Y$29,$E$5:$E$29*(1+$F$5:$F$29)^(A38-2026)*$G$5:$G$29*$H$5:$H$29*$N$5:$N$29*$O$5:$O$29)*g_salMult</f>
        <v/>
      </c>
      <c r="G38" s="7">
        <f>SUMPRODUCT($Y$5:$Y$29,$P$5:$P$29*(1+$F$5:$F$29)^(A38-2026))</f>
        <v/>
      </c>
      <c r="H38" s="7">
        <f>SUMPRODUCT($Y$5:$Y$29,$Q$5:$Q$29*(1+$F$5:$F$29)^(A38-2026))+IF(personal_llcActivo=1,personal_llcNeto*(1+personal_llcCrecimiento)^5,0)</f>
        <v/>
      </c>
      <c r="I38" s="7">
        <f>SUMPRODUCT($Y$5:$Y$29,$J$5:$J$29/($C$5:$C$29-$B$5:$B$29+($C$5:$C$29=$B$5:$B$29)))*C38</f>
        <v/>
      </c>
      <c r="J38" s="7">
        <f>SUMPRODUCT($Y$5:$Y$29,$K$5:$K$29)</f>
        <v/>
      </c>
      <c r="K38" s="7">
        <f>SUMPRODUCT($Y$5:$Y$29,$L$5:$L$29)</f>
        <v/>
      </c>
      <c r="L38" s="7">
        <f>SUMPRODUCT($Y$5:$Y$29,$N$5:$N$29)</f>
        <v/>
      </c>
      <c r="M38" s="7">
        <f>IF(SUMPRODUCT($Y$5:$Y$29,$R$5:$R$29)&gt;0,1,0)</f>
        <v/>
      </c>
      <c r="N38" s="7">
        <f>SUMPRODUCT(($AO$5:$AO$24&gt;=A38)*($AO$5:$AO$24&lt;A38+1)*$AP$5:$AP$24)*C38+IF(5=0,IF(sel_loc&lt;&gt;"miami",personal_costoMudanzaInicial,0),0)</f>
        <v/>
      </c>
      <c r="O38" s="7">
        <f>MIN(personal_aporte403bPct*D38,retiro_limite403b*C38)</f>
        <v/>
      </c>
      <c r="P38" s="7">
        <f>MIN(personal_aporte403bPct,personal_match403bPct)*E38</f>
        <v/>
      </c>
      <c r="Q38" s="7">
        <f>IF(G38&gt;0,MAX(0,G38-impuestos_scorpCostoAnual*C38),0)</f>
        <v/>
      </c>
      <c r="R38" s="7">
        <f>Q38*impuestos_scorpSalarioPct/(1+impuestos_ssTasa+impuestos_medicareTasa)</f>
        <v/>
      </c>
      <c r="S38" s="7">
        <f>impuestos_ssTasa*MIN(R38,MAX(0,impuestos_ssTope*C38-D38))+impuestos_medicareTasa*R38</f>
        <v/>
      </c>
      <c r="T38" s="7">
        <f>Q38-R38-S38</f>
        <v/>
      </c>
      <c r="U38" s="7">
        <f>D38+R38</f>
        <v/>
      </c>
      <c r="V38" s="7">
        <f>H38*0.9235</f>
        <v/>
      </c>
      <c r="W38" s="7">
        <f>IF(H38&gt;0,2*impuestos_ssTasa*MIN(V38,MAX(0,impuestos_ssTope*C38-U38))+2*impuestos_medicareTasa*V38,0)</f>
        <v/>
      </c>
      <c r="X38" s="7">
        <f>impuestos_ssTasa*MIN(U38,impuestos_ssTope*C38)+impuestos_medicareTasa*U38+impuestos_medicareAdicional*MAX(0,U38+H38*0.9235-impuestos_medicareUmbral)</f>
        <v/>
      </c>
      <c r="Y38" s="7">
        <f>MAX(0,D38-O38+R38+T38+H38-W38/2)</f>
        <v/>
      </c>
      <c r="Z38" s="7">
        <f>MAX(0,Y38-impuestos_deduccionEstandar*C38)</f>
        <v/>
      </c>
      <c r="AA38" s="7">
        <f>MIN(0.2*MAX(0,T38+H38-W38/2)*MAX(0,MIN(1,1-(Z38-impuestos_qbiUmbral*C38)/(impuestos_qbiRango*C38))),0.2*Z38)</f>
        <v/>
      </c>
      <c r="AB38" s="7">
        <f>MAX(0,Z38-AA38)</f>
        <v/>
      </c>
      <c r="AC38" s="7">
        <f>SUMPRODUCT((AB38&gt;tb_federalBrackets_lo*C38)*(AB38-tb_federalBrackets_lo*C38)*tb_federalBrackets_dr)</f>
        <v/>
      </c>
      <c r="AD38" s="7">
        <f>MAX(0,Y38-impuestos_nyDeduccion*C38)</f>
        <v/>
      </c>
      <c r="AE38" s="7">
        <f>CHOOSE(loc_taxcode,0,impuestos_ohTasa*MAX(0,Y38-impuestos_ohExento*C38)+impuestos_ohMunicipal*U38,SUMPRODUCT((AD38&gt;tb_nyBrackets_lo*C38)*(AD38-tb_nyBrackets_lo*C38)*tb_nyBrackets_dr)+loc_nyc*SUMPRODUCT((AD38&gt;tb_nycBrackets_lo*C38)*(AD38-tb_nycBrackets_lo*C38)*tb_nycBrackets_dr))</f>
        <v/>
      </c>
      <c r="AF38" s="7">
        <f>AC38+AE38+X38+W38</f>
        <v/>
      </c>
      <c r="AG38" s="7">
        <f>D38+F38+R38+T38+H38</f>
        <v/>
      </c>
      <c r="AH38" s="7">
        <f>AG38-AF38-O38</f>
        <v/>
      </c>
      <c r="AI38" s="7">
        <f>D38+F38+G38+H38</f>
        <v/>
      </c>
      <c r="AJ38" s="7">
        <f>loc_gastosVida*C38*g_gastos</f>
        <v/>
      </c>
      <c r="AK38" s="7">
        <f>IF(5=0,personal_liquidoInicial,DR37)</f>
        <v/>
      </c>
      <c r="AL38" s="7">
        <f>IF(5=0,0,BB37)</f>
        <v/>
      </c>
      <c r="AM38" s="7">
        <f>CHOOSE(sel_cfgIdx,loc_precio_duplex,loc_precio_inlaw,loc_precio_dosCasas,loc_precio_casaAdu,loc_precio_multi)</f>
        <v/>
      </c>
      <c r="AN38" s="7">
        <f>AM38*(1+g_appr)^(A38-2026)</f>
        <v/>
      </c>
      <c r="AO38" s="7">
        <f>IF(AND(M38=1,vivienda_prestamoMedico=1),1,0)</f>
        <v/>
      </c>
      <c r="AP38" s="7">
        <f>IF(AO38=1,0.05,vivienda_enganchePct)</f>
        <v/>
      </c>
      <c r="AQ38" s="7">
        <f>AN38*(1-AP38)</f>
        <v/>
      </c>
      <c r="AR38" s="7">
        <f>PMT(g_mortRate/12,vivienda_plazoHipoteca*12,-AQ38)</f>
        <v/>
      </c>
      <c r="AS38" s="7">
        <f>INDEX(cfg_units,sel_cfgIdx)</f>
        <v/>
      </c>
      <c r="AT38" s="7">
        <f>AS38*loc_rentaUnidad*(1+g_inf)^(A38-2026)*(1-vivienda_vacancia)</f>
        <v/>
      </c>
      <c r="AU38" s="7">
        <f>AR38+AN38*loc_impuestoPropPct/12+AM38*loc_seguroPct*(1+vivienda_inflacionSeguro)^(A38-2026)/12+IF(AND(AO38=0,AP38&lt;0.2),AQ38*vivienda_pmiTasa/12,0)</f>
        <v/>
      </c>
      <c r="AV38" s="7">
        <f>AN38*AP38+AN38*vivienda_cierrePct+general_reservaMeses/12*AJ38</f>
        <v/>
      </c>
      <c r="AW38" s="7">
        <f>(IF(5=0,MIN(personal_irsSaldo,personal_irsPagoMensual*12),MIN(CD37,personal_irsPagoMensual*12))+IF(CE38&gt;0,PMT(CF38,MAX(1,prestamos_plazoAnios-CG38),-CE38),0)+IF(CR38&gt;0,PMT(CS38,MAX(1,prestamos_plazoAnios-CT38),-CR38),0))/12</f>
        <v/>
      </c>
      <c r="AX38" s="7">
        <f>IF(OR(sel_cfg="duplex",sel_cfg="multi",sel_cfg="dosCasas"),0.75*personal_aporteFamiliaMensual,0)</f>
        <v/>
      </c>
      <c r="AY38" s="7">
        <f>AU38-0.75*AT38-AX38+AW38</f>
        <v/>
      </c>
      <c r="AZ38" s="7">
        <f>(D38+G38+H38+0.5*F38)/12</f>
        <v/>
      </c>
      <c r="BA38" s="7">
        <f>IF(AND(AL38=0,A38&gt;=vivienda_anioMinCompra,J38&lt;0.5,AI38&gt;0,AK38&gt;=AV38,AY38&lt;=vivienda_dtiMax*AZ38),1,0)</f>
        <v/>
      </c>
      <c r="BB38" s="7">
        <f>MAX(AL38,BA38)</f>
        <v/>
      </c>
      <c r="BC38" s="7">
        <f>IF(BA38=1,A38,IF(5=0,"",BC37))</f>
        <v/>
      </c>
      <c r="BD38" s="7">
        <f>AK38-IF(BA38=1,AN38*AP38+AN38*vivienda_cierrePct,0)</f>
        <v/>
      </c>
      <c r="BE38" s="7">
        <f>IF(BA38=1,AN38,IF(5=0,0,BE37))</f>
        <v/>
      </c>
      <c r="BF38" s="7">
        <f>IF(BA38=1,AR38,IF(5=0,0,BF37))</f>
        <v/>
      </c>
      <c r="BG38" s="7">
        <f>IF(BA38=1,IF(AND(AO38=0,AP38&lt;0.2),1,0),IF(5=0,0,BY37))</f>
        <v/>
      </c>
      <c r="BH38" s="7">
        <f>IF(sel_cfg="casaAdu",1,0)</f>
        <v/>
      </c>
      <c r="BI38" s="7">
        <f>IF(AND(BB38=1,BH38=1,IF(5=0,0,BJ37)=0,A38&gt;=IF(BC38="",9999,BC38)+vivienda_aduRetrasoAnios),1,0)</f>
        <v/>
      </c>
      <c r="BJ38" s="7">
        <f>MAX(IF(5=0,0,BJ37),BI38)</f>
        <v/>
      </c>
      <c r="BK38" s="7">
        <f>IF(BI38=1,PMT((g_mortRate+0.005)/12,180,-loc_precio_aduCosto*C38),IF(5=0,0,BK37))</f>
        <v/>
      </c>
      <c r="BL38" s="7">
        <f>IF(BA38=1,AN38,IF(5=0,0,DT37))+IF(BI38=1,loc_precio_aduCosto*C38,0)</f>
        <v/>
      </c>
      <c r="BM38" s="7">
        <f>IF(BA38=1,AQ38,IF(5=0,0,DU37))</f>
        <v/>
      </c>
      <c r="BN38" s="7">
        <f>IF(BM38&lt;=0,0,FV(g_mortRate/12,12,BF38,-BM38))</f>
        <v/>
      </c>
      <c r="BO38" s="7">
        <f>IF(BM38&lt;=0,0,12*BF38+MIN(0,BN38))</f>
        <v/>
      </c>
      <c r="BP38" s="7">
        <f>MAX(0,BN38)</f>
        <v/>
      </c>
      <c r="BQ38" s="7">
        <f>IF(BI38=1,loc_precio_aduCosto*C38,IF(5=0,0,DV37))</f>
        <v/>
      </c>
      <c r="BR38" s="7">
        <f>IF(BQ38&lt;=0,0,FV((g_mortRate+0.005)/12,12,BK38,-BQ38))</f>
        <v/>
      </c>
      <c r="BS38" s="7">
        <f>IF(BQ38&lt;=0,0,12*BK38+MIN(0,BR38))</f>
        <v/>
      </c>
      <c r="BT38" s="7">
        <f>MAX(0,BR38)</f>
        <v/>
      </c>
      <c r="BU38" s="7">
        <f>IF(BB38=1,AM38*loc_seguroPct*(1+vivienda_inflacionSeguro)^(A38-2026)*IF(BJ38=1,1+loc_precio_aduCosto/AM38,1),0)</f>
        <v/>
      </c>
      <c r="BV38" s="7">
        <f>BL38*loc_impuestoPropPct</f>
        <v/>
      </c>
      <c r="BW38" s="7">
        <f>BL38*vivienda_mantenimientoPct</f>
        <v/>
      </c>
      <c r="BX38" s="7">
        <f>IF(AND(BG38=1,BP38&gt;0.8*BE38),BE38*(1-vivienda_enganchePct)*vivienda_pmiTasa,0)</f>
        <v/>
      </c>
      <c r="BY38" s="7">
        <f>IF(AND(BG38=1,BP38&gt;0.8*BE38),1,0)</f>
        <v/>
      </c>
      <c r="BZ38" s="7">
        <f>IF(BB38=1,AS38*loc_rentaUnidad*12*C38*(1-vivienda_vacancia)*(1-vivienda_gestionPct),0)</f>
        <v/>
      </c>
      <c r="CA38" s="7">
        <f>IF(BB38=1,BO38+BS38+BU38+BV38+BW38+BX38,loc_rentaMensual*12*C38)</f>
        <v/>
      </c>
      <c r="CB38" s="7">
        <f>IF(BB38=1,personal_aporteFamiliaMensual*12,0)</f>
        <v/>
      </c>
      <c r="CC38" s="7">
        <f>MIN(IF(5=0,personal_irsSaldo,CD37),personal_irsPagoMensual*12)</f>
        <v/>
      </c>
      <c r="CD38" s="7">
        <f>IF(5=0,personal_irsSaldo,CD37)-CC38</f>
        <v/>
      </c>
      <c r="CE38" s="7">
        <f>IF(5=0,IF(personal_deudaEsFederal=1,personal_deudaEstudiantil,0),DW37)</f>
        <v/>
      </c>
      <c r="CF38" s="7">
        <f>IF(5=0,personal_tasaDeudaEstudiantil,DX37)</f>
        <v/>
      </c>
      <c r="CG38" s="7">
        <f>IF(5=0,0,DY37)</f>
        <v/>
      </c>
      <c r="CH38" s="7">
        <f>IF(J38&gt;=0.5,1,0)</f>
        <v/>
      </c>
      <c r="CI38" s="7">
        <f>IF(AND(CH38=0,prestamos_pslfActivo=1,K38&gt;=0.5,CE38&gt;0),1,0)</f>
        <v/>
      </c>
      <c r="CJ38" s="7">
        <f>CE38*CF38</f>
        <v/>
      </c>
      <c r="CK38" s="7">
        <f>MAX(prestamos_rapPagoMinimoAnual,IF(Y38&lt;10000,0,MIN(0.1,INT(Y38/10000)/100))*Y38)</f>
        <v/>
      </c>
      <c r="CL38" s="7">
        <f>IF(CE38&lt;=0,0,IF(CH38=1,0,IF(CI38=1,MIN(CE38+CJ38,CK38),PMT(CF38,MAX(1,prestamos_plazoAnios-CG38),-CE38))))</f>
        <v/>
      </c>
      <c r="CM38" s="7">
        <f>IF(CE38&lt;=0,0,IF(CH38=1,CE38+CJ38,IF(CI38=1,MAX(0,CE38-MAX(CL38-CJ38,MIN(600,CL38))),MAX(0,CE38*(1+CF38)-CL38))))</f>
        <v/>
      </c>
      <c r="CN38" s="7">
        <f>IF(5=0,0,CN37)+IF(CI38=1,12*MIN(1,K38),0)</f>
        <v/>
      </c>
      <c r="CO38" s="7">
        <f>IF(AND(CI38=1,CN38&gt;=prestamos_pslfPagos,CM38&gt;0),CM38,0)</f>
        <v/>
      </c>
      <c r="CP38" s="7">
        <f>CM38-CO38</f>
        <v/>
      </c>
      <c r="CQ38" s="7">
        <f>IF(AND(CE38&gt;0,CH38=0,CI38=0),CG38+1,CG38)</f>
        <v/>
      </c>
      <c r="CR38" s="7">
        <f>IF(5=0,IF(personal_deudaEsFederal=1,0,personal_deudaEstudiantil),EA37)</f>
        <v/>
      </c>
      <c r="CS38" s="7">
        <f>IF(5=0,IF(personal_deudaEsFederal=1,prestamos_tasaPrivada,personal_tasaDeudaEstudiantil),EB37)</f>
        <v/>
      </c>
      <c r="CT38" s="7">
        <f>IF(5=0,0,EC37)</f>
        <v/>
      </c>
      <c r="CU38" s="7">
        <f>IF(OR(CR38&lt;=0,CH38=1),0,PMT(CS38,MAX(1,prestamos_plazoAnios-CT38),-CR38))</f>
        <v/>
      </c>
      <c r="CV38" s="7">
        <f>IF(CR38&lt;=0,0,IF(CH38=1,CR38*(1+CS38),MAX(0,CR38*(1+CS38)-CU38)))</f>
        <v/>
      </c>
      <c r="CW38" s="7">
        <f>IF(AND(CR38&gt;0,CH38=0),CT38+1,CT38)</f>
        <v/>
      </c>
      <c r="CX38" s="7">
        <f>IF(5=0,0,ED37)*(1+general_tasaDeudaConsumo)</f>
        <v/>
      </c>
      <c r="CY38" s="7">
        <f>L38*12*tiempos_travelGastoExtraMes*C38</f>
        <v/>
      </c>
      <c r="CZ38" s="7">
        <f>AJ38+CY38+CA38+CC38+CL38+CU38+I38+N38-BZ38-CB38</f>
        <v/>
      </c>
      <c r="DA38" s="7">
        <f>AH38-CZ38</f>
        <v/>
      </c>
      <c r="DB38" s="7">
        <f>IF(5=0,0,DB37)+DA38</f>
        <v/>
      </c>
      <c r="DC38" s="7">
        <f>AN38*vivienda_enganchePct+AN38*vivienda_cierrePct+general_reservaMeses/12*AJ38</f>
        <v/>
      </c>
      <c r="DD38" s="7">
        <f>IF(BB38=1,g_ret,IF(BD38&gt;0,MIN(1,DC38/BD38),1)*g_cash+(1-IF(BD38&gt;0,MIN(1,DC38/BD38),1))*g_ret)</f>
        <v/>
      </c>
      <c r="DE38" s="7">
        <f>IF(DA38&gt;=0,MIN(CX38,DA38),0)</f>
        <v/>
      </c>
      <c r="DF38" s="7">
        <f>IF(DA38&gt;=0,(1-general_tasaAhorro)*(DA38-DE38),0)</f>
        <v/>
      </c>
      <c r="DG38" s="7">
        <f>IF(DA38&gt;=0,DA38-DE38-DF38,0)</f>
        <v/>
      </c>
      <c r="DH38" s="7">
        <f>MIN(personal_rothAnual,DG38)</f>
        <v/>
      </c>
      <c r="DI38" s="7">
        <f>IF(AND(DA38&gt;=0,BB38=1,BP38+BT38&gt;0),MIN(vivienda_prepagoPct*(DG38-DH38),BP38+BT38),0)</f>
        <v/>
      </c>
      <c r="DJ38" s="7">
        <f>MIN(DI38,BP38)</f>
        <v/>
      </c>
      <c r="DK38" s="7">
        <f>IF(DA38&lt;0,MIN(MAX(0,BD38),-DA38),0)</f>
        <v/>
      </c>
      <c r="DL38" s="7">
        <f>IF(DA38&lt;0,-DA38-DK38,0)</f>
        <v/>
      </c>
      <c r="DM38" s="7">
        <f>IF(5=0,0,DZ37)</f>
        <v/>
      </c>
      <c r="DN38" s="7">
        <f>IF(AND(DL38&gt;0,J38&gt;0),MIN(DL38,MIN(prestamos_topeAnualPosgrado*MIN(1,J38),MAX(0,prestamos_topeTotalPosgrado-DM38))),0)</f>
        <v/>
      </c>
      <c r="DO38" s="7">
        <f>IF(AND(DL38&gt;0,J38&gt;0),DL38-DN38,0)</f>
        <v/>
      </c>
      <c r="DP38" s="7">
        <f>IF(AND(DL38&gt;0,J38&lt;=0),DL38,0)</f>
        <v/>
      </c>
      <c r="DQ38" s="7">
        <f>IF(DA38&gt;=0,DG38-DH38-DI38,-DK38)</f>
        <v/>
      </c>
      <c r="DR38" s="7">
        <f>BD38*(1+DD38)+DQ38*(1+DD38/2)</f>
        <v/>
      </c>
      <c r="DS38" s="7">
        <f>IF(5=0,personal_retiroInicial,DS37)*(1+g_ret)+(O38+P38+DH38)*(1+g_ret/2)</f>
        <v/>
      </c>
      <c r="DT38" s="7">
        <f>IF(BB38=1,BL38*(1+g_appr),0)</f>
        <v/>
      </c>
      <c r="DU38" s="7">
        <f>BP38-DJ38</f>
        <v/>
      </c>
      <c r="DV38" s="7">
        <f>BT38-(DI38-DJ38)</f>
        <v/>
      </c>
      <c r="DW38" s="7">
        <f>CP38+DN38</f>
        <v/>
      </c>
      <c r="DX38" s="7">
        <f>IF(DN38&gt;0,(CP38*CF38+DN38*prestamos_tasaFederalPosgrado)/(CP38+DN38),CF38)</f>
        <v/>
      </c>
      <c r="DY38" s="7">
        <f>IF(DN38&gt;0,0,CQ38)</f>
        <v/>
      </c>
      <c r="DZ38" s="7">
        <f>DM38+DN38</f>
        <v/>
      </c>
      <c r="EA38" s="7">
        <f>CV38+DO38</f>
        <v/>
      </c>
      <c r="EB38" s="7">
        <f>IF(DO38&gt;0,(CV38*CS38+DO38*prestamos_tasaPrivada)/(CV38+DO38),CS38)</f>
        <v/>
      </c>
      <c r="EC38" s="7">
        <f>IF(DO38&gt;0,0,CW38)</f>
        <v/>
      </c>
      <c r="ED38" s="7">
        <f>CX38-DE38+DP38</f>
        <v/>
      </c>
      <c r="EE38" s="7">
        <f>IF(IF(5=0,"",EE37)&lt;&gt;"",EE37,IF(AND(BB38=1,DU38&lt;=0.5,DV38&lt;=0.5,OR(BH38=0,BJ38=1)),A38,""))</f>
        <v/>
      </c>
      <c r="EF38" s="7">
        <f>DU38+DV38+DW38+EA38+ED38+CD38</f>
        <v/>
      </c>
      <c r="EG38" s="7">
        <f>DR38+DS38+DT38-EF38</f>
        <v/>
      </c>
      <c r="EH38" s="7">
        <f>EG38/(1+g_inf)^(A38+1-2026)</f>
        <v/>
      </c>
    </row>
    <row r="39">
      <c r="A39" t="n">
        <v>2033</v>
      </c>
      <c r="B39" t="n">
        <v>6</v>
      </c>
      <c r="C39" s="7">
        <f>(1+g_inf)^(A39-2026)</f>
        <v/>
      </c>
      <c r="D39" s="7">
        <f>SUMPRODUCT($Z$5:$Z$29,$E$5:$E$29*(1+$F$5:$F$29)^(A39-2026)*$G$5:$G$29*$H$5:$H$29*(1-$N$5:$N$29*$O$5:$O$29))*g_salMult+SUMPRODUCT(($B$5:$B$29&gt;=A39)*($B$5:$B$29&lt;A39+1)*$I$5:$I$29)*g_salMult</f>
        <v/>
      </c>
      <c r="E39" s="7">
        <f>SUMPRODUCT($Z$5:$Z$29,$E$5:$E$29*(1+$F$5:$F$29)^(A39-2026)*$G$5:$G$29*$H$5:$H$29*$M$5:$M$29)*g_salMult</f>
        <v/>
      </c>
      <c r="F39" s="7">
        <f>SUMPRODUCT($Z$5:$Z$29,$E$5:$E$29*(1+$F$5:$F$29)^(A39-2026)*$G$5:$G$29*$H$5:$H$29*$N$5:$N$29*$O$5:$O$29)*g_salMult</f>
        <v/>
      </c>
      <c r="G39" s="7">
        <f>SUMPRODUCT($Z$5:$Z$29,$P$5:$P$29*(1+$F$5:$F$29)^(A39-2026))</f>
        <v/>
      </c>
      <c r="H39" s="7">
        <f>SUMPRODUCT($Z$5:$Z$29,$Q$5:$Q$29*(1+$F$5:$F$29)^(A39-2026))+IF(personal_llcActivo=1,personal_llcNeto*(1+personal_llcCrecimiento)^6,0)</f>
        <v/>
      </c>
      <c r="I39" s="7">
        <f>SUMPRODUCT($Z$5:$Z$29,$J$5:$J$29/($C$5:$C$29-$B$5:$B$29+($C$5:$C$29=$B$5:$B$29)))*C39</f>
        <v/>
      </c>
      <c r="J39" s="7">
        <f>SUMPRODUCT($Z$5:$Z$29,$K$5:$K$29)</f>
        <v/>
      </c>
      <c r="K39" s="7">
        <f>SUMPRODUCT($Z$5:$Z$29,$L$5:$L$29)</f>
        <v/>
      </c>
      <c r="L39" s="7">
        <f>SUMPRODUCT($Z$5:$Z$29,$N$5:$N$29)</f>
        <v/>
      </c>
      <c r="M39" s="7">
        <f>IF(SUMPRODUCT($Z$5:$Z$29,$R$5:$R$29)&gt;0,1,0)</f>
        <v/>
      </c>
      <c r="N39" s="7">
        <f>SUMPRODUCT(($AO$5:$AO$24&gt;=A39)*($AO$5:$AO$24&lt;A39+1)*$AP$5:$AP$24)*C39+IF(6=0,IF(sel_loc&lt;&gt;"miami",personal_costoMudanzaInicial,0),0)</f>
        <v/>
      </c>
      <c r="O39" s="7">
        <f>MIN(personal_aporte403bPct*D39,retiro_limite403b*C39)</f>
        <v/>
      </c>
      <c r="P39" s="7">
        <f>MIN(personal_aporte403bPct,personal_match403bPct)*E39</f>
        <v/>
      </c>
      <c r="Q39" s="7">
        <f>IF(G39&gt;0,MAX(0,G39-impuestos_scorpCostoAnual*C39),0)</f>
        <v/>
      </c>
      <c r="R39" s="7">
        <f>Q39*impuestos_scorpSalarioPct/(1+impuestos_ssTasa+impuestos_medicareTasa)</f>
        <v/>
      </c>
      <c r="S39" s="7">
        <f>impuestos_ssTasa*MIN(R39,MAX(0,impuestos_ssTope*C39-D39))+impuestos_medicareTasa*R39</f>
        <v/>
      </c>
      <c r="T39" s="7">
        <f>Q39-R39-S39</f>
        <v/>
      </c>
      <c r="U39" s="7">
        <f>D39+R39</f>
        <v/>
      </c>
      <c r="V39" s="7">
        <f>H39*0.9235</f>
        <v/>
      </c>
      <c r="W39" s="7">
        <f>IF(H39&gt;0,2*impuestos_ssTasa*MIN(V39,MAX(0,impuestos_ssTope*C39-U39))+2*impuestos_medicareTasa*V39,0)</f>
        <v/>
      </c>
      <c r="X39" s="7">
        <f>impuestos_ssTasa*MIN(U39,impuestos_ssTope*C39)+impuestos_medicareTasa*U39+impuestos_medicareAdicional*MAX(0,U39+H39*0.9235-impuestos_medicareUmbral)</f>
        <v/>
      </c>
      <c r="Y39" s="7">
        <f>MAX(0,D39-O39+R39+T39+H39-W39/2)</f>
        <v/>
      </c>
      <c r="Z39" s="7">
        <f>MAX(0,Y39-impuestos_deduccionEstandar*C39)</f>
        <v/>
      </c>
      <c r="AA39" s="7">
        <f>MIN(0.2*MAX(0,T39+H39-W39/2)*MAX(0,MIN(1,1-(Z39-impuestos_qbiUmbral*C39)/(impuestos_qbiRango*C39))),0.2*Z39)</f>
        <v/>
      </c>
      <c r="AB39" s="7">
        <f>MAX(0,Z39-AA39)</f>
        <v/>
      </c>
      <c r="AC39" s="7">
        <f>SUMPRODUCT((AB39&gt;tb_federalBrackets_lo*C39)*(AB39-tb_federalBrackets_lo*C39)*tb_federalBrackets_dr)</f>
        <v/>
      </c>
      <c r="AD39" s="7">
        <f>MAX(0,Y39-impuestos_nyDeduccion*C39)</f>
        <v/>
      </c>
      <c r="AE39" s="7">
        <f>CHOOSE(loc_taxcode,0,impuestos_ohTasa*MAX(0,Y39-impuestos_ohExento*C39)+impuestos_ohMunicipal*U39,SUMPRODUCT((AD39&gt;tb_nyBrackets_lo*C39)*(AD39-tb_nyBrackets_lo*C39)*tb_nyBrackets_dr)+loc_nyc*SUMPRODUCT((AD39&gt;tb_nycBrackets_lo*C39)*(AD39-tb_nycBrackets_lo*C39)*tb_nycBrackets_dr))</f>
        <v/>
      </c>
      <c r="AF39" s="7">
        <f>AC39+AE39+X39+W39</f>
        <v/>
      </c>
      <c r="AG39" s="7">
        <f>D39+F39+R39+T39+H39</f>
        <v/>
      </c>
      <c r="AH39" s="7">
        <f>AG39-AF39-O39</f>
        <v/>
      </c>
      <c r="AI39" s="7">
        <f>D39+F39+G39+H39</f>
        <v/>
      </c>
      <c r="AJ39" s="7">
        <f>loc_gastosVida*C39*g_gastos</f>
        <v/>
      </c>
      <c r="AK39" s="7">
        <f>IF(6=0,personal_liquidoInicial,DR38)</f>
        <v/>
      </c>
      <c r="AL39" s="7">
        <f>IF(6=0,0,BB38)</f>
        <v/>
      </c>
      <c r="AM39" s="7">
        <f>CHOOSE(sel_cfgIdx,loc_precio_duplex,loc_precio_inlaw,loc_precio_dosCasas,loc_precio_casaAdu,loc_precio_multi)</f>
        <v/>
      </c>
      <c r="AN39" s="7">
        <f>AM39*(1+g_appr)^(A39-2026)</f>
        <v/>
      </c>
      <c r="AO39" s="7">
        <f>IF(AND(M39=1,vivienda_prestamoMedico=1),1,0)</f>
        <v/>
      </c>
      <c r="AP39" s="7">
        <f>IF(AO39=1,0.05,vivienda_enganchePct)</f>
        <v/>
      </c>
      <c r="AQ39" s="7">
        <f>AN39*(1-AP39)</f>
        <v/>
      </c>
      <c r="AR39" s="7">
        <f>PMT(g_mortRate/12,vivienda_plazoHipoteca*12,-AQ39)</f>
        <v/>
      </c>
      <c r="AS39" s="7">
        <f>INDEX(cfg_units,sel_cfgIdx)</f>
        <v/>
      </c>
      <c r="AT39" s="7">
        <f>AS39*loc_rentaUnidad*(1+g_inf)^(A39-2026)*(1-vivienda_vacancia)</f>
        <v/>
      </c>
      <c r="AU39" s="7">
        <f>AR39+AN39*loc_impuestoPropPct/12+AM39*loc_seguroPct*(1+vivienda_inflacionSeguro)^(A39-2026)/12+IF(AND(AO39=0,AP39&lt;0.2),AQ39*vivienda_pmiTasa/12,0)</f>
        <v/>
      </c>
      <c r="AV39" s="7">
        <f>AN39*AP39+AN39*vivienda_cierrePct+general_reservaMeses/12*AJ39</f>
        <v/>
      </c>
      <c r="AW39" s="7">
        <f>(IF(6=0,MIN(personal_irsSaldo,personal_irsPagoMensual*12),MIN(CD38,personal_irsPagoMensual*12))+IF(CE39&gt;0,PMT(CF39,MAX(1,prestamos_plazoAnios-CG39),-CE39),0)+IF(CR39&gt;0,PMT(CS39,MAX(1,prestamos_plazoAnios-CT39),-CR39),0))/12</f>
        <v/>
      </c>
      <c r="AX39" s="7">
        <f>IF(OR(sel_cfg="duplex",sel_cfg="multi",sel_cfg="dosCasas"),0.75*personal_aporteFamiliaMensual,0)</f>
        <v/>
      </c>
      <c r="AY39" s="7">
        <f>AU39-0.75*AT39-AX39+AW39</f>
        <v/>
      </c>
      <c r="AZ39" s="7">
        <f>(D39+G39+H39+0.5*F39)/12</f>
        <v/>
      </c>
      <c r="BA39" s="7">
        <f>IF(AND(AL39=0,A39&gt;=vivienda_anioMinCompra,J39&lt;0.5,AI39&gt;0,AK39&gt;=AV39,AY39&lt;=vivienda_dtiMax*AZ39),1,0)</f>
        <v/>
      </c>
      <c r="BB39" s="7">
        <f>MAX(AL39,BA39)</f>
        <v/>
      </c>
      <c r="BC39" s="7">
        <f>IF(BA39=1,A39,IF(6=0,"",BC38))</f>
        <v/>
      </c>
      <c r="BD39" s="7">
        <f>AK39-IF(BA39=1,AN39*AP39+AN39*vivienda_cierrePct,0)</f>
        <v/>
      </c>
      <c r="BE39" s="7">
        <f>IF(BA39=1,AN39,IF(6=0,0,BE38))</f>
        <v/>
      </c>
      <c r="BF39" s="7">
        <f>IF(BA39=1,AR39,IF(6=0,0,BF38))</f>
        <v/>
      </c>
      <c r="BG39" s="7">
        <f>IF(BA39=1,IF(AND(AO39=0,AP39&lt;0.2),1,0),IF(6=0,0,BY38))</f>
        <v/>
      </c>
      <c r="BH39" s="7">
        <f>IF(sel_cfg="casaAdu",1,0)</f>
        <v/>
      </c>
      <c r="BI39" s="7">
        <f>IF(AND(BB39=1,BH39=1,IF(6=0,0,BJ38)=0,A39&gt;=IF(BC39="",9999,BC39)+vivienda_aduRetrasoAnios),1,0)</f>
        <v/>
      </c>
      <c r="BJ39" s="7">
        <f>MAX(IF(6=0,0,BJ38),BI39)</f>
        <v/>
      </c>
      <c r="BK39" s="7">
        <f>IF(BI39=1,PMT((g_mortRate+0.005)/12,180,-loc_precio_aduCosto*C39),IF(6=0,0,BK38))</f>
        <v/>
      </c>
      <c r="BL39" s="7">
        <f>IF(BA39=1,AN39,IF(6=0,0,DT38))+IF(BI39=1,loc_precio_aduCosto*C39,0)</f>
        <v/>
      </c>
      <c r="BM39" s="7">
        <f>IF(BA39=1,AQ39,IF(6=0,0,DU38))</f>
        <v/>
      </c>
      <c r="BN39" s="7">
        <f>IF(BM39&lt;=0,0,FV(g_mortRate/12,12,BF39,-BM39))</f>
        <v/>
      </c>
      <c r="BO39" s="7">
        <f>IF(BM39&lt;=0,0,12*BF39+MIN(0,BN39))</f>
        <v/>
      </c>
      <c r="BP39" s="7">
        <f>MAX(0,BN39)</f>
        <v/>
      </c>
      <c r="BQ39" s="7">
        <f>IF(BI39=1,loc_precio_aduCosto*C39,IF(6=0,0,DV38))</f>
        <v/>
      </c>
      <c r="BR39" s="7">
        <f>IF(BQ39&lt;=0,0,FV((g_mortRate+0.005)/12,12,BK39,-BQ39))</f>
        <v/>
      </c>
      <c r="BS39" s="7">
        <f>IF(BQ39&lt;=0,0,12*BK39+MIN(0,BR39))</f>
        <v/>
      </c>
      <c r="BT39" s="7">
        <f>MAX(0,BR39)</f>
        <v/>
      </c>
      <c r="BU39" s="7">
        <f>IF(BB39=1,AM39*loc_seguroPct*(1+vivienda_inflacionSeguro)^(A39-2026)*IF(BJ39=1,1+loc_precio_aduCosto/AM39,1),0)</f>
        <v/>
      </c>
      <c r="BV39" s="7">
        <f>BL39*loc_impuestoPropPct</f>
        <v/>
      </c>
      <c r="BW39" s="7">
        <f>BL39*vivienda_mantenimientoPct</f>
        <v/>
      </c>
      <c r="BX39" s="7">
        <f>IF(AND(BG39=1,BP39&gt;0.8*BE39),BE39*(1-vivienda_enganchePct)*vivienda_pmiTasa,0)</f>
        <v/>
      </c>
      <c r="BY39" s="7">
        <f>IF(AND(BG39=1,BP39&gt;0.8*BE39),1,0)</f>
        <v/>
      </c>
      <c r="BZ39" s="7">
        <f>IF(BB39=1,AS39*loc_rentaUnidad*12*C39*(1-vivienda_vacancia)*(1-vivienda_gestionPct),0)</f>
        <v/>
      </c>
      <c r="CA39" s="7">
        <f>IF(BB39=1,BO39+BS39+BU39+BV39+BW39+BX39,loc_rentaMensual*12*C39)</f>
        <v/>
      </c>
      <c r="CB39" s="7">
        <f>IF(BB39=1,personal_aporteFamiliaMensual*12,0)</f>
        <v/>
      </c>
      <c r="CC39" s="7">
        <f>MIN(IF(6=0,personal_irsSaldo,CD38),personal_irsPagoMensual*12)</f>
        <v/>
      </c>
      <c r="CD39" s="7">
        <f>IF(6=0,personal_irsSaldo,CD38)-CC39</f>
        <v/>
      </c>
      <c r="CE39" s="7">
        <f>IF(6=0,IF(personal_deudaEsFederal=1,personal_deudaEstudiantil,0),DW38)</f>
        <v/>
      </c>
      <c r="CF39" s="7">
        <f>IF(6=0,personal_tasaDeudaEstudiantil,DX38)</f>
        <v/>
      </c>
      <c r="CG39" s="7">
        <f>IF(6=0,0,DY38)</f>
        <v/>
      </c>
      <c r="CH39" s="7">
        <f>IF(J39&gt;=0.5,1,0)</f>
        <v/>
      </c>
      <c r="CI39" s="7">
        <f>IF(AND(CH39=0,prestamos_pslfActivo=1,K39&gt;=0.5,CE39&gt;0),1,0)</f>
        <v/>
      </c>
      <c r="CJ39" s="7">
        <f>CE39*CF39</f>
        <v/>
      </c>
      <c r="CK39" s="7">
        <f>MAX(prestamos_rapPagoMinimoAnual,IF(Y39&lt;10000,0,MIN(0.1,INT(Y39/10000)/100))*Y39)</f>
        <v/>
      </c>
      <c r="CL39" s="7">
        <f>IF(CE39&lt;=0,0,IF(CH39=1,0,IF(CI39=1,MIN(CE39+CJ39,CK39),PMT(CF39,MAX(1,prestamos_plazoAnios-CG39),-CE39))))</f>
        <v/>
      </c>
      <c r="CM39" s="7">
        <f>IF(CE39&lt;=0,0,IF(CH39=1,CE39+CJ39,IF(CI39=1,MAX(0,CE39-MAX(CL39-CJ39,MIN(600,CL39))),MAX(0,CE39*(1+CF39)-CL39))))</f>
        <v/>
      </c>
      <c r="CN39" s="7">
        <f>IF(6=0,0,CN38)+IF(CI39=1,12*MIN(1,K39),0)</f>
        <v/>
      </c>
      <c r="CO39" s="7">
        <f>IF(AND(CI39=1,CN39&gt;=prestamos_pslfPagos,CM39&gt;0),CM39,0)</f>
        <v/>
      </c>
      <c r="CP39" s="7">
        <f>CM39-CO39</f>
        <v/>
      </c>
      <c r="CQ39" s="7">
        <f>IF(AND(CE39&gt;0,CH39=0,CI39=0),CG39+1,CG39)</f>
        <v/>
      </c>
      <c r="CR39" s="7">
        <f>IF(6=0,IF(personal_deudaEsFederal=1,0,personal_deudaEstudiantil),EA38)</f>
        <v/>
      </c>
      <c r="CS39" s="7">
        <f>IF(6=0,IF(personal_deudaEsFederal=1,prestamos_tasaPrivada,personal_tasaDeudaEstudiantil),EB38)</f>
        <v/>
      </c>
      <c r="CT39" s="7">
        <f>IF(6=0,0,EC38)</f>
        <v/>
      </c>
      <c r="CU39" s="7">
        <f>IF(OR(CR39&lt;=0,CH39=1),0,PMT(CS39,MAX(1,prestamos_plazoAnios-CT39),-CR39))</f>
        <v/>
      </c>
      <c r="CV39" s="7">
        <f>IF(CR39&lt;=0,0,IF(CH39=1,CR39*(1+CS39),MAX(0,CR39*(1+CS39)-CU39)))</f>
        <v/>
      </c>
      <c r="CW39" s="7">
        <f>IF(AND(CR39&gt;0,CH39=0),CT39+1,CT39)</f>
        <v/>
      </c>
      <c r="CX39" s="7">
        <f>IF(6=0,0,ED38)*(1+general_tasaDeudaConsumo)</f>
        <v/>
      </c>
      <c r="CY39" s="7">
        <f>L39*12*tiempos_travelGastoExtraMes*C39</f>
        <v/>
      </c>
      <c r="CZ39" s="7">
        <f>AJ39+CY39+CA39+CC39+CL39+CU39+I39+N39-BZ39-CB39</f>
        <v/>
      </c>
      <c r="DA39" s="7">
        <f>AH39-CZ39</f>
        <v/>
      </c>
      <c r="DB39" s="7">
        <f>IF(6=0,0,DB38)+DA39</f>
        <v/>
      </c>
      <c r="DC39" s="7">
        <f>AN39*vivienda_enganchePct+AN39*vivienda_cierrePct+general_reservaMeses/12*AJ39</f>
        <v/>
      </c>
      <c r="DD39" s="7">
        <f>IF(BB39=1,g_ret,IF(BD39&gt;0,MIN(1,DC39/BD39),1)*g_cash+(1-IF(BD39&gt;0,MIN(1,DC39/BD39),1))*g_ret)</f>
        <v/>
      </c>
      <c r="DE39" s="7">
        <f>IF(DA39&gt;=0,MIN(CX39,DA39),0)</f>
        <v/>
      </c>
      <c r="DF39" s="7">
        <f>IF(DA39&gt;=0,(1-general_tasaAhorro)*(DA39-DE39),0)</f>
        <v/>
      </c>
      <c r="DG39" s="7">
        <f>IF(DA39&gt;=0,DA39-DE39-DF39,0)</f>
        <v/>
      </c>
      <c r="DH39" s="7">
        <f>MIN(personal_rothAnual,DG39)</f>
        <v/>
      </c>
      <c r="DI39" s="7">
        <f>IF(AND(DA39&gt;=0,BB39=1,BP39+BT39&gt;0),MIN(vivienda_prepagoPct*(DG39-DH39),BP39+BT39),0)</f>
        <v/>
      </c>
      <c r="DJ39" s="7">
        <f>MIN(DI39,BP39)</f>
        <v/>
      </c>
      <c r="DK39" s="7">
        <f>IF(DA39&lt;0,MIN(MAX(0,BD39),-DA39),0)</f>
        <v/>
      </c>
      <c r="DL39" s="7">
        <f>IF(DA39&lt;0,-DA39-DK39,0)</f>
        <v/>
      </c>
      <c r="DM39" s="7">
        <f>IF(6=0,0,DZ38)</f>
        <v/>
      </c>
      <c r="DN39" s="7">
        <f>IF(AND(DL39&gt;0,J39&gt;0),MIN(DL39,MIN(prestamos_topeAnualPosgrado*MIN(1,J39),MAX(0,prestamos_topeTotalPosgrado-DM39))),0)</f>
        <v/>
      </c>
      <c r="DO39" s="7">
        <f>IF(AND(DL39&gt;0,J39&gt;0),DL39-DN39,0)</f>
        <v/>
      </c>
      <c r="DP39" s="7">
        <f>IF(AND(DL39&gt;0,J39&lt;=0),DL39,0)</f>
        <v/>
      </c>
      <c r="DQ39" s="7">
        <f>IF(DA39&gt;=0,DG39-DH39-DI39,-DK39)</f>
        <v/>
      </c>
      <c r="DR39" s="7">
        <f>BD39*(1+DD39)+DQ39*(1+DD39/2)</f>
        <v/>
      </c>
      <c r="DS39" s="7">
        <f>IF(6=0,personal_retiroInicial,DS38)*(1+g_ret)+(O39+P39+DH39)*(1+g_ret/2)</f>
        <v/>
      </c>
      <c r="DT39" s="7">
        <f>IF(BB39=1,BL39*(1+g_appr),0)</f>
        <v/>
      </c>
      <c r="DU39" s="7">
        <f>BP39-DJ39</f>
        <v/>
      </c>
      <c r="DV39" s="7">
        <f>BT39-(DI39-DJ39)</f>
        <v/>
      </c>
      <c r="DW39" s="7">
        <f>CP39+DN39</f>
        <v/>
      </c>
      <c r="DX39" s="7">
        <f>IF(DN39&gt;0,(CP39*CF39+DN39*prestamos_tasaFederalPosgrado)/(CP39+DN39),CF39)</f>
        <v/>
      </c>
      <c r="DY39" s="7">
        <f>IF(DN39&gt;0,0,CQ39)</f>
        <v/>
      </c>
      <c r="DZ39" s="7">
        <f>DM39+DN39</f>
        <v/>
      </c>
      <c r="EA39" s="7">
        <f>CV39+DO39</f>
        <v/>
      </c>
      <c r="EB39" s="7">
        <f>IF(DO39&gt;0,(CV39*CS39+DO39*prestamos_tasaPrivada)/(CV39+DO39),CS39)</f>
        <v/>
      </c>
      <c r="EC39" s="7">
        <f>IF(DO39&gt;0,0,CW39)</f>
        <v/>
      </c>
      <c r="ED39" s="7">
        <f>CX39-DE39+DP39</f>
        <v/>
      </c>
      <c r="EE39" s="7">
        <f>IF(IF(6=0,"",EE38)&lt;&gt;"",EE38,IF(AND(BB39=1,DU39&lt;=0.5,DV39&lt;=0.5,OR(BH39=0,BJ39=1)),A39,""))</f>
        <v/>
      </c>
      <c r="EF39" s="7">
        <f>DU39+DV39+DW39+EA39+ED39+CD39</f>
        <v/>
      </c>
      <c r="EG39" s="7">
        <f>DR39+DS39+DT39-EF39</f>
        <v/>
      </c>
      <c r="EH39" s="7">
        <f>EG39/(1+g_inf)^(A39+1-2026)</f>
        <v/>
      </c>
    </row>
    <row r="40">
      <c r="A40" t="n">
        <v>2034</v>
      </c>
      <c r="B40" t="n">
        <v>7</v>
      </c>
      <c r="C40" s="7">
        <f>(1+g_inf)^(A40-2026)</f>
        <v/>
      </c>
      <c r="D40" s="7">
        <f>SUMPRODUCT($AA$5:$AA$29,$E$5:$E$29*(1+$F$5:$F$29)^(A40-2026)*$G$5:$G$29*$H$5:$H$29*(1-$N$5:$N$29*$O$5:$O$29))*g_salMult+SUMPRODUCT(($B$5:$B$29&gt;=A40)*($B$5:$B$29&lt;A40+1)*$I$5:$I$29)*g_salMult</f>
        <v/>
      </c>
      <c r="E40" s="7">
        <f>SUMPRODUCT($AA$5:$AA$29,$E$5:$E$29*(1+$F$5:$F$29)^(A40-2026)*$G$5:$G$29*$H$5:$H$29*$M$5:$M$29)*g_salMult</f>
        <v/>
      </c>
      <c r="F40" s="7">
        <f>SUMPRODUCT($AA$5:$AA$29,$E$5:$E$29*(1+$F$5:$F$29)^(A40-2026)*$G$5:$G$29*$H$5:$H$29*$N$5:$N$29*$O$5:$O$29)*g_salMult</f>
        <v/>
      </c>
      <c r="G40" s="7">
        <f>SUMPRODUCT($AA$5:$AA$29,$P$5:$P$29*(1+$F$5:$F$29)^(A40-2026))</f>
        <v/>
      </c>
      <c r="H40" s="7">
        <f>SUMPRODUCT($AA$5:$AA$29,$Q$5:$Q$29*(1+$F$5:$F$29)^(A40-2026))+IF(personal_llcActivo=1,personal_llcNeto*(1+personal_llcCrecimiento)^7,0)</f>
        <v/>
      </c>
      <c r="I40" s="7">
        <f>SUMPRODUCT($AA$5:$AA$29,$J$5:$J$29/($C$5:$C$29-$B$5:$B$29+($C$5:$C$29=$B$5:$B$29)))*C40</f>
        <v/>
      </c>
      <c r="J40" s="7">
        <f>SUMPRODUCT($AA$5:$AA$29,$K$5:$K$29)</f>
        <v/>
      </c>
      <c r="K40" s="7">
        <f>SUMPRODUCT($AA$5:$AA$29,$L$5:$L$29)</f>
        <v/>
      </c>
      <c r="L40" s="7">
        <f>SUMPRODUCT($AA$5:$AA$29,$N$5:$N$29)</f>
        <v/>
      </c>
      <c r="M40" s="7">
        <f>IF(SUMPRODUCT($AA$5:$AA$29,$R$5:$R$29)&gt;0,1,0)</f>
        <v/>
      </c>
      <c r="N40" s="7">
        <f>SUMPRODUCT(($AO$5:$AO$24&gt;=A40)*($AO$5:$AO$24&lt;A40+1)*$AP$5:$AP$24)*C40+IF(7=0,IF(sel_loc&lt;&gt;"miami",personal_costoMudanzaInicial,0),0)</f>
        <v/>
      </c>
      <c r="O40" s="7">
        <f>MIN(personal_aporte403bPct*D40,retiro_limite403b*C40)</f>
        <v/>
      </c>
      <c r="P40" s="7">
        <f>MIN(personal_aporte403bPct,personal_match403bPct)*E40</f>
        <v/>
      </c>
      <c r="Q40" s="7">
        <f>IF(G40&gt;0,MAX(0,G40-impuestos_scorpCostoAnual*C40),0)</f>
        <v/>
      </c>
      <c r="R40" s="7">
        <f>Q40*impuestos_scorpSalarioPct/(1+impuestos_ssTasa+impuestos_medicareTasa)</f>
        <v/>
      </c>
      <c r="S40" s="7">
        <f>impuestos_ssTasa*MIN(R40,MAX(0,impuestos_ssTope*C40-D40))+impuestos_medicareTasa*R40</f>
        <v/>
      </c>
      <c r="T40" s="7">
        <f>Q40-R40-S40</f>
        <v/>
      </c>
      <c r="U40" s="7">
        <f>D40+R40</f>
        <v/>
      </c>
      <c r="V40" s="7">
        <f>H40*0.9235</f>
        <v/>
      </c>
      <c r="W40" s="7">
        <f>IF(H40&gt;0,2*impuestos_ssTasa*MIN(V40,MAX(0,impuestos_ssTope*C40-U40))+2*impuestos_medicareTasa*V40,0)</f>
        <v/>
      </c>
      <c r="X40" s="7">
        <f>impuestos_ssTasa*MIN(U40,impuestos_ssTope*C40)+impuestos_medicareTasa*U40+impuestos_medicareAdicional*MAX(0,U40+H40*0.9235-impuestos_medicareUmbral)</f>
        <v/>
      </c>
      <c r="Y40" s="7">
        <f>MAX(0,D40-O40+R40+T40+H40-W40/2)</f>
        <v/>
      </c>
      <c r="Z40" s="7">
        <f>MAX(0,Y40-impuestos_deduccionEstandar*C40)</f>
        <v/>
      </c>
      <c r="AA40" s="7">
        <f>MIN(0.2*MAX(0,T40+H40-W40/2)*MAX(0,MIN(1,1-(Z40-impuestos_qbiUmbral*C40)/(impuestos_qbiRango*C40))),0.2*Z40)</f>
        <v/>
      </c>
      <c r="AB40" s="7">
        <f>MAX(0,Z40-AA40)</f>
        <v/>
      </c>
      <c r="AC40" s="7">
        <f>SUMPRODUCT((AB40&gt;tb_federalBrackets_lo*C40)*(AB40-tb_federalBrackets_lo*C40)*tb_federalBrackets_dr)</f>
        <v/>
      </c>
      <c r="AD40" s="7">
        <f>MAX(0,Y40-impuestos_nyDeduccion*C40)</f>
        <v/>
      </c>
      <c r="AE40" s="7">
        <f>CHOOSE(loc_taxcode,0,impuestos_ohTasa*MAX(0,Y40-impuestos_ohExento*C40)+impuestos_ohMunicipal*U40,SUMPRODUCT((AD40&gt;tb_nyBrackets_lo*C40)*(AD40-tb_nyBrackets_lo*C40)*tb_nyBrackets_dr)+loc_nyc*SUMPRODUCT((AD40&gt;tb_nycBrackets_lo*C40)*(AD40-tb_nycBrackets_lo*C40)*tb_nycBrackets_dr))</f>
        <v/>
      </c>
      <c r="AF40" s="7">
        <f>AC40+AE40+X40+W40</f>
        <v/>
      </c>
      <c r="AG40" s="7">
        <f>D40+F40+R40+T40+H40</f>
        <v/>
      </c>
      <c r="AH40" s="7">
        <f>AG40-AF40-O40</f>
        <v/>
      </c>
      <c r="AI40" s="7">
        <f>D40+F40+G40+H40</f>
        <v/>
      </c>
      <c r="AJ40" s="7">
        <f>loc_gastosVida*C40*g_gastos</f>
        <v/>
      </c>
      <c r="AK40" s="7">
        <f>IF(7=0,personal_liquidoInicial,DR39)</f>
        <v/>
      </c>
      <c r="AL40" s="7">
        <f>IF(7=0,0,BB39)</f>
        <v/>
      </c>
      <c r="AM40" s="7">
        <f>CHOOSE(sel_cfgIdx,loc_precio_duplex,loc_precio_inlaw,loc_precio_dosCasas,loc_precio_casaAdu,loc_precio_multi)</f>
        <v/>
      </c>
      <c r="AN40" s="7">
        <f>AM40*(1+g_appr)^(A40-2026)</f>
        <v/>
      </c>
      <c r="AO40" s="7">
        <f>IF(AND(M40=1,vivienda_prestamoMedico=1),1,0)</f>
        <v/>
      </c>
      <c r="AP40" s="7">
        <f>IF(AO40=1,0.05,vivienda_enganchePct)</f>
        <v/>
      </c>
      <c r="AQ40" s="7">
        <f>AN40*(1-AP40)</f>
        <v/>
      </c>
      <c r="AR40" s="7">
        <f>PMT(g_mortRate/12,vivienda_plazoHipoteca*12,-AQ40)</f>
        <v/>
      </c>
      <c r="AS40" s="7">
        <f>INDEX(cfg_units,sel_cfgIdx)</f>
        <v/>
      </c>
      <c r="AT40" s="7">
        <f>AS40*loc_rentaUnidad*(1+g_inf)^(A40-2026)*(1-vivienda_vacancia)</f>
        <v/>
      </c>
      <c r="AU40" s="7">
        <f>AR40+AN40*loc_impuestoPropPct/12+AM40*loc_seguroPct*(1+vivienda_inflacionSeguro)^(A40-2026)/12+IF(AND(AO40=0,AP40&lt;0.2),AQ40*vivienda_pmiTasa/12,0)</f>
        <v/>
      </c>
      <c r="AV40" s="7">
        <f>AN40*AP40+AN40*vivienda_cierrePct+general_reservaMeses/12*AJ40</f>
        <v/>
      </c>
      <c r="AW40" s="7">
        <f>(IF(7=0,MIN(personal_irsSaldo,personal_irsPagoMensual*12),MIN(CD39,personal_irsPagoMensual*12))+IF(CE40&gt;0,PMT(CF40,MAX(1,prestamos_plazoAnios-CG40),-CE40),0)+IF(CR40&gt;0,PMT(CS40,MAX(1,prestamos_plazoAnios-CT40),-CR40),0))/12</f>
        <v/>
      </c>
      <c r="AX40" s="7">
        <f>IF(OR(sel_cfg="duplex",sel_cfg="multi",sel_cfg="dosCasas"),0.75*personal_aporteFamiliaMensual,0)</f>
        <v/>
      </c>
      <c r="AY40" s="7">
        <f>AU40-0.75*AT40-AX40+AW40</f>
        <v/>
      </c>
      <c r="AZ40" s="7">
        <f>(D40+G40+H40+0.5*F40)/12</f>
        <v/>
      </c>
      <c r="BA40" s="7">
        <f>IF(AND(AL40=0,A40&gt;=vivienda_anioMinCompra,J40&lt;0.5,AI40&gt;0,AK40&gt;=AV40,AY40&lt;=vivienda_dtiMax*AZ40),1,0)</f>
        <v/>
      </c>
      <c r="BB40" s="7">
        <f>MAX(AL40,BA40)</f>
        <v/>
      </c>
      <c r="BC40" s="7">
        <f>IF(BA40=1,A40,IF(7=0,"",BC39))</f>
        <v/>
      </c>
      <c r="BD40" s="7">
        <f>AK40-IF(BA40=1,AN40*AP40+AN40*vivienda_cierrePct,0)</f>
        <v/>
      </c>
      <c r="BE40" s="7">
        <f>IF(BA40=1,AN40,IF(7=0,0,BE39))</f>
        <v/>
      </c>
      <c r="BF40" s="7">
        <f>IF(BA40=1,AR40,IF(7=0,0,BF39))</f>
        <v/>
      </c>
      <c r="BG40" s="7">
        <f>IF(BA40=1,IF(AND(AO40=0,AP40&lt;0.2),1,0),IF(7=0,0,BY39))</f>
        <v/>
      </c>
      <c r="BH40" s="7">
        <f>IF(sel_cfg="casaAdu",1,0)</f>
        <v/>
      </c>
      <c r="BI40" s="7">
        <f>IF(AND(BB40=1,BH40=1,IF(7=0,0,BJ39)=0,A40&gt;=IF(BC40="",9999,BC40)+vivienda_aduRetrasoAnios),1,0)</f>
        <v/>
      </c>
      <c r="BJ40" s="7">
        <f>MAX(IF(7=0,0,BJ39),BI40)</f>
        <v/>
      </c>
      <c r="BK40" s="7">
        <f>IF(BI40=1,PMT((g_mortRate+0.005)/12,180,-loc_precio_aduCosto*C40),IF(7=0,0,BK39))</f>
        <v/>
      </c>
      <c r="BL40" s="7">
        <f>IF(BA40=1,AN40,IF(7=0,0,DT39))+IF(BI40=1,loc_precio_aduCosto*C40,0)</f>
        <v/>
      </c>
      <c r="BM40" s="7">
        <f>IF(BA40=1,AQ40,IF(7=0,0,DU39))</f>
        <v/>
      </c>
      <c r="BN40" s="7">
        <f>IF(BM40&lt;=0,0,FV(g_mortRate/12,12,BF40,-BM40))</f>
        <v/>
      </c>
      <c r="BO40" s="7">
        <f>IF(BM40&lt;=0,0,12*BF40+MIN(0,BN40))</f>
        <v/>
      </c>
      <c r="BP40" s="7">
        <f>MAX(0,BN40)</f>
        <v/>
      </c>
      <c r="BQ40" s="7">
        <f>IF(BI40=1,loc_precio_aduCosto*C40,IF(7=0,0,DV39))</f>
        <v/>
      </c>
      <c r="BR40" s="7">
        <f>IF(BQ40&lt;=0,0,FV((g_mortRate+0.005)/12,12,BK40,-BQ40))</f>
        <v/>
      </c>
      <c r="BS40" s="7">
        <f>IF(BQ40&lt;=0,0,12*BK40+MIN(0,BR40))</f>
        <v/>
      </c>
      <c r="BT40" s="7">
        <f>MAX(0,BR40)</f>
        <v/>
      </c>
      <c r="BU40" s="7">
        <f>IF(BB40=1,AM40*loc_seguroPct*(1+vivienda_inflacionSeguro)^(A40-2026)*IF(BJ40=1,1+loc_precio_aduCosto/AM40,1),0)</f>
        <v/>
      </c>
      <c r="BV40" s="7">
        <f>BL40*loc_impuestoPropPct</f>
        <v/>
      </c>
      <c r="BW40" s="7">
        <f>BL40*vivienda_mantenimientoPct</f>
        <v/>
      </c>
      <c r="BX40" s="7">
        <f>IF(AND(BG40=1,BP40&gt;0.8*BE40),BE40*(1-vivienda_enganchePct)*vivienda_pmiTasa,0)</f>
        <v/>
      </c>
      <c r="BY40" s="7">
        <f>IF(AND(BG40=1,BP40&gt;0.8*BE40),1,0)</f>
        <v/>
      </c>
      <c r="BZ40" s="7">
        <f>IF(BB40=1,AS40*loc_rentaUnidad*12*C40*(1-vivienda_vacancia)*(1-vivienda_gestionPct),0)</f>
        <v/>
      </c>
      <c r="CA40" s="7">
        <f>IF(BB40=1,BO40+BS40+BU40+BV40+BW40+BX40,loc_rentaMensual*12*C40)</f>
        <v/>
      </c>
      <c r="CB40" s="7">
        <f>IF(BB40=1,personal_aporteFamiliaMensual*12,0)</f>
        <v/>
      </c>
      <c r="CC40" s="7">
        <f>MIN(IF(7=0,personal_irsSaldo,CD39),personal_irsPagoMensual*12)</f>
        <v/>
      </c>
      <c r="CD40" s="7">
        <f>IF(7=0,personal_irsSaldo,CD39)-CC40</f>
        <v/>
      </c>
      <c r="CE40" s="7">
        <f>IF(7=0,IF(personal_deudaEsFederal=1,personal_deudaEstudiantil,0),DW39)</f>
        <v/>
      </c>
      <c r="CF40" s="7">
        <f>IF(7=0,personal_tasaDeudaEstudiantil,DX39)</f>
        <v/>
      </c>
      <c r="CG40" s="7">
        <f>IF(7=0,0,DY39)</f>
        <v/>
      </c>
      <c r="CH40" s="7">
        <f>IF(J40&gt;=0.5,1,0)</f>
        <v/>
      </c>
      <c r="CI40" s="7">
        <f>IF(AND(CH40=0,prestamos_pslfActivo=1,K40&gt;=0.5,CE40&gt;0),1,0)</f>
        <v/>
      </c>
      <c r="CJ40" s="7">
        <f>CE40*CF40</f>
        <v/>
      </c>
      <c r="CK40" s="7">
        <f>MAX(prestamos_rapPagoMinimoAnual,IF(Y40&lt;10000,0,MIN(0.1,INT(Y40/10000)/100))*Y40)</f>
        <v/>
      </c>
      <c r="CL40" s="7">
        <f>IF(CE40&lt;=0,0,IF(CH40=1,0,IF(CI40=1,MIN(CE40+CJ40,CK40),PMT(CF40,MAX(1,prestamos_plazoAnios-CG40),-CE40))))</f>
        <v/>
      </c>
      <c r="CM40" s="7">
        <f>IF(CE40&lt;=0,0,IF(CH40=1,CE40+CJ40,IF(CI40=1,MAX(0,CE40-MAX(CL40-CJ40,MIN(600,CL40))),MAX(0,CE40*(1+CF40)-CL40))))</f>
        <v/>
      </c>
      <c r="CN40" s="7">
        <f>IF(7=0,0,CN39)+IF(CI40=1,12*MIN(1,K40),0)</f>
        <v/>
      </c>
      <c r="CO40" s="7">
        <f>IF(AND(CI40=1,CN40&gt;=prestamos_pslfPagos,CM40&gt;0),CM40,0)</f>
        <v/>
      </c>
      <c r="CP40" s="7">
        <f>CM40-CO40</f>
        <v/>
      </c>
      <c r="CQ40" s="7">
        <f>IF(AND(CE40&gt;0,CH40=0,CI40=0),CG40+1,CG40)</f>
        <v/>
      </c>
      <c r="CR40" s="7">
        <f>IF(7=0,IF(personal_deudaEsFederal=1,0,personal_deudaEstudiantil),EA39)</f>
        <v/>
      </c>
      <c r="CS40" s="7">
        <f>IF(7=0,IF(personal_deudaEsFederal=1,prestamos_tasaPrivada,personal_tasaDeudaEstudiantil),EB39)</f>
        <v/>
      </c>
      <c r="CT40" s="7">
        <f>IF(7=0,0,EC39)</f>
        <v/>
      </c>
      <c r="CU40" s="7">
        <f>IF(OR(CR40&lt;=0,CH40=1),0,PMT(CS40,MAX(1,prestamos_plazoAnios-CT40),-CR40))</f>
        <v/>
      </c>
      <c r="CV40" s="7">
        <f>IF(CR40&lt;=0,0,IF(CH40=1,CR40*(1+CS40),MAX(0,CR40*(1+CS40)-CU40)))</f>
        <v/>
      </c>
      <c r="CW40" s="7">
        <f>IF(AND(CR40&gt;0,CH40=0),CT40+1,CT40)</f>
        <v/>
      </c>
      <c r="CX40" s="7">
        <f>IF(7=0,0,ED39)*(1+general_tasaDeudaConsumo)</f>
        <v/>
      </c>
      <c r="CY40" s="7">
        <f>L40*12*tiempos_travelGastoExtraMes*C40</f>
        <v/>
      </c>
      <c r="CZ40" s="7">
        <f>AJ40+CY40+CA40+CC40+CL40+CU40+I40+N40-BZ40-CB40</f>
        <v/>
      </c>
      <c r="DA40" s="7">
        <f>AH40-CZ40</f>
        <v/>
      </c>
      <c r="DB40" s="7">
        <f>IF(7=0,0,DB39)+DA40</f>
        <v/>
      </c>
      <c r="DC40" s="7">
        <f>AN40*vivienda_enganchePct+AN40*vivienda_cierrePct+general_reservaMeses/12*AJ40</f>
        <v/>
      </c>
      <c r="DD40" s="7">
        <f>IF(BB40=1,g_ret,IF(BD40&gt;0,MIN(1,DC40/BD40),1)*g_cash+(1-IF(BD40&gt;0,MIN(1,DC40/BD40),1))*g_ret)</f>
        <v/>
      </c>
      <c r="DE40" s="7">
        <f>IF(DA40&gt;=0,MIN(CX40,DA40),0)</f>
        <v/>
      </c>
      <c r="DF40" s="7">
        <f>IF(DA40&gt;=0,(1-general_tasaAhorro)*(DA40-DE40),0)</f>
        <v/>
      </c>
      <c r="DG40" s="7">
        <f>IF(DA40&gt;=0,DA40-DE40-DF40,0)</f>
        <v/>
      </c>
      <c r="DH40" s="7">
        <f>MIN(personal_rothAnual,DG40)</f>
        <v/>
      </c>
      <c r="DI40" s="7">
        <f>IF(AND(DA40&gt;=0,BB40=1,BP40+BT40&gt;0),MIN(vivienda_prepagoPct*(DG40-DH40),BP40+BT40),0)</f>
        <v/>
      </c>
      <c r="DJ40" s="7">
        <f>MIN(DI40,BP40)</f>
        <v/>
      </c>
      <c r="DK40" s="7">
        <f>IF(DA40&lt;0,MIN(MAX(0,BD40),-DA40),0)</f>
        <v/>
      </c>
      <c r="DL40" s="7">
        <f>IF(DA40&lt;0,-DA40-DK40,0)</f>
        <v/>
      </c>
      <c r="DM40" s="7">
        <f>IF(7=0,0,DZ39)</f>
        <v/>
      </c>
      <c r="DN40" s="7">
        <f>IF(AND(DL40&gt;0,J40&gt;0),MIN(DL40,MIN(prestamos_topeAnualPosgrado*MIN(1,J40),MAX(0,prestamos_topeTotalPosgrado-DM40))),0)</f>
        <v/>
      </c>
      <c r="DO40" s="7">
        <f>IF(AND(DL40&gt;0,J40&gt;0),DL40-DN40,0)</f>
        <v/>
      </c>
      <c r="DP40" s="7">
        <f>IF(AND(DL40&gt;0,J40&lt;=0),DL40,0)</f>
        <v/>
      </c>
      <c r="DQ40" s="7">
        <f>IF(DA40&gt;=0,DG40-DH40-DI40,-DK40)</f>
        <v/>
      </c>
      <c r="DR40" s="7">
        <f>BD40*(1+DD40)+DQ40*(1+DD40/2)</f>
        <v/>
      </c>
      <c r="DS40" s="7">
        <f>IF(7=0,personal_retiroInicial,DS39)*(1+g_ret)+(O40+P40+DH40)*(1+g_ret/2)</f>
        <v/>
      </c>
      <c r="DT40" s="7">
        <f>IF(BB40=1,BL40*(1+g_appr),0)</f>
        <v/>
      </c>
      <c r="DU40" s="7">
        <f>BP40-DJ40</f>
        <v/>
      </c>
      <c r="DV40" s="7">
        <f>BT40-(DI40-DJ40)</f>
        <v/>
      </c>
      <c r="DW40" s="7">
        <f>CP40+DN40</f>
        <v/>
      </c>
      <c r="DX40" s="7">
        <f>IF(DN40&gt;0,(CP40*CF40+DN40*prestamos_tasaFederalPosgrado)/(CP40+DN40),CF40)</f>
        <v/>
      </c>
      <c r="DY40" s="7">
        <f>IF(DN40&gt;0,0,CQ40)</f>
        <v/>
      </c>
      <c r="DZ40" s="7">
        <f>DM40+DN40</f>
        <v/>
      </c>
      <c r="EA40" s="7">
        <f>CV40+DO40</f>
        <v/>
      </c>
      <c r="EB40" s="7">
        <f>IF(DO40&gt;0,(CV40*CS40+DO40*prestamos_tasaPrivada)/(CV40+DO40),CS40)</f>
        <v/>
      </c>
      <c r="EC40" s="7">
        <f>IF(DO40&gt;0,0,CW40)</f>
        <v/>
      </c>
      <c r="ED40" s="7">
        <f>CX40-DE40+DP40</f>
        <v/>
      </c>
      <c r="EE40" s="7">
        <f>IF(IF(7=0,"",EE39)&lt;&gt;"",EE39,IF(AND(BB40=1,DU40&lt;=0.5,DV40&lt;=0.5,OR(BH40=0,BJ40=1)),A40,""))</f>
        <v/>
      </c>
      <c r="EF40" s="7">
        <f>DU40+DV40+DW40+EA40+ED40+CD40</f>
        <v/>
      </c>
      <c r="EG40" s="7">
        <f>DR40+DS40+DT40-EF40</f>
        <v/>
      </c>
      <c r="EH40" s="7">
        <f>EG40/(1+g_inf)^(A40+1-2026)</f>
        <v/>
      </c>
    </row>
    <row r="41">
      <c r="A41" t="n">
        <v>2035</v>
      </c>
      <c r="B41" t="n">
        <v>8</v>
      </c>
      <c r="C41" s="7">
        <f>(1+g_inf)^(A41-2026)</f>
        <v/>
      </c>
      <c r="D41" s="7">
        <f>SUMPRODUCT($AB$5:$AB$29,$E$5:$E$29*(1+$F$5:$F$29)^(A41-2026)*$G$5:$G$29*$H$5:$H$29*(1-$N$5:$N$29*$O$5:$O$29))*g_salMult+SUMPRODUCT(($B$5:$B$29&gt;=A41)*($B$5:$B$29&lt;A41+1)*$I$5:$I$29)*g_salMult</f>
        <v/>
      </c>
      <c r="E41" s="7">
        <f>SUMPRODUCT($AB$5:$AB$29,$E$5:$E$29*(1+$F$5:$F$29)^(A41-2026)*$G$5:$G$29*$H$5:$H$29*$M$5:$M$29)*g_salMult</f>
        <v/>
      </c>
      <c r="F41" s="7">
        <f>SUMPRODUCT($AB$5:$AB$29,$E$5:$E$29*(1+$F$5:$F$29)^(A41-2026)*$G$5:$G$29*$H$5:$H$29*$N$5:$N$29*$O$5:$O$29)*g_salMult</f>
        <v/>
      </c>
      <c r="G41" s="7">
        <f>SUMPRODUCT($AB$5:$AB$29,$P$5:$P$29*(1+$F$5:$F$29)^(A41-2026))</f>
        <v/>
      </c>
      <c r="H41" s="7">
        <f>SUMPRODUCT($AB$5:$AB$29,$Q$5:$Q$29*(1+$F$5:$F$29)^(A41-2026))+IF(personal_llcActivo=1,personal_llcNeto*(1+personal_llcCrecimiento)^8,0)</f>
        <v/>
      </c>
      <c r="I41" s="7">
        <f>SUMPRODUCT($AB$5:$AB$29,$J$5:$J$29/($C$5:$C$29-$B$5:$B$29+($C$5:$C$29=$B$5:$B$29)))*C41</f>
        <v/>
      </c>
      <c r="J41" s="7">
        <f>SUMPRODUCT($AB$5:$AB$29,$K$5:$K$29)</f>
        <v/>
      </c>
      <c r="K41" s="7">
        <f>SUMPRODUCT($AB$5:$AB$29,$L$5:$L$29)</f>
        <v/>
      </c>
      <c r="L41" s="7">
        <f>SUMPRODUCT($AB$5:$AB$29,$N$5:$N$29)</f>
        <v/>
      </c>
      <c r="M41" s="7">
        <f>IF(SUMPRODUCT($AB$5:$AB$29,$R$5:$R$29)&gt;0,1,0)</f>
        <v/>
      </c>
      <c r="N41" s="7">
        <f>SUMPRODUCT(($AO$5:$AO$24&gt;=A41)*($AO$5:$AO$24&lt;A41+1)*$AP$5:$AP$24)*C41+IF(8=0,IF(sel_loc&lt;&gt;"miami",personal_costoMudanzaInicial,0),0)</f>
        <v/>
      </c>
      <c r="O41" s="7">
        <f>MIN(personal_aporte403bPct*D41,retiro_limite403b*C41)</f>
        <v/>
      </c>
      <c r="P41" s="7">
        <f>MIN(personal_aporte403bPct,personal_match403bPct)*E41</f>
        <v/>
      </c>
      <c r="Q41" s="7">
        <f>IF(G41&gt;0,MAX(0,G41-impuestos_scorpCostoAnual*C41),0)</f>
        <v/>
      </c>
      <c r="R41" s="7">
        <f>Q41*impuestos_scorpSalarioPct/(1+impuestos_ssTasa+impuestos_medicareTasa)</f>
        <v/>
      </c>
      <c r="S41" s="7">
        <f>impuestos_ssTasa*MIN(R41,MAX(0,impuestos_ssTope*C41-D41))+impuestos_medicareTasa*R41</f>
        <v/>
      </c>
      <c r="T41" s="7">
        <f>Q41-R41-S41</f>
        <v/>
      </c>
      <c r="U41" s="7">
        <f>D41+R41</f>
        <v/>
      </c>
      <c r="V41" s="7">
        <f>H41*0.9235</f>
        <v/>
      </c>
      <c r="W41" s="7">
        <f>IF(H41&gt;0,2*impuestos_ssTasa*MIN(V41,MAX(0,impuestos_ssTope*C41-U41))+2*impuestos_medicareTasa*V41,0)</f>
        <v/>
      </c>
      <c r="X41" s="7">
        <f>impuestos_ssTasa*MIN(U41,impuestos_ssTope*C41)+impuestos_medicareTasa*U41+impuestos_medicareAdicional*MAX(0,U41+H41*0.9235-impuestos_medicareUmbral)</f>
        <v/>
      </c>
      <c r="Y41" s="7">
        <f>MAX(0,D41-O41+R41+T41+H41-W41/2)</f>
        <v/>
      </c>
      <c r="Z41" s="7">
        <f>MAX(0,Y41-impuestos_deduccionEstandar*C41)</f>
        <v/>
      </c>
      <c r="AA41" s="7">
        <f>MIN(0.2*MAX(0,T41+H41-W41/2)*MAX(0,MIN(1,1-(Z41-impuestos_qbiUmbral*C41)/(impuestos_qbiRango*C41))),0.2*Z41)</f>
        <v/>
      </c>
      <c r="AB41" s="7">
        <f>MAX(0,Z41-AA41)</f>
        <v/>
      </c>
      <c r="AC41" s="7">
        <f>SUMPRODUCT((AB41&gt;tb_federalBrackets_lo*C41)*(AB41-tb_federalBrackets_lo*C41)*tb_federalBrackets_dr)</f>
        <v/>
      </c>
      <c r="AD41" s="7">
        <f>MAX(0,Y41-impuestos_nyDeduccion*C41)</f>
        <v/>
      </c>
      <c r="AE41" s="7">
        <f>CHOOSE(loc_taxcode,0,impuestos_ohTasa*MAX(0,Y41-impuestos_ohExento*C41)+impuestos_ohMunicipal*U41,SUMPRODUCT((AD41&gt;tb_nyBrackets_lo*C41)*(AD41-tb_nyBrackets_lo*C41)*tb_nyBrackets_dr)+loc_nyc*SUMPRODUCT((AD41&gt;tb_nycBrackets_lo*C41)*(AD41-tb_nycBrackets_lo*C41)*tb_nycBrackets_dr))</f>
        <v/>
      </c>
      <c r="AF41" s="7">
        <f>AC41+AE41+X41+W41</f>
        <v/>
      </c>
      <c r="AG41" s="7">
        <f>D41+F41+R41+T41+H41</f>
        <v/>
      </c>
      <c r="AH41" s="7">
        <f>AG41-AF41-O41</f>
        <v/>
      </c>
      <c r="AI41" s="7">
        <f>D41+F41+G41+H41</f>
        <v/>
      </c>
      <c r="AJ41" s="7">
        <f>loc_gastosVida*C41*g_gastos</f>
        <v/>
      </c>
      <c r="AK41" s="7">
        <f>IF(8=0,personal_liquidoInicial,DR40)</f>
        <v/>
      </c>
      <c r="AL41" s="7">
        <f>IF(8=0,0,BB40)</f>
        <v/>
      </c>
      <c r="AM41" s="7">
        <f>CHOOSE(sel_cfgIdx,loc_precio_duplex,loc_precio_inlaw,loc_precio_dosCasas,loc_precio_casaAdu,loc_precio_multi)</f>
        <v/>
      </c>
      <c r="AN41" s="7">
        <f>AM41*(1+g_appr)^(A41-2026)</f>
        <v/>
      </c>
      <c r="AO41" s="7">
        <f>IF(AND(M41=1,vivienda_prestamoMedico=1),1,0)</f>
        <v/>
      </c>
      <c r="AP41" s="7">
        <f>IF(AO41=1,0.05,vivienda_enganchePct)</f>
        <v/>
      </c>
      <c r="AQ41" s="7">
        <f>AN41*(1-AP41)</f>
        <v/>
      </c>
      <c r="AR41" s="7">
        <f>PMT(g_mortRate/12,vivienda_plazoHipoteca*12,-AQ41)</f>
        <v/>
      </c>
      <c r="AS41" s="7">
        <f>INDEX(cfg_units,sel_cfgIdx)</f>
        <v/>
      </c>
      <c r="AT41" s="7">
        <f>AS41*loc_rentaUnidad*(1+g_inf)^(A41-2026)*(1-vivienda_vacancia)</f>
        <v/>
      </c>
      <c r="AU41" s="7">
        <f>AR41+AN41*loc_impuestoPropPct/12+AM41*loc_seguroPct*(1+vivienda_inflacionSeguro)^(A41-2026)/12+IF(AND(AO41=0,AP41&lt;0.2),AQ41*vivienda_pmiTasa/12,0)</f>
        <v/>
      </c>
      <c r="AV41" s="7">
        <f>AN41*AP41+AN41*vivienda_cierrePct+general_reservaMeses/12*AJ41</f>
        <v/>
      </c>
      <c r="AW41" s="7">
        <f>(IF(8=0,MIN(personal_irsSaldo,personal_irsPagoMensual*12),MIN(CD40,personal_irsPagoMensual*12))+IF(CE41&gt;0,PMT(CF41,MAX(1,prestamos_plazoAnios-CG41),-CE41),0)+IF(CR41&gt;0,PMT(CS41,MAX(1,prestamos_plazoAnios-CT41),-CR41),0))/12</f>
        <v/>
      </c>
      <c r="AX41" s="7">
        <f>IF(OR(sel_cfg="duplex",sel_cfg="multi",sel_cfg="dosCasas"),0.75*personal_aporteFamiliaMensual,0)</f>
        <v/>
      </c>
      <c r="AY41" s="7">
        <f>AU41-0.75*AT41-AX41+AW41</f>
        <v/>
      </c>
      <c r="AZ41" s="7">
        <f>(D41+G41+H41+0.5*F41)/12</f>
        <v/>
      </c>
      <c r="BA41" s="7">
        <f>IF(AND(AL41=0,A41&gt;=vivienda_anioMinCompra,J41&lt;0.5,AI41&gt;0,AK41&gt;=AV41,AY41&lt;=vivienda_dtiMax*AZ41),1,0)</f>
        <v/>
      </c>
      <c r="BB41" s="7">
        <f>MAX(AL41,BA41)</f>
        <v/>
      </c>
      <c r="BC41" s="7">
        <f>IF(BA41=1,A41,IF(8=0,"",BC40))</f>
        <v/>
      </c>
      <c r="BD41" s="7">
        <f>AK41-IF(BA41=1,AN41*AP41+AN41*vivienda_cierrePct,0)</f>
        <v/>
      </c>
      <c r="BE41" s="7">
        <f>IF(BA41=1,AN41,IF(8=0,0,BE40))</f>
        <v/>
      </c>
      <c r="BF41" s="7">
        <f>IF(BA41=1,AR41,IF(8=0,0,BF40))</f>
        <v/>
      </c>
      <c r="BG41" s="7">
        <f>IF(BA41=1,IF(AND(AO41=0,AP41&lt;0.2),1,0),IF(8=0,0,BY40))</f>
        <v/>
      </c>
      <c r="BH41" s="7">
        <f>IF(sel_cfg="casaAdu",1,0)</f>
        <v/>
      </c>
      <c r="BI41" s="7">
        <f>IF(AND(BB41=1,BH41=1,IF(8=0,0,BJ40)=0,A41&gt;=IF(BC41="",9999,BC41)+vivienda_aduRetrasoAnios),1,0)</f>
        <v/>
      </c>
      <c r="BJ41" s="7">
        <f>MAX(IF(8=0,0,BJ40),BI41)</f>
        <v/>
      </c>
      <c r="BK41" s="7">
        <f>IF(BI41=1,PMT((g_mortRate+0.005)/12,180,-loc_precio_aduCosto*C41),IF(8=0,0,BK40))</f>
        <v/>
      </c>
      <c r="BL41" s="7">
        <f>IF(BA41=1,AN41,IF(8=0,0,DT40))+IF(BI41=1,loc_precio_aduCosto*C41,0)</f>
        <v/>
      </c>
      <c r="BM41" s="7">
        <f>IF(BA41=1,AQ41,IF(8=0,0,DU40))</f>
        <v/>
      </c>
      <c r="BN41" s="7">
        <f>IF(BM41&lt;=0,0,FV(g_mortRate/12,12,BF41,-BM41))</f>
        <v/>
      </c>
      <c r="BO41" s="7">
        <f>IF(BM41&lt;=0,0,12*BF41+MIN(0,BN41))</f>
        <v/>
      </c>
      <c r="BP41" s="7">
        <f>MAX(0,BN41)</f>
        <v/>
      </c>
      <c r="BQ41" s="7">
        <f>IF(BI41=1,loc_precio_aduCosto*C41,IF(8=0,0,DV40))</f>
        <v/>
      </c>
      <c r="BR41" s="7">
        <f>IF(BQ41&lt;=0,0,FV((g_mortRate+0.005)/12,12,BK41,-BQ41))</f>
        <v/>
      </c>
      <c r="BS41" s="7">
        <f>IF(BQ41&lt;=0,0,12*BK41+MIN(0,BR41))</f>
        <v/>
      </c>
      <c r="BT41" s="7">
        <f>MAX(0,BR41)</f>
        <v/>
      </c>
      <c r="BU41" s="7">
        <f>IF(BB41=1,AM41*loc_seguroPct*(1+vivienda_inflacionSeguro)^(A41-2026)*IF(BJ41=1,1+loc_precio_aduCosto/AM41,1),0)</f>
        <v/>
      </c>
      <c r="BV41" s="7">
        <f>BL41*loc_impuestoPropPct</f>
        <v/>
      </c>
      <c r="BW41" s="7">
        <f>BL41*vivienda_mantenimientoPct</f>
        <v/>
      </c>
      <c r="BX41" s="7">
        <f>IF(AND(BG41=1,BP41&gt;0.8*BE41),BE41*(1-vivienda_enganchePct)*vivienda_pmiTasa,0)</f>
        <v/>
      </c>
      <c r="BY41" s="7">
        <f>IF(AND(BG41=1,BP41&gt;0.8*BE41),1,0)</f>
        <v/>
      </c>
      <c r="BZ41" s="7">
        <f>IF(BB41=1,AS41*loc_rentaUnidad*12*C41*(1-vivienda_vacancia)*(1-vivienda_gestionPct),0)</f>
        <v/>
      </c>
      <c r="CA41" s="7">
        <f>IF(BB41=1,BO41+BS41+BU41+BV41+BW41+BX41,loc_rentaMensual*12*C41)</f>
        <v/>
      </c>
      <c r="CB41" s="7">
        <f>IF(BB41=1,personal_aporteFamiliaMensual*12,0)</f>
        <v/>
      </c>
      <c r="CC41" s="7">
        <f>MIN(IF(8=0,personal_irsSaldo,CD40),personal_irsPagoMensual*12)</f>
        <v/>
      </c>
      <c r="CD41" s="7">
        <f>IF(8=0,personal_irsSaldo,CD40)-CC41</f>
        <v/>
      </c>
      <c r="CE41" s="7">
        <f>IF(8=0,IF(personal_deudaEsFederal=1,personal_deudaEstudiantil,0),DW40)</f>
        <v/>
      </c>
      <c r="CF41" s="7">
        <f>IF(8=0,personal_tasaDeudaEstudiantil,DX40)</f>
        <v/>
      </c>
      <c r="CG41" s="7">
        <f>IF(8=0,0,DY40)</f>
        <v/>
      </c>
      <c r="CH41" s="7">
        <f>IF(J41&gt;=0.5,1,0)</f>
        <v/>
      </c>
      <c r="CI41" s="7">
        <f>IF(AND(CH41=0,prestamos_pslfActivo=1,K41&gt;=0.5,CE41&gt;0),1,0)</f>
        <v/>
      </c>
      <c r="CJ41" s="7">
        <f>CE41*CF41</f>
        <v/>
      </c>
      <c r="CK41" s="7">
        <f>MAX(prestamos_rapPagoMinimoAnual,IF(Y41&lt;10000,0,MIN(0.1,INT(Y41/10000)/100))*Y41)</f>
        <v/>
      </c>
      <c r="CL41" s="7">
        <f>IF(CE41&lt;=0,0,IF(CH41=1,0,IF(CI41=1,MIN(CE41+CJ41,CK41),PMT(CF41,MAX(1,prestamos_plazoAnios-CG41),-CE41))))</f>
        <v/>
      </c>
      <c r="CM41" s="7">
        <f>IF(CE41&lt;=0,0,IF(CH41=1,CE41+CJ41,IF(CI41=1,MAX(0,CE41-MAX(CL41-CJ41,MIN(600,CL41))),MAX(0,CE41*(1+CF41)-CL41))))</f>
        <v/>
      </c>
      <c r="CN41" s="7">
        <f>IF(8=0,0,CN40)+IF(CI41=1,12*MIN(1,K41),0)</f>
        <v/>
      </c>
      <c r="CO41" s="7">
        <f>IF(AND(CI41=1,CN41&gt;=prestamos_pslfPagos,CM41&gt;0),CM41,0)</f>
        <v/>
      </c>
      <c r="CP41" s="7">
        <f>CM41-CO41</f>
        <v/>
      </c>
      <c r="CQ41" s="7">
        <f>IF(AND(CE41&gt;0,CH41=0,CI41=0),CG41+1,CG41)</f>
        <v/>
      </c>
      <c r="CR41" s="7">
        <f>IF(8=0,IF(personal_deudaEsFederal=1,0,personal_deudaEstudiantil),EA40)</f>
        <v/>
      </c>
      <c r="CS41" s="7">
        <f>IF(8=0,IF(personal_deudaEsFederal=1,prestamos_tasaPrivada,personal_tasaDeudaEstudiantil),EB40)</f>
        <v/>
      </c>
      <c r="CT41" s="7">
        <f>IF(8=0,0,EC40)</f>
        <v/>
      </c>
      <c r="CU41" s="7">
        <f>IF(OR(CR41&lt;=0,CH41=1),0,PMT(CS41,MAX(1,prestamos_plazoAnios-CT41),-CR41))</f>
        <v/>
      </c>
      <c r="CV41" s="7">
        <f>IF(CR41&lt;=0,0,IF(CH41=1,CR41*(1+CS41),MAX(0,CR41*(1+CS41)-CU41)))</f>
        <v/>
      </c>
      <c r="CW41" s="7">
        <f>IF(AND(CR41&gt;0,CH41=0),CT41+1,CT41)</f>
        <v/>
      </c>
      <c r="CX41" s="7">
        <f>IF(8=0,0,ED40)*(1+general_tasaDeudaConsumo)</f>
        <v/>
      </c>
      <c r="CY41" s="7">
        <f>L41*12*tiempos_travelGastoExtraMes*C41</f>
        <v/>
      </c>
      <c r="CZ41" s="7">
        <f>AJ41+CY41+CA41+CC41+CL41+CU41+I41+N41-BZ41-CB41</f>
        <v/>
      </c>
      <c r="DA41" s="7">
        <f>AH41-CZ41</f>
        <v/>
      </c>
      <c r="DB41" s="7">
        <f>IF(8=0,0,DB40)+DA41</f>
        <v/>
      </c>
      <c r="DC41" s="7">
        <f>AN41*vivienda_enganchePct+AN41*vivienda_cierrePct+general_reservaMeses/12*AJ41</f>
        <v/>
      </c>
      <c r="DD41" s="7">
        <f>IF(BB41=1,g_ret,IF(BD41&gt;0,MIN(1,DC41/BD41),1)*g_cash+(1-IF(BD41&gt;0,MIN(1,DC41/BD41),1))*g_ret)</f>
        <v/>
      </c>
      <c r="DE41" s="7">
        <f>IF(DA41&gt;=0,MIN(CX41,DA41),0)</f>
        <v/>
      </c>
      <c r="DF41" s="7">
        <f>IF(DA41&gt;=0,(1-general_tasaAhorro)*(DA41-DE41),0)</f>
        <v/>
      </c>
      <c r="DG41" s="7">
        <f>IF(DA41&gt;=0,DA41-DE41-DF41,0)</f>
        <v/>
      </c>
      <c r="DH41" s="7">
        <f>MIN(personal_rothAnual,DG41)</f>
        <v/>
      </c>
      <c r="DI41" s="7">
        <f>IF(AND(DA41&gt;=0,BB41=1,BP41+BT41&gt;0),MIN(vivienda_prepagoPct*(DG41-DH41),BP41+BT41),0)</f>
        <v/>
      </c>
      <c r="DJ41" s="7">
        <f>MIN(DI41,BP41)</f>
        <v/>
      </c>
      <c r="DK41" s="7">
        <f>IF(DA41&lt;0,MIN(MAX(0,BD41),-DA41),0)</f>
        <v/>
      </c>
      <c r="DL41" s="7">
        <f>IF(DA41&lt;0,-DA41-DK41,0)</f>
        <v/>
      </c>
      <c r="DM41" s="7">
        <f>IF(8=0,0,DZ40)</f>
        <v/>
      </c>
      <c r="DN41" s="7">
        <f>IF(AND(DL41&gt;0,J41&gt;0),MIN(DL41,MIN(prestamos_topeAnualPosgrado*MIN(1,J41),MAX(0,prestamos_topeTotalPosgrado-DM41))),0)</f>
        <v/>
      </c>
      <c r="DO41" s="7">
        <f>IF(AND(DL41&gt;0,J41&gt;0),DL41-DN41,0)</f>
        <v/>
      </c>
      <c r="DP41" s="7">
        <f>IF(AND(DL41&gt;0,J41&lt;=0),DL41,0)</f>
        <v/>
      </c>
      <c r="DQ41" s="7">
        <f>IF(DA41&gt;=0,DG41-DH41-DI41,-DK41)</f>
        <v/>
      </c>
      <c r="DR41" s="7">
        <f>BD41*(1+DD41)+DQ41*(1+DD41/2)</f>
        <v/>
      </c>
      <c r="DS41" s="7">
        <f>IF(8=0,personal_retiroInicial,DS40)*(1+g_ret)+(O41+P41+DH41)*(1+g_ret/2)</f>
        <v/>
      </c>
      <c r="DT41" s="7">
        <f>IF(BB41=1,BL41*(1+g_appr),0)</f>
        <v/>
      </c>
      <c r="DU41" s="7">
        <f>BP41-DJ41</f>
        <v/>
      </c>
      <c r="DV41" s="7">
        <f>BT41-(DI41-DJ41)</f>
        <v/>
      </c>
      <c r="DW41" s="7">
        <f>CP41+DN41</f>
        <v/>
      </c>
      <c r="DX41" s="7">
        <f>IF(DN41&gt;0,(CP41*CF41+DN41*prestamos_tasaFederalPosgrado)/(CP41+DN41),CF41)</f>
        <v/>
      </c>
      <c r="DY41" s="7">
        <f>IF(DN41&gt;0,0,CQ41)</f>
        <v/>
      </c>
      <c r="DZ41" s="7">
        <f>DM41+DN41</f>
        <v/>
      </c>
      <c r="EA41" s="7">
        <f>CV41+DO41</f>
        <v/>
      </c>
      <c r="EB41" s="7">
        <f>IF(DO41&gt;0,(CV41*CS41+DO41*prestamos_tasaPrivada)/(CV41+DO41),CS41)</f>
        <v/>
      </c>
      <c r="EC41" s="7">
        <f>IF(DO41&gt;0,0,CW41)</f>
        <v/>
      </c>
      <c r="ED41" s="7">
        <f>CX41-DE41+DP41</f>
        <v/>
      </c>
      <c r="EE41" s="7">
        <f>IF(IF(8=0,"",EE40)&lt;&gt;"",EE40,IF(AND(BB41=1,DU41&lt;=0.5,DV41&lt;=0.5,OR(BH41=0,BJ41=1)),A41,""))</f>
        <v/>
      </c>
      <c r="EF41" s="7">
        <f>DU41+DV41+DW41+EA41+ED41+CD41</f>
        <v/>
      </c>
      <c r="EG41" s="7">
        <f>DR41+DS41+DT41-EF41</f>
        <v/>
      </c>
      <c r="EH41" s="7">
        <f>EG41/(1+g_inf)^(A41+1-2026)</f>
        <v/>
      </c>
    </row>
    <row r="42">
      <c r="A42" t="n">
        <v>2036</v>
      </c>
      <c r="B42" t="n">
        <v>9</v>
      </c>
      <c r="C42" s="7">
        <f>(1+g_inf)^(A42-2026)</f>
        <v/>
      </c>
      <c r="D42" s="7">
        <f>SUMPRODUCT($AC$5:$AC$29,$E$5:$E$29*(1+$F$5:$F$29)^(A42-2026)*$G$5:$G$29*$H$5:$H$29*(1-$N$5:$N$29*$O$5:$O$29))*g_salMult+SUMPRODUCT(($B$5:$B$29&gt;=A42)*($B$5:$B$29&lt;A42+1)*$I$5:$I$29)*g_salMult</f>
        <v/>
      </c>
      <c r="E42" s="7">
        <f>SUMPRODUCT($AC$5:$AC$29,$E$5:$E$29*(1+$F$5:$F$29)^(A42-2026)*$G$5:$G$29*$H$5:$H$29*$M$5:$M$29)*g_salMult</f>
        <v/>
      </c>
      <c r="F42" s="7">
        <f>SUMPRODUCT($AC$5:$AC$29,$E$5:$E$29*(1+$F$5:$F$29)^(A42-2026)*$G$5:$G$29*$H$5:$H$29*$N$5:$N$29*$O$5:$O$29)*g_salMult</f>
        <v/>
      </c>
      <c r="G42" s="7">
        <f>SUMPRODUCT($AC$5:$AC$29,$P$5:$P$29*(1+$F$5:$F$29)^(A42-2026))</f>
        <v/>
      </c>
      <c r="H42" s="7">
        <f>SUMPRODUCT($AC$5:$AC$29,$Q$5:$Q$29*(1+$F$5:$F$29)^(A42-2026))+IF(personal_llcActivo=1,personal_llcNeto*(1+personal_llcCrecimiento)^9,0)</f>
        <v/>
      </c>
      <c r="I42" s="7">
        <f>SUMPRODUCT($AC$5:$AC$29,$J$5:$J$29/($C$5:$C$29-$B$5:$B$29+($C$5:$C$29=$B$5:$B$29)))*C42</f>
        <v/>
      </c>
      <c r="J42" s="7">
        <f>SUMPRODUCT($AC$5:$AC$29,$K$5:$K$29)</f>
        <v/>
      </c>
      <c r="K42" s="7">
        <f>SUMPRODUCT($AC$5:$AC$29,$L$5:$L$29)</f>
        <v/>
      </c>
      <c r="L42" s="7">
        <f>SUMPRODUCT($AC$5:$AC$29,$N$5:$N$29)</f>
        <v/>
      </c>
      <c r="M42" s="7">
        <f>IF(SUMPRODUCT($AC$5:$AC$29,$R$5:$R$29)&gt;0,1,0)</f>
        <v/>
      </c>
      <c r="N42" s="7">
        <f>SUMPRODUCT(($AO$5:$AO$24&gt;=A42)*($AO$5:$AO$24&lt;A42+1)*$AP$5:$AP$24)*C42+IF(9=0,IF(sel_loc&lt;&gt;"miami",personal_costoMudanzaInicial,0),0)</f>
        <v/>
      </c>
      <c r="O42" s="7">
        <f>MIN(personal_aporte403bPct*D42,retiro_limite403b*C42)</f>
        <v/>
      </c>
      <c r="P42" s="7">
        <f>MIN(personal_aporte403bPct,personal_match403bPct)*E42</f>
        <v/>
      </c>
      <c r="Q42" s="7">
        <f>IF(G42&gt;0,MAX(0,G42-impuestos_scorpCostoAnual*C42),0)</f>
        <v/>
      </c>
      <c r="R42" s="7">
        <f>Q42*impuestos_scorpSalarioPct/(1+impuestos_ssTasa+impuestos_medicareTasa)</f>
        <v/>
      </c>
      <c r="S42" s="7">
        <f>impuestos_ssTasa*MIN(R42,MAX(0,impuestos_ssTope*C42-D42))+impuestos_medicareTasa*R42</f>
        <v/>
      </c>
      <c r="T42" s="7">
        <f>Q42-R42-S42</f>
        <v/>
      </c>
      <c r="U42" s="7">
        <f>D42+R42</f>
        <v/>
      </c>
      <c r="V42" s="7">
        <f>H42*0.9235</f>
        <v/>
      </c>
      <c r="W42" s="7">
        <f>IF(H42&gt;0,2*impuestos_ssTasa*MIN(V42,MAX(0,impuestos_ssTope*C42-U42))+2*impuestos_medicareTasa*V42,0)</f>
        <v/>
      </c>
      <c r="X42" s="7">
        <f>impuestos_ssTasa*MIN(U42,impuestos_ssTope*C42)+impuestos_medicareTasa*U42+impuestos_medicareAdicional*MAX(0,U42+H42*0.9235-impuestos_medicareUmbral)</f>
        <v/>
      </c>
      <c r="Y42" s="7">
        <f>MAX(0,D42-O42+R42+T42+H42-W42/2)</f>
        <v/>
      </c>
      <c r="Z42" s="7">
        <f>MAX(0,Y42-impuestos_deduccionEstandar*C42)</f>
        <v/>
      </c>
      <c r="AA42" s="7">
        <f>MIN(0.2*MAX(0,T42+H42-W42/2)*MAX(0,MIN(1,1-(Z42-impuestos_qbiUmbral*C42)/(impuestos_qbiRango*C42))),0.2*Z42)</f>
        <v/>
      </c>
      <c r="AB42" s="7">
        <f>MAX(0,Z42-AA42)</f>
        <v/>
      </c>
      <c r="AC42" s="7">
        <f>SUMPRODUCT((AB42&gt;tb_federalBrackets_lo*C42)*(AB42-tb_federalBrackets_lo*C42)*tb_federalBrackets_dr)</f>
        <v/>
      </c>
      <c r="AD42" s="7">
        <f>MAX(0,Y42-impuestos_nyDeduccion*C42)</f>
        <v/>
      </c>
      <c r="AE42" s="7">
        <f>CHOOSE(loc_taxcode,0,impuestos_ohTasa*MAX(0,Y42-impuestos_ohExento*C42)+impuestos_ohMunicipal*U42,SUMPRODUCT((AD42&gt;tb_nyBrackets_lo*C42)*(AD42-tb_nyBrackets_lo*C42)*tb_nyBrackets_dr)+loc_nyc*SUMPRODUCT((AD42&gt;tb_nycBrackets_lo*C42)*(AD42-tb_nycBrackets_lo*C42)*tb_nycBrackets_dr))</f>
        <v/>
      </c>
      <c r="AF42" s="7">
        <f>AC42+AE42+X42+W42</f>
        <v/>
      </c>
      <c r="AG42" s="7">
        <f>D42+F42+R42+T42+H42</f>
        <v/>
      </c>
      <c r="AH42" s="7">
        <f>AG42-AF42-O42</f>
        <v/>
      </c>
      <c r="AI42" s="7">
        <f>D42+F42+G42+H42</f>
        <v/>
      </c>
      <c r="AJ42" s="7">
        <f>loc_gastosVida*C42*g_gastos</f>
        <v/>
      </c>
      <c r="AK42" s="7">
        <f>IF(9=0,personal_liquidoInicial,DR41)</f>
        <v/>
      </c>
      <c r="AL42" s="7">
        <f>IF(9=0,0,BB41)</f>
        <v/>
      </c>
      <c r="AM42" s="7">
        <f>CHOOSE(sel_cfgIdx,loc_precio_duplex,loc_precio_inlaw,loc_precio_dosCasas,loc_precio_casaAdu,loc_precio_multi)</f>
        <v/>
      </c>
      <c r="AN42" s="7">
        <f>AM42*(1+g_appr)^(A42-2026)</f>
        <v/>
      </c>
      <c r="AO42" s="7">
        <f>IF(AND(M42=1,vivienda_prestamoMedico=1),1,0)</f>
        <v/>
      </c>
      <c r="AP42" s="7">
        <f>IF(AO42=1,0.05,vivienda_enganchePct)</f>
        <v/>
      </c>
      <c r="AQ42" s="7">
        <f>AN42*(1-AP42)</f>
        <v/>
      </c>
      <c r="AR42" s="7">
        <f>PMT(g_mortRate/12,vivienda_plazoHipoteca*12,-AQ42)</f>
        <v/>
      </c>
      <c r="AS42" s="7">
        <f>INDEX(cfg_units,sel_cfgIdx)</f>
        <v/>
      </c>
      <c r="AT42" s="7">
        <f>AS42*loc_rentaUnidad*(1+g_inf)^(A42-2026)*(1-vivienda_vacancia)</f>
        <v/>
      </c>
      <c r="AU42" s="7">
        <f>AR42+AN42*loc_impuestoPropPct/12+AM42*loc_seguroPct*(1+vivienda_inflacionSeguro)^(A42-2026)/12+IF(AND(AO42=0,AP42&lt;0.2),AQ42*vivienda_pmiTasa/12,0)</f>
        <v/>
      </c>
      <c r="AV42" s="7">
        <f>AN42*AP42+AN42*vivienda_cierrePct+general_reservaMeses/12*AJ42</f>
        <v/>
      </c>
      <c r="AW42" s="7">
        <f>(IF(9=0,MIN(personal_irsSaldo,personal_irsPagoMensual*12),MIN(CD41,personal_irsPagoMensual*12))+IF(CE42&gt;0,PMT(CF42,MAX(1,prestamos_plazoAnios-CG42),-CE42),0)+IF(CR42&gt;0,PMT(CS42,MAX(1,prestamos_plazoAnios-CT42),-CR42),0))/12</f>
        <v/>
      </c>
      <c r="AX42" s="7">
        <f>IF(OR(sel_cfg="duplex",sel_cfg="multi",sel_cfg="dosCasas"),0.75*personal_aporteFamiliaMensual,0)</f>
        <v/>
      </c>
      <c r="AY42" s="7">
        <f>AU42-0.75*AT42-AX42+AW42</f>
        <v/>
      </c>
      <c r="AZ42" s="7">
        <f>(D42+G42+H42+0.5*F42)/12</f>
        <v/>
      </c>
      <c r="BA42" s="7">
        <f>IF(AND(AL42=0,A42&gt;=vivienda_anioMinCompra,J42&lt;0.5,AI42&gt;0,AK42&gt;=AV42,AY42&lt;=vivienda_dtiMax*AZ42),1,0)</f>
        <v/>
      </c>
      <c r="BB42" s="7">
        <f>MAX(AL42,BA42)</f>
        <v/>
      </c>
      <c r="BC42" s="7">
        <f>IF(BA42=1,A42,IF(9=0,"",BC41))</f>
        <v/>
      </c>
      <c r="BD42" s="7">
        <f>AK42-IF(BA42=1,AN42*AP42+AN42*vivienda_cierrePct,0)</f>
        <v/>
      </c>
      <c r="BE42" s="7">
        <f>IF(BA42=1,AN42,IF(9=0,0,BE41))</f>
        <v/>
      </c>
      <c r="BF42" s="7">
        <f>IF(BA42=1,AR42,IF(9=0,0,BF41))</f>
        <v/>
      </c>
      <c r="BG42" s="7">
        <f>IF(BA42=1,IF(AND(AO42=0,AP42&lt;0.2),1,0),IF(9=0,0,BY41))</f>
        <v/>
      </c>
      <c r="BH42" s="7">
        <f>IF(sel_cfg="casaAdu",1,0)</f>
        <v/>
      </c>
      <c r="BI42" s="7">
        <f>IF(AND(BB42=1,BH42=1,IF(9=0,0,BJ41)=0,A42&gt;=IF(BC42="",9999,BC42)+vivienda_aduRetrasoAnios),1,0)</f>
        <v/>
      </c>
      <c r="BJ42" s="7">
        <f>MAX(IF(9=0,0,BJ41),BI42)</f>
        <v/>
      </c>
      <c r="BK42" s="7">
        <f>IF(BI42=1,PMT((g_mortRate+0.005)/12,180,-loc_precio_aduCosto*C42),IF(9=0,0,BK41))</f>
        <v/>
      </c>
      <c r="BL42" s="7">
        <f>IF(BA42=1,AN42,IF(9=0,0,DT41))+IF(BI42=1,loc_precio_aduCosto*C42,0)</f>
        <v/>
      </c>
      <c r="BM42" s="7">
        <f>IF(BA42=1,AQ42,IF(9=0,0,DU41))</f>
        <v/>
      </c>
      <c r="BN42" s="7">
        <f>IF(BM42&lt;=0,0,FV(g_mortRate/12,12,BF42,-BM42))</f>
        <v/>
      </c>
      <c r="BO42" s="7">
        <f>IF(BM42&lt;=0,0,12*BF42+MIN(0,BN42))</f>
        <v/>
      </c>
      <c r="BP42" s="7">
        <f>MAX(0,BN42)</f>
        <v/>
      </c>
      <c r="BQ42" s="7">
        <f>IF(BI42=1,loc_precio_aduCosto*C42,IF(9=0,0,DV41))</f>
        <v/>
      </c>
      <c r="BR42" s="7">
        <f>IF(BQ42&lt;=0,0,FV((g_mortRate+0.005)/12,12,BK42,-BQ42))</f>
        <v/>
      </c>
      <c r="BS42" s="7">
        <f>IF(BQ42&lt;=0,0,12*BK42+MIN(0,BR42))</f>
        <v/>
      </c>
      <c r="BT42" s="7">
        <f>MAX(0,BR42)</f>
        <v/>
      </c>
      <c r="BU42" s="7">
        <f>IF(BB42=1,AM42*loc_seguroPct*(1+vivienda_inflacionSeguro)^(A42-2026)*IF(BJ42=1,1+loc_precio_aduCosto/AM42,1),0)</f>
        <v/>
      </c>
      <c r="BV42" s="7">
        <f>BL42*loc_impuestoPropPct</f>
        <v/>
      </c>
      <c r="BW42" s="7">
        <f>BL42*vivienda_mantenimientoPct</f>
        <v/>
      </c>
      <c r="BX42" s="7">
        <f>IF(AND(BG42=1,BP42&gt;0.8*BE42),BE42*(1-vivienda_enganchePct)*vivienda_pmiTasa,0)</f>
        <v/>
      </c>
      <c r="BY42" s="7">
        <f>IF(AND(BG42=1,BP42&gt;0.8*BE42),1,0)</f>
        <v/>
      </c>
      <c r="BZ42" s="7">
        <f>IF(BB42=1,AS42*loc_rentaUnidad*12*C42*(1-vivienda_vacancia)*(1-vivienda_gestionPct),0)</f>
        <v/>
      </c>
      <c r="CA42" s="7">
        <f>IF(BB42=1,BO42+BS42+BU42+BV42+BW42+BX42,loc_rentaMensual*12*C42)</f>
        <v/>
      </c>
      <c r="CB42" s="7">
        <f>IF(BB42=1,personal_aporteFamiliaMensual*12,0)</f>
        <v/>
      </c>
      <c r="CC42" s="7">
        <f>MIN(IF(9=0,personal_irsSaldo,CD41),personal_irsPagoMensual*12)</f>
        <v/>
      </c>
      <c r="CD42" s="7">
        <f>IF(9=0,personal_irsSaldo,CD41)-CC42</f>
        <v/>
      </c>
      <c r="CE42" s="7">
        <f>IF(9=0,IF(personal_deudaEsFederal=1,personal_deudaEstudiantil,0),DW41)</f>
        <v/>
      </c>
      <c r="CF42" s="7">
        <f>IF(9=0,personal_tasaDeudaEstudiantil,DX41)</f>
        <v/>
      </c>
      <c r="CG42" s="7">
        <f>IF(9=0,0,DY41)</f>
        <v/>
      </c>
      <c r="CH42" s="7">
        <f>IF(J42&gt;=0.5,1,0)</f>
        <v/>
      </c>
      <c r="CI42" s="7">
        <f>IF(AND(CH42=0,prestamos_pslfActivo=1,K42&gt;=0.5,CE42&gt;0),1,0)</f>
        <v/>
      </c>
      <c r="CJ42" s="7">
        <f>CE42*CF42</f>
        <v/>
      </c>
      <c r="CK42" s="7">
        <f>MAX(prestamos_rapPagoMinimoAnual,IF(Y42&lt;10000,0,MIN(0.1,INT(Y42/10000)/100))*Y42)</f>
        <v/>
      </c>
      <c r="CL42" s="7">
        <f>IF(CE42&lt;=0,0,IF(CH42=1,0,IF(CI42=1,MIN(CE42+CJ42,CK42),PMT(CF42,MAX(1,prestamos_plazoAnios-CG42),-CE42))))</f>
        <v/>
      </c>
      <c r="CM42" s="7">
        <f>IF(CE42&lt;=0,0,IF(CH42=1,CE42+CJ42,IF(CI42=1,MAX(0,CE42-MAX(CL42-CJ42,MIN(600,CL42))),MAX(0,CE42*(1+CF42)-CL42))))</f>
        <v/>
      </c>
      <c r="CN42" s="7">
        <f>IF(9=0,0,CN41)+IF(CI42=1,12*MIN(1,K42),0)</f>
        <v/>
      </c>
      <c r="CO42" s="7">
        <f>IF(AND(CI42=1,CN42&gt;=prestamos_pslfPagos,CM42&gt;0),CM42,0)</f>
        <v/>
      </c>
      <c r="CP42" s="7">
        <f>CM42-CO42</f>
        <v/>
      </c>
      <c r="CQ42" s="7">
        <f>IF(AND(CE42&gt;0,CH42=0,CI42=0),CG42+1,CG42)</f>
        <v/>
      </c>
      <c r="CR42" s="7">
        <f>IF(9=0,IF(personal_deudaEsFederal=1,0,personal_deudaEstudiantil),EA41)</f>
        <v/>
      </c>
      <c r="CS42" s="7">
        <f>IF(9=0,IF(personal_deudaEsFederal=1,prestamos_tasaPrivada,personal_tasaDeudaEstudiantil),EB41)</f>
        <v/>
      </c>
      <c r="CT42" s="7">
        <f>IF(9=0,0,EC41)</f>
        <v/>
      </c>
      <c r="CU42" s="7">
        <f>IF(OR(CR42&lt;=0,CH42=1),0,PMT(CS42,MAX(1,prestamos_plazoAnios-CT42),-CR42))</f>
        <v/>
      </c>
      <c r="CV42" s="7">
        <f>IF(CR42&lt;=0,0,IF(CH42=1,CR42*(1+CS42),MAX(0,CR42*(1+CS42)-CU42)))</f>
        <v/>
      </c>
      <c r="CW42" s="7">
        <f>IF(AND(CR42&gt;0,CH42=0),CT42+1,CT42)</f>
        <v/>
      </c>
      <c r="CX42" s="7">
        <f>IF(9=0,0,ED41)*(1+general_tasaDeudaConsumo)</f>
        <v/>
      </c>
      <c r="CY42" s="7">
        <f>L42*12*tiempos_travelGastoExtraMes*C42</f>
        <v/>
      </c>
      <c r="CZ42" s="7">
        <f>AJ42+CY42+CA42+CC42+CL42+CU42+I42+N42-BZ42-CB42</f>
        <v/>
      </c>
      <c r="DA42" s="7">
        <f>AH42-CZ42</f>
        <v/>
      </c>
      <c r="DB42" s="7">
        <f>IF(9=0,0,DB41)+DA42</f>
        <v/>
      </c>
      <c r="DC42" s="7">
        <f>AN42*vivienda_enganchePct+AN42*vivienda_cierrePct+general_reservaMeses/12*AJ42</f>
        <v/>
      </c>
      <c r="DD42" s="7">
        <f>IF(BB42=1,g_ret,IF(BD42&gt;0,MIN(1,DC42/BD42),1)*g_cash+(1-IF(BD42&gt;0,MIN(1,DC42/BD42),1))*g_ret)</f>
        <v/>
      </c>
      <c r="DE42" s="7">
        <f>IF(DA42&gt;=0,MIN(CX42,DA42),0)</f>
        <v/>
      </c>
      <c r="DF42" s="7">
        <f>IF(DA42&gt;=0,(1-general_tasaAhorro)*(DA42-DE42),0)</f>
        <v/>
      </c>
      <c r="DG42" s="7">
        <f>IF(DA42&gt;=0,DA42-DE42-DF42,0)</f>
        <v/>
      </c>
      <c r="DH42" s="7">
        <f>MIN(personal_rothAnual,DG42)</f>
        <v/>
      </c>
      <c r="DI42" s="7">
        <f>IF(AND(DA42&gt;=0,BB42=1,BP42+BT42&gt;0),MIN(vivienda_prepagoPct*(DG42-DH42),BP42+BT42),0)</f>
        <v/>
      </c>
      <c r="DJ42" s="7">
        <f>MIN(DI42,BP42)</f>
        <v/>
      </c>
      <c r="DK42" s="7">
        <f>IF(DA42&lt;0,MIN(MAX(0,BD42),-DA42),0)</f>
        <v/>
      </c>
      <c r="DL42" s="7">
        <f>IF(DA42&lt;0,-DA42-DK42,0)</f>
        <v/>
      </c>
      <c r="DM42" s="7">
        <f>IF(9=0,0,DZ41)</f>
        <v/>
      </c>
      <c r="DN42" s="7">
        <f>IF(AND(DL42&gt;0,J42&gt;0),MIN(DL42,MIN(prestamos_topeAnualPosgrado*MIN(1,J42),MAX(0,prestamos_topeTotalPosgrado-DM42))),0)</f>
        <v/>
      </c>
      <c r="DO42" s="7">
        <f>IF(AND(DL42&gt;0,J42&gt;0),DL42-DN42,0)</f>
        <v/>
      </c>
      <c r="DP42" s="7">
        <f>IF(AND(DL42&gt;0,J42&lt;=0),DL42,0)</f>
        <v/>
      </c>
      <c r="DQ42" s="7">
        <f>IF(DA42&gt;=0,DG42-DH42-DI42,-DK42)</f>
        <v/>
      </c>
      <c r="DR42" s="7">
        <f>BD42*(1+DD42)+DQ42*(1+DD42/2)</f>
        <v/>
      </c>
      <c r="DS42" s="7">
        <f>IF(9=0,personal_retiroInicial,DS41)*(1+g_ret)+(O42+P42+DH42)*(1+g_ret/2)</f>
        <v/>
      </c>
      <c r="DT42" s="7">
        <f>IF(BB42=1,BL42*(1+g_appr),0)</f>
        <v/>
      </c>
      <c r="DU42" s="7">
        <f>BP42-DJ42</f>
        <v/>
      </c>
      <c r="DV42" s="7">
        <f>BT42-(DI42-DJ42)</f>
        <v/>
      </c>
      <c r="DW42" s="7">
        <f>CP42+DN42</f>
        <v/>
      </c>
      <c r="DX42" s="7">
        <f>IF(DN42&gt;0,(CP42*CF42+DN42*prestamos_tasaFederalPosgrado)/(CP42+DN42),CF42)</f>
        <v/>
      </c>
      <c r="DY42" s="7">
        <f>IF(DN42&gt;0,0,CQ42)</f>
        <v/>
      </c>
      <c r="DZ42" s="7">
        <f>DM42+DN42</f>
        <v/>
      </c>
      <c r="EA42" s="7">
        <f>CV42+DO42</f>
        <v/>
      </c>
      <c r="EB42" s="7">
        <f>IF(DO42&gt;0,(CV42*CS42+DO42*prestamos_tasaPrivada)/(CV42+DO42),CS42)</f>
        <v/>
      </c>
      <c r="EC42" s="7">
        <f>IF(DO42&gt;0,0,CW42)</f>
        <v/>
      </c>
      <c r="ED42" s="7">
        <f>CX42-DE42+DP42</f>
        <v/>
      </c>
      <c r="EE42" s="7">
        <f>IF(IF(9=0,"",EE41)&lt;&gt;"",EE41,IF(AND(BB42=1,DU42&lt;=0.5,DV42&lt;=0.5,OR(BH42=0,BJ42=1)),A42,""))</f>
        <v/>
      </c>
      <c r="EF42" s="7">
        <f>DU42+DV42+DW42+EA42+ED42+CD42</f>
        <v/>
      </c>
      <c r="EG42" s="7">
        <f>DR42+DS42+DT42-EF42</f>
        <v/>
      </c>
      <c r="EH42" s="7">
        <f>EG42/(1+g_inf)^(A42+1-2026)</f>
        <v/>
      </c>
    </row>
    <row r="43">
      <c r="A43" t="n">
        <v>2037</v>
      </c>
      <c r="B43" t="n">
        <v>10</v>
      </c>
      <c r="C43" s="7">
        <f>(1+g_inf)^(A43-2026)</f>
        <v/>
      </c>
      <c r="D43" s="7">
        <f>SUMPRODUCT($AD$5:$AD$29,$E$5:$E$29*(1+$F$5:$F$29)^(A43-2026)*$G$5:$G$29*$H$5:$H$29*(1-$N$5:$N$29*$O$5:$O$29))*g_salMult+SUMPRODUCT(($B$5:$B$29&gt;=A43)*($B$5:$B$29&lt;A43+1)*$I$5:$I$29)*g_salMult</f>
        <v/>
      </c>
      <c r="E43" s="7">
        <f>SUMPRODUCT($AD$5:$AD$29,$E$5:$E$29*(1+$F$5:$F$29)^(A43-2026)*$G$5:$G$29*$H$5:$H$29*$M$5:$M$29)*g_salMult</f>
        <v/>
      </c>
      <c r="F43" s="7">
        <f>SUMPRODUCT($AD$5:$AD$29,$E$5:$E$29*(1+$F$5:$F$29)^(A43-2026)*$G$5:$G$29*$H$5:$H$29*$N$5:$N$29*$O$5:$O$29)*g_salMult</f>
        <v/>
      </c>
      <c r="G43" s="7">
        <f>SUMPRODUCT($AD$5:$AD$29,$P$5:$P$29*(1+$F$5:$F$29)^(A43-2026))</f>
        <v/>
      </c>
      <c r="H43" s="7">
        <f>SUMPRODUCT($AD$5:$AD$29,$Q$5:$Q$29*(1+$F$5:$F$29)^(A43-2026))+IF(personal_llcActivo=1,personal_llcNeto*(1+personal_llcCrecimiento)^10,0)</f>
        <v/>
      </c>
      <c r="I43" s="7">
        <f>SUMPRODUCT($AD$5:$AD$29,$J$5:$J$29/($C$5:$C$29-$B$5:$B$29+($C$5:$C$29=$B$5:$B$29)))*C43</f>
        <v/>
      </c>
      <c r="J43" s="7">
        <f>SUMPRODUCT($AD$5:$AD$29,$K$5:$K$29)</f>
        <v/>
      </c>
      <c r="K43" s="7">
        <f>SUMPRODUCT($AD$5:$AD$29,$L$5:$L$29)</f>
        <v/>
      </c>
      <c r="L43" s="7">
        <f>SUMPRODUCT($AD$5:$AD$29,$N$5:$N$29)</f>
        <v/>
      </c>
      <c r="M43" s="7">
        <f>IF(SUMPRODUCT($AD$5:$AD$29,$R$5:$R$29)&gt;0,1,0)</f>
        <v/>
      </c>
      <c r="N43" s="7">
        <f>SUMPRODUCT(($AO$5:$AO$24&gt;=A43)*($AO$5:$AO$24&lt;A43+1)*$AP$5:$AP$24)*C43+IF(10=0,IF(sel_loc&lt;&gt;"miami",personal_costoMudanzaInicial,0),0)</f>
        <v/>
      </c>
      <c r="O43" s="7">
        <f>MIN(personal_aporte403bPct*D43,retiro_limite403b*C43)</f>
        <v/>
      </c>
      <c r="P43" s="7">
        <f>MIN(personal_aporte403bPct,personal_match403bPct)*E43</f>
        <v/>
      </c>
      <c r="Q43" s="7">
        <f>IF(G43&gt;0,MAX(0,G43-impuestos_scorpCostoAnual*C43),0)</f>
        <v/>
      </c>
      <c r="R43" s="7">
        <f>Q43*impuestos_scorpSalarioPct/(1+impuestos_ssTasa+impuestos_medicareTasa)</f>
        <v/>
      </c>
      <c r="S43" s="7">
        <f>impuestos_ssTasa*MIN(R43,MAX(0,impuestos_ssTope*C43-D43))+impuestos_medicareTasa*R43</f>
        <v/>
      </c>
      <c r="T43" s="7">
        <f>Q43-R43-S43</f>
        <v/>
      </c>
      <c r="U43" s="7">
        <f>D43+R43</f>
        <v/>
      </c>
      <c r="V43" s="7">
        <f>H43*0.9235</f>
        <v/>
      </c>
      <c r="W43" s="7">
        <f>IF(H43&gt;0,2*impuestos_ssTasa*MIN(V43,MAX(0,impuestos_ssTope*C43-U43))+2*impuestos_medicareTasa*V43,0)</f>
        <v/>
      </c>
      <c r="X43" s="7">
        <f>impuestos_ssTasa*MIN(U43,impuestos_ssTope*C43)+impuestos_medicareTasa*U43+impuestos_medicareAdicional*MAX(0,U43+H43*0.9235-impuestos_medicareUmbral)</f>
        <v/>
      </c>
      <c r="Y43" s="7">
        <f>MAX(0,D43-O43+R43+T43+H43-W43/2)</f>
        <v/>
      </c>
      <c r="Z43" s="7">
        <f>MAX(0,Y43-impuestos_deduccionEstandar*C43)</f>
        <v/>
      </c>
      <c r="AA43" s="7">
        <f>MIN(0.2*MAX(0,T43+H43-W43/2)*MAX(0,MIN(1,1-(Z43-impuestos_qbiUmbral*C43)/(impuestos_qbiRango*C43))),0.2*Z43)</f>
        <v/>
      </c>
      <c r="AB43" s="7">
        <f>MAX(0,Z43-AA43)</f>
        <v/>
      </c>
      <c r="AC43" s="7">
        <f>SUMPRODUCT((AB43&gt;tb_federalBrackets_lo*C43)*(AB43-tb_federalBrackets_lo*C43)*tb_federalBrackets_dr)</f>
        <v/>
      </c>
      <c r="AD43" s="7">
        <f>MAX(0,Y43-impuestos_nyDeduccion*C43)</f>
        <v/>
      </c>
      <c r="AE43" s="7">
        <f>CHOOSE(loc_taxcode,0,impuestos_ohTasa*MAX(0,Y43-impuestos_ohExento*C43)+impuestos_ohMunicipal*U43,SUMPRODUCT((AD43&gt;tb_nyBrackets_lo*C43)*(AD43-tb_nyBrackets_lo*C43)*tb_nyBrackets_dr)+loc_nyc*SUMPRODUCT((AD43&gt;tb_nycBrackets_lo*C43)*(AD43-tb_nycBrackets_lo*C43)*tb_nycBrackets_dr))</f>
        <v/>
      </c>
      <c r="AF43" s="7">
        <f>AC43+AE43+X43+W43</f>
        <v/>
      </c>
      <c r="AG43" s="7">
        <f>D43+F43+R43+T43+H43</f>
        <v/>
      </c>
      <c r="AH43" s="7">
        <f>AG43-AF43-O43</f>
        <v/>
      </c>
      <c r="AI43" s="7">
        <f>D43+F43+G43+H43</f>
        <v/>
      </c>
      <c r="AJ43" s="7">
        <f>loc_gastosVida*C43*g_gastos</f>
        <v/>
      </c>
      <c r="AK43" s="7">
        <f>IF(10=0,personal_liquidoInicial,DR42)</f>
        <v/>
      </c>
      <c r="AL43" s="7">
        <f>IF(10=0,0,BB42)</f>
        <v/>
      </c>
      <c r="AM43" s="7">
        <f>CHOOSE(sel_cfgIdx,loc_precio_duplex,loc_precio_inlaw,loc_precio_dosCasas,loc_precio_casaAdu,loc_precio_multi)</f>
        <v/>
      </c>
      <c r="AN43" s="7">
        <f>AM43*(1+g_appr)^(A43-2026)</f>
        <v/>
      </c>
      <c r="AO43" s="7">
        <f>IF(AND(M43=1,vivienda_prestamoMedico=1),1,0)</f>
        <v/>
      </c>
      <c r="AP43" s="7">
        <f>IF(AO43=1,0.05,vivienda_enganchePct)</f>
        <v/>
      </c>
      <c r="AQ43" s="7">
        <f>AN43*(1-AP43)</f>
        <v/>
      </c>
      <c r="AR43" s="7">
        <f>PMT(g_mortRate/12,vivienda_plazoHipoteca*12,-AQ43)</f>
        <v/>
      </c>
      <c r="AS43" s="7">
        <f>INDEX(cfg_units,sel_cfgIdx)</f>
        <v/>
      </c>
      <c r="AT43" s="7">
        <f>AS43*loc_rentaUnidad*(1+g_inf)^(A43-2026)*(1-vivienda_vacancia)</f>
        <v/>
      </c>
      <c r="AU43" s="7">
        <f>AR43+AN43*loc_impuestoPropPct/12+AM43*loc_seguroPct*(1+vivienda_inflacionSeguro)^(A43-2026)/12+IF(AND(AO43=0,AP43&lt;0.2),AQ43*vivienda_pmiTasa/12,0)</f>
        <v/>
      </c>
      <c r="AV43" s="7">
        <f>AN43*AP43+AN43*vivienda_cierrePct+general_reservaMeses/12*AJ43</f>
        <v/>
      </c>
      <c r="AW43" s="7">
        <f>(IF(10=0,MIN(personal_irsSaldo,personal_irsPagoMensual*12),MIN(CD42,personal_irsPagoMensual*12))+IF(CE43&gt;0,PMT(CF43,MAX(1,prestamos_plazoAnios-CG43),-CE43),0)+IF(CR43&gt;0,PMT(CS43,MAX(1,prestamos_plazoAnios-CT43),-CR43),0))/12</f>
        <v/>
      </c>
      <c r="AX43" s="7">
        <f>IF(OR(sel_cfg="duplex",sel_cfg="multi",sel_cfg="dosCasas"),0.75*personal_aporteFamiliaMensual,0)</f>
        <v/>
      </c>
      <c r="AY43" s="7">
        <f>AU43-0.75*AT43-AX43+AW43</f>
        <v/>
      </c>
      <c r="AZ43" s="7">
        <f>(D43+G43+H43+0.5*F43)/12</f>
        <v/>
      </c>
      <c r="BA43" s="7">
        <f>IF(AND(AL43=0,A43&gt;=vivienda_anioMinCompra,J43&lt;0.5,AI43&gt;0,AK43&gt;=AV43,AY43&lt;=vivienda_dtiMax*AZ43),1,0)</f>
        <v/>
      </c>
      <c r="BB43" s="7">
        <f>MAX(AL43,BA43)</f>
        <v/>
      </c>
      <c r="BC43" s="7">
        <f>IF(BA43=1,A43,IF(10=0,"",BC42))</f>
        <v/>
      </c>
      <c r="BD43" s="7">
        <f>AK43-IF(BA43=1,AN43*AP43+AN43*vivienda_cierrePct,0)</f>
        <v/>
      </c>
      <c r="BE43" s="7">
        <f>IF(BA43=1,AN43,IF(10=0,0,BE42))</f>
        <v/>
      </c>
      <c r="BF43" s="7">
        <f>IF(BA43=1,AR43,IF(10=0,0,BF42))</f>
        <v/>
      </c>
      <c r="BG43" s="7">
        <f>IF(BA43=1,IF(AND(AO43=0,AP43&lt;0.2),1,0),IF(10=0,0,BY42))</f>
        <v/>
      </c>
      <c r="BH43" s="7">
        <f>IF(sel_cfg="casaAdu",1,0)</f>
        <v/>
      </c>
      <c r="BI43" s="7">
        <f>IF(AND(BB43=1,BH43=1,IF(10=0,0,BJ42)=0,A43&gt;=IF(BC43="",9999,BC43)+vivienda_aduRetrasoAnios),1,0)</f>
        <v/>
      </c>
      <c r="BJ43" s="7">
        <f>MAX(IF(10=0,0,BJ42),BI43)</f>
        <v/>
      </c>
      <c r="BK43" s="7">
        <f>IF(BI43=1,PMT((g_mortRate+0.005)/12,180,-loc_precio_aduCosto*C43),IF(10=0,0,BK42))</f>
        <v/>
      </c>
      <c r="BL43" s="7">
        <f>IF(BA43=1,AN43,IF(10=0,0,DT42))+IF(BI43=1,loc_precio_aduCosto*C43,0)</f>
        <v/>
      </c>
      <c r="BM43" s="7">
        <f>IF(BA43=1,AQ43,IF(10=0,0,DU42))</f>
        <v/>
      </c>
      <c r="BN43" s="7">
        <f>IF(BM43&lt;=0,0,FV(g_mortRate/12,12,BF43,-BM43))</f>
        <v/>
      </c>
      <c r="BO43" s="7">
        <f>IF(BM43&lt;=0,0,12*BF43+MIN(0,BN43))</f>
        <v/>
      </c>
      <c r="BP43" s="7">
        <f>MAX(0,BN43)</f>
        <v/>
      </c>
      <c r="BQ43" s="7">
        <f>IF(BI43=1,loc_precio_aduCosto*C43,IF(10=0,0,DV42))</f>
        <v/>
      </c>
      <c r="BR43" s="7">
        <f>IF(BQ43&lt;=0,0,FV((g_mortRate+0.005)/12,12,BK43,-BQ43))</f>
        <v/>
      </c>
      <c r="BS43" s="7">
        <f>IF(BQ43&lt;=0,0,12*BK43+MIN(0,BR43))</f>
        <v/>
      </c>
      <c r="BT43" s="7">
        <f>MAX(0,BR43)</f>
        <v/>
      </c>
      <c r="BU43" s="7">
        <f>IF(BB43=1,AM43*loc_seguroPct*(1+vivienda_inflacionSeguro)^(A43-2026)*IF(BJ43=1,1+loc_precio_aduCosto/AM43,1),0)</f>
        <v/>
      </c>
      <c r="BV43" s="7">
        <f>BL43*loc_impuestoPropPct</f>
        <v/>
      </c>
      <c r="BW43" s="7">
        <f>BL43*vivienda_mantenimientoPct</f>
        <v/>
      </c>
      <c r="BX43" s="7">
        <f>IF(AND(BG43=1,BP43&gt;0.8*BE43),BE43*(1-vivienda_enganchePct)*vivienda_pmiTasa,0)</f>
        <v/>
      </c>
      <c r="BY43" s="7">
        <f>IF(AND(BG43=1,BP43&gt;0.8*BE43),1,0)</f>
        <v/>
      </c>
      <c r="BZ43" s="7">
        <f>IF(BB43=1,AS43*loc_rentaUnidad*12*C43*(1-vivienda_vacancia)*(1-vivienda_gestionPct),0)</f>
        <v/>
      </c>
      <c r="CA43" s="7">
        <f>IF(BB43=1,BO43+BS43+BU43+BV43+BW43+BX43,loc_rentaMensual*12*C43)</f>
        <v/>
      </c>
      <c r="CB43" s="7">
        <f>IF(BB43=1,personal_aporteFamiliaMensual*12,0)</f>
        <v/>
      </c>
      <c r="CC43" s="7">
        <f>MIN(IF(10=0,personal_irsSaldo,CD42),personal_irsPagoMensual*12)</f>
        <v/>
      </c>
      <c r="CD43" s="7">
        <f>IF(10=0,personal_irsSaldo,CD42)-CC43</f>
        <v/>
      </c>
      <c r="CE43" s="7">
        <f>IF(10=0,IF(personal_deudaEsFederal=1,personal_deudaEstudiantil,0),DW42)</f>
        <v/>
      </c>
      <c r="CF43" s="7">
        <f>IF(10=0,personal_tasaDeudaEstudiantil,DX42)</f>
        <v/>
      </c>
      <c r="CG43" s="7">
        <f>IF(10=0,0,DY42)</f>
        <v/>
      </c>
      <c r="CH43" s="7">
        <f>IF(J43&gt;=0.5,1,0)</f>
        <v/>
      </c>
      <c r="CI43" s="7">
        <f>IF(AND(CH43=0,prestamos_pslfActivo=1,K43&gt;=0.5,CE43&gt;0),1,0)</f>
        <v/>
      </c>
      <c r="CJ43" s="7">
        <f>CE43*CF43</f>
        <v/>
      </c>
      <c r="CK43" s="7">
        <f>MAX(prestamos_rapPagoMinimoAnual,IF(Y43&lt;10000,0,MIN(0.1,INT(Y43/10000)/100))*Y43)</f>
        <v/>
      </c>
      <c r="CL43" s="7">
        <f>IF(CE43&lt;=0,0,IF(CH43=1,0,IF(CI43=1,MIN(CE43+CJ43,CK43),PMT(CF43,MAX(1,prestamos_plazoAnios-CG43),-CE43))))</f>
        <v/>
      </c>
      <c r="CM43" s="7">
        <f>IF(CE43&lt;=0,0,IF(CH43=1,CE43+CJ43,IF(CI43=1,MAX(0,CE43-MAX(CL43-CJ43,MIN(600,CL43))),MAX(0,CE43*(1+CF43)-CL43))))</f>
        <v/>
      </c>
      <c r="CN43" s="7">
        <f>IF(10=0,0,CN42)+IF(CI43=1,12*MIN(1,K43),0)</f>
        <v/>
      </c>
      <c r="CO43" s="7">
        <f>IF(AND(CI43=1,CN43&gt;=prestamos_pslfPagos,CM43&gt;0),CM43,0)</f>
        <v/>
      </c>
      <c r="CP43" s="7">
        <f>CM43-CO43</f>
        <v/>
      </c>
      <c r="CQ43" s="7">
        <f>IF(AND(CE43&gt;0,CH43=0,CI43=0),CG43+1,CG43)</f>
        <v/>
      </c>
      <c r="CR43" s="7">
        <f>IF(10=0,IF(personal_deudaEsFederal=1,0,personal_deudaEstudiantil),EA42)</f>
        <v/>
      </c>
      <c r="CS43" s="7">
        <f>IF(10=0,IF(personal_deudaEsFederal=1,prestamos_tasaPrivada,personal_tasaDeudaEstudiantil),EB42)</f>
        <v/>
      </c>
      <c r="CT43" s="7">
        <f>IF(10=0,0,EC42)</f>
        <v/>
      </c>
      <c r="CU43" s="7">
        <f>IF(OR(CR43&lt;=0,CH43=1),0,PMT(CS43,MAX(1,prestamos_plazoAnios-CT43),-CR43))</f>
        <v/>
      </c>
      <c r="CV43" s="7">
        <f>IF(CR43&lt;=0,0,IF(CH43=1,CR43*(1+CS43),MAX(0,CR43*(1+CS43)-CU43)))</f>
        <v/>
      </c>
      <c r="CW43" s="7">
        <f>IF(AND(CR43&gt;0,CH43=0),CT43+1,CT43)</f>
        <v/>
      </c>
      <c r="CX43" s="7">
        <f>IF(10=0,0,ED42)*(1+general_tasaDeudaConsumo)</f>
        <v/>
      </c>
      <c r="CY43" s="7">
        <f>L43*12*tiempos_travelGastoExtraMes*C43</f>
        <v/>
      </c>
      <c r="CZ43" s="7">
        <f>AJ43+CY43+CA43+CC43+CL43+CU43+I43+N43-BZ43-CB43</f>
        <v/>
      </c>
      <c r="DA43" s="7">
        <f>AH43-CZ43</f>
        <v/>
      </c>
      <c r="DB43" s="7">
        <f>IF(10=0,0,DB42)+DA43</f>
        <v/>
      </c>
      <c r="DC43" s="7">
        <f>AN43*vivienda_enganchePct+AN43*vivienda_cierrePct+general_reservaMeses/12*AJ43</f>
        <v/>
      </c>
      <c r="DD43" s="7">
        <f>IF(BB43=1,g_ret,IF(BD43&gt;0,MIN(1,DC43/BD43),1)*g_cash+(1-IF(BD43&gt;0,MIN(1,DC43/BD43),1))*g_ret)</f>
        <v/>
      </c>
      <c r="DE43" s="7">
        <f>IF(DA43&gt;=0,MIN(CX43,DA43),0)</f>
        <v/>
      </c>
      <c r="DF43" s="7">
        <f>IF(DA43&gt;=0,(1-general_tasaAhorro)*(DA43-DE43),0)</f>
        <v/>
      </c>
      <c r="DG43" s="7">
        <f>IF(DA43&gt;=0,DA43-DE43-DF43,0)</f>
        <v/>
      </c>
      <c r="DH43" s="7">
        <f>MIN(personal_rothAnual,DG43)</f>
        <v/>
      </c>
      <c r="DI43" s="7">
        <f>IF(AND(DA43&gt;=0,BB43=1,BP43+BT43&gt;0),MIN(vivienda_prepagoPct*(DG43-DH43),BP43+BT43),0)</f>
        <v/>
      </c>
      <c r="DJ43" s="7">
        <f>MIN(DI43,BP43)</f>
        <v/>
      </c>
      <c r="DK43" s="7">
        <f>IF(DA43&lt;0,MIN(MAX(0,BD43),-DA43),0)</f>
        <v/>
      </c>
      <c r="DL43" s="7">
        <f>IF(DA43&lt;0,-DA43-DK43,0)</f>
        <v/>
      </c>
      <c r="DM43" s="7">
        <f>IF(10=0,0,DZ42)</f>
        <v/>
      </c>
      <c r="DN43" s="7">
        <f>IF(AND(DL43&gt;0,J43&gt;0),MIN(DL43,MIN(prestamos_topeAnualPosgrado*MIN(1,J43),MAX(0,prestamos_topeTotalPosgrado-DM43))),0)</f>
        <v/>
      </c>
      <c r="DO43" s="7">
        <f>IF(AND(DL43&gt;0,J43&gt;0),DL43-DN43,0)</f>
        <v/>
      </c>
      <c r="DP43" s="7">
        <f>IF(AND(DL43&gt;0,J43&lt;=0),DL43,0)</f>
        <v/>
      </c>
      <c r="DQ43" s="7">
        <f>IF(DA43&gt;=0,DG43-DH43-DI43,-DK43)</f>
        <v/>
      </c>
      <c r="DR43" s="7">
        <f>BD43*(1+DD43)+DQ43*(1+DD43/2)</f>
        <v/>
      </c>
      <c r="DS43" s="7">
        <f>IF(10=0,personal_retiroInicial,DS42)*(1+g_ret)+(O43+P43+DH43)*(1+g_ret/2)</f>
        <v/>
      </c>
      <c r="DT43" s="7">
        <f>IF(BB43=1,BL43*(1+g_appr),0)</f>
        <v/>
      </c>
      <c r="DU43" s="7">
        <f>BP43-DJ43</f>
        <v/>
      </c>
      <c r="DV43" s="7">
        <f>BT43-(DI43-DJ43)</f>
        <v/>
      </c>
      <c r="DW43" s="7">
        <f>CP43+DN43</f>
        <v/>
      </c>
      <c r="DX43" s="7">
        <f>IF(DN43&gt;0,(CP43*CF43+DN43*prestamos_tasaFederalPosgrado)/(CP43+DN43),CF43)</f>
        <v/>
      </c>
      <c r="DY43" s="7">
        <f>IF(DN43&gt;0,0,CQ43)</f>
        <v/>
      </c>
      <c r="DZ43" s="7">
        <f>DM43+DN43</f>
        <v/>
      </c>
      <c r="EA43" s="7">
        <f>CV43+DO43</f>
        <v/>
      </c>
      <c r="EB43" s="7">
        <f>IF(DO43&gt;0,(CV43*CS43+DO43*prestamos_tasaPrivada)/(CV43+DO43),CS43)</f>
        <v/>
      </c>
      <c r="EC43" s="7">
        <f>IF(DO43&gt;0,0,CW43)</f>
        <v/>
      </c>
      <c r="ED43" s="7">
        <f>CX43-DE43+DP43</f>
        <v/>
      </c>
      <c r="EE43" s="7">
        <f>IF(IF(10=0,"",EE42)&lt;&gt;"",EE42,IF(AND(BB43=1,DU43&lt;=0.5,DV43&lt;=0.5,OR(BH43=0,BJ43=1)),A43,""))</f>
        <v/>
      </c>
      <c r="EF43" s="7">
        <f>DU43+DV43+DW43+EA43+ED43+CD43</f>
        <v/>
      </c>
      <c r="EG43" s="7">
        <f>DR43+DS43+DT43-EF43</f>
        <v/>
      </c>
      <c r="EH43" s="7">
        <f>EG43/(1+g_inf)^(A43+1-2026)</f>
        <v/>
      </c>
    </row>
    <row r="44">
      <c r="A44" t="n">
        <v>2038</v>
      </c>
      <c r="B44" t="n">
        <v>11</v>
      </c>
      <c r="C44" s="7">
        <f>(1+g_inf)^(A44-2026)</f>
        <v/>
      </c>
      <c r="D44" s="7">
        <f>SUMPRODUCT($AE$5:$AE$29,$E$5:$E$29*(1+$F$5:$F$29)^(A44-2026)*$G$5:$G$29*$H$5:$H$29*(1-$N$5:$N$29*$O$5:$O$29))*g_salMult+SUMPRODUCT(($B$5:$B$29&gt;=A44)*($B$5:$B$29&lt;A44+1)*$I$5:$I$29)*g_salMult</f>
        <v/>
      </c>
      <c r="E44" s="7">
        <f>SUMPRODUCT($AE$5:$AE$29,$E$5:$E$29*(1+$F$5:$F$29)^(A44-2026)*$G$5:$G$29*$H$5:$H$29*$M$5:$M$29)*g_salMult</f>
        <v/>
      </c>
      <c r="F44" s="7">
        <f>SUMPRODUCT($AE$5:$AE$29,$E$5:$E$29*(1+$F$5:$F$29)^(A44-2026)*$G$5:$G$29*$H$5:$H$29*$N$5:$N$29*$O$5:$O$29)*g_salMult</f>
        <v/>
      </c>
      <c r="G44" s="7">
        <f>SUMPRODUCT($AE$5:$AE$29,$P$5:$P$29*(1+$F$5:$F$29)^(A44-2026))</f>
        <v/>
      </c>
      <c r="H44" s="7">
        <f>SUMPRODUCT($AE$5:$AE$29,$Q$5:$Q$29*(1+$F$5:$F$29)^(A44-2026))+IF(personal_llcActivo=1,personal_llcNeto*(1+personal_llcCrecimiento)^11,0)</f>
        <v/>
      </c>
      <c r="I44" s="7">
        <f>SUMPRODUCT($AE$5:$AE$29,$J$5:$J$29/($C$5:$C$29-$B$5:$B$29+($C$5:$C$29=$B$5:$B$29)))*C44</f>
        <v/>
      </c>
      <c r="J44" s="7">
        <f>SUMPRODUCT($AE$5:$AE$29,$K$5:$K$29)</f>
        <v/>
      </c>
      <c r="K44" s="7">
        <f>SUMPRODUCT($AE$5:$AE$29,$L$5:$L$29)</f>
        <v/>
      </c>
      <c r="L44" s="7">
        <f>SUMPRODUCT($AE$5:$AE$29,$N$5:$N$29)</f>
        <v/>
      </c>
      <c r="M44" s="7">
        <f>IF(SUMPRODUCT($AE$5:$AE$29,$R$5:$R$29)&gt;0,1,0)</f>
        <v/>
      </c>
      <c r="N44" s="7">
        <f>SUMPRODUCT(($AO$5:$AO$24&gt;=A44)*($AO$5:$AO$24&lt;A44+1)*$AP$5:$AP$24)*C44+IF(11=0,IF(sel_loc&lt;&gt;"miami",personal_costoMudanzaInicial,0),0)</f>
        <v/>
      </c>
      <c r="O44" s="7">
        <f>MIN(personal_aporte403bPct*D44,retiro_limite403b*C44)</f>
        <v/>
      </c>
      <c r="P44" s="7">
        <f>MIN(personal_aporte403bPct,personal_match403bPct)*E44</f>
        <v/>
      </c>
      <c r="Q44" s="7">
        <f>IF(G44&gt;0,MAX(0,G44-impuestos_scorpCostoAnual*C44),0)</f>
        <v/>
      </c>
      <c r="R44" s="7">
        <f>Q44*impuestos_scorpSalarioPct/(1+impuestos_ssTasa+impuestos_medicareTasa)</f>
        <v/>
      </c>
      <c r="S44" s="7">
        <f>impuestos_ssTasa*MIN(R44,MAX(0,impuestos_ssTope*C44-D44))+impuestos_medicareTasa*R44</f>
        <v/>
      </c>
      <c r="T44" s="7">
        <f>Q44-R44-S44</f>
        <v/>
      </c>
      <c r="U44" s="7">
        <f>D44+R44</f>
        <v/>
      </c>
      <c r="V44" s="7">
        <f>H44*0.9235</f>
        <v/>
      </c>
      <c r="W44" s="7">
        <f>IF(H44&gt;0,2*impuestos_ssTasa*MIN(V44,MAX(0,impuestos_ssTope*C44-U44))+2*impuestos_medicareTasa*V44,0)</f>
        <v/>
      </c>
      <c r="X44" s="7">
        <f>impuestos_ssTasa*MIN(U44,impuestos_ssTope*C44)+impuestos_medicareTasa*U44+impuestos_medicareAdicional*MAX(0,U44+H44*0.9235-impuestos_medicareUmbral)</f>
        <v/>
      </c>
      <c r="Y44" s="7">
        <f>MAX(0,D44-O44+R44+T44+H44-W44/2)</f>
        <v/>
      </c>
      <c r="Z44" s="7">
        <f>MAX(0,Y44-impuestos_deduccionEstandar*C44)</f>
        <v/>
      </c>
      <c r="AA44" s="7">
        <f>MIN(0.2*MAX(0,T44+H44-W44/2)*MAX(0,MIN(1,1-(Z44-impuestos_qbiUmbral*C44)/(impuestos_qbiRango*C44))),0.2*Z44)</f>
        <v/>
      </c>
      <c r="AB44" s="7">
        <f>MAX(0,Z44-AA44)</f>
        <v/>
      </c>
      <c r="AC44" s="7">
        <f>SUMPRODUCT((AB44&gt;tb_federalBrackets_lo*C44)*(AB44-tb_federalBrackets_lo*C44)*tb_federalBrackets_dr)</f>
        <v/>
      </c>
      <c r="AD44" s="7">
        <f>MAX(0,Y44-impuestos_nyDeduccion*C44)</f>
        <v/>
      </c>
      <c r="AE44" s="7">
        <f>CHOOSE(loc_taxcode,0,impuestos_ohTasa*MAX(0,Y44-impuestos_ohExento*C44)+impuestos_ohMunicipal*U44,SUMPRODUCT((AD44&gt;tb_nyBrackets_lo*C44)*(AD44-tb_nyBrackets_lo*C44)*tb_nyBrackets_dr)+loc_nyc*SUMPRODUCT((AD44&gt;tb_nycBrackets_lo*C44)*(AD44-tb_nycBrackets_lo*C44)*tb_nycBrackets_dr))</f>
        <v/>
      </c>
      <c r="AF44" s="7">
        <f>AC44+AE44+X44+W44</f>
        <v/>
      </c>
      <c r="AG44" s="7">
        <f>D44+F44+R44+T44+H44</f>
        <v/>
      </c>
      <c r="AH44" s="7">
        <f>AG44-AF44-O44</f>
        <v/>
      </c>
      <c r="AI44" s="7">
        <f>D44+F44+G44+H44</f>
        <v/>
      </c>
      <c r="AJ44" s="7">
        <f>loc_gastosVida*C44*g_gastos</f>
        <v/>
      </c>
      <c r="AK44" s="7">
        <f>IF(11=0,personal_liquidoInicial,DR43)</f>
        <v/>
      </c>
      <c r="AL44" s="7">
        <f>IF(11=0,0,BB43)</f>
        <v/>
      </c>
      <c r="AM44" s="7">
        <f>CHOOSE(sel_cfgIdx,loc_precio_duplex,loc_precio_inlaw,loc_precio_dosCasas,loc_precio_casaAdu,loc_precio_multi)</f>
        <v/>
      </c>
      <c r="AN44" s="7">
        <f>AM44*(1+g_appr)^(A44-2026)</f>
        <v/>
      </c>
      <c r="AO44" s="7">
        <f>IF(AND(M44=1,vivienda_prestamoMedico=1),1,0)</f>
        <v/>
      </c>
      <c r="AP44" s="7">
        <f>IF(AO44=1,0.05,vivienda_enganchePct)</f>
        <v/>
      </c>
      <c r="AQ44" s="7">
        <f>AN44*(1-AP44)</f>
        <v/>
      </c>
      <c r="AR44" s="7">
        <f>PMT(g_mortRate/12,vivienda_plazoHipoteca*12,-AQ44)</f>
        <v/>
      </c>
      <c r="AS44" s="7">
        <f>INDEX(cfg_units,sel_cfgIdx)</f>
        <v/>
      </c>
      <c r="AT44" s="7">
        <f>AS44*loc_rentaUnidad*(1+g_inf)^(A44-2026)*(1-vivienda_vacancia)</f>
        <v/>
      </c>
      <c r="AU44" s="7">
        <f>AR44+AN44*loc_impuestoPropPct/12+AM44*loc_seguroPct*(1+vivienda_inflacionSeguro)^(A44-2026)/12+IF(AND(AO44=0,AP44&lt;0.2),AQ44*vivienda_pmiTasa/12,0)</f>
        <v/>
      </c>
      <c r="AV44" s="7">
        <f>AN44*AP44+AN44*vivienda_cierrePct+general_reservaMeses/12*AJ44</f>
        <v/>
      </c>
      <c r="AW44" s="7">
        <f>(IF(11=0,MIN(personal_irsSaldo,personal_irsPagoMensual*12),MIN(CD43,personal_irsPagoMensual*12))+IF(CE44&gt;0,PMT(CF44,MAX(1,prestamos_plazoAnios-CG44),-CE44),0)+IF(CR44&gt;0,PMT(CS44,MAX(1,prestamos_plazoAnios-CT44),-CR44),0))/12</f>
        <v/>
      </c>
      <c r="AX44" s="7">
        <f>IF(OR(sel_cfg="duplex",sel_cfg="multi",sel_cfg="dosCasas"),0.75*personal_aporteFamiliaMensual,0)</f>
        <v/>
      </c>
      <c r="AY44" s="7">
        <f>AU44-0.75*AT44-AX44+AW44</f>
        <v/>
      </c>
      <c r="AZ44" s="7">
        <f>(D44+G44+H44+0.5*F44)/12</f>
        <v/>
      </c>
      <c r="BA44" s="7">
        <f>IF(AND(AL44=0,A44&gt;=vivienda_anioMinCompra,J44&lt;0.5,AI44&gt;0,AK44&gt;=AV44,AY44&lt;=vivienda_dtiMax*AZ44),1,0)</f>
        <v/>
      </c>
      <c r="BB44" s="7">
        <f>MAX(AL44,BA44)</f>
        <v/>
      </c>
      <c r="BC44" s="7">
        <f>IF(BA44=1,A44,IF(11=0,"",BC43))</f>
        <v/>
      </c>
      <c r="BD44" s="7">
        <f>AK44-IF(BA44=1,AN44*AP44+AN44*vivienda_cierrePct,0)</f>
        <v/>
      </c>
      <c r="BE44" s="7">
        <f>IF(BA44=1,AN44,IF(11=0,0,BE43))</f>
        <v/>
      </c>
      <c r="BF44" s="7">
        <f>IF(BA44=1,AR44,IF(11=0,0,BF43))</f>
        <v/>
      </c>
      <c r="BG44" s="7">
        <f>IF(BA44=1,IF(AND(AO44=0,AP44&lt;0.2),1,0),IF(11=0,0,BY43))</f>
        <v/>
      </c>
      <c r="BH44" s="7">
        <f>IF(sel_cfg="casaAdu",1,0)</f>
        <v/>
      </c>
      <c r="BI44" s="7">
        <f>IF(AND(BB44=1,BH44=1,IF(11=0,0,BJ43)=0,A44&gt;=IF(BC44="",9999,BC44)+vivienda_aduRetrasoAnios),1,0)</f>
        <v/>
      </c>
      <c r="BJ44" s="7">
        <f>MAX(IF(11=0,0,BJ43),BI44)</f>
        <v/>
      </c>
      <c r="BK44" s="7">
        <f>IF(BI44=1,PMT((g_mortRate+0.005)/12,180,-loc_precio_aduCosto*C44),IF(11=0,0,BK43))</f>
        <v/>
      </c>
      <c r="BL44" s="7">
        <f>IF(BA44=1,AN44,IF(11=0,0,DT43))+IF(BI44=1,loc_precio_aduCosto*C44,0)</f>
        <v/>
      </c>
      <c r="BM44" s="7">
        <f>IF(BA44=1,AQ44,IF(11=0,0,DU43))</f>
        <v/>
      </c>
      <c r="BN44" s="7">
        <f>IF(BM44&lt;=0,0,FV(g_mortRate/12,12,BF44,-BM44))</f>
        <v/>
      </c>
      <c r="BO44" s="7">
        <f>IF(BM44&lt;=0,0,12*BF44+MIN(0,BN44))</f>
        <v/>
      </c>
      <c r="BP44" s="7">
        <f>MAX(0,BN44)</f>
        <v/>
      </c>
      <c r="BQ44" s="7">
        <f>IF(BI44=1,loc_precio_aduCosto*C44,IF(11=0,0,DV43))</f>
        <v/>
      </c>
      <c r="BR44" s="7">
        <f>IF(BQ44&lt;=0,0,FV((g_mortRate+0.005)/12,12,BK44,-BQ44))</f>
        <v/>
      </c>
      <c r="BS44" s="7">
        <f>IF(BQ44&lt;=0,0,12*BK44+MIN(0,BR44))</f>
        <v/>
      </c>
      <c r="BT44" s="7">
        <f>MAX(0,BR44)</f>
        <v/>
      </c>
      <c r="BU44" s="7">
        <f>IF(BB44=1,AM44*loc_seguroPct*(1+vivienda_inflacionSeguro)^(A44-2026)*IF(BJ44=1,1+loc_precio_aduCosto/AM44,1),0)</f>
        <v/>
      </c>
      <c r="BV44" s="7">
        <f>BL44*loc_impuestoPropPct</f>
        <v/>
      </c>
      <c r="BW44" s="7">
        <f>BL44*vivienda_mantenimientoPct</f>
        <v/>
      </c>
      <c r="BX44" s="7">
        <f>IF(AND(BG44=1,BP44&gt;0.8*BE44),BE44*(1-vivienda_enganchePct)*vivienda_pmiTasa,0)</f>
        <v/>
      </c>
      <c r="BY44" s="7">
        <f>IF(AND(BG44=1,BP44&gt;0.8*BE44),1,0)</f>
        <v/>
      </c>
      <c r="BZ44" s="7">
        <f>IF(BB44=1,AS44*loc_rentaUnidad*12*C44*(1-vivienda_vacancia)*(1-vivienda_gestionPct),0)</f>
        <v/>
      </c>
      <c r="CA44" s="7">
        <f>IF(BB44=1,BO44+BS44+BU44+BV44+BW44+BX44,loc_rentaMensual*12*C44)</f>
        <v/>
      </c>
      <c r="CB44" s="7">
        <f>IF(BB44=1,personal_aporteFamiliaMensual*12,0)</f>
        <v/>
      </c>
      <c r="CC44" s="7">
        <f>MIN(IF(11=0,personal_irsSaldo,CD43),personal_irsPagoMensual*12)</f>
        <v/>
      </c>
      <c r="CD44" s="7">
        <f>IF(11=0,personal_irsSaldo,CD43)-CC44</f>
        <v/>
      </c>
      <c r="CE44" s="7">
        <f>IF(11=0,IF(personal_deudaEsFederal=1,personal_deudaEstudiantil,0),DW43)</f>
        <v/>
      </c>
      <c r="CF44" s="7">
        <f>IF(11=0,personal_tasaDeudaEstudiantil,DX43)</f>
        <v/>
      </c>
      <c r="CG44" s="7">
        <f>IF(11=0,0,DY43)</f>
        <v/>
      </c>
      <c r="CH44" s="7">
        <f>IF(J44&gt;=0.5,1,0)</f>
        <v/>
      </c>
      <c r="CI44" s="7">
        <f>IF(AND(CH44=0,prestamos_pslfActivo=1,K44&gt;=0.5,CE44&gt;0),1,0)</f>
        <v/>
      </c>
      <c r="CJ44" s="7">
        <f>CE44*CF44</f>
        <v/>
      </c>
      <c r="CK44" s="7">
        <f>MAX(prestamos_rapPagoMinimoAnual,IF(Y44&lt;10000,0,MIN(0.1,INT(Y44/10000)/100))*Y44)</f>
        <v/>
      </c>
      <c r="CL44" s="7">
        <f>IF(CE44&lt;=0,0,IF(CH44=1,0,IF(CI44=1,MIN(CE44+CJ44,CK44),PMT(CF44,MAX(1,prestamos_plazoAnios-CG44),-CE44))))</f>
        <v/>
      </c>
      <c r="CM44" s="7">
        <f>IF(CE44&lt;=0,0,IF(CH44=1,CE44+CJ44,IF(CI44=1,MAX(0,CE44-MAX(CL44-CJ44,MIN(600,CL44))),MAX(0,CE44*(1+CF44)-CL44))))</f>
        <v/>
      </c>
      <c r="CN44" s="7">
        <f>IF(11=0,0,CN43)+IF(CI44=1,12*MIN(1,K44),0)</f>
        <v/>
      </c>
      <c r="CO44" s="7">
        <f>IF(AND(CI44=1,CN44&gt;=prestamos_pslfPagos,CM44&gt;0),CM44,0)</f>
        <v/>
      </c>
      <c r="CP44" s="7">
        <f>CM44-CO44</f>
        <v/>
      </c>
      <c r="CQ44" s="7">
        <f>IF(AND(CE44&gt;0,CH44=0,CI44=0),CG44+1,CG44)</f>
        <v/>
      </c>
      <c r="CR44" s="7">
        <f>IF(11=0,IF(personal_deudaEsFederal=1,0,personal_deudaEstudiantil),EA43)</f>
        <v/>
      </c>
      <c r="CS44" s="7">
        <f>IF(11=0,IF(personal_deudaEsFederal=1,prestamos_tasaPrivada,personal_tasaDeudaEstudiantil),EB43)</f>
        <v/>
      </c>
      <c r="CT44" s="7">
        <f>IF(11=0,0,EC43)</f>
        <v/>
      </c>
      <c r="CU44" s="7">
        <f>IF(OR(CR44&lt;=0,CH44=1),0,PMT(CS44,MAX(1,prestamos_plazoAnios-CT44),-CR44))</f>
        <v/>
      </c>
      <c r="CV44" s="7">
        <f>IF(CR44&lt;=0,0,IF(CH44=1,CR44*(1+CS44),MAX(0,CR44*(1+CS44)-CU44)))</f>
        <v/>
      </c>
      <c r="CW44" s="7">
        <f>IF(AND(CR44&gt;0,CH44=0),CT44+1,CT44)</f>
        <v/>
      </c>
      <c r="CX44" s="7">
        <f>IF(11=0,0,ED43)*(1+general_tasaDeudaConsumo)</f>
        <v/>
      </c>
      <c r="CY44" s="7">
        <f>L44*12*tiempos_travelGastoExtraMes*C44</f>
        <v/>
      </c>
      <c r="CZ44" s="7">
        <f>AJ44+CY44+CA44+CC44+CL44+CU44+I44+N44-BZ44-CB44</f>
        <v/>
      </c>
      <c r="DA44" s="7">
        <f>AH44-CZ44</f>
        <v/>
      </c>
      <c r="DB44" s="7">
        <f>IF(11=0,0,DB43)+DA44</f>
        <v/>
      </c>
      <c r="DC44" s="7">
        <f>AN44*vivienda_enganchePct+AN44*vivienda_cierrePct+general_reservaMeses/12*AJ44</f>
        <v/>
      </c>
      <c r="DD44" s="7">
        <f>IF(BB44=1,g_ret,IF(BD44&gt;0,MIN(1,DC44/BD44),1)*g_cash+(1-IF(BD44&gt;0,MIN(1,DC44/BD44),1))*g_ret)</f>
        <v/>
      </c>
      <c r="DE44" s="7">
        <f>IF(DA44&gt;=0,MIN(CX44,DA44),0)</f>
        <v/>
      </c>
      <c r="DF44" s="7">
        <f>IF(DA44&gt;=0,(1-general_tasaAhorro)*(DA44-DE44),0)</f>
        <v/>
      </c>
      <c r="DG44" s="7">
        <f>IF(DA44&gt;=0,DA44-DE44-DF44,0)</f>
        <v/>
      </c>
      <c r="DH44" s="7">
        <f>MIN(personal_rothAnual,DG44)</f>
        <v/>
      </c>
      <c r="DI44" s="7">
        <f>IF(AND(DA44&gt;=0,BB44=1,BP44+BT44&gt;0),MIN(vivienda_prepagoPct*(DG44-DH44),BP44+BT44),0)</f>
        <v/>
      </c>
      <c r="DJ44" s="7">
        <f>MIN(DI44,BP44)</f>
        <v/>
      </c>
      <c r="DK44" s="7">
        <f>IF(DA44&lt;0,MIN(MAX(0,BD44),-DA44),0)</f>
        <v/>
      </c>
      <c r="DL44" s="7">
        <f>IF(DA44&lt;0,-DA44-DK44,0)</f>
        <v/>
      </c>
      <c r="DM44" s="7">
        <f>IF(11=0,0,DZ43)</f>
        <v/>
      </c>
      <c r="DN44" s="7">
        <f>IF(AND(DL44&gt;0,J44&gt;0),MIN(DL44,MIN(prestamos_topeAnualPosgrado*MIN(1,J44),MAX(0,prestamos_topeTotalPosgrado-DM44))),0)</f>
        <v/>
      </c>
      <c r="DO44" s="7">
        <f>IF(AND(DL44&gt;0,J44&gt;0),DL44-DN44,0)</f>
        <v/>
      </c>
      <c r="DP44" s="7">
        <f>IF(AND(DL44&gt;0,J44&lt;=0),DL44,0)</f>
        <v/>
      </c>
      <c r="DQ44" s="7">
        <f>IF(DA44&gt;=0,DG44-DH44-DI44,-DK44)</f>
        <v/>
      </c>
      <c r="DR44" s="7">
        <f>BD44*(1+DD44)+DQ44*(1+DD44/2)</f>
        <v/>
      </c>
      <c r="DS44" s="7">
        <f>IF(11=0,personal_retiroInicial,DS43)*(1+g_ret)+(O44+P44+DH44)*(1+g_ret/2)</f>
        <v/>
      </c>
      <c r="DT44" s="7">
        <f>IF(BB44=1,BL44*(1+g_appr),0)</f>
        <v/>
      </c>
      <c r="DU44" s="7">
        <f>BP44-DJ44</f>
        <v/>
      </c>
      <c r="DV44" s="7">
        <f>BT44-(DI44-DJ44)</f>
        <v/>
      </c>
      <c r="DW44" s="7">
        <f>CP44+DN44</f>
        <v/>
      </c>
      <c r="DX44" s="7">
        <f>IF(DN44&gt;0,(CP44*CF44+DN44*prestamos_tasaFederalPosgrado)/(CP44+DN44),CF44)</f>
        <v/>
      </c>
      <c r="DY44" s="7">
        <f>IF(DN44&gt;0,0,CQ44)</f>
        <v/>
      </c>
      <c r="DZ44" s="7">
        <f>DM44+DN44</f>
        <v/>
      </c>
      <c r="EA44" s="7">
        <f>CV44+DO44</f>
        <v/>
      </c>
      <c r="EB44" s="7">
        <f>IF(DO44&gt;0,(CV44*CS44+DO44*prestamos_tasaPrivada)/(CV44+DO44),CS44)</f>
        <v/>
      </c>
      <c r="EC44" s="7">
        <f>IF(DO44&gt;0,0,CW44)</f>
        <v/>
      </c>
      <c r="ED44" s="7">
        <f>CX44-DE44+DP44</f>
        <v/>
      </c>
      <c r="EE44" s="7">
        <f>IF(IF(11=0,"",EE43)&lt;&gt;"",EE43,IF(AND(BB44=1,DU44&lt;=0.5,DV44&lt;=0.5,OR(BH44=0,BJ44=1)),A44,""))</f>
        <v/>
      </c>
      <c r="EF44" s="7">
        <f>DU44+DV44+DW44+EA44+ED44+CD44</f>
        <v/>
      </c>
      <c r="EG44" s="7">
        <f>DR44+DS44+DT44-EF44</f>
        <v/>
      </c>
      <c r="EH44" s="7">
        <f>EG44/(1+g_inf)^(A44+1-2026)</f>
        <v/>
      </c>
    </row>
    <row r="45">
      <c r="A45" t="n">
        <v>2039</v>
      </c>
      <c r="B45" t="n">
        <v>12</v>
      </c>
      <c r="C45" s="7">
        <f>(1+g_inf)^(A45-2026)</f>
        <v/>
      </c>
      <c r="D45" s="7">
        <f>SUMPRODUCT($AF$5:$AF$29,$E$5:$E$29*(1+$F$5:$F$29)^(A45-2026)*$G$5:$G$29*$H$5:$H$29*(1-$N$5:$N$29*$O$5:$O$29))*g_salMult+SUMPRODUCT(($B$5:$B$29&gt;=A45)*($B$5:$B$29&lt;A45+1)*$I$5:$I$29)*g_salMult</f>
        <v/>
      </c>
      <c r="E45" s="7">
        <f>SUMPRODUCT($AF$5:$AF$29,$E$5:$E$29*(1+$F$5:$F$29)^(A45-2026)*$G$5:$G$29*$H$5:$H$29*$M$5:$M$29)*g_salMult</f>
        <v/>
      </c>
      <c r="F45" s="7">
        <f>SUMPRODUCT($AF$5:$AF$29,$E$5:$E$29*(1+$F$5:$F$29)^(A45-2026)*$G$5:$G$29*$H$5:$H$29*$N$5:$N$29*$O$5:$O$29)*g_salMult</f>
        <v/>
      </c>
      <c r="G45" s="7">
        <f>SUMPRODUCT($AF$5:$AF$29,$P$5:$P$29*(1+$F$5:$F$29)^(A45-2026))</f>
        <v/>
      </c>
      <c r="H45" s="7">
        <f>SUMPRODUCT($AF$5:$AF$29,$Q$5:$Q$29*(1+$F$5:$F$29)^(A45-2026))+IF(personal_llcActivo=1,personal_llcNeto*(1+personal_llcCrecimiento)^12,0)</f>
        <v/>
      </c>
      <c r="I45" s="7">
        <f>SUMPRODUCT($AF$5:$AF$29,$J$5:$J$29/($C$5:$C$29-$B$5:$B$29+($C$5:$C$29=$B$5:$B$29)))*C45</f>
        <v/>
      </c>
      <c r="J45" s="7">
        <f>SUMPRODUCT($AF$5:$AF$29,$K$5:$K$29)</f>
        <v/>
      </c>
      <c r="K45" s="7">
        <f>SUMPRODUCT($AF$5:$AF$29,$L$5:$L$29)</f>
        <v/>
      </c>
      <c r="L45" s="7">
        <f>SUMPRODUCT($AF$5:$AF$29,$N$5:$N$29)</f>
        <v/>
      </c>
      <c r="M45" s="7">
        <f>IF(SUMPRODUCT($AF$5:$AF$29,$R$5:$R$29)&gt;0,1,0)</f>
        <v/>
      </c>
      <c r="N45" s="7">
        <f>SUMPRODUCT(($AO$5:$AO$24&gt;=A45)*($AO$5:$AO$24&lt;A45+1)*$AP$5:$AP$24)*C45+IF(12=0,IF(sel_loc&lt;&gt;"miami",personal_costoMudanzaInicial,0),0)</f>
        <v/>
      </c>
      <c r="O45" s="7">
        <f>MIN(personal_aporte403bPct*D45,retiro_limite403b*C45)</f>
        <v/>
      </c>
      <c r="P45" s="7">
        <f>MIN(personal_aporte403bPct,personal_match403bPct)*E45</f>
        <v/>
      </c>
      <c r="Q45" s="7">
        <f>IF(G45&gt;0,MAX(0,G45-impuestos_scorpCostoAnual*C45),0)</f>
        <v/>
      </c>
      <c r="R45" s="7">
        <f>Q45*impuestos_scorpSalarioPct/(1+impuestos_ssTasa+impuestos_medicareTasa)</f>
        <v/>
      </c>
      <c r="S45" s="7">
        <f>impuestos_ssTasa*MIN(R45,MAX(0,impuestos_ssTope*C45-D45))+impuestos_medicareTasa*R45</f>
        <v/>
      </c>
      <c r="T45" s="7">
        <f>Q45-R45-S45</f>
        <v/>
      </c>
      <c r="U45" s="7">
        <f>D45+R45</f>
        <v/>
      </c>
      <c r="V45" s="7">
        <f>H45*0.9235</f>
        <v/>
      </c>
      <c r="W45" s="7">
        <f>IF(H45&gt;0,2*impuestos_ssTasa*MIN(V45,MAX(0,impuestos_ssTope*C45-U45))+2*impuestos_medicareTasa*V45,0)</f>
        <v/>
      </c>
      <c r="X45" s="7">
        <f>impuestos_ssTasa*MIN(U45,impuestos_ssTope*C45)+impuestos_medicareTasa*U45+impuestos_medicareAdicional*MAX(0,U45+H45*0.9235-impuestos_medicareUmbral)</f>
        <v/>
      </c>
      <c r="Y45" s="7">
        <f>MAX(0,D45-O45+R45+T45+H45-W45/2)</f>
        <v/>
      </c>
      <c r="Z45" s="7">
        <f>MAX(0,Y45-impuestos_deduccionEstandar*C45)</f>
        <v/>
      </c>
      <c r="AA45" s="7">
        <f>MIN(0.2*MAX(0,T45+H45-W45/2)*MAX(0,MIN(1,1-(Z45-impuestos_qbiUmbral*C45)/(impuestos_qbiRango*C45))),0.2*Z45)</f>
        <v/>
      </c>
      <c r="AB45" s="7">
        <f>MAX(0,Z45-AA45)</f>
        <v/>
      </c>
      <c r="AC45" s="7">
        <f>SUMPRODUCT((AB45&gt;tb_federalBrackets_lo*C45)*(AB45-tb_federalBrackets_lo*C45)*tb_federalBrackets_dr)</f>
        <v/>
      </c>
      <c r="AD45" s="7">
        <f>MAX(0,Y45-impuestos_nyDeduccion*C45)</f>
        <v/>
      </c>
      <c r="AE45" s="7">
        <f>CHOOSE(loc_taxcode,0,impuestos_ohTasa*MAX(0,Y45-impuestos_ohExento*C45)+impuestos_ohMunicipal*U45,SUMPRODUCT((AD45&gt;tb_nyBrackets_lo*C45)*(AD45-tb_nyBrackets_lo*C45)*tb_nyBrackets_dr)+loc_nyc*SUMPRODUCT((AD45&gt;tb_nycBrackets_lo*C45)*(AD45-tb_nycBrackets_lo*C45)*tb_nycBrackets_dr))</f>
        <v/>
      </c>
      <c r="AF45" s="7">
        <f>AC45+AE45+X45+W45</f>
        <v/>
      </c>
      <c r="AG45" s="7">
        <f>D45+F45+R45+T45+H45</f>
        <v/>
      </c>
      <c r="AH45" s="7">
        <f>AG45-AF45-O45</f>
        <v/>
      </c>
      <c r="AI45" s="7">
        <f>D45+F45+G45+H45</f>
        <v/>
      </c>
      <c r="AJ45" s="7">
        <f>loc_gastosVida*C45*g_gastos</f>
        <v/>
      </c>
      <c r="AK45" s="7">
        <f>IF(12=0,personal_liquidoInicial,DR44)</f>
        <v/>
      </c>
      <c r="AL45" s="7">
        <f>IF(12=0,0,BB44)</f>
        <v/>
      </c>
      <c r="AM45" s="7">
        <f>CHOOSE(sel_cfgIdx,loc_precio_duplex,loc_precio_inlaw,loc_precio_dosCasas,loc_precio_casaAdu,loc_precio_multi)</f>
        <v/>
      </c>
      <c r="AN45" s="7">
        <f>AM45*(1+g_appr)^(A45-2026)</f>
        <v/>
      </c>
      <c r="AO45" s="7">
        <f>IF(AND(M45=1,vivienda_prestamoMedico=1),1,0)</f>
        <v/>
      </c>
      <c r="AP45" s="7">
        <f>IF(AO45=1,0.05,vivienda_enganchePct)</f>
        <v/>
      </c>
      <c r="AQ45" s="7">
        <f>AN45*(1-AP45)</f>
        <v/>
      </c>
      <c r="AR45" s="7">
        <f>PMT(g_mortRate/12,vivienda_plazoHipoteca*12,-AQ45)</f>
        <v/>
      </c>
      <c r="AS45" s="7">
        <f>INDEX(cfg_units,sel_cfgIdx)</f>
        <v/>
      </c>
      <c r="AT45" s="7">
        <f>AS45*loc_rentaUnidad*(1+g_inf)^(A45-2026)*(1-vivienda_vacancia)</f>
        <v/>
      </c>
      <c r="AU45" s="7">
        <f>AR45+AN45*loc_impuestoPropPct/12+AM45*loc_seguroPct*(1+vivienda_inflacionSeguro)^(A45-2026)/12+IF(AND(AO45=0,AP45&lt;0.2),AQ45*vivienda_pmiTasa/12,0)</f>
        <v/>
      </c>
      <c r="AV45" s="7">
        <f>AN45*AP45+AN45*vivienda_cierrePct+general_reservaMeses/12*AJ45</f>
        <v/>
      </c>
      <c r="AW45" s="7">
        <f>(IF(12=0,MIN(personal_irsSaldo,personal_irsPagoMensual*12),MIN(CD44,personal_irsPagoMensual*12))+IF(CE45&gt;0,PMT(CF45,MAX(1,prestamos_plazoAnios-CG45),-CE45),0)+IF(CR45&gt;0,PMT(CS45,MAX(1,prestamos_plazoAnios-CT45),-CR45),0))/12</f>
        <v/>
      </c>
      <c r="AX45" s="7">
        <f>IF(OR(sel_cfg="duplex",sel_cfg="multi",sel_cfg="dosCasas"),0.75*personal_aporteFamiliaMensual,0)</f>
        <v/>
      </c>
      <c r="AY45" s="7">
        <f>AU45-0.75*AT45-AX45+AW45</f>
        <v/>
      </c>
      <c r="AZ45" s="7">
        <f>(D45+G45+H45+0.5*F45)/12</f>
        <v/>
      </c>
      <c r="BA45" s="7">
        <f>IF(AND(AL45=0,A45&gt;=vivienda_anioMinCompra,J45&lt;0.5,AI45&gt;0,AK45&gt;=AV45,AY45&lt;=vivienda_dtiMax*AZ45),1,0)</f>
        <v/>
      </c>
      <c r="BB45" s="7">
        <f>MAX(AL45,BA45)</f>
        <v/>
      </c>
      <c r="BC45" s="7">
        <f>IF(BA45=1,A45,IF(12=0,"",BC44))</f>
        <v/>
      </c>
      <c r="BD45" s="7">
        <f>AK45-IF(BA45=1,AN45*AP45+AN45*vivienda_cierrePct,0)</f>
        <v/>
      </c>
      <c r="BE45" s="7">
        <f>IF(BA45=1,AN45,IF(12=0,0,BE44))</f>
        <v/>
      </c>
      <c r="BF45" s="7">
        <f>IF(BA45=1,AR45,IF(12=0,0,BF44))</f>
        <v/>
      </c>
      <c r="BG45" s="7">
        <f>IF(BA45=1,IF(AND(AO45=0,AP45&lt;0.2),1,0),IF(12=0,0,BY44))</f>
        <v/>
      </c>
      <c r="BH45" s="7">
        <f>IF(sel_cfg="casaAdu",1,0)</f>
        <v/>
      </c>
      <c r="BI45" s="7">
        <f>IF(AND(BB45=1,BH45=1,IF(12=0,0,BJ44)=0,A45&gt;=IF(BC45="",9999,BC45)+vivienda_aduRetrasoAnios),1,0)</f>
        <v/>
      </c>
      <c r="BJ45" s="7">
        <f>MAX(IF(12=0,0,BJ44),BI45)</f>
        <v/>
      </c>
      <c r="BK45" s="7">
        <f>IF(BI45=1,PMT((g_mortRate+0.005)/12,180,-loc_precio_aduCosto*C45),IF(12=0,0,BK44))</f>
        <v/>
      </c>
      <c r="BL45" s="7">
        <f>IF(BA45=1,AN45,IF(12=0,0,DT44))+IF(BI45=1,loc_precio_aduCosto*C45,0)</f>
        <v/>
      </c>
      <c r="BM45" s="7">
        <f>IF(BA45=1,AQ45,IF(12=0,0,DU44))</f>
        <v/>
      </c>
      <c r="BN45" s="7">
        <f>IF(BM45&lt;=0,0,FV(g_mortRate/12,12,BF45,-BM45))</f>
        <v/>
      </c>
      <c r="BO45" s="7">
        <f>IF(BM45&lt;=0,0,12*BF45+MIN(0,BN45))</f>
        <v/>
      </c>
      <c r="BP45" s="7">
        <f>MAX(0,BN45)</f>
        <v/>
      </c>
      <c r="BQ45" s="7">
        <f>IF(BI45=1,loc_precio_aduCosto*C45,IF(12=0,0,DV44))</f>
        <v/>
      </c>
      <c r="BR45" s="7">
        <f>IF(BQ45&lt;=0,0,FV((g_mortRate+0.005)/12,12,BK45,-BQ45))</f>
        <v/>
      </c>
      <c r="BS45" s="7">
        <f>IF(BQ45&lt;=0,0,12*BK45+MIN(0,BR45))</f>
        <v/>
      </c>
      <c r="BT45" s="7">
        <f>MAX(0,BR45)</f>
        <v/>
      </c>
      <c r="BU45" s="7">
        <f>IF(BB45=1,AM45*loc_seguroPct*(1+vivienda_inflacionSeguro)^(A45-2026)*IF(BJ45=1,1+loc_precio_aduCosto/AM45,1),0)</f>
        <v/>
      </c>
      <c r="BV45" s="7">
        <f>BL45*loc_impuestoPropPct</f>
        <v/>
      </c>
      <c r="BW45" s="7">
        <f>BL45*vivienda_mantenimientoPct</f>
        <v/>
      </c>
      <c r="BX45" s="7">
        <f>IF(AND(BG45=1,BP45&gt;0.8*BE45),BE45*(1-vivienda_enganchePct)*vivienda_pmiTasa,0)</f>
        <v/>
      </c>
      <c r="BY45" s="7">
        <f>IF(AND(BG45=1,BP45&gt;0.8*BE45),1,0)</f>
        <v/>
      </c>
      <c r="BZ45" s="7">
        <f>IF(BB45=1,AS45*loc_rentaUnidad*12*C45*(1-vivienda_vacancia)*(1-vivienda_gestionPct),0)</f>
        <v/>
      </c>
      <c r="CA45" s="7">
        <f>IF(BB45=1,BO45+BS45+BU45+BV45+BW45+BX45,loc_rentaMensual*12*C45)</f>
        <v/>
      </c>
      <c r="CB45" s="7">
        <f>IF(BB45=1,personal_aporteFamiliaMensual*12,0)</f>
        <v/>
      </c>
      <c r="CC45" s="7">
        <f>MIN(IF(12=0,personal_irsSaldo,CD44),personal_irsPagoMensual*12)</f>
        <v/>
      </c>
      <c r="CD45" s="7">
        <f>IF(12=0,personal_irsSaldo,CD44)-CC45</f>
        <v/>
      </c>
      <c r="CE45" s="7">
        <f>IF(12=0,IF(personal_deudaEsFederal=1,personal_deudaEstudiantil,0),DW44)</f>
        <v/>
      </c>
      <c r="CF45" s="7">
        <f>IF(12=0,personal_tasaDeudaEstudiantil,DX44)</f>
        <v/>
      </c>
      <c r="CG45" s="7">
        <f>IF(12=0,0,DY44)</f>
        <v/>
      </c>
      <c r="CH45" s="7">
        <f>IF(J45&gt;=0.5,1,0)</f>
        <v/>
      </c>
      <c r="CI45" s="7">
        <f>IF(AND(CH45=0,prestamos_pslfActivo=1,K45&gt;=0.5,CE45&gt;0),1,0)</f>
        <v/>
      </c>
      <c r="CJ45" s="7">
        <f>CE45*CF45</f>
        <v/>
      </c>
      <c r="CK45" s="7">
        <f>MAX(prestamos_rapPagoMinimoAnual,IF(Y45&lt;10000,0,MIN(0.1,INT(Y45/10000)/100))*Y45)</f>
        <v/>
      </c>
      <c r="CL45" s="7">
        <f>IF(CE45&lt;=0,0,IF(CH45=1,0,IF(CI45=1,MIN(CE45+CJ45,CK45),PMT(CF45,MAX(1,prestamos_plazoAnios-CG45),-CE45))))</f>
        <v/>
      </c>
      <c r="CM45" s="7">
        <f>IF(CE45&lt;=0,0,IF(CH45=1,CE45+CJ45,IF(CI45=1,MAX(0,CE45-MAX(CL45-CJ45,MIN(600,CL45))),MAX(0,CE45*(1+CF45)-CL45))))</f>
        <v/>
      </c>
      <c r="CN45" s="7">
        <f>IF(12=0,0,CN44)+IF(CI45=1,12*MIN(1,K45),0)</f>
        <v/>
      </c>
      <c r="CO45" s="7">
        <f>IF(AND(CI45=1,CN45&gt;=prestamos_pslfPagos,CM45&gt;0),CM45,0)</f>
        <v/>
      </c>
      <c r="CP45" s="7">
        <f>CM45-CO45</f>
        <v/>
      </c>
      <c r="CQ45" s="7">
        <f>IF(AND(CE45&gt;0,CH45=0,CI45=0),CG45+1,CG45)</f>
        <v/>
      </c>
      <c r="CR45" s="7">
        <f>IF(12=0,IF(personal_deudaEsFederal=1,0,personal_deudaEstudiantil),EA44)</f>
        <v/>
      </c>
      <c r="CS45" s="7">
        <f>IF(12=0,IF(personal_deudaEsFederal=1,prestamos_tasaPrivada,personal_tasaDeudaEstudiantil),EB44)</f>
        <v/>
      </c>
      <c r="CT45" s="7">
        <f>IF(12=0,0,EC44)</f>
        <v/>
      </c>
      <c r="CU45" s="7">
        <f>IF(OR(CR45&lt;=0,CH45=1),0,PMT(CS45,MAX(1,prestamos_plazoAnios-CT45),-CR45))</f>
        <v/>
      </c>
      <c r="CV45" s="7">
        <f>IF(CR45&lt;=0,0,IF(CH45=1,CR45*(1+CS45),MAX(0,CR45*(1+CS45)-CU45)))</f>
        <v/>
      </c>
      <c r="CW45" s="7">
        <f>IF(AND(CR45&gt;0,CH45=0),CT45+1,CT45)</f>
        <v/>
      </c>
      <c r="CX45" s="7">
        <f>IF(12=0,0,ED44)*(1+general_tasaDeudaConsumo)</f>
        <v/>
      </c>
      <c r="CY45" s="7">
        <f>L45*12*tiempos_travelGastoExtraMes*C45</f>
        <v/>
      </c>
      <c r="CZ45" s="7">
        <f>AJ45+CY45+CA45+CC45+CL45+CU45+I45+N45-BZ45-CB45</f>
        <v/>
      </c>
      <c r="DA45" s="7">
        <f>AH45-CZ45</f>
        <v/>
      </c>
      <c r="DB45" s="7">
        <f>IF(12=0,0,DB44)+DA45</f>
        <v/>
      </c>
      <c r="DC45" s="7">
        <f>AN45*vivienda_enganchePct+AN45*vivienda_cierrePct+general_reservaMeses/12*AJ45</f>
        <v/>
      </c>
      <c r="DD45" s="7">
        <f>IF(BB45=1,g_ret,IF(BD45&gt;0,MIN(1,DC45/BD45),1)*g_cash+(1-IF(BD45&gt;0,MIN(1,DC45/BD45),1))*g_ret)</f>
        <v/>
      </c>
      <c r="DE45" s="7">
        <f>IF(DA45&gt;=0,MIN(CX45,DA45),0)</f>
        <v/>
      </c>
      <c r="DF45" s="7">
        <f>IF(DA45&gt;=0,(1-general_tasaAhorro)*(DA45-DE45),0)</f>
        <v/>
      </c>
      <c r="DG45" s="7">
        <f>IF(DA45&gt;=0,DA45-DE45-DF45,0)</f>
        <v/>
      </c>
      <c r="DH45" s="7">
        <f>MIN(personal_rothAnual,DG45)</f>
        <v/>
      </c>
      <c r="DI45" s="7">
        <f>IF(AND(DA45&gt;=0,BB45=1,BP45+BT45&gt;0),MIN(vivienda_prepagoPct*(DG45-DH45),BP45+BT45),0)</f>
        <v/>
      </c>
      <c r="DJ45" s="7">
        <f>MIN(DI45,BP45)</f>
        <v/>
      </c>
      <c r="DK45" s="7">
        <f>IF(DA45&lt;0,MIN(MAX(0,BD45),-DA45),0)</f>
        <v/>
      </c>
      <c r="DL45" s="7">
        <f>IF(DA45&lt;0,-DA45-DK45,0)</f>
        <v/>
      </c>
      <c r="DM45" s="7">
        <f>IF(12=0,0,DZ44)</f>
        <v/>
      </c>
      <c r="DN45" s="7">
        <f>IF(AND(DL45&gt;0,J45&gt;0),MIN(DL45,MIN(prestamos_topeAnualPosgrado*MIN(1,J45),MAX(0,prestamos_topeTotalPosgrado-DM45))),0)</f>
        <v/>
      </c>
      <c r="DO45" s="7">
        <f>IF(AND(DL45&gt;0,J45&gt;0),DL45-DN45,0)</f>
        <v/>
      </c>
      <c r="DP45" s="7">
        <f>IF(AND(DL45&gt;0,J45&lt;=0),DL45,0)</f>
        <v/>
      </c>
      <c r="DQ45" s="7">
        <f>IF(DA45&gt;=0,DG45-DH45-DI45,-DK45)</f>
        <v/>
      </c>
      <c r="DR45" s="7">
        <f>BD45*(1+DD45)+DQ45*(1+DD45/2)</f>
        <v/>
      </c>
      <c r="DS45" s="7">
        <f>IF(12=0,personal_retiroInicial,DS44)*(1+g_ret)+(O45+P45+DH45)*(1+g_ret/2)</f>
        <v/>
      </c>
      <c r="DT45" s="7">
        <f>IF(BB45=1,BL45*(1+g_appr),0)</f>
        <v/>
      </c>
      <c r="DU45" s="7">
        <f>BP45-DJ45</f>
        <v/>
      </c>
      <c r="DV45" s="7">
        <f>BT45-(DI45-DJ45)</f>
        <v/>
      </c>
      <c r="DW45" s="7">
        <f>CP45+DN45</f>
        <v/>
      </c>
      <c r="DX45" s="7">
        <f>IF(DN45&gt;0,(CP45*CF45+DN45*prestamos_tasaFederalPosgrado)/(CP45+DN45),CF45)</f>
        <v/>
      </c>
      <c r="DY45" s="7">
        <f>IF(DN45&gt;0,0,CQ45)</f>
        <v/>
      </c>
      <c r="DZ45" s="7">
        <f>DM45+DN45</f>
        <v/>
      </c>
      <c r="EA45" s="7">
        <f>CV45+DO45</f>
        <v/>
      </c>
      <c r="EB45" s="7">
        <f>IF(DO45&gt;0,(CV45*CS45+DO45*prestamos_tasaPrivada)/(CV45+DO45),CS45)</f>
        <v/>
      </c>
      <c r="EC45" s="7">
        <f>IF(DO45&gt;0,0,CW45)</f>
        <v/>
      </c>
      <c r="ED45" s="7">
        <f>CX45-DE45+DP45</f>
        <v/>
      </c>
      <c r="EE45" s="7">
        <f>IF(IF(12=0,"",EE44)&lt;&gt;"",EE44,IF(AND(BB45=1,DU45&lt;=0.5,DV45&lt;=0.5,OR(BH45=0,BJ45=1)),A45,""))</f>
        <v/>
      </c>
      <c r="EF45" s="7">
        <f>DU45+DV45+DW45+EA45+ED45+CD45</f>
        <v/>
      </c>
      <c r="EG45" s="7">
        <f>DR45+DS45+DT45-EF45</f>
        <v/>
      </c>
      <c r="EH45" s="7">
        <f>EG45/(1+g_inf)^(A45+1-2026)</f>
        <v/>
      </c>
    </row>
    <row r="46">
      <c r="A46" t="n">
        <v>2040</v>
      </c>
      <c r="B46" t="n">
        <v>13</v>
      </c>
      <c r="C46" s="7">
        <f>(1+g_inf)^(A46-2026)</f>
        <v/>
      </c>
      <c r="D46" s="7">
        <f>SUMPRODUCT($AG$5:$AG$29,$E$5:$E$29*(1+$F$5:$F$29)^(A46-2026)*$G$5:$G$29*$H$5:$H$29*(1-$N$5:$N$29*$O$5:$O$29))*g_salMult+SUMPRODUCT(($B$5:$B$29&gt;=A46)*($B$5:$B$29&lt;A46+1)*$I$5:$I$29)*g_salMult</f>
        <v/>
      </c>
      <c r="E46" s="7">
        <f>SUMPRODUCT($AG$5:$AG$29,$E$5:$E$29*(1+$F$5:$F$29)^(A46-2026)*$G$5:$G$29*$H$5:$H$29*$M$5:$M$29)*g_salMult</f>
        <v/>
      </c>
      <c r="F46" s="7">
        <f>SUMPRODUCT($AG$5:$AG$29,$E$5:$E$29*(1+$F$5:$F$29)^(A46-2026)*$G$5:$G$29*$H$5:$H$29*$N$5:$N$29*$O$5:$O$29)*g_salMult</f>
        <v/>
      </c>
      <c r="G46" s="7">
        <f>SUMPRODUCT($AG$5:$AG$29,$P$5:$P$29*(1+$F$5:$F$29)^(A46-2026))</f>
        <v/>
      </c>
      <c r="H46" s="7">
        <f>SUMPRODUCT($AG$5:$AG$29,$Q$5:$Q$29*(1+$F$5:$F$29)^(A46-2026))+IF(personal_llcActivo=1,personal_llcNeto*(1+personal_llcCrecimiento)^13,0)</f>
        <v/>
      </c>
      <c r="I46" s="7">
        <f>SUMPRODUCT($AG$5:$AG$29,$J$5:$J$29/($C$5:$C$29-$B$5:$B$29+($C$5:$C$29=$B$5:$B$29)))*C46</f>
        <v/>
      </c>
      <c r="J46" s="7">
        <f>SUMPRODUCT($AG$5:$AG$29,$K$5:$K$29)</f>
        <v/>
      </c>
      <c r="K46" s="7">
        <f>SUMPRODUCT($AG$5:$AG$29,$L$5:$L$29)</f>
        <v/>
      </c>
      <c r="L46" s="7">
        <f>SUMPRODUCT($AG$5:$AG$29,$N$5:$N$29)</f>
        <v/>
      </c>
      <c r="M46" s="7">
        <f>IF(SUMPRODUCT($AG$5:$AG$29,$R$5:$R$29)&gt;0,1,0)</f>
        <v/>
      </c>
      <c r="N46" s="7">
        <f>SUMPRODUCT(($AO$5:$AO$24&gt;=A46)*($AO$5:$AO$24&lt;A46+1)*$AP$5:$AP$24)*C46+IF(13=0,IF(sel_loc&lt;&gt;"miami",personal_costoMudanzaInicial,0),0)</f>
        <v/>
      </c>
      <c r="O46" s="7">
        <f>MIN(personal_aporte403bPct*D46,retiro_limite403b*C46)</f>
        <v/>
      </c>
      <c r="P46" s="7">
        <f>MIN(personal_aporte403bPct,personal_match403bPct)*E46</f>
        <v/>
      </c>
      <c r="Q46" s="7">
        <f>IF(G46&gt;0,MAX(0,G46-impuestos_scorpCostoAnual*C46),0)</f>
        <v/>
      </c>
      <c r="R46" s="7">
        <f>Q46*impuestos_scorpSalarioPct/(1+impuestos_ssTasa+impuestos_medicareTasa)</f>
        <v/>
      </c>
      <c r="S46" s="7">
        <f>impuestos_ssTasa*MIN(R46,MAX(0,impuestos_ssTope*C46-D46))+impuestos_medicareTasa*R46</f>
        <v/>
      </c>
      <c r="T46" s="7">
        <f>Q46-R46-S46</f>
        <v/>
      </c>
      <c r="U46" s="7">
        <f>D46+R46</f>
        <v/>
      </c>
      <c r="V46" s="7">
        <f>H46*0.9235</f>
        <v/>
      </c>
      <c r="W46" s="7">
        <f>IF(H46&gt;0,2*impuestos_ssTasa*MIN(V46,MAX(0,impuestos_ssTope*C46-U46))+2*impuestos_medicareTasa*V46,0)</f>
        <v/>
      </c>
      <c r="X46" s="7">
        <f>impuestos_ssTasa*MIN(U46,impuestos_ssTope*C46)+impuestos_medicareTasa*U46+impuestos_medicareAdicional*MAX(0,U46+H46*0.9235-impuestos_medicareUmbral)</f>
        <v/>
      </c>
      <c r="Y46" s="7">
        <f>MAX(0,D46-O46+R46+T46+H46-W46/2)</f>
        <v/>
      </c>
      <c r="Z46" s="7">
        <f>MAX(0,Y46-impuestos_deduccionEstandar*C46)</f>
        <v/>
      </c>
      <c r="AA46" s="7">
        <f>MIN(0.2*MAX(0,T46+H46-W46/2)*MAX(0,MIN(1,1-(Z46-impuestos_qbiUmbral*C46)/(impuestos_qbiRango*C46))),0.2*Z46)</f>
        <v/>
      </c>
      <c r="AB46" s="7">
        <f>MAX(0,Z46-AA46)</f>
        <v/>
      </c>
      <c r="AC46" s="7">
        <f>SUMPRODUCT((AB46&gt;tb_federalBrackets_lo*C46)*(AB46-tb_federalBrackets_lo*C46)*tb_federalBrackets_dr)</f>
        <v/>
      </c>
      <c r="AD46" s="7">
        <f>MAX(0,Y46-impuestos_nyDeduccion*C46)</f>
        <v/>
      </c>
      <c r="AE46" s="7">
        <f>CHOOSE(loc_taxcode,0,impuestos_ohTasa*MAX(0,Y46-impuestos_ohExento*C46)+impuestos_ohMunicipal*U46,SUMPRODUCT((AD46&gt;tb_nyBrackets_lo*C46)*(AD46-tb_nyBrackets_lo*C46)*tb_nyBrackets_dr)+loc_nyc*SUMPRODUCT((AD46&gt;tb_nycBrackets_lo*C46)*(AD46-tb_nycBrackets_lo*C46)*tb_nycBrackets_dr))</f>
        <v/>
      </c>
      <c r="AF46" s="7">
        <f>AC46+AE46+X46+W46</f>
        <v/>
      </c>
      <c r="AG46" s="7">
        <f>D46+F46+R46+T46+H46</f>
        <v/>
      </c>
      <c r="AH46" s="7">
        <f>AG46-AF46-O46</f>
        <v/>
      </c>
      <c r="AI46" s="7">
        <f>D46+F46+G46+H46</f>
        <v/>
      </c>
      <c r="AJ46" s="7">
        <f>loc_gastosVida*C46*g_gastos</f>
        <v/>
      </c>
      <c r="AK46" s="7">
        <f>IF(13=0,personal_liquidoInicial,DR45)</f>
        <v/>
      </c>
      <c r="AL46" s="7">
        <f>IF(13=0,0,BB45)</f>
        <v/>
      </c>
      <c r="AM46" s="7">
        <f>CHOOSE(sel_cfgIdx,loc_precio_duplex,loc_precio_inlaw,loc_precio_dosCasas,loc_precio_casaAdu,loc_precio_multi)</f>
        <v/>
      </c>
      <c r="AN46" s="7">
        <f>AM46*(1+g_appr)^(A46-2026)</f>
        <v/>
      </c>
      <c r="AO46" s="7">
        <f>IF(AND(M46=1,vivienda_prestamoMedico=1),1,0)</f>
        <v/>
      </c>
      <c r="AP46" s="7">
        <f>IF(AO46=1,0.05,vivienda_enganchePct)</f>
        <v/>
      </c>
      <c r="AQ46" s="7">
        <f>AN46*(1-AP46)</f>
        <v/>
      </c>
      <c r="AR46" s="7">
        <f>PMT(g_mortRate/12,vivienda_plazoHipoteca*12,-AQ46)</f>
        <v/>
      </c>
      <c r="AS46" s="7">
        <f>INDEX(cfg_units,sel_cfgIdx)</f>
        <v/>
      </c>
      <c r="AT46" s="7">
        <f>AS46*loc_rentaUnidad*(1+g_inf)^(A46-2026)*(1-vivienda_vacancia)</f>
        <v/>
      </c>
      <c r="AU46" s="7">
        <f>AR46+AN46*loc_impuestoPropPct/12+AM46*loc_seguroPct*(1+vivienda_inflacionSeguro)^(A46-2026)/12+IF(AND(AO46=0,AP46&lt;0.2),AQ46*vivienda_pmiTasa/12,0)</f>
        <v/>
      </c>
      <c r="AV46" s="7">
        <f>AN46*AP46+AN46*vivienda_cierrePct+general_reservaMeses/12*AJ46</f>
        <v/>
      </c>
      <c r="AW46" s="7">
        <f>(IF(13=0,MIN(personal_irsSaldo,personal_irsPagoMensual*12),MIN(CD45,personal_irsPagoMensual*12))+IF(CE46&gt;0,PMT(CF46,MAX(1,prestamos_plazoAnios-CG46),-CE46),0)+IF(CR46&gt;0,PMT(CS46,MAX(1,prestamos_plazoAnios-CT46),-CR46),0))/12</f>
        <v/>
      </c>
      <c r="AX46" s="7">
        <f>IF(OR(sel_cfg="duplex",sel_cfg="multi",sel_cfg="dosCasas"),0.75*personal_aporteFamiliaMensual,0)</f>
        <v/>
      </c>
      <c r="AY46" s="7">
        <f>AU46-0.75*AT46-AX46+AW46</f>
        <v/>
      </c>
      <c r="AZ46" s="7">
        <f>(D46+G46+H46+0.5*F46)/12</f>
        <v/>
      </c>
      <c r="BA46" s="7">
        <f>IF(AND(AL46=0,A46&gt;=vivienda_anioMinCompra,J46&lt;0.5,AI46&gt;0,AK46&gt;=AV46,AY46&lt;=vivienda_dtiMax*AZ46),1,0)</f>
        <v/>
      </c>
      <c r="BB46" s="7">
        <f>MAX(AL46,BA46)</f>
        <v/>
      </c>
      <c r="BC46" s="7">
        <f>IF(BA46=1,A46,IF(13=0,"",BC45))</f>
        <v/>
      </c>
      <c r="BD46" s="7">
        <f>AK46-IF(BA46=1,AN46*AP46+AN46*vivienda_cierrePct,0)</f>
        <v/>
      </c>
      <c r="BE46" s="7">
        <f>IF(BA46=1,AN46,IF(13=0,0,BE45))</f>
        <v/>
      </c>
      <c r="BF46" s="7">
        <f>IF(BA46=1,AR46,IF(13=0,0,BF45))</f>
        <v/>
      </c>
      <c r="BG46" s="7">
        <f>IF(BA46=1,IF(AND(AO46=0,AP46&lt;0.2),1,0),IF(13=0,0,BY45))</f>
        <v/>
      </c>
      <c r="BH46" s="7">
        <f>IF(sel_cfg="casaAdu",1,0)</f>
        <v/>
      </c>
      <c r="BI46" s="7">
        <f>IF(AND(BB46=1,BH46=1,IF(13=0,0,BJ45)=0,A46&gt;=IF(BC46="",9999,BC46)+vivienda_aduRetrasoAnios),1,0)</f>
        <v/>
      </c>
      <c r="BJ46" s="7">
        <f>MAX(IF(13=0,0,BJ45),BI46)</f>
        <v/>
      </c>
      <c r="BK46" s="7">
        <f>IF(BI46=1,PMT((g_mortRate+0.005)/12,180,-loc_precio_aduCosto*C46),IF(13=0,0,BK45))</f>
        <v/>
      </c>
      <c r="BL46" s="7">
        <f>IF(BA46=1,AN46,IF(13=0,0,DT45))+IF(BI46=1,loc_precio_aduCosto*C46,0)</f>
        <v/>
      </c>
      <c r="BM46" s="7">
        <f>IF(BA46=1,AQ46,IF(13=0,0,DU45))</f>
        <v/>
      </c>
      <c r="BN46" s="7">
        <f>IF(BM46&lt;=0,0,FV(g_mortRate/12,12,BF46,-BM46))</f>
        <v/>
      </c>
      <c r="BO46" s="7">
        <f>IF(BM46&lt;=0,0,12*BF46+MIN(0,BN46))</f>
        <v/>
      </c>
      <c r="BP46" s="7">
        <f>MAX(0,BN46)</f>
        <v/>
      </c>
      <c r="BQ46" s="7">
        <f>IF(BI46=1,loc_precio_aduCosto*C46,IF(13=0,0,DV45))</f>
        <v/>
      </c>
      <c r="BR46" s="7">
        <f>IF(BQ46&lt;=0,0,FV((g_mortRate+0.005)/12,12,BK46,-BQ46))</f>
        <v/>
      </c>
      <c r="BS46" s="7">
        <f>IF(BQ46&lt;=0,0,12*BK46+MIN(0,BR46))</f>
        <v/>
      </c>
      <c r="BT46" s="7">
        <f>MAX(0,BR46)</f>
        <v/>
      </c>
      <c r="BU46" s="7">
        <f>IF(BB46=1,AM46*loc_seguroPct*(1+vivienda_inflacionSeguro)^(A46-2026)*IF(BJ46=1,1+loc_precio_aduCosto/AM46,1),0)</f>
        <v/>
      </c>
      <c r="BV46" s="7">
        <f>BL46*loc_impuestoPropPct</f>
        <v/>
      </c>
      <c r="BW46" s="7">
        <f>BL46*vivienda_mantenimientoPct</f>
        <v/>
      </c>
      <c r="BX46" s="7">
        <f>IF(AND(BG46=1,BP46&gt;0.8*BE46),BE46*(1-vivienda_enganchePct)*vivienda_pmiTasa,0)</f>
        <v/>
      </c>
      <c r="BY46" s="7">
        <f>IF(AND(BG46=1,BP46&gt;0.8*BE46),1,0)</f>
        <v/>
      </c>
      <c r="BZ46" s="7">
        <f>IF(BB46=1,AS46*loc_rentaUnidad*12*C46*(1-vivienda_vacancia)*(1-vivienda_gestionPct),0)</f>
        <v/>
      </c>
      <c r="CA46" s="7">
        <f>IF(BB46=1,BO46+BS46+BU46+BV46+BW46+BX46,loc_rentaMensual*12*C46)</f>
        <v/>
      </c>
      <c r="CB46" s="7">
        <f>IF(BB46=1,personal_aporteFamiliaMensual*12,0)</f>
        <v/>
      </c>
      <c r="CC46" s="7">
        <f>MIN(IF(13=0,personal_irsSaldo,CD45),personal_irsPagoMensual*12)</f>
        <v/>
      </c>
      <c r="CD46" s="7">
        <f>IF(13=0,personal_irsSaldo,CD45)-CC46</f>
        <v/>
      </c>
      <c r="CE46" s="7">
        <f>IF(13=0,IF(personal_deudaEsFederal=1,personal_deudaEstudiantil,0),DW45)</f>
        <v/>
      </c>
      <c r="CF46" s="7">
        <f>IF(13=0,personal_tasaDeudaEstudiantil,DX45)</f>
        <v/>
      </c>
      <c r="CG46" s="7">
        <f>IF(13=0,0,DY45)</f>
        <v/>
      </c>
      <c r="CH46" s="7">
        <f>IF(J46&gt;=0.5,1,0)</f>
        <v/>
      </c>
      <c r="CI46" s="7">
        <f>IF(AND(CH46=0,prestamos_pslfActivo=1,K46&gt;=0.5,CE46&gt;0),1,0)</f>
        <v/>
      </c>
      <c r="CJ46" s="7">
        <f>CE46*CF46</f>
        <v/>
      </c>
      <c r="CK46" s="7">
        <f>MAX(prestamos_rapPagoMinimoAnual,IF(Y46&lt;10000,0,MIN(0.1,INT(Y46/10000)/100))*Y46)</f>
        <v/>
      </c>
      <c r="CL46" s="7">
        <f>IF(CE46&lt;=0,0,IF(CH46=1,0,IF(CI46=1,MIN(CE46+CJ46,CK46),PMT(CF46,MAX(1,prestamos_plazoAnios-CG46),-CE46))))</f>
        <v/>
      </c>
      <c r="CM46" s="7">
        <f>IF(CE46&lt;=0,0,IF(CH46=1,CE46+CJ46,IF(CI46=1,MAX(0,CE46-MAX(CL46-CJ46,MIN(600,CL46))),MAX(0,CE46*(1+CF46)-CL46))))</f>
        <v/>
      </c>
      <c r="CN46" s="7">
        <f>IF(13=0,0,CN45)+IF(CI46=1,12*MIN(1,K46),0)</f>
        <v/>
      </c>
      <c r="CO46" s="7">
        <f>IF(AND(CI46=1,CN46&gt;=prestamos_pslfPagos,CM46&gt;0),CM46,0)</f>
        <v/>
      </c>
      <c r="CP46" s="7">
        <f>CM46-CO46</f>
        <v/>
      </c>
      <c r="CQ46" s="7">
        <f>IF(AND(CE46&gt;0,CH46=0,CI46=0),CG46+1,CG46)</f>
        <v/>
      </c>
      <c r="CR46" s="7">
        <f>IF(13=0,IF(personal_deudaEsFederal=1,0,personal_deudaEstudiantil),EA45)</f>
        <v/>
      </c>
      <c r="CS46" s="7">
        <f>IF(13=0,IF(personal_deudaEsFederal=1,prestamos_tasaPrivada,personal_tasaDeudaEstudiantil),EB45)</f>
        <v/>
      </c>
      <c r="CT46" s="7">
        <f>IF(13=0,0,EC45)</f>
        <v/>
      </c>
      <c r="CU46" s="7">
        <f>IF(OR(CR46&lt;=0,CH46=1),0,PMT(CS46,MAX(1,prestamos_plazoAnios-CT46),-CR46))</f>
        <v/>
      </c>
      <c r="CV46" s="7">
        <f>IF(CR46&lt;=0,0,IF(CH46=1,CR46*(1+CS46),MAX(0,CR46*(1+CS46)-CU46)))</f>
        <v/>
      </c>
      <c r="CW46" s="7">
        <f>IF(AND(CR46&gt;0,CH46=0),CT46+1,CT46)</f>
        <v/>
      </c>
      <c r="CX46" s="7">
        <f>IF(13=0,0,ED45)*(1+general_tasaDeudaConsumo)</f>
        <v/>
      </c>
      <c r="CY46" s="7">
        <f>L46*12*tiempos_travelGastoExtraMes*C46</f>
        <v/>
      </c>
      <c r="CZ46" s="7">
        <f>AJ46+CY46+CA46+CC46+CL46+CU46+I46+N46-BZ46-CB46</f>
        <v/>
      </c>
      <c r="DA46" s="7">
        <f>AH46-CZ46</f>
        <v/>
      </c>
      <c r="DB46" s="7">
        <f>IF(13=0,0,DB45)+DA46</f>
        <v/>
      </c>
      <c r="DC46" s="7">
        <f>AN46*vivienda_enganchePct+AN46*vivienda_cierrePct+general_reservaMeses/12*AJ46</f>
        <v/>
      </c>
      <c r="DD46" s="7">
        <f>IF(BB46=1,g_ret,IF(BD46&gt;0,MIN(1,DC46/BD46),1)*g_cash+(1-IF(BD46&gt;0,MIN(1,DC46/BD46),1))*g_ret)</f>
        <v/>
      </c>
      <c r="DE46" s="7">
        <f>IF(DA46&gt;=0,MIN(CX46,DA46),0)</f>
        <v/>
      </c>
      <c r="DF46" s="7">
        <f>IF(DA46&gt;=0,(1-general_tasaAhorro)*(DA46-DE46),0)</f>
        <v/>
      </c>
      <c r="DG46" s="7">
        <f>IF(DA46&gt;=0,DA46-DE46-DF46,0)</f>
        <v/>
      </c>
      <c r="DH46" s="7">
        <f>MIN(personal_rothAnual,DG46)</f>
        <v/>
      </c>
      <c r="DI46" s="7">
        <f>IF(AND(DA46&gt;=0,BB46=1,BP46+BT46&gt;0),MIN(vivienda_prepagoPct*(DG46-DH46),BP46+BT46),0)</f>
        <v/>
      </c>
      <c r="DJ46" s="7">
        <f>MIN(DI46,BP46)</f>
        <v/>
      </c>
      <c r="DK46" s="7">
        <f>IF(DA46&lt;0,MIN(MAX(0,BD46),-DA46),0)</f>
        <v/>
      </c>
      <c r="DL46" s="7">
        <f>IF(DA46&lt;0,-DA46-DK46,0)</f>
        <v/>
      </c>
      <c r="DM46" s="7">
        <f>IF(13=0,0,DZ45)</f>
        <v/>
      </c>
      <c r="DN46" s="7">
        <f>IF(AND(DL46&gt;0,J46&gt;0),MIN(DL46,MIN(prestamos_topeAnualPosgrado*MIN(1,J46),MAX(0,prestamos_topeTotalPosgrado-DM46))),0)</f>
        <v/>
      </c>
      <c r="DO46" s="7">
        <f>IF(AND(DL46&gt;0,J46&gt;0),DL46-DN46,0)</f>
        <v/>
      </c>
      <c r="DP46" s="7">
        <f>IF(AND(DL46&gt;0,J46&lt;=0),DL46,0)</f>
        <v/>
      </c>
      <c r="DQ46" s="7">
        <f>IF(DA46&gt;=0,DG46-DH46-DI46,-DK46)</f>
        <v/>
      </c>
      <c r="DR46" s="7">
        <f>BD46*(1+DD46)+DQ46*(1+DD46/2)</f>
        <v/>
      </c>
      <c r="DS46" s="7">
        <f>IF(13=0,personal_retiroInicial,DS45)*(1+g_ret)+(O46+P46+DH46)*(1+g_ret/2)</f>
        <v/>
      </c>
      <c r="DT46" s="7">
        <f>IF(BB46=1,BL46*(1+g_appr),0)</f>
        <v/>
      </c>
      <c r="DU46" s="7">
        <f>BP46-DJ46</f>
        <v/>
      </c>
      <c r="DV46" s="7">
        <f>BT46-(DI46-DJ46)</f>
        <v/>
      </c>
      <c r="DW46" s="7">
        <f>CP46+DN46</f>
        <v/>
      </c>
      <c r="DX46" s="7">
        <f>IF(DN46&gt;0,(CP46*CF46+DN46*prestamos_tasaFederalPosgrado)/(CP46+DN46),CF46)</f>
        <v/>
      </c>
      <c r="DY46" s="7">
        <f>IF(DN46&gt;0,0,CQ46)</f>
        <v/>
      </c>
      <c r="DZ46" s="7">
        <f>DM46+DN46</f>
        <v/>
      </c>
      <c r="EA46" s="7">
        <f>CV46+DO46</f>
        <v/>
      </c>
      <c r="EB46" s="7">
        <f>IF(DO46&gt;0,(CV46*CS46+DO46*prestamos_tasaPrivada)/(CV46+DO46),CS46)</f>
        <v/>
      </c>
      <c r="EC46" s="7">
        <f>IF(DO46&gt;0,0,CW46)</f>
        <v/>
      </c>
      <c r="ED46" s="7">
        <f>CX46-DE46+DP46</f>
        <v/>
      </c>
      <c r="EE46" s="7">
        <f>IF(IF(13=0,"",EE45)&lt;&gt;"",EE45,IF(AND(BB46=1,DU46&lt;=0.5,DV46&lt;=0.5,OR(BH46=0,BJ46=1)),A46,""))</f>
        <v/>
      </c>
      <c r="EF46" s="7">
        <f>DU46+DV46+DW46+EA46+ED46+CD46</f>
        <v/>
      </c>
      <c r="EG46" s="7">
        <f>DR46+DS46+DT46-EF46</f>
        <v/>
      </c>
      <c r="EH46" s="7">
        <f>EG46/(1+g_inf)^(A46+1-2026)</f>
        <v/>
      </c>
    </row>
    <row r="47">
      <c r="A47" t="n">
        <v>2041</v>
      </c>
      <c r="B47" t="n">
        <v>14</v>
      </c>
      <c r="C47" s="7">
        <f>(1+g_inf)^(A47-2026)</f>
        <v/>
      </c>
      <c r="D47" s="7">
        <f>SUMPRODUCT($AH$5:$AH$29,$E$5:$E$29*(1+$F$5:$F$29)^(A47-2026)*$G$5:$G$29*$H$5:$H$29*(1-$N$5:$N$29*$O$5:$O$29))*g_salMult+SUMPRODUCT(($B$5:$B$29&gt;=A47)*($B$5:$B$29&lt;A47+1)*$I$5:$I$29)*g_salMult</f>
        <v/>
      </c>
      <c r="E47" s="7">
        <f>SUMPRODUCT($AH$5:$AH$29,$E$5:$E$29*(1+$F$5:$F$29)^(A47-2026)*$G$5:$G$29*$H$5:$H$29*$M$5:$M$29)*g_salMult</f>
        <v/>
      </c>
      <c r="F47" s="7">
        <f>SUMPRODUCT($AH$5:$AH$29,$E$5:$E$29*(1+$F$5:$F$29)^(A47-2026)*$G$5:$G$29*$H$5:$H$29*$N$5:$N$29*$O$5:$O$29)*g_salMult</f>
        <v/>
      </c>
      <c r="G47" s="7">
        <f>SUMPRODUCT($AH$5:$AH$29,$P$5:$P$29*(1+$F$5:$F$29)^(A47-2026))</f>
        <v/>
      </c>
      <c r="H47" s="7">
        <f>SUMPRODUCT($AH$5:$AH$29,$Q$5:$Q$29*(1+$F$5:$F$29)^(A47-2026))+IF(personal_llcActivo=1,personal_llcNeto*(1+personal_llcCrecimiento)^14,0)</f>
        <v/>
      </c>
      <c r="I47" s="7">
        <f>SUMPRODUCT($AH$5:$AH$29,$J$5:$J$29/($C$5:$C$29-$B$5:$B$29+($C$5:$C$29=$B$5:$B$29)))*C47</f>
        <v/>
      </c>
      <c r="J47" s="7">
        <f>SUMPRODUCT($AH$5:$AH$29,$K$5:$K$29)</f>
        <v/>
      </c>
      <c r="K47" s="7">
        <f>SUMPRODUCT($AH$5:$AH$29,$L$5:$L$29)</f>
        <v/>
      </c>
      <c r="L47" s="7">
        <f>SUMPRODUCT($AH$5:$AH$29,$N$5:$N$29)</f>
        <v/>
      </c>
      <c r="M47" s="7">
        <f>IF(SUMPRODUCT($AH$5:$AH$29,$R$5:$R$29)&gt;0,1,0)</f>
        <v/>
      </c>
      <c r="N47" s="7">
        <f>SUMPRODUCT(($AO$5:$AO$24&gt;=A47)*($AO$5:$AO$24&lt;A47+1)*$AP$5:$AP$24)*C47+IF(14=0,IF(sel_loc&lt;&gt;"miami",personal_costoMudanzaInicial,0),0)</f>
        <v/>
      </c>
      <c r="O47" s="7">
        <f>MIN(personal_aporte403bPct*D47,retiro_limite403b*C47)</f>
        <v/>
      </c>
      <c r="P47" s="7">
        <f>MIN(personal_aporte403bPct,personal_match403bPct)*E47</f>
        <v/>
      </c>
      <c r="Q47" s="7">
        <f>IF(G47&gt;0,MAX(0,G47-impuestos_scorpCostoAnual*C47),0)</f>
        <v/>
      </c>
      <c r="R47" s="7">
        <f>Q47*impuestos_scorpSalarioPct/(1+impuestos_ssTasa+impuestos_medicareTasa)</f>
        <v/>
      </c>
      <c r="S47" s="7">
        <f>impuestos_ssTasa*MIN(R47,MAX(0,impuestos_ssTope*C47-D47))+impuestos_medicareTasa*R47</f>
        <v/>
      </c>
      <c r="T47" s="7">
        <f>Q47-R47-S47</f>
        <v/>
      </c>
      <c r="U47" s="7">
        <f>D47+R47</f>
        <v/>
      </c>
      <c r="V47" s="7">
        <f>H47*0.9235</f>
        <v/>
      </c>
      <c r="W47" s="7">
        <f>IF(H47&gt;0,2*impuestos_ssTasa*MIN(V47,MAX(0,impuestos_ssTope*C47-U47))+2*impuestos_medicareTasa*V47,0)</f>
        <v/>
      </c>
      <c r="X47" s="7">
        <f>impuestos_ssTasa*MIN(U47,impuestos_ssTope*C47)+impuestos_medicareTasa*U47+impuestos_medicareAdicional*MAX(0,U47+H47*0.9235-impuestos_medicareUmbral)</f>
        <v/>
      </c>
      <c r="Y47" s="7">
        <f>MAX(0,D47-O47+R47+T47+H47-W47/2)</f>
        <v/>
      </c>
      <c r="Z47" s="7">
        <f>MAX(0,Y47-impuestos_deduccionEstandar*C47)</f>
        <v/>
      </c>
      <c r="AA47" s="7">
        <f>MIN(0.2*MAX(0,T47+H47-W47/2)*MAX(0,MIN(1,1-(Z47-impuestos_qbiUmbral*C47)/(impuestos_qbiRango*C47))),0.2*Z47)</f>
        <v/>
      </c>
      <c r="AB47" s="7">
        <f>MAX(0,Z47-AA47)</f>
        <v/>
      </c>
      <c r="AC47" s="7">
        <f>SUMPRODUCT((AB47&gt;tb_federalBrackets_lo*C47)*(AB47-tb_federalBrackets_lo*C47)*tb_federalBrackets_dr)</f>
        <v/>
      </c>
      <c r="AD47" s="7">
        <f>MAX(0,Y47-impuestos_nyDeduccion*C47)</f>
        <v/>
      </c>
      <c r="AE47" s="7">
        <f>CHOOSE(loc_taxcode,0,impuestos_ohTasa*MAX(0,Y47-impuestos_ohExento*C47)+impuestos_ohMunicipal*U47,SUMPRODUCT((AD47&gt;tb_nyBrackets_lo*C47)*(AD47-tb_nyBrackets_lo*C47)*tb_nyBrackets_dr)+loc_nyc*SUMPRODUCT((AD47&gt;tb_nycBrackets_lo*C47)*(AD47-tb_nycBrackets_lo*C47)*tb_nycBrackets_dr))</f>
        <v/>
      </c>
      <c r="AF47" s="7">
        <f>AC47+AE47+X47+W47</f>
        <v/>
      </c>
      <c r="AG47" s="7">
        <f>D47+F47+R47+T47+H47</f>
        <v/>
      </c>
      <c r="AH47" s="7">
        <f>AG47-AF47-O47</f>
        <v/>
      </c>
      <c r="AI47" s="7">
        <f>D47+F47+G47+H47</f>
        <v/>
      </c>
      <c r="AJ47" s="7">
        <f>loc_gastosVida*C47*g_gastos</f>
        <v/>
      </c>
      <c r="AK47" s="7">
        <f>IF(14=0,personal_liquidoInicial,DR46)</f>
        <v/>
      </c>
      <c r="AL47" s="7">
        <f>IF(14=0,0,BB46)</f>
        <v/>
      </c>
      <c r="AM47" s="7">
        <f>CHOOSE(sel_cfgIdx,loc_precio_duplex,loc_precio_inlaw,loc_precio_dosCasas,loc_precio_casaAdu,loc_precio_multi)</f>
        <v/>
      </c>
      <c r="AN47" s="7">
        <f>AM47*(1+g_appr)^(A47-2026)</f>
        <v/>
      </c>
      <c r="AO47" s="7">
        <f>IF(AND(M47=1,vivienda_prestamoMedico=1),1,0)</f>
        <v/>
      </c>
      <c r="AP47" s="7">
        <f>IF(AO47=1,0.05,vivienda_enganchePct)</f>
        <v/>
      </c>
      <c r="AQ47" s="7">
        <f>AN47*(1-AP47)</f>
        <v/>
      </c>
      <c r="AR47" s="7">
        <f>PMT(g_mortRate/12,vivienda_plazoHipoteca*12,-AQ47)</f>
        <v/>
      </c>
      <c r="AS47" s="7">
        <f>INDEX(cfg_units,sel_cfgIdx)</f>
        <v/>
      </c>
      <c r="AT47" s="7">
        <f>AS47*loc_rentaUnidad*(1+g_inf)^(A47-2026)*(1-vivienda_vacancia)</f>
        <v/>
      </c>
      <c r="AU47" s="7">
        <f>AR47+AN47*loc_impuestoPropPct/12+AM47*loc_seguroPct*(1+vivienda_inflacionSeguro)^(A47-2026)/12+IF(AND(AO47=0,AP47&lt;0.2),AQ47*vivienda_pmiTasa/12,0)</f>
        <v/>
      </c>
      <c r="AV47" s="7">
        <f>AN47*AP47+AN47*vivienda_cierrePct+general_reservaMeses/12*AJ47</f>
        <v/>
      </c>
      <c r="AW47" s="7">
        <f>(IF(14=0,MIN(personal_irsSaldo,personal_irsPagoMensual*12),MIN(CD46,personal_irsPagoMensual*12))+IF(CE47&gt;0,PMT(CF47,MAX(1,prestamos_plazoAnios-CG47),-CE47),0)+IF(CR47&gt;0,PMT(CS47,MAX(1,prestamos_plazoAnios-CT47),-CR47),0))/12</f>
        <v/>
      </c>
      <c r="AX47" s="7">
        <f>IF(OR(sel_cfg="duplex",sel_cfg="multi",sel_cfg="dosCasas"),0.75*personal_aporteFamiliaMensual,0)</f>
        <v/>
      </c>
      <c r="AY47" s="7">
        <f>AU47-0.75*AT47-AX47+AW47</f>
        <v/>
      </c>
      <c r="AZ47" s="7">
        <f>(D47+G47+H47+0.5*F47)/12</f>
        <v/>
      </c>
      <c r="BA47" s="7">
        <f>IF(AND(AL47=0,A47&gt;=vivienda_anioMinCompra,J47&lt;0.5,AI47&gt;0,AK47&gt;=AV47,AY47&lt;=vivienda_dtiMax*AZ47),1,0)</f>
        <v/>
      </c>
      <c r="BB47" s="7">
        <f>MAX(AL47,BA47)</f>
        <v/>
      </c>
      <c r="BC47" s="7">
        <f>IF(BA47=1,A47,IF(14=0,"",BC46))</f>
        <v/>
      </c>
      <c r="BD47" s="7">
        <f>AK47-IF(BA47=1,AN47*AP47+AN47*vivienda_cierrePct,0)</f>
        <v/>
      </c>
      <c r="BE47" s="7">
        <f>IF(BA47=1,AN47,IF(14=0,0,BE46))</f>
        <v/>
      </c>
      <c r="BF47" s="7">
        <f>IF(BA47=1,AR47,IF(14=0,0,BF46))</f>
        <v/>
      </c>
      <c r="BG47" s="7">
        <f>IF(BA47=1,IF(AND(AO47=0,AP47&lt;0.2),1,0),IF(14=0,0,BY46))</f>
        <v/>
      </c>
      <c r="BH47" s="7">
        <f>IF(sel_cfg="casaAdu",1,0)</f>
        <v/>
      </c>
      <c r="BI47" s="7">
        <f>IF(AND(BB47=1,BH47=1,IF(14=0,0,BJ46)=0,A47&gt;=IF(BC47="",9999,BC47)+vivienda_aduRetrasoAnios),1,0)</f>
        <v/>
      </c>
      <c r="BJ47" s="7">
        <f>MAX(IF(14=0,0,BJ46),BI47)</f>
        <v/>
      </c>
      <c r="BK47" s="7">
        <f>IF(BI47=1,PMT((g_mortRate+0.005)/12,180,-loc_precio_aduCosto*C47),IF(14=0,0,BK46))</f>
        <v/>
      </c>
      <c r="BL47" s="7">
        <f>IF(BA47=1,AN47,IF(14=0,0,DT46))+IF(BI47=1,loc_precio_aduCosto*C47,0)</f>
        <v/>
      </c>
      <c r="BM47" s="7">
        <f>IF(BA47=1,AQ47,IF(14=0,0,DU46))</f>
        <v/>
      </c>
      <c r="BN47" s="7">
        <f>IF(BM47&lt;=0,0,FV(g_mortRate/12,12,BF47,-BM47))</f>
        <v/>
      </c>
      <c r="BO47" s="7">
        <f>IF(BM47&lt;=0,0,12*BF47+MIN(0,BN47))</f>
        <v/>
      </c>
      <c r="BP47" s="7">
        <f>MAX(0,BN47)</f>
        <v/>
      </c>
      <c r="BQ47" s="7">
        <f>IF(BI47=1,loc_precio_aduCosto*C47,IF(14=0,0,DV46))</f>
        <v/>
      </c>
      <c r="BR47" s="7">
        <f>IF(BQ47&lt;=0,0,FV((g_mortRate+0.005)/12,12,BK47,-BQ47))</f>
        <v/>
      </c>
      <c r="BS47" s="7">
        <f>IF(BQ47&lt;=0,0,12*BK47+MIN(0,BR47))</f>
        <v/>
      </c>
      <c r="BT47" s="7">
        <f>MAX(0,BR47)</f>
        <v/>
      </c>
      <c r="BU47" s="7">
        <f>IF(BB47=1,AM47*loc_seguroPct*(1+vivienda_inflacionSeguro)^(A47-2026)*IF(BJ47=1,1+loc_precio_aduCosto/AM47,1),0)</f>
        <v/>
      </c>
      <c r="BV47" s="7">
        <f>BL47*loc_impuestoPropPct</f>
        <v/>
      </c>
      <c r="BW47" s="7">
        <f>BL47*vivienda_mantenimientoPct</f>
        <v/>
      </c>
      <c r="BX47" s="7">
        <f>IF(AND(BG47=1,BP47&gt;0.8*BE47),BE47*(1-vivienda_enganchePct)*vivienda_pmiTasa,0)</f>
        <v/>
      </c>
      <c r="BY47" s="7">
        <f>IF(AND(BG47=1,BP47&gt;0.8*BE47),1,0)</f>
        <v/>
      </c>
      <c r="BZ47" s="7">
        <f>IF(BB47=1,AS47*loc_rentaUnidad*12*C47*(1-vivienda_vacancia)*(1-vivienda_gestionPct),0)</f>
        <v/>
      </c>
      <c r="CA47" s="7">
        <f>IF(BB47=1,BO47+BS47+BU47+BV47+BW47+BX47,loc_rentaMensual*12*C47)</f>
        <v/>
      </c>
      <c r="CB47" s="7">
        <f>IF(BB47=1,personal_aporteFamiliaMensual*12,0)</f>
        <v/>
      </c>
      <c r="CC47" s="7">
        <f>MIN(IF(14=0,personal_irsSaldo,CD46),personal_irsPagoMensual*12)</f>
        <v/>
      </c>
      <c r="CD47" s="7">
        <f>IF(14=0,personal_irsSaldo,CD46)-CC47</f>
        <v/>
      </c>
      <c r="CE47" s="7">
        <f>IF(14=0,IF(personal_deudaEsFederal=1,personal_deudaEstudiantil,0),DW46)</f>
        <v/>
      </c>
      <c r="CF47" s="7">
        <f>IF(14=0,personal_tasaDeudaEstudiantil,DX46)</f>
        <v/>
      </c>
      <c r="CG47" s="7">
        <f>IF(14=0,0,DY46)</f>
        <v/>
      </c>
      <c r="CH47" s="7">
        <f>IF(J47&gt;=0.5,1,0)</f>
        <v/>
      </c>
      <c r="CI47" s="7">
        <f>IF(AND(CH47=0,prestamos_pslfActivo=1,K47&gt;=0.5,CE47&gt;0),1,0)</f>
        <v/>
      </c>
      <c r="CJ47" s="7">
        <f>CE47*CF47</f>
        <v/>
      </c>
      <c r="CK47" s="7">
        <f>MAX(prestamos_rapPagoMinimoAnual,IF(Y47&lt;10000,0,MIN(0.1,INT(Y47/10000)/100))*Y47)</f>
        <v/>
      </c>
      <c r="CL47" s="7">
        <f>IF(CE47&lt;=0,0,IF(CH47=1,0,IF(CI47=1,MIN(CE47+CJ47,CK47),PMT(CF47,MAX(1,prestamos_plazoAnios-CG47),-CE47))))</f>
        <v/>
      </c>
      <c r="CM47" s="7">
        <f>IF(CE47&lt;=0,0,IF(CH47=1,CE47+CJ47,IF(CI47=1,MAX(0,CE47-MAX(CL47-CJ47,MIN(600,CL47))),MAX(0,CE47*(1+CF47)-CL47))))</f>
        <v/>
      </c>
      <c r="CN47" s="7">
        <f>IF(14=0,0,CN46)+IF(CI47=1,12*MIN(1,K47),0)</f>
        <v/>
      </c>
      <c r="CO47" s="7">
        <f>IF(AND(CI47=1,CN47&gt;=prestamos_pslfPagos,CM47&gt;0),CM47,0)</f>
        <v/>
      </c>
      <c r="CP47" s="7">
        <f>CM47-CO47</f>
        <v/>
      </c>
      <c r="CQ47" s="7">
        <f>IF(AND(CE47&gt;0,CH47=0,CI47=0),CG47+1,CG47)</f>
        <v/>
      </c>
      <c r="CR47" s="7">
        <f>IF(14=0,IF(personal_deudaEsFederal=1,0,personal_deudaEstudiantil),EA46)</f>
        <v/>
      </c>
      <c r="CS47" s="7">
        <f>IF(14=0,IF(personal_deudaEsFederal=1,prestamos_tasaPrivada,personal_tasaDeudaEstudiantil),EB46)</f>
        <v/>
      </c>
      <c r="CT47" s="7">
        <f>IF(14=0,0,EC46)</f>
        <v/>
      </c>
      <c r="CU47" s="7">
        <f>IF(OR(CR47&lt;=0,CH47=1),0,PMT(CS47,MAX(1,prestamos_plazoAnios-CT47),-CR47))</f>
        <v/>
      </c>
      <c r="CV47" s="7">
        <f>IF(CR47&lt;=0,0,IF(CH47=1,CR47*(1+CS47),MAX(0,CR47*(1+CS47)-CU47)))</f>
        <v/>
      </c>
      <c r="CW47" s="7">
        <f>IF(AND(CR47&gt;0,CH47=0),CT47+1,CT47)</f>
        <v/>
      </c>
      <c r="CX47" s="7">
        <f>IF(14=0,0,ED46)*(1+general_tasaDeudaConsumo)</f>
        <v/>
      </c>
      <c r="CY47" s="7">
        <f>L47*12*tiempos_travelGastoExtraMes*C47</f>
        <v/>
      </c>
      <c r="CZ47" s="7">
        <f>AJ47+CY47+CA47+CC47+CL47+CU47+I47+N47-BZ47-CB47</f>
        <v/>
      </c>
      <c r="DA47" s="7">
        <f>AH47-CZ47</f>
        <v/>
      </c>
      <c r="DB47" s="7">
        <f>IF(14=0,0,DB46)+DA47</f>
        <v/>
      </c>
      <c r="DC47" s="7">
        <f>AN47*vivienda_enganchePct+AN47*vivienda_cierrePct+general_reservaMeses/12*AJ47</f>
        <v/>
      </c>
      <c r="DD47" s="7">
        <f>IF(BB47=1,g_ret,IF(BD47&gt;0,MIN(1,DC47/BD47),1)*g_cash+(1-IF(BD47&gt;0,MIN(1,DC47/BD47),1))*g_ret)</f>
        <v/>
      </c>
      <c r="DE47" s="7">
        <f>IF(DA47&gt;=0,MIN(CX47,DA47),0)</f>
        <v/>
      </c>
      <c r="DF47" s="7">
        <f>IF(DA47&gt;=0,(1-general_tasaAhorro)*(DA47-DE47),0)</f>
        <v/>
      </c>
      <c r="DG47" s="7">
        <f>IF(DA47&gt;=0,DA47-DE47-DF47,0)</f>
        <v/>
      </c>
      <c r="DH47" s="7">
        <f>MIN(personal_rothAnual,DG47)</f>
        <v/>
      </c>
      <c r="DI47" s="7">
        <f>IF(AND(DA47&gt;=0,BB47=1,BP47+BT47&gt;0),MIN(vivienda_prepagoPct*(DG47-DH47),BP47+BT47),0)</f>
        <v/>
      </c>
      <c r="DJ47" s="7">
        <f>MIN(DI47,BP47)</f>
        <v/>
      </c>
      <c r="DK47" s="7">
        <f>IF(DA47&lt;0,MIN(MAX(0,BD47),-DA47),0)</f>
        <v/>
      </c>
      <c r="DL47" s="7">
        <f>IF(DA47&lt;0,-DA47-DK47,0)</f>
        <v/>
      </c>
      <c r="DM47" s="7">
        <f>IF(14=0,0,DZ46)</f>
        <v/>
      </c>
      <c r="DN47" s="7">
        <f>IF(AND(DL47&gt;0,J47&gt;0),MIN(DL47,MIN(prestamos_topeAnualPosgrado*MIN(1,J47),MAX(0,prestamos_topeTotalPosgrado-DM47))),0)</f>
        <v/>
      </c>
      <c r="DO47" s="7">
        <f>IF(AND(DL47&gt;0,J47&gt;0),DL47-DN47,0)</f>
        <v/>
      </c>
      <c r="DP47" s="7">
        <f>IF(AND(DL47&gt;0,J47&lt;=0),DL47,0)</f>
        <v/>
      </c>
      <c r="DQ47" s="7">
        <f>IF(DA47&gt;=0,DG47-DH47-DI47,-DK47)</f>
        <v/>
      </c>
      <c r="DR47" s="7">
        <f>BD47*(1+DD47)+DQ47*(1+DD47/2)</f>
        <v/>
      </c>
      <c r="DS47" s="7">
        <f>IF(14=0,personal_retiroInicial,DS46)*(1+g_ret)+(O47+P47+DH47)*(1+g_ret/2)</f>
        <v/>
      </c>
      <c r="DT47" s="7">
        <f>IF(BB47=1,BL47*(1+g_appr),0)</f>
        <v/>
      </c>
      <c r="DU47" s="7">
        <f>BP47-DJ47</f>
        <v/>
      </c>
      <c r="DV47" s="7">
        <f>BT47-(DI47-DJ47)</f>
        <v/>
      </c>
      <c r="DW47" s="7">
        <f>CP47+DN47</f>
        <v/>
      </c>
      <c r="DX47" s="7">
        <f>IF(DN47&gt;0,(CP47*CF47+DN47*prestamos_tasaFederalPosgrado)/(CP47+DN47),CF47)</f>
        <v/>
      </c>
      <c r="DY47" s="7">
        <f>IF(DN47&gt;0,0,CQ47)</f>
        <v/>
      </c>
      <c r="DZ47" s="7">
        <f>DM47+DN47</f>
        <v/>
      </c>
      <c r="EA47" s="7">
        <f>CV47+DO47</f>
        <v/>
      </c>
      <c r="EB47" s="7">
        <f>IF(DO47&gt;0,(CV47*CS47+DO47*prestamos_tasaPrivada)/(CV47+DO47),CS47)</f>
        <v/>
      </c>
      <c r="EC47" s="7">
        <f>IF(DO47&gt;0,0,CW47)</f>
        <v/>
      </c>
      <c r="ED47" s="7">
        <f>CX47-DE47+DP47</f>
        <v/>
      </c>
      <c r="EE47" s="7">
        <f>IF(IF(14=0,"",EE46)&lt;&gt;"",EE46,IF(AND(BB47=1,DU47&lt;=0.5,DV47&lt;=0.5,OR(BH47=0,BJ47=1)),A47,""))</f>
        <v/>
      </c>
      <c r="EF47" s="7">
        <f>DU47+DV47+DW47+EA47+ED47+CD47</f>
        <v/>
      </c>
      <c r="EG47" s="7">
        <f>DR47+DS47+DT47-EF47</f>
        <v/>
      </c>
      <c r="EH47" s="7">
        <f>EG47/(1+g_inf)^(A47+1-2026)</f>
        <v/>
      </c>
    </row>
    <row r="48">
      <c r="A48" t="n">
        <v>2042</v>
      </c>
      <c r="B48" t="n">
        <v>15</v>
      </c>
      <c r="C48" s="7">
        <f>(1+g_inf)^(A48-2026)</f>
        <v/>
      </c>
      <c r="D48" s="7">
        <f>SUMPRODUCT($AI$5:$AI$29,$E$5:$E$29*(1+$F$5:$F$29)^(A48-2026)*$G$5:$G$29*$H$5:$H$29*(1-$N$5:$N$29*$O$5:$O$29))*g_salMult+SUMPRODUCT(($B$5:$B$29&gt;=A48)*($B$5:$B$29&lt;A48+1)*$I$5:$I$29)*g_salMult</f>
        <v/>
      </c>
      <c r="E48" s="7">
        <f>SUMPRODUCT($AI$5:$AI$29,$E$5:$E$29*(1+$F$5:$F$29)^(A48-2026)*$G$5:$G$29*$H$5:$H$29*$M$5:$M$29)*g_salMult</f>
        <v/>
      </c>
      <c r="F48" s="7">
        <f>SUMPRODUCT($AI$5:$AI$29,$E$5:$E$29*(1+$F$5:$F$29)^(A48-2026)*$G$5:$G$29*$H$5:$H$29*$N$5:$N$29*$O$5:$O$29)*g_salMult</f>
        <v/>
      </c>
      <c r="G48" s="7">
        <f>SUMPRODUCT($AI$5:$AI$29,$P$5:$P$29*(1+$F$5:$F$29)^(A48-2026))</f>
        <v/>
      </c>
      <c r="H48" s="7">
        <f>SUMPRODUCT($AI$5:$AI$29,$Q$5:$Q$29*(1+$F$5:$F$29)^(A48-2026))+IF(personal_llcActivo=1,personal_llcNeto*(1+personal_llcCrecimiento)^15,0)</f>
        <v/>
      </c>
      <c r="I48" s="7">
        <f>SUMPRODUCT($AI$5:$AI$29,$J$5:$J$29/($C$5:$C$29-$B$5:$B$29+($C$5:$C$29=$B$5:$B$29)))*C48</f>
        <v/>
      </c>
      <c r="J48" s="7">
        <f>SUMPRODUCT($AI$5:$AI$29,$K$5:$K$29)</f>
        <v/>
      </c>
      <c r="K48" s="7">
        <f>SUMPRODUCT($AI$5:$AI$29,$L$5:$L$29)</f>
        <v/>
      </c>
      <c r="L48" s="7">
        <f>SUMPRODUCT($AI$5:$AI$29,$N$5:$N$29)</f>
        <v/>
      </c>
      <c r="M48" s="7">
        <f>IF(SUMPRODUCT($AI$5:$AI$29,$R$5:$R$29)&gt;0,1,0)</f>
        <v/>
      </c>
      <c r="N48" s="7">
        <f>SUMPRODUCT(($AO$5:$AO$24&gt;=A48)*($AO$5:$AO$24&lt;A48+1)*$AP$5:$AP$24)*C48+IF(15=0,IF(sel_loc&lt;&gt;"miami",personal_costoMudanzaInicial,0),0)</f>
        <v/>
      </c>
      <c r="O48" s="7">
        <f>MIN(personal_aporte403bPct*D48,retiro_limite403b*C48)</f>
        <v/>
      </c>
      <c r="P48" s="7">
        <f>MIN(personal_aporte403bPct,personal_match403bPct)*E48</f>
        <v/>
      </c>
      <c r="Q48" s="7">
        <f>IF(G48&gt;0,MAX(0,G48-impuestos_scorpCostoAnual*C48),0)</f>
        <v/>
      </c>
      <c r="R48" s="7">
        <f>Q48*impuestos_scorpSalarioPct/(1+impuestos_ssTasa+impuestos_medicareTasa)</f>
        <v/>
      </c>
      <c r="S48" s="7">
        <f>impuestos_ssTasa*MIN(R48,MAX(0,impuestos_ssTope*C48-D48))+impuestos_medicareTasa*R48</f>
        <v/>
      </c>
      <c r="T48" s="7">
        <f>Q48-R48-S48</f>
        <v/>
      </c>
      <c r="U48" s="7">
        <f>D48+R48</f>
        <v/>
      </c>
      <c r="V48" s="7">
        <f>H48*0.9235</f>
        <v/>
      </c>
      <c r="W48" s="7">
        <f>IF(H48&gt;0,2*impuestos_ssTasa*MIN(V48,MAX(0,impuestos_ssTope*C48-U48))+2*impuestos_medicareTasa*V48,0)</f>
        <v/>
      </c>
      <c r="X48" s="7">
        <f>impuestos_ssTasa*MIN(U48,impuestos_ssTope*C48)+impuestos_medicareTasa*U48+impuestos_medicareAdicional*MAX(0,U48+H48*0.9235-impuestos_medicareUmbral)</f>
        <v/>
      </c>
      <c r="Y48" s="7">
        <f>MAX(0,D48-O48+R48+T48+H48-W48/2)</f>
        <v/>
      </c>
      <c r="Z48" s="7">
        <f>MAX(0,Y48-impuestos_deduccionEstandar*C48)</f>
        <v/>
      </c>
      <c r="AA48" s="7">
        <f>MIN(0.2*MAX(0,T48+H48-W48/2)*MAX(0,MIN(1,1-(Z48-impuestos_qbiUmbral*C48)/(impuestos_qbiRango*C48))),0.2*Z48)</f>
        <v/>
      </c>
      <c r="AB48" s="7">
        <f>MAX(0,Z48-AA48)</f>
        <v/>
      </c>
      <c r="AC48" s="7">
        <f>SUMPRODUCT((AB48&gt;tb_federalBrackets_lo*C48)*(AB48-tb_federalBrackets_lo*C48)*tb_federalBrackets_dr)</f>
        <v/>
      </c>
      <c r="AD48" s="7">
        <f>MAX(0,Y48-impuestos_nyDeduccion*C48)</f>
        <v/>
      </c>
      <c r="AE48" s="7">
        <f>CHOOSE(loc_taxcode,0,impuestos_ohTasa*MAX(0,Y48-impuestos_ohExento*C48)+impuestos_ohMunicipal*U48,SUMPRODUCT((AD48&gt;tb_nyBrackets_lo*C48)*(AD48-tb_nyBrackets_lo*C48)*tb_nyBrackets_dr)+loc_nyc*SUMPRODUCT((AD48&gt;tb_nycBrackets_lo*C48)*(AD48-tb_nycBrackets_lo*C48)*tb_nycBrackets_dr))</f>
        <v/>
      </c>
      <c r="AF48" s="7">
        <f>AC48+AE48+X48+W48</f>
        <v/>
      </c>
      <c r="AG48" s="7">
        <f>D48+F48+R48+T48+H48</f>
        <v/>
      </c>
      <c r="AH48" s="7">
        <f>AG48-AF48-O48</f>
        <v/>
      </c>
      <c r="AI48" s="7">
        <f>D48+F48+G48+H48</f>
        <v/>
      </c>
      <c r="AJ48" s="7">
        <f>loc_gastosVida*C48*g_gastos</f>
        <v/>
      </c>
      <c r="AK48" s="7">
        <f>IF(15=0,personal_liquidoInicial,DR47)</f>
        <v/>
      </c>
      <c r="AL48" s="7">
        <f>IF(15=0,0,BB47)</f>
        <v/>
      </c>
      <c r="AM48" s="7">
        <f>CHOOSE(sel_cfgIdx,loc_precio_duplex,loc_precio_inlaw,loc_precio_dosCasas,loc_precio_casaAdu,loc_precio_multi)</f>
        <v/>
      </c>
      <c r="AN48" s="7">
        <f>AM48*(1+g_appr)^(A48-2026)</f>
        <v/>
      </c>
      <c r="AO48" s="7">
        <f>IF(AND(M48=1,vivienda_prestamoMedico=1),1,0)</f>
        <v/>
      </c>
      <c r="AP48" s="7">
        <f>IF(AO48=1,0.05,vivienda_enganchePct)</f>
        <v/>
      </c>
      <c r="AQ48" s="7">
        <f>AN48*(1-AP48)</f>
        <v/>
      </c>
      <c r="AR48" s="7">
        <f>PMT(g_mortRate/12,vivienda_plazoHipoteca*12,-AQ48)</f>
        <v/>
      </c>
      <c r="AS48" s="7">
        <f>INDEX(cfg_units,sel_cfgIdx)</f>
        <v/>
      </c>
      <c r="AT48" s="7">
        <f>AS48*loc_rentaUnidad*(1+g_inf)^(A48-2026)*(1-vivienda_vacancia)</f>
        <v/>
      </c>
      <c r="AU48" s="7">
        <f>AR48+AN48*loc_impuestoPropPct/12+AM48*loc_seguroPct*(1+vivienda_inflacionSeguro)^(A48-2026)/12+IF(AND(AO48=0,AP48&lt;0.2),AQ48*vivienda_pmiTasa/12,0)</f>
        <v/>
      </c>
      <c r="AV48" s="7">
        <f>AN48*AP48+AN48*vivienda_cierrePct+general_reservaMeses/12*AJ48</f>
        <v/>
      </c>
      <c r="AW48" s="7">
        <f>(IF(15=0,MIN(personal_irsSaldo,personal_irsPagoMensual*12),MIN(CD47,personal_irsPagoMensual*12))+IF(CE48&gt;0,PMT(CF48,MAX(1,prestamos_plazoAnios-CG48),-CE48),0)+IF(CR48&gt;0,PMT(CS48,MAX(1,prestamos_plazoAnios-CT48),-CR48),0))/12</f>
        <v/>
      </c>
      <c r="AX48" s="7">
        <f>IF(OR(sel_cfg="duplex",sel_cfg="multi",sel_cfg="dosCasas"),0.75*personal_aporteFamiliaMensual,0)</f>
        <v/>
      </c>
      <c r="AY48" s="7">
        <f>AU48-0.75*AT48-AX48+AW48</f>
        <v/>
      </c>
      <c r="AZ48" s="7">
        <f>(D48+G48+H48+0.5*F48)/12</f>
        <v/>
      </c>
      <c r="BA48" s="7">
        <f>IF(AND(AL48=0,A48&gt;=vivienda_anioMinCompra,J48&lt;0.5,AI48&gt;0,AK48&gt;=AV48,AY48&lt;=vivienda_dtiMax*AZ48),1,0)</f>
        <v/>
      </c>
      <c r="BB48" s="7">
        <f>MAX(AL48,BA48)</f>
        <v/>
      </c>
      <c r="BC48" s="7">
        <f>IF(BA48=1,A48,IF(15=0,"",BC47))</f>
        <v/>
      </c>
      <c r="BD48" s="7">
        <f>AK48-IF(BA48=1,AN48*AP48+AN48*vivienda_cierrePct,0)</f>
        <v/>
      </c>
      <c r="BE48" s="7">
        <f>IF(BA48=1,AN48,IF(15=0,0,BE47))</f>
        <v/>
      </c>
      <c r="BF48" s="7">
        <f>IF(BA48=1,AR48,IF(15=0,0,BF47))</f>
        <v/>
      </c>
      <c r="BG48" s="7">
        <f>IF(BA48=1,IF(AND(AO48=0,AP48&lt;0.2),1,0),IF(15=0,0,BY47))</f>
        <v/>
      </c>
      <c r="BH48" s="7">
        <f>IF(sel_cfg="casaAdu",1,0)</f>
        <v/>
      </c>
      <c r="BI48" s="7">
        <f>IF(AND(BB48=1,BH48=1,IF(15=0,0,BJ47)=0,A48&gt;=IF(BC48="",9999,BC48)+vivienda_aduRetrasoAnios),1,0)</f>
        <v/>
      </c>
      <c r="BJ48" s="7">
        <f>MAX(IF(15=0,0,BJ47),BI48)</f>
        <v/>
      </c>
      <c r="BK48" s="7">
        <f>IF(BI48=1,PMT((g_mortRate+0.005)/12,180,-loc_precio_aduCosto*C48),IF(15=0,0,BK47))</f>
        <v/>
      </c>
      <c r="BL48" s="7">
        <f>IF(BA48=1,AN48,IF(15=0,0,DT47))+IF(BI48=1,loc_precio_aduCosto*C48,0)</f>
        <v/>
      </c>
      <c r="BM48" s="7">
        <f>IF(BA48=1,AQ48,IF(15=0,0,DU47))</f>
        <v/>
      </c>
      <c r="BN48" s="7">
        <f>IF(BM48&lt;=0,0,FV(g_mortRate/12,12,BF48,-BM48))</f>
        <v/>
      </c>
      <c r="BO48" s="7">
        <f>IF(BM48&lt;=0,0,12*BF48+MIN(0,BN48))</f>
        <v/>
      </c>
      <c r="BP48" s="7">
        <f>MAX(0,BN48)</f>
        <v/>
      </c>
      <c r="BQ48" s="7">
        <f>IF(BI48=1,loc_precio_aduCosto*C48,IF(15=0,0,DV47))</f>
        <v/>
      </c>
      <c r="BR48" s="7">
        <f>IF(BQ48&lt;=0,0,FV((g_mortRate+0.005)/12,12,BK48,-BQ48))</f>
        <v/>
      </c>
      <c r="BS48" s="7">
        <f>IF(BQ48&lt;=0,0,12*BK48+MIN(0,BR48))</f>
        <v/>
      </c>
      <c r="BT48" s="7">
        <f>MAX(0,BR48)</f>
        <v/>
      </c>
      <c r="BU48" s="7">
        <f>IF(BB48=1,AM48*loc_seguroPct*(1+vivienda_inflacionSeguro)^(A48-2026)*IF(BJ48=1,1+loc_precio_aduCosto/AM48,1),0)</f>
        <v/>
      </c>
      <c r="BV48" s="7">
        <f>BL48*loc_impuestoPropPct</f>
        <v/>
      </c>
      <c r="BW48" s="7">
        <f>BL48*vivienda_mantenimientoPct</f>
        <v/>
      </c>
      <c r="BX48" s="7">
        <f>IF(AND(BG48=1,BP48&gt;0.8*BE48),BE48*(1-vivienda_enganchePct)*vivienda_pmiTasa,0)</f>
        <v/>
      </c>
      <c r="BY48" s="7">
        <f>IF(AND(BG48=1,BP48&gt;0.8*BE48),1,0)</f>
        <v/>
      </c>
      <c r="BZ48" s="7">
        <f>IF(BB48=1,AS48*loc_rentaUnidad*12*C48*(1-vivienda_vacancia)*(1-vivienda_gestionPct),0)</f>
        <v/>
      </c>
      <c r="CA48" s="7">
        <f>IF(BB48=1,BO48+BS48+BU48+BV48+BW48+BX48,loc_rentaMensual*12*C48)</f>
        <v/>
      </c>
      <c r="CB48" s="7">
        <f>IF(BB48=1,personal_aporteFamiliaMensual*12,0)</f>
        <v/>
      </c>
      <c r="CC48" s="7">
        <f>MIN(IF(15=0,personal_irsSaldo,CD47),personal_irsPagoMensual*12)</f>
        <v/>
      </c>
      <c r="CD48" s="7">
        <f>IF(15=0,personal_irsSaldo,CD47)-CC48</f>
        <v/>
      </c>
      <c r="CE48" s="7">
        <f>IF(15=0,IF(personal_deudaEsFederal=1,personal_deudaEstudiantil,0),DW47)</f>
        <v/>
      </c>
      <c r="CF48" s="7">
        <f>IF(15=0,personal_tasaDeudaEstudiantil,DX47)</f>
        <v/>
      </c>
      <c r="CG48" s="7">
        <f>IF(15=0,0,DY47)</f>
        <v/>
      </c>
      <c r="CH48" s="7">
        <f>IF(J48&gt;=0.5,1,0)</f>
        <v/>
      </c>
      <c r="CI48" s="7">
        <f>IF(AND(CH48=0,prestamos_pslfActivo=1,K48&gt;=0.5,CE48&gt;0),1,0)</f>
        <v/>
      </c>
      <c r="CJ48" s="7">
        <f>CE48*CF48</f>
        <v/>
      </c>
      <c r="CK48" s="7">
        <f>MAX(prestamos_rapPagoMinimoAnual,IF(Y48&lt;10000,0,MIN(0.1,INT(Y48/10000)/100))*Y48)</f>
        <v/>
      </c>
      <c r="CL48" s="7">
        <f>IF(CE48&lt;=0,0,IF(CH48=1,0,IF(CI48=1,MIN(CE48+CJ48,CK48),PMT(CF48,MAX(1,prestamos_plazoAnios-CG48),-CE48))))</f>
        <v/>
      </c>
      <c r="CM48" s="7">
        <f>IF(CE48&lt;=0,0,IF(CH48=1,CE48+CJ48,IF(CI48=1,MAX(0,CE48-MAX(CL48-CJ48,MIN(600,CL48))),MAX(0,CE48*(1+CF48)-CL48))))</f>
        <v/>
      </c>
      <c r="CN48" s="7">
        <f>IF(15=0,0,CN47)+IF(CI48=1,12*MIN(1,K48),0)</f>
        <v/>
      </c>
      <c r="CO48" s="7">
        <f>IF(AND(CI48=1,CN48&gt;=prestamos_pslfPagos,CM48&gt;0),CM48,0)</f>
        <v/>
      </c>
      <c r="CP48" s="7">
        <f>CM48-CO48</f>
        <v/>
      </c>
      <c r="CQ48" s="7">
        <f>IF(AND(CE48&gt;0,CH48=0,CI48=0),CG48+1,CG48)</f>
        <v/>
      </c>
      <c r="CR48" s="7">
        <f>IF(15=0,IF(personal_deudaEsFederal=1,0,personal_deudaEstudiantil),EA47)</f>
        <v/>
      </c>
      <c r="CS48" s="7">
        <f>IF(15=0,IF(personal_deudaEsFederal=1,prestamos_tasaPrivada,personal_tasaDeudaEstudiantil),EB47)</f>
        <v/>
      </c>
      <c r="CT48" s="7">
        <f>IF(15=0,0,EC47)</f>
        <v/>
      </c>
      <c r="CU48" s="7">
        <f>IF(OR(CR48&lt;=0,CH48=1),0,PMT(CS48,MAX(1,prestamos_plazoAnios-CT48),-CR48))</f>
        <v/>
      </c>
      <c r="CV48" s="7">
        <f>IF(CR48&lt;=0,0,IF(CH48=1,CR48*(1+CS48),MAX(0,CR48*(1+CS48)-CU48)))</f>
        <v/>
      </c>
      <c r="CW48" s="7">
        <f>IF(AND(CR48&gt;0,CH48=0),CT48+1,CT48)</f>
        <v/>
      </c>
      <c r="CX48" s="7">
        <f>IF(15=0,0,ED47)*(1+general_tasaDeudaConsumo)</f>
        <v/>
      </c>
      <c r="CY48" s="7">
        <f>L48*12*tiempos_travelGastoExtraMes*C48</f>
        <v/>
      </c>
      <c r="CZ48" s="7">
        <f>AJ48+CY48+CA48+CC48+CL48+CU48+I48+N48-BZ48-CB48</f>
        <v/>
      </c>
      <c r="DA48" s="7">
        <f>AH48-CZ48</f>
        <v/>
      </c>
      <c r="DB48" s="7">
        <f>IF(15=0,0,DB47)+DA48</f>
        <v/>
      </c>
      <c r="DC48" s="7">
        <f>AN48*vivienda_enganchePct+AN48*vivienda_cierrePct+general_reservaMeses/12*AJ48</f>
        <v/>
      </c>
      <c r="DD48" s="7">
        <f>IF(BB48=1,g_ret,IF(BD48&gt;0,MIN(1,DC48/BD48),1)*g_cash+(1-IF(BD48&gt;0,MIN(1,DC48/BD48),1))*g_ret)</f>
        <v/>
      </c>
      <c r="DE48" s="7">
        <f>IF(DA48&gt;=0,MIN(CX48,DA48),0)</f>
        <v/>
      </c>
      <c r="DF48" s="7">
        <f>IF(DA48&gt;=0,(1-general_tasaAhorro)*(DA48-DE48),0)</f>
        <v/>
      </c>
      <c r="DG48" s="7">
        <f>IF(DA48&gt;=0,DA48-DE48-DF48,0)</f>
        <v/>
      </c>
      <c r="DH48" s="7">
        <f>MIN(personal_rothAnual,DG48)</f>
        <v/>
      </c>
      <c r="DI48" s="7">
        <f>IF(AND(DA48&gt;=0,BB48=1,BP48+BT48&gt;0),MIN(vivienda_prepagoPct*(DG48-DH48),BP48+BT48),0)</f>
        <v/>
      </c>
      <c r="DJ48" s="7">
        <f>MIN(DI48,BP48)</f>
        <v/>
      </c>
      <c r="DK48" s="7">
        <f>IF(DA48&lt;0,MIN(MAX(0,BD48),-DA48),0)</f>
        <v/>
      </c>
      <c r="DL48" s="7">
        <f>IF(DA48&lt;0,-DA48-DK48,0)</f>
        <v/>
      </c>
      <c r="DM48" s="7">
        <f>IF(15=0,0,DZ47)</f>
        <v/>
      </c>
      <c r="DN48" s="7">
        <f>IF(AND(DL48&gt;0,J48&gt;0),MIN(DL48,MIN(prestamos_topeAnualPosgrado*MIN(1,J48),MAX(0,prestamos_topeTotalPosgrado-DM48))),0)</f>
        <v/>
      </c>
      <c r="DO48" s="7">
        <f>IF(AND(DL48&gt;0,J48&gt;0),DL48-DN48,0)</f>
        <v/>
      </c>
      <c r="DP48" s="7">
        <f>IF(AND(DL48&gt;0,J48&lt;=0),DL48,0)</f>
        <v/>
      </c>
      <c r="DQ48" s="7">
        <f>IF(DA48&gt;=0,DG48-DH48-DI48,-DK48)</f>
        <v/>
      </c>
      <c r="DR48" s="7">
        <f>BD48*(1+DD48)+DQ48*(1+DD48/2)</f>
        <v/>
      </c>
      <c r="DS48" s="7">
        <f>IF(15=0,personal_retiroInicial,DS47)*(1+g_ret)+(O48+P48+DH48)*(1+g_ret/2)</f>
        <v/>
      </c>
      <c r="DT48" s="7">
        <f>IF(BB48=1,BL48*(1+g_appr),0)</f>
        <v/>
      </c>
      <c r="DU48" s="7">
        <f>BP48-DJ48</f>
        <v/>
      </c>
      <c r="DV48" s="7">
        <f>BT48-(DI48-DJ48)</f>
        <v/>
      </c>
      <c r="DW48" s="7">
        <f>CP48+DN48</f>
        <v/>
      </c>
      <c r="DX48" s="7">
        <f>IF(DN48&gt;0,(CP48*CF48+DN48*prestamos_tasaFederalPosgrado)/(CP48+DN48),CF48)</f>
        <v/>
      </c>
      <c r="DY48" s="7">
        <f>IF(DN48&gt;0,0,CQ48)</f>
        <v/>
      </c>
      <c r="DZ48" s="7">
        <f>DM48+DN48</f>
        <v/>
      </c>
      <c r="EA48" s="7">
        <f>CV48+DO48</f>
        <v/>
      </c>
      <c r="EB48" s="7">
        <f>IF(DO48&gt;0,(CV48*CS48+DO48*prestamos_tasaPrivada)/(CV48+DO48),CS48)</f>
        <v/>
      </c>
      <c r="EC48" s="7">
        <f>IF(DO48&gt;0,0,CW48)</f>
        <v/>
      </c>
      <c r="ED48" s="7">
        <f>CX48-DE48+DP48</f>
        <v/>
      </c>
      <c r="EE48" s="7">
        <f>IF(IF(15=0,"",EE47)&lt;&gt;"",EE47,IF(AND(BB48=1,DU48&lt;=0.5,DV48&lt;=0.5,OR(BH48=0,BJ48=1)),A48,""))</f>
        <v/>
      </c>
      <c r="EF48" s="7">
        <f>DU48+DV48+DW48+EA48+ED48+CD48</f>
        <v/>
      </c>
      <c r="EG48" s="7">
        <f>DR48+DS48+DT48-EF48</f>
        <v/>
      </c>
      <c r="EH48" s="7">
        <f>EG48/(1+g_inf)^(A48+1-2026)</f>
        <v/>
      </c>
    </row>
    <row r="49">
      <c r="A49" t="n">
        <v>2043</v>
      </c>
      <c r="B49" t="n">
        <v>16</v>
      </c>
      <c r="C49" s="7">
        <f>(1+g_inf)^(A49-2026)</f>
        <v/>
      </c>
      <c r="D49" s="7">
        <f>SUMPRODUCT($AJ$5:$AJ$29,$E$5:$E$29*(1+$F$5:$F$29)^(A49-2026)*$G$5:$G$29*$H$5:$H$29*(1-$N$5:$N$29*$O$5:$O$29))*g_salMult+SUMPRODUCT(($B$5:$B$29&gt;=A49)*($B$5:$B$29&lt;A49+1)*$I$5:$I$29)*g_salMult</f>
        <v/>
      </c>
      <c r="E49" s="7">
        <f>SUMPRODUCT($AJ$5:$AJ$29,$E$5:$E$29*(1+$F$5:$F$29)^(A49-2026)*$G$5:$G$29*$H$5:$H$29*$M$5:$M$29)*g_salMult</f>
        <v/>
      </c>
      <c r="F49" s="7">
        <f>SUMPRODUCT($AJ$5:$AJ$29,$E$5:$E$29*(1+$F$5:$F$29)^(A49-2026)*$G$5:$G$29*$H$5:$H$29*$N$5:$N$29*$O$5:$O$29)*g_salMult</f>
        <v/>
      </c>
      <c r="G49" s="7">
        <f>SUMPRODUCT($AJ$5:$AJ$29,$P$5:$P$29*(1+$F$5:$F$29)^(A49-2026))</f>
        <v/>
      </c>
      <c r="H49" s="7">
        <f>SUMPRODUCT($AJ$5:$AJ$29,$Q$5:$Q$29*(1+$F$5:$F$29)^(A49-2026))+IF(personal_llcActivo=1,personal_llcNeto*(1+personal_llcCrecimiento)^16,0)</f>
        <v/>
      </c>
      <c r="I49" s="7">
        <f>SUMPRODUCT($AJ$5:$AJ$29,$J$5:$J$29/($C$5:$C$29-$B$5:$B$29+($C$5:$C$29=$B$5:$B$29)))*C49</f>
        <v/>
      </c>
      <c r="J49" s="7">
        <f>SUMPRODUCT($AJ$5:$AJ$29,$K$5:$K$29)</f>
        <v/>
      </c>
      <c r="K49" s="7">
        <f>SUMPRODUCT($AJ$5:$AJ$29,$L$5:$L$29)</f>
        <v/>
      </c>
      <c r="L49" s="7">
        <f>SUMPRODUCT($AJ$5:$AJ$29,$N$5:$N$29)</f>
        <v/>
      </c>
      <c r="M49" s="7">
        <f>IF(SUMPRODUCT($AJ$5:$AJ$29,$R$5:$R$29)&gt;0,1,0)</f>
        <v/>
      </c>
      <c r="N49" s="7">
        <f>SUMPRODUCT(($AO$5:$AO$24&gt;=A49)*($AO$5:$AO$24&lt;A49+1)*$AP$5:$AP$24)*C49+IF(16=0,IF(sel_loc&lt;&gt;"miami",personal_costoMudanzaInicial,0),0)</f>
        <v/>
      </c>
      <c r="O49" s="7">
        <f>MIN(personal_aporte403bPct*D49,retiro_limite403b*C49)</f>
        <v/>
      </c>
      <c r="P49" s="7">
        <f>MIN(personal_aporte403bPct,personal_match403bPct)*E49</f>
        <v/>
      </c>
      <c r="Q49" s="7">
        <f>IF(G49&gt;0,MAX(0,G49-impuestos_scorpCostoAnual*C49),0)</f>
        <v/>
      </c>
      <c r="R49" s="7">
        <f>Q49*impuestos_scorpSalarioPct/(1+impuestos_ssTasa+impuestos_medicareTasa)</f>
        <v/>
      </c>
      <c r="S49" s="7">
        <f>impuestos_ssTasa*MIN(R49,MAX(0,impuestos_ssTope*C49-D49))+impuestos_medicareTasa*R49</f>
        <v/>
      </c>
      <c r="T49" s="7">
        <f>Q49-R49-S49</f>
        <v/>
      </c>
      <c r="U49" s="7">
        <f>D49+R49</f>
        <v/>
      </c>
      <c r="V49" s="7">
        <f>H49*0.9235</f>
        <v/>
      </c>
      <c r="W49" s="7">
        <f>IF(H49&gt;0,2*impuestos_ssTasa*MIN(V49,MAX(0,impuestos_ssTope*C49-U49))+2*impuestos_medicareTasa*V49,0)</f>
        <v/>
      </c>
      <c r="X49" s="7">
        <f>impuestos_ssTasa*MIN(U49,impuestos_ssTope*C49)+impuestos_medicareTasa*U49+impuestos_medicareAdicional*MAX(0,U49+H49*0.9235-impuestos_medicareUmbral)</f>
        <v/>
      </c>
      <c r="Y49" s="7">
        <f>MAX(0,D49-O49+R49+T49+H49-W49/2)</f>
        <v/>
      </c>
      <c r="Z49" s="7">
        <f>MAX(0,Y49-impuestos_deduccionEstandar*C49)</f>
        <v/>
      </c>
      <c r="AA49" s="7">
        <f>MIN(0.2*MAX(0,T49+H49-W49/2)*MAX(0,MIN(1,1-(Z49-impuestos_qbiUmbral*C49)/(impuestos_qbiRango*C49))),0.2*Z49)</f>
        <v/>
      </c>
      <c r="AB49" s="7">
        <f>MAX(0,Z49-AA49)</f>
        <v/>
      </c>
      <c r="AC49" s="7">
        <f>SUMPRODUCT((AB49&gt;tb_federalBrackets_lo*C49)*(AB49-tb_federalBrackets_lo*C49)*tb_federalBrackets_dr)</f>
        <v/>
      </c>
      <c r="AD49" s="7">
        <f>MAX(0,Y49-impuestos_nyDeduccion*C49)</f>
        <v/>
      </c>
      <c r="AE49" s="7">
        <f>CHOOSE(loc_taxcode,0,impuestos_ohTasa*MAX(0,Y49-impuestos_ohExento*C49)+impuestos_ohMunicipal*U49,SUMPRODUCT((AD49&gt;tb_nyBrackets_lo*C49)*(AD49-tb_nyBrackets_lo*C49)*tb_nyBrackets_dr)+loc_nyc*SUMPRODUCT((AD49&gt;tb_nycBrackets_lo*C49)*(AD49-tb_nycBrackets_lo*C49)*tb_nycBrackets_dr))</f>
        <v/>
      </c>
      <c r="AF49" s="7">
        <f>AC49+AE49+X49+W49</f>
        <v/>
      </c>
      <c r="AG49" s="7">
        <f>D49+F49+R49+T49+H49</f>
        <v/>
      </c>
      <c r="AH49" s="7">
        <f>AG49-AF49-O49</f>
        <v/>
      </c>
      <c r="AI49" s="7">
        <f>D49+F49+G49+H49</f>
        <v/>
      </c>
      <c r="AJ49" s="7">
        <f>loc_gastosVida*C49*g_gastos</f>
        <v/>
      </c>
      <c r="AK49" s="7">
        <f>IF(16=0,personal_liquidoInicial,DR48)</f>
        <v/>
      </c>
      <c r="AL49" s="7">
        <f>IF(16=0,0,BB48)</f>
        <v/>
      </c>
      <c r="AM49" s="7">
        <f>CHOOSE(sel_cfgIdx,loc_precio_duplex,loc_precio_inlaw,loc_precio_dosCasas,loc_precio_casaAdu,loc_precio_multi)</f>
        <v/>
      </c>
      <c r="AN49" s="7">
        <f>AM49*(1+g_appr)^(A49-2026)</f>
        <v/>
      </c>
      <c r="AO49" s="7">
        <f>IF(AND(M49=1,vivienda_prestamoMedico=1),1,0)</f>
        <v/>
      </c>
      <c r="AP49" s="7">
        <f>IF(AO49=1,0.05,vivienda_enganchePct)</f>
        <v/>
      </c>
      <c r="AQ49" s="7">
        <f>AN49*(1-AP49)</f>
        <v/>
      </c>
      <c r="AR49" s="7">
        <f>PMT(g_mortRate/12,vivienda_plazoHipoteca*12,-AQ49)</f>
        <v/>
      </c>
      <c r="AS49" s="7">
        <f>INDEX(cfg_units,sel_cfgIdx)</f>
        <v/>
      </c>
      <c r="AT49" s="7">
        <f>AS49*loc_rentaUnidad*(1+g_inf)^(A49-2026)*(1-vivienda_vacancia)</f>
        <v/>
      </c>
      <c r="AU49" s="7">
        <f>AR49+AN49*loc_impuestoPropPct/12+AM49*loc_seguroPct*(1+vivienda_inflacionSeguro)^(A49-2026)/12+IF(AND(AO49=0,AP49&lt;0.2),AQ49*vivienda_pmiTasa/12,0)</f>
        <v/>
      </c>
      <c r="AV49" s="7">
        <f>AN49*AP49+AN49*vivienda_cierrePct+general_reservaMeses/12*AJ49</f>
        <v/>
      </c>
      <c r="AW49" s="7">
        <f>(IF(16=0,MIN(personal_irsSaldo,personal_irsPagoMensual*12),MIN(CD48,personal_irsPagoMensual*12))+IF(CE49&gt;0,PMT(CF49,MAX(1,prestamos_plazoAnios-CG49),-CE49),0)+IF(CR49&gt;0,PMT(CS49,MAX(1,prestamos_plazoAnios-CT49),-CR49),0))/12</f>
        <v/>
      </c>
      <c r="AX49" s="7">
        <f>IF(OR(sel_cfg="duplex",sel_cfg="multi",sel_cfg="dosCasas"),0.75*personal_aporteFamiliaMensual,0)</f>
        <v/>
      </c>
      <c r="AY49" s="7">
        <f>AU49-0.75*AT49-AX49+AW49</f>
        <v/>
      </c>
      <c r="AZ49" s="7">
        <f>(D49+G49+H49+0.5*F49)/12</f>
        <v/>
      </c>
      <c r="BA49" s="7">
        <f>IF(AND(AL49=0,A49&gt;=vivienda_anioMinCompra,J49&lt;0.5,AI49&gt;0,AK49&gt;=AV49,AY49&lt;=vivienda_dtiMax*AZ49),1,0)</f>
        <v/>
      </c>
      <c r="BB49" s="7">
        <f>MAX(AL49,BA49)</f>
        <v/>
      </c>
      <c r="BC49" s="7">
        <f>IF(BA49=1,A49,IF(16=0,"",BC48))</f>
        <v/>
      </c>
      <c r="BD49" s="7">
        <f>AK49-IF(BA49=1,AN49*AP49+AN49*vivienda_cierrePct,0)</f>
        <v/>
      </c>
      <c r="BE49" s="7">
        <f>IF(BA49=1,AN49,IF(16=0,0,BE48))</f>
        <v/>
      </c>
      <c r="BF49" s="7">
        <f>IF(BA49=1,AR49,IF(16=0,0,BF48))</f>
        <v/>
      </c>
      <c r="BG49" s="7">
        <f>IF(BA49=1,IF(AND(AO49=0,AP49&lt;0.2),1,0),IF(16=0,0,BY48))</f>
        <v/>
      </c>
      <c r="BH49" s="7">
        <f>IF(sel_cfg="casaAdu",1,0)</f>
        <v/>
      </c>
      <c r="BI49" s="7">
        <f>IF(AND(BB49=1,BH49=1,IF(16=0,0,BJ48)=0,A49&gt;=IF(BC49="",9999,BC49)+vivienda_aduRetrasoAnios),1,0)</f>
        <v/>
      </c>
      <c r="BJ49" s="7">
        <f>MAX(IF(16=0,0,BJ48),BI49)</f>
        <v/>
      </c>
      <c r="BK49" s="7">
        <f>IF(BI49=1,PMT((g_mortRate+0.005)/12,180,-loc_precio_aduCosto*C49),IF(16=0,0,BK48))</f>
        <v/>
      </c>
      <c r="BL49" s="7">
        <f>IF(BA49=1,AN49,IF(16=0,0,DT48))+IF(BI49=1,loc_precio_aduCosto*C49,0)</f>
        <v/>
      </c>
      <c r="BM49" s="7">
        <f>IF(BA49=1,AQ49,IF(16=0,0,DU48))</f>
        <v/>
      </c>
      <c r="BN49" s="7">
        <f>IF(BM49&lt;=0,0,FV(g_mortRate/12,12,BF49,-BM49))</f>
        <v/>
      </c>
      <c r="BO49" s="7">
        <f>IF(BM49&lt;=0,0,12*BF49+MIN(0,BN49))</f>
        <v/>
      </c>
      <c r="BP49" s="7">
        <f>MAX(0,BN49)</f>
        <v/>
      </c>
      <c r="BQ49" s="7">
        <f>IF(BI49=1,loc_precio_aduCosto*C49,IF(16=0,0,DV48))</f>
        <v/>
      </c>
      <c r="BR49" s="7">
        <f>IF(BQ49&lt;=0,0,FV((g_mortRate+0.005)/12,12,BK49,-BQ49))</f>
        <v/>
      </c>
      <c r="BS49" s="7">
        <f>IF(BQ49&lt;=0,0,12*BK49+MIN(0,BR49))</f>
        <v/>
      </c>
      <c r="BT49" s="7">
        <f>MAX(0,BR49)</f>
        <v/>
      </c>
      <c r="BU49" s="7">
        <f>IF(BB49=1,AM49*loc_seguroPct*(1+vivienda_inflacionSeguro)^(A49-2026)*IF(BJ49=1,1+loc_precio_aduCosto/AM49,1),0)</f>
        <v/>
      </c>
      <c r="BV49" s="7">
        <f>BL49*loc_impuestoPropPct</f>
        <v/>
      </c>
      <c r="BW49" s="7">
        <f>BL49*vivienda_mantenimientoPct</f>
        <v/>
      </c>
      <c r="BX49" s="7">
        <f>IF(AND(BG49=1,BP49&gt;0.8*BE49),BE49*(1-vivienda_enganchePct)*vivienda_pmiTasa,0)</f>
        <v/>
      </c>
      <c r="BY49" s="7">
        <f>IF(AND(BG49=1,BP49&gt;0.8*BE49),1,0)</f>
        <v/>
      </c>
      <c r="BZ49" s="7">
        <f>IF(BB49=1,AS49*loc_rentaUnidad*12*C49*(1-vivienda_vacancia)*(1-vivienda_gestionPct),0)</f>
        <v/>
      </c>
      <c r="CA49" s="7">
        <f>IF(BB49=1,BO49+BS49+BU49+BV49+BW49+BX49,loc_rentaMensual*12*C49)</f>
        <v/>
      </c>
      <c r="CB49" s="7">
        <f>IF(BB49=1,personal_aporteFamiliaMensual*12,0)</f>
        <v/>
      </c>
      <c r="CC49" s="7">
        <f>MIN(IF(16=0,personal_irsSaldo,CD48),personal_irsPagoMensual*12)</f>
        <v/>
      </c>
      <c r="CD49" s="7">
        <f>IF(16=0,personal_irsSaldo,CD48)-CC49</f>
        <v/>
      </c>
      <c r="CE49" s="7">
        <f>IF(16=0,IF(personal_deudaEsFederal=1,personal_deudaEstudiantil,0),DW48)</f>
        <v/>
      </c>
      <c r="CF49" s="7">
        <f>IF(16=0,personal_tasaDeudaEstudiantil,DX48)</f>
        <v/>
      </c>
      <c r="CG49" s="7">
        <f>IF(16=0,0,DY48)</f>
        <v/>
      </c>
      <c r="CH49" s="7">
        <f>IF(J49&gt;=0.5,1,0)</f>
        <v/>
      </c>
      <c r="CI49" s="7">
        <f>IF(AND(CH49=0,prestamos_pslfActivo=1,K49&gt;=0.5,CE49&gt;0),1,0)</f>
        <v/>
      </c>
      <c r="CJ49" s="7">
        <f>CE49*CF49</f>
        <v/>
      </c>
      <c r="CK49" s="7">
        <f>MAX(prestamos_rapPagoMinimoAnual,IF(Y49&lt;10000,0,MIN(0.1,INT(Y49/10000)/100))*Y49)</f>
        <v/>
      </c>
      <c r="CL49" s="7">
        <f>IF(CE49&lt;=0,0,IF(CH49=1,0,IF(CI49=1,MIN(CE49+CJ49,CK49),PMT(CF49,MAX(1,prestamos_plazoAnios-CG49),-CE49))))</f>
        <v/>
      </c>
      <c r="CM49" s="7">
        <f>IF(CE49&lt;=0,0,IF(CH49=1,CE49+CJ49,IF(CI49=1,MAX(0,CE49-MAX(CL49-CJ49,MIN(600,CL49))),MAX(0,CE49*(1+CF49)-CL49))))</f>
        <v/>
      </c>
      <c r="CN49" s="7">
        <f>IF(16=0,0,CN48)+IF(CI49=1,12*MIN(1,K49),0)</f>
        <v/>
      </c>
      <c r="CO49" s="7">
        <f>IF(AND(CI49=1,CN49&gt;=prestamos_pslfPagos,CM49&gt;0),CM49,0)</f>
        <v/>
      </c>
      <c r="CP49" s="7">
        <f>CM49-CO49</f>
        <v/>
      </c>
      <c r="CQ49" s="7">
        <f>IF(AND(CE49&gt;0,CH49=0,CI49=0),CG49+1,CG49)</f>
        <v/>
      </c>
      <c r="CR49" s="7">
        <f>IF(16=0,IF(personal_deudaEsFederal=1,0,personal_deudaEstudiantil),EA48)</f>
        <v/>
      </c>
      <c r="CS49" s="7">
        <f>IF(16=0,IF(personal_deudaEsFederal=1,prestamos_tasaPrivada,personal_tasaDeudaEstudiantil),EB48)</f>
        <v/>
      </c>
      <c r="CT49" s="7">
        <f>IF(16=0,0,EC48)</f>
        <v/>
      </c>
      <c r="CU49" s="7">
        <f>IF(OR(CR49&lt;=0,CH49=1),0,PMT(CS49,MAX(1,prestamos_plazoAnios-CT49),-CR49))</f>
        <v/>
      </c>
      <c r="CV49" s="7">
        <f>IF(CR49&lt;=0,0,IF(CH49=1,CR49*(1+CS49),MAX(0,CR49*(1+CS49)-CU49)))</f>
        <v/>
      </c>
      <c r="CW49" s="7">
        <f>IF(AND(CR49&gt;0,CH49=0),CT49+1,CT49)</f>
        <v/>
      </c>
      <c r="CX49" s="7">
        <f>IF(16=0,0,ED48)*(1+general_tasaDeudaConsumo)</f>
        <v/>
      </c>
      <c r="CY49" s="7">
        <f>L49*12*tiempos_travelGastoExtraMes*C49</f>
        <v/>
      </c>
      <c r="CZ49" s="7">
        <f>AJ49+CY49+CA49+CC49+CL49+CU49+I49+N49-BZ49-CB49</f>
        <v/>
      </c>
      <c r="DA49" s="7">
        <f>AH49-CZ49</f>
        <v/>
      </c>
      <c r="DB49" s="7">
        <f>IF(16=0,0,DB48)+DA49</f>
        <v/>
      </c>
      <c r="DC49" s="7">
        <f>AN49*vivienda_enganchePct+AN49*vivienda_cierrePct+general_reservaMeses/12*AJ49</f>
        <v/>
      </c>
      <c r="DD49" s="7">
        <f>IF(BB49=1,g_ret,IF(BD49&gt;0,MIN(1,DC49/BD49),1)*g_cash+(1-IF(BD49&gt;0,MIN(1,DC49/BD49),1))*g_ret)</f>
        <v/>
      </c>
      <c r="DE49" s="7">
        <f>IF(DA49&gt;=0,MIN(CX49,DA49),0)</f>
        <v/>
      </c>
      <c r="DF49" s="7">
        <f>IF(DA49&gt;=0,(1-general_tasaAhorro)*(DA49-DE49),0)</f>
        <v/>
      </c>
      <c r="DG49" s="7">
        <f>IF(DA49&gt;=0,DA49-DE49-DF49,0)</f>
        <v/>
      </c>
      <c r="DH49" s="7">
        <f>MIN(personal_rothAnual,DG49)</f>
        <v/>
      </c>
      <c r="DI49" s="7">
        <f>IF(AND(DA49&gt;=0,BB49=1,BP49+BT49&gt;0),MIN(vivienda_prepagoPct*(DG49-DH49),BP49+BT49),0)</f>
        <v/>
      </c>
      <c r="DJ49" s="7">
        <f>MIN(DI49,BP49)</f>
        <v/>
      </c>
      <c r="DK49" s="7">
        <f>IF(DA49&lt;0,MIN(MAX(0,BD49),-DA49),0)</f>
        <v/>
      </c>
      <c r="DL49" s="7">
        <f>IF(DA49&lt;0,-DA49-DK49,0)</f>
        <v/>
      </c>
      <c r="DM49" s="7">
        <f>IF(16=0,0,DZ48)</f>
        <v/>
      </c>
      <c r="DN49" s="7">
        <f>IF(AND(DL49&gt;0,J49&gt;0),MIN(DL49,MIN(prestamos_topeAnualPosgrado*MIN(1,J49),MAX(0,prestamos_topeTotalPosgrado-DM49))),0)</f>
        <v/>
      </c>
      <c r="DO49" s="7">
        <f>IF(AND(DL49&gt;0,J49&gt;0),DL49-DN49,0)</f>
        <v/>
      </c>
      <c r="DP49" s="7">
        <f>IF(AND(DL49&gt;0,J49&lt;=0),DL49,0)</f>
        <v/>
      </c>
      <c r="DQ49" s="7">
        <f>IF(DA49&gt;=0,DG49-DH49-DI49,-DK49)</f>
        <v/>
      </c>
      <c r="DR49" s="7">
        <f>BD49*(1+DD49)+DQ49*(1+DD49/2)</f>
        <v/>
      </c>
      <c r="DS49" s="7">
        <f>IF(16=0,personal_retiroInicial,DS48)*(1+g_ret)+(O49+P49+DH49)*(1+g_ret/2)</f>
        <v/>
      </c>
      <c r="DT49" s="7">
        <f>IF(BB49=1,BL49*(1+g_appr),0)</f>
        <v/>
      </c>
      <c r="DU49" s="7">
        <f>BP49-DJ49</f>
        <v/>
      </c>
      <c r="DV49" s="7">
        <f>BT49-(DI49-DJ49)</f>
        <v/>
      </c>
      <c r="DW49" s="7">
        <f>CP49+DN49</f>
        <v/>
      </c>
      <c r="DX49" s="7">
        <f>IF(DN49&gt;0,(CP49*CF49+DN49*prestamos_tasaFederalPosgrado)/(CP49+DN49),CF49)</f>
        <v/>
      </c>
      <c r="DY49" s="7">
        <f>IF(DN49&gt;0,0,CQ49)</f>
        <v/>
      </c>
      <c r="DZ49" s="7">
        <f>DM49+DN49</f>
        <v/>
      </c>
      <c r="EA49" s="7">
        <f>CV49+DO49</f>
        <v/>
      </c>
      <c r="EB49" s="7">
        <f>IF(DO49&gt;0,(CV49*CS49+DO49*prestamos_tasaPrivada)/(CV49+DO49),CS49)</f>
        <v/>
      </c>
      <c r="EC49" s="7">
        <f>IF(DO49&gt;0,0,CW49)</f>
        <v/>
      </c>
      <c r="ED49" s="7">
        <f>CX49-DE49+DP49</f>
        <v/>
      </c>
      <c r="EE49" s="7">
        <f>IF(IF(16=0,"",EE48)&lt;&gt;"",EE48,IF(AND(BB49=1,DU49&lt;=0.5,DV49&lt;=0.5,OR(BH49=0,BJ49=1)),A49,""))</f>
        <v/>
      </c>
      <c r="EF49" s="7">
        <f>DU49+DV49+DW49+EA49+ED49+CD49</f>
        <v/>
      </c>
      <c r="EG49" s="7">
        <f>DR49+DS49+DT49-EF49</f>
        <v/>
      </c>
      <c r="EH49" s="7">
        <f>EG49/(1+g_inf)^(A49+1-2026)</f>
        <v/>
      </c>
    </row>
    <row r="50">
      <c r="A50" t="n">
        <v>2044</v>
      </c>
      <c r="B50" t="n">
        <v>17</v>
      </c>
      <c r="C50" s="7">
        <f>(1+g_inf)^(A50-2026)</f>
        <v/>
      </c>
      <c r="D50" s="7">
        <f>SUMPRODUCT($AK$5:$AK$29,$E$5:$E$29*(1+$F$5:$F$29)^(A50-2026)*$G$5:$G$29*$H$5:$H$29*(1-$N$5:$N$29*$O$5:$O$29))*g_salMult+SUMPRODUCT(($B$5:$B$29&gt;=A50)*($B$5:$B$29&lt;A50+1)*$I$5:$I$29)*g_salMult</f>
        <v/>
      </c>
      <c r="E50" s="7">
        <f>SUMPRODUCT($AK$5:$AK$29,$E$5:$E$29*(1+$F$5:$F$29)^(A50-2026)*$G$5:$G$29*$H$5:$H$29*$M$5:$M$29)*g_salMult</f>
        <v/>
      </c>
      <c r="F50" s="7">
        <f>SUMPRODUCT($AK$5:$AK$29,$E$5:$E$29*(1+$F$5:$F$29)^(A50-2026)*$G$5:$G$29*$H$5:$H$29*$N$5:$N$29*$O$5:$O$29)*g_salMult</f>
        <v/>
      </c>
      <c r="G50" s="7">
        <f>SUMPRODUCT($AK$5:$AK$29,$P$5:$P$29*(1+$F$5:$F$29)^(A50-2026))</f>
        <v/>
      </c>
      <c r="H50" s="7">
        <f>SUMPRODUCT($AK$5:$AK$29,$Q$5:$Q$29*(1+$F$5:$F$29)^(A50-2026))+IF(personal_llcActivo=1,personal_llcNeto*(1+personal_llcCrecimiento)^17,0)</f>
        <v/>
      </c>
      <c r="I50" s="7">
        <f>SUMPRODUCT($AK$5:$AK$29,$J$5:$J$29/($C$5:$C$29-$B$5:$B$29+($C$5:$C$29=$B$5:$B$29)))*C50</f>
        <v/>
      </c>
      <c r="J50" s="7">
        <f>SUMPRODUCT($AK$5:$AK$29,$K$5:$K$29)</f>
        <v/>
      </c>
      <c r="K50" s="7">
        <f>SUMPRODUCT($AK$5:$AK$29,$L$5:$L$29)</f>
        <v/>
      </c>
      <c r="L50" s="7">
        <f>SUMPRODUCT($AK$5:$AK$29,$N$5:$N$29)</f>
        <v/>
      </c>
      <c r="M50" s="7">
        <f>IF(SUMPRODUCT($AK$5:$AK$29,$R$5:$R$29)&gt;0,1,0)</f>
        <v/>
      </c>
      <c r="N50" s="7">
        <f>SUMPRODUCT(($AO$5:$AO$24&gt;=A50)*($AO$5:$AO$24&lt;A50+1)*$AP$5:$AP$24)*C50+IF(17=0,IF(sel_loc&lt;&gt;"miami",personal_costoMudanzaInicial,0),0)</f>
        <v/>
      </c>
      <c r="O50" s="7">
        <f>MIN(personal_aporte403bPct*D50,retiro_limite403b*C50)</f>
        <v/>
      </c>
      <c r="P50" s="7">
        <f>MIN(personal_aporte403bPct,personal_match403bPct)*E50</f>
        <v/>
      </c>
      <c r="Q50" s="7">
        <f>IF(G50&gt;0,MAX(0,G50-impuestos_scorpCostoAnual*C50),0)</f>
        <v/>
      </c>
      <c r="R50" s="7">
        <f>Q50*impuestos_scorpSalarioPct/(1+impuestos_ssTasa+impuestos_medicareTasa)</f>
        <v/>
      </c>
      <c r="S50" s="7">
        <f>impuestos_ssTasa*MIN(R50,MAX(0,impuestos_ssTope*C50-D50))+impuestos_medicareTasa*R50</f>
        <v/>
      </c>
      <c r="T50" s="7">
        <f>Q50-R50-S50</f>
        <v/>
      </c>
      <c r="U50" s="7">
        <f>D50+R50</f>
        <v/>
      </c>
      <c r="V50" s="7">
        <f>H50*0.9235</f>
        <v/>
      </c>
      <c r="W50" s="7">
        <f>IF(H50&gt;0,2*impuestos_ssTasa*MIN(V50,MAX(0,impuestos_ssTope*C50-U50))+2*impuestos_medicareTasa*V50,0)</f>
        <v/>
      </c>
      <c r="X50" s="7">
        <f>impuestos_ssTasa*MIN(U50,impuestos_ssTope*C50)+impuestos_medicareTasa*U50+impuestos_medicareAdicional*MAX(0,U50+H50*0.9235-impuestos_medicareUmbral)</f>
        <v/>
      </c>
      <c r="Y50" s="7">
        <f>MAX(0,D50-O50+R50+T50+H50-W50/2)</f>
        <v/>
      </c>
      <c r="Z50" s="7">
        <f>MAX(0,Y50-impuestos_deduccionEstandar*C50)</f>
        <v/>
      </c>
      <c r="AA50" s="7">
        <f>MIN(0.2*MAX(0,T50+H50-W50/2)*MAX(0,MIN(1,1-(Z50-impuestos_qbiUmbral*C50)/(impuestos_qbiRango*C50))),0.2*Z50)</f>
        <v/>
      </c>
      <c r="AB50" s="7">
        <f>MAX(0,Z50-AA50)</f>
        <v/>
      </c>
      <c r="AC50" s="7">
        <f>SUMPRODUCT((AB50&gt;tb_federalBrackets_lo*C50)*(AB50-tb_federalBrackets_lo*C50)*tb_federalBrackets_dr)</f>
        <v/>
      </c>
      <c r="AD50" s="7">
        <f>MAX(0,Y50-impuestos_nyDeduccion*C50)</f>
        <v/>
      </c>
      <c r="AE50" s="7">
        <f>CHOOSE(loc_taxcode,0,impuestos_ohTasa*MAX(0,Y50-impuestos_ohExento*C50)+impuestos_ohMunicipal*U50,SUMPRODUCT((AD50&gt;tb_nyBrackets_lo*C50)*(AD50-tb_nyBrackets_lo*C50)*tb_nyBrackets_dr)+loc_nyc*SUMPRODUCT((AD50&gt;tb_nycBrackets_lo*C50)*(AD50-tb_nycBrackets_lo*C50)*tb_nycBrackets_dr))</f>
        <v/>
      </c>
      <c r="AF50" s="7">
        <f>AC50+AE50+X50+W50</f>
        <v/>
      </c>
      <c r="AG50" s="7">
        <f>D50+F50+R50+T50+H50</f>
        <v/>
      </c>
      <c r="AH50" s="7">
        <f>AG50-AF50-O50</f>
        <v/>
      </c>
      <c r="AI50" s="7">
        <f>D50+F50+G50+H50</f>
        <v/>
      </c>
      <c r="AJ50" s="7">
        <f>loc_gastosVida*C50*g_gastos</f>
        <v/>
      </c>
      <c r="AK50" s="7">
        <f>IF(17=0,personal_liquidoInicial,DR49)</f>
        <v/>
      </c>
      <c r="AL50" s="7">
        <f>IF(17=0,0,BB49)</f>
        <v/>
      </c>
      <c r="AM50" s="7">
        <f>CHOOSE(sel_cfgIdx,loc_precio_duplex,loc_precio_inlaw,loc_precio_dosCasas,loc_precio_casaAdu,loc_precio_multi)</f>
        <v/>
      </c>
      <c r="AN50" s="7">
        <f>AM50*(1+g_appr)^(A50-2026)</f>
        <v/>
      </c>
      <c r="AO50" s="7">
        <f>IF(AND(M50=1,vivienda_prestamoMedico=1),1,0)</f>
        <v/>
      </c>
      <c r="AP50" s="7">
        <f>IF(AO50=1,0.05,vivienda_enganchePct)</f>
        <v/>
      </c>
      <c r="AQ50" s="7">
        <f>AN50*(1-AP50)</f>
        <v/>
      </c>
      <c r="AR50" s="7">
        <f>PMT(g_mortRate/12,vivienda_plazoHipoteca*12,-AQ50)</f>
        <v/>
      </c>
      <c r="AS50" s="7">
        <f>INDEX(cfg_units,sel_cfgIdx)</f>
        <v/>
      </c>
      <c r="AT50" s="7">
        <f>AS50*loc_rentaUnidad*(1+g_inf)^(A50-2026)*(1-vivienda_vacancia)</f>
        <v/>
      </c>
      <c r="AU50" s="7">
        <f>AR50+AN50*loc_impuestoPropPct/12+AM50*loc_seguroPct*(1+vivienda_inflacionSeguro)^(A50-2026)/12+IF(AND(AO50=0,AP50&lt;0.2),AQ50*vivienda_pmiTasa/12,0)</f>
        <v/>
      </c>
      <c r="AV50" s="7">
        <f>AN50*AP50+AN50*vivienda_cierrePct+general_reservaMeses/12*AJ50</f>
        <v/>
      </c>
      <c r="AW50" s="7">
        <f>(IF(17=0,MIN(personal_irsSaldo,personal_irsPagoMensual*12),MIN(CD49,personal_irsPagoMensual*12))+IF(CE50&gt;0,PMT(CF50,MAX(1,prestamos_plazoAnios-CG50),-CE50),0)+IF(CR50&gt;0,PMT(CS50,MAX(1,prestamos_plazoAnios-CT50),-CR50),0))/12</f>
        <v/>
      </c>
      <c r="AX50" s="7">
        <f>IF(OR(sel_cfg="duplex",sel_cfg="multi",sel_cfg="dosCasas"),0.75*personal_aporteFamiliaMensual,0)</f>
        <v/>
      </c>
      <c r="AY50" s="7">
        <f>AU50-0.75*AT50-AX50+AW50</f>
        <v/>
      </c>
      <c r="AZ50" s="7">
        <f>(D50+G50+H50+0.5*F50)/12</f>
        <v/>
      </c>
      <c r="BA50" s="7">
        <f>IF(AND(AL50=0,A50&gt;=vivienda_anioMinCompra,J50&lt;0.5,AI50&gt;0,AK50&gt;=AV50,AY50&lt;=vivienda_dtiMax*AZ50),1,0)</f>
        <v/>
      </c>
      <c r="BB50" s="7">
        <f>MAX(AL50,BA50)</f>
        <v/>
      </c>
      <c r="BC50" s="7">
        <f>IF(BA50=1,A50,IF(17=0,"",BC49))</f>
        <v/>
      </c>
      <c r="BD50" s="7">
        <f>AK50-IF(BA50=1,AN50*AP50+AN50*vivienda_cierrePct,0)</f>
        <v/>
      </c>
      <c r="BE50" s="7">
        <f>IF(BA50=1,AN50,IF(17=0,0,BE49))</f>
        <v/>
      </c>
      <c r="BF50" s="7">
        <f>IF(BA50=1,AR50,IF(17=0,0,BF49))</f>
        <v/>
      </c>
      <c r="BG50" s="7">
        <f>IF(BA50=1,IF(AND(AO50=0,AP50&lt;0.2),1,0),IF(17=0,0,BY49))</f>
        <v/>
      </c>
      <c r="BH50" s="7">
        <f>IF(sel_cfg="casaAdu",1,0)</f>
        <v/>
      </c>
      <c r="BI50" s="7">
        <f>IF(AND(BB50=1,BH50=1,IF(17=0,0,BJ49)=0,A50&gt;=IF(BC50="",9999,BC50)+vivienda_aduRetrasoAnios),1,0)</f>
        <v/>
      </c>
      <c r="BJ50" s="7">
        <f>MAX(IF(17=0,0,BJ49),BI50)</f>
        <v/>
      </c>
      <c r="BK50" s="7">
        <f>IF(BI50=1,PMT((g_mortRate+0.005)/12,180,-loc_precio_aduCosto*C50),IF(17=0,0,BK49))</f>
        <v/>
      </c>
      <c r="BL50" s="7">
        <f>IF(BA50=1,AN50,IF(17=0,0,DT49))+IF(BI50=1,loc_precio_aduCosto*C50,0)</f>
        <v/>
      </c>
      <c r="BM50" s="7">
        <f>IF(BA50=1,AQ50,IF(17=0,0,DU49))</f>
        <v/>
      </c>
      <c r="BN50" s="7">
        <f>IF(BM50&lt;=0,0,FV(g_mortRate/12,12,BF50,-BM50))</f>
        <v/>
      </c>
      <c r="BO50" s="7">
        <f>IF(BM50&lt;=0,0,12*BF50+MIN(0,BN50))</f>
        <v/>
      </c>
      <c r="BP50" s="7">
        <f>MAX(0,BN50)</f>
        <v/>
      </c>
      <c r="BQ50" s="7">
        <f>IF(BI50=1,loc_precio_aduCosto*C50,IF(17=0,0,DV49))</f>
        <v/>
      </c>
      <c r="BR50" s="7">
        <f>IF(BQ50&lt;=0,0,FV((g_mortRate+0.005)/12,12,BK50,-BQ50))</f>
        <v/>
      </c>
      <c r="BS50" s="7">
        <f>IF(BQ50&lt;=0,0,12*BK50+MIN(0,BR50))</f>
        <v/>
      </c>
      <c r="BT50" s="7">
        <f>MAX(0,BR50)</f>
        <v/>
      </c>
      <c r="BU50" s="7">
        <f>IF(BB50=1,AM50*loc_seguroPct*(1+vivienda_inflacionSeguro)^(A50-2026)*IF(BJ50=1,1+loc_precio_aduCosto/AM50,1),0)</f>
        <v/>
      </c>
      <c r="BV50" s="7">
        <f>BL50*loc_impuestoPropPct</f>
        <v/>
      </c>
      <c r="BW50" s="7">
        <f>BL50*vivienda_mantenimientoPct</f>
        <v/>
      </c>
      <c r="BX50" s="7">
        <f>IF(AND(BG50=1,BP50&gt;0.8*BE50),BE50*(1-vivienda_enganchePct)*vivienda_pmiTasa,0)</f>
        <v/>
      </c>
      <c r="BY50" s="7">
        <f>IF(AND(BG50=1,BP50&gt;0.8*BE50),1,0)</f>
        <v/>
      </c>
      <c r="BZ50" s="7">
        <f>IF(BB50=1,AS50*loc_rentaUnidad*12*C50*(1-vivienda_vacancia)*(1-vivienda_gestionPct),0)</f>
        <v/>
      </c>
      <c r="CA50" s="7">
        <f>IF(BB50=1,BO50+BS50+BU50+BV50+BW50+BX50,loc_rentaMensual*12*C50)</f>
        <v/>
      </c>
      <c r="CB50" s="7">
        <f>IF(BB50=1,personal_aporteFamiliaMensual*12,0)</f>
        <v/>
      </c>
      <c r="CC50" s="7">
        <f>MIN(IF(17=0,personal_irsSaldo,CD49),personal_irsPagoMensual*12)</f>
        <v/>
      </c>
      <c r="CD50" s="7">
        <f>IF(17=0,personal_irsSaldo,CD49)-CC50</f>
        <v/>
      </c>
      <c r="CE50" s="7">
        <f>IF(17=0,IF(personal_deudaEsFederal=1,personal_deudaEstudiantil,0),DW49)</f>
        <v/>
      </c>
      <c r="CF50" s="7">
        <f>IF(17=0,personal_tasaDeudaEstudiantil,DX49)</f>
        <v/>
      </c>
      <c r="CG50" s="7">
        <f>IF(17=0,0,DY49)</f>
        <v/>
      </c>
      <c r="CH50" s="7">
        <f>IF(J50&gt;=0.5,1,0)</f>
        <v/>
      </c>
      <c r="CI50" s="7">
        <f>IF(AND(CH50=0,prestamos_pslfActivo=1,K50&gt;=0.5,CE50&gt;0),1,0)</f>
        <v/>
      </c>
      <c r="CJ50" s="7">
        <f>CE50*CF50</f>
        <v/>
      </c>
      <c r="CK50" s="7">
        <f>MAX(prestamos_rapPagoMinimoAnual,IF(Y50&lt;10000,0,MIN(0.1,INT(Y50/10000)/100))*Y50)</f>
        <v/>
      </c>
      <c r="CL50" s="7">
        <f>IF(CE50&lt;=0,0,IF(CH50=1,0,IF(CI50=1,MIN(CE50+CJ50,CK50),PMT(CF50,MAX(1,prestamos_plazoAnios-CG50),-CE50))))</f>
        <v/>
      </c>
      <c r="CM50" s="7">
        <f>IF(CE50&lt;=0,0,IF(CH50=1,CE50+CJ50,IF(CI50=1,MAX(0,CE50-MAX(CL50-CJ50,MIN(600,CL50))),MAX(0,CE50*(1+CF50)-CL50))))</f>
        <v/>
      </c>
      <c r="CN50" s="7">
        <f>IF(17=0,0,CN49)+IF(CI50=1,12*MIN(1,K50),0)</f>
        <v/>
      </c>
      <c r="CO50" s="7">
        <f>IF(AND(CI50=1,CN50&gt;=prestamos_pslfPagos,CM50&gt;0),CM50,0)</f>
        <v/>
      </c>
      <c r="CP50" s="7">
        <f>CM50-CO50</f>
        <v/>
      </c>
      <c r="CQ50" s="7">
        <f>IF(AND(CE50&gt;0,CH50=0,CI50=0),CG50+1,CG50)</f>
        <v/>
      </c>
      <c r="CR50" s="7">
        <f>IF(17=0,IF(personal_deudaEsFederal=1,0,personal_deudaEstudiantil),EA49)</f>
        <v/>
      </c>
      <c r="CS50" s="7">
        <f>IF(17=0,IF(personal_deudaEsFederal=1,prestamos_tasaPrivada,personal_tasaDeudaEstudiantil),EB49)</f>
        <v/>
      </c>
      <c r="CT50" s="7">
        <f>IF(17=0,0,EC49)</f>
        <v/>
      </c>
      <c r="CU50" s="7">
        <f>IF(OR(CR50&lt;=0,CH50=1),0,PMT(CS50,MAX(1,prestamos_plazoAnios-CT50),-CR50))</f>
        <v/>
      </c>
      <c r="CV50" s="7">
        <f>IF(CR50&lt;=0,0,IF(CH50=1,CR50*(1+CS50),MAX(0,CR50*(1+CS50)-CU50)))</f>
        <v/>
      </c>
      <c r="CW50" s="7">
        <f>IF(AND(CR50&gt;0,CH50=0),CT50+1,CT50)</f>
        <v/>
      </c>
      <c r="CX50" s="7">
        <f>IF(17=0,0,ED49)*(1+general_tasaDeudaConsumo)</f>
        <v/>
      </c>
      <c r="CY50" s="7">
        <f>L50*12*tiempos_travelGastoExtraMes*C50</f>
        <v/>
      </c>
      <c r="CZ50" s="7">
        <f>AJ50+CY50+CA50+CC50+CL50+CU50+I50+N50-BZ50-CB50</f>
        <v/>
      </c>
      <c r="DA50" s="7">
        <f>AH50-CZ50</f>
        <v/>
      </c>
      <c r="DB50" s="7">
        <f>IF(17=0,0,DB49)+DA50</f>
        <v/>
      </c>
      <c r="DC50" s="7">
        <f>AN50*vivienda_enganchePct+AN50*vivienda_cierrePct+general_reservaMeses/12*AJ50</f>
        <v/>
      </c>
      <c r="DD50" s="7">
        <f>IF(BB50=1,g_ret,IF(BD50&gt;0,MIN(1,DC50/BD50),1)*g_cash+(1-IF(BD50&gt;0,MIN(1,DC50/BD50),1))*g_ret)</f>
        <v/>
      </c>
      <c r="DE50" s="7">
        <f>IF(DA50&gt;=0,MIN(CX50,DA50),0)</f>
        <v/>
      </c>
      <c r="DF50" s="7">
        <f>IF(DA50&gt;=0,(1-general_tasaAhorro)*(DA50-DE50),0)</f>
        <v/>
      </c>
      <c r="DG50" s="7">
        <f>IF(DA50&gt;=0,DA50-DE50-DF50,0)</f>
        <v/>
      </c>
      <c r="DH50" s="7">
        <f>MIN(personal_rothAnual,DG50)</f>
        <v/>
      </c>
      <c r="DI50" s="7">
        <f>IF(AND(DA50&gt;=0,BB50=1,BP50+BT50&gt;0),MIN(vivienda_prepagoPct*(DG50-DH50),BP50+BT50),0)</f>
        <v/>
      </c>
      <c r="DJ50" s="7">
        <f>MIN(DI50,BP50)</f>
        <v/>
      </c>
      <c r="DK50" s="7">
        <f>IF(DA50&lt;0,MIN(MAX(0,BD50),-DA50),0)</f>
        <v/>
      </c>
      <c r="DL50" s="7">
        <f>IF(DA50&lt;0,-DA50-DK50,0)</f>
        <v/>
      </c>
      <c r="DM50" s="7">
        <f>IF(17=0,0,DZ49)</f>
        <v/>
      </c>
      <c r="DN50" s="7">
        <f>IF(AND(DL50&gt;0,J50&gt;0),MIN(DL50,MIN(prestamos_topeAnualPosgrado*MIN(1,J50),MAX(0,prestamos_topeTotalPosgrado-DM50))),0)</f>
        <v/>
      </c>
      <c r="DO50" s="7">
        <f>IF(AND(DL50&gt;0,J50&gt;0),DL50-DN50,0)</f>
        <v/>
      </c>
      <c r="DP50" s="7">
        <f>IF(AND(DL50&gt;0,J50&lt;=0),DL50,0)</f>
        <v/>
      </c>
      <c r="DQ50" s="7">
        <f>IF(DA50&gt;=0,DG50-DH50-DI50,-DK50)</f>
        <v/>
      </c>
      <c r="DR50" s="7">
        <f>BD50*(1+DD50)+DQ50*(1+DD50/2)</f>
        <v/>
      </c>
      <c r="DS50" s="7">
        <f>IF(17=0,personal_retiroInicial,DS49)*(1+g_ret)+(O50+P50+DH50)*(1+g_ret/2)</f>
        <v/>
      </c>
      <c r="DT50" s="7">
        <f>IF(BB50=1,BL50*(1+g_appr),0)</f>
        <v/>
      </c>
      <c r="DU50" s="7">
        <f>BP50-DJ50</f>
        <v/>
      </c>
      <c r="DV50" s="7">
        <f>BT50-(DI50-DJ50)</f>
        <v/>
      </c>
      <c r="DW50" s="7">
        <f>CP50+DN50</f>
        <v/>
      </c>
      <c r="DX50" s="7">
        <f>IF(DN50&gt;0,(CP50*CF50+DN50*prestamos_tasaFederalPosgrado)/(CP50+DN50),CF50)</f>
        <v/>
      </c>
      <c r="DY50" s="7">
        <f>IF(DN50&gt;0,0,CQ50)</f>
        <v/>
      </c>
      <c r="DZ50" s="7">
        <f>DM50+DN50</f>
        <v/>
      </c>
      <c r="EA50" s="7">
        <f>CV50+DO50</f>
        <v/>
      </c>
      <c r="EB50" s="7">
        <f>IF(DO50&gt;0,(CV50*CS50+DO50*prestamos_tasaPrivada)/(CV50+DO50),CS50)</f>
        <v/>
      </c>
      <c r="EC50" s="7">
        <f>IF(DO50&gt;0,0,CW50)</f>
        <v/>
      </c>
      <c r="ED50" s="7">
        <f>CX50-DE50+DP50</f>
        <v/>
      </c>
      <c r="EE50" s="7">
        <f>IF(IF(17=0,"",EE49)&lt;&gt;"",EE49,IF(AND(BB50=1,DU50&lt;=0.5,DV50&lt;=0.5,OR(BH50=0,BJ50=1)),A50,""))</f>
        <v/>
      </c>
      <c r="EF50" s="7">
        <f>DU50+DV50+DW50+EA50+ED50+CD50</f>
        <v/>
      </c>
      <c r="EG50" s="7">
        <f>DR50+DS50+DT50-EF50</f>
        <v/>
      </c>
      <c r="EH50" s="7">
        <f>EG50/(1+g_inf)^(A50+1-2026)</f>
        <v/>
      </c>
    </row>
    <row r="51">
      <c r="A51" t="n">
        <v>2045</v>
      </c>
      <c r="B51" t="n">
        <v>18</v>
      </c>
      <c r="C51" s="7">
        <f>(1+g_inf)^(A51-2026)</f>
        <v/>
      </c>
      <c r="D51" s="7">
        <f>SUMPRODUCT($AL$5:$AL$29,$E$5:$E$29*(1+$F$5:$F$29)^(A51-2026)*$G$5:$G$29*$H$5:$H$29*(1-$N$5:$N$29*$O$5:$O$29))*g_salMult+SUMPRODUCT(($B$5:$B$29&gt;=A51)*($B$5:$B$29&lt;A51+1)*$I$5:$I$29)*g_salMult</f>
        <v/>
      </c>
      <c r="E51" s="7">
        <f>SUMPRODUCT($AL$5:$AL$29,$E$5:$E$29*(1+$F$5:$F$29)^(A51-2026)*$G$5:$G$29*$H$5:$H$29*$M$5:$M$29)*g_salMult</f>
        <v/>
      </c>
      <c r="F51" s="7">
        <f>SUMPRODUCT($AL$5:$AL$29,$E$5:$E$29*(1+$F$5:$F$29)^(A51-2026)*$G$5:$G$29*$H$5:$H$29*$N$5:$N$29*$O$5:$O$29)*g_salMult</f>
        <v/>
      </c>
      <c r="G51" s="7">
        <f>SUMPRODUCT($AL$5:$AL$29,$P$5:$P$29*(1+$F$5:$F$29)^(A51-2026))</f>
        <v/>
      </c>
      <c r="H51" s="7">
        <f>SUMPRODUCT($AL$5:$AL$29,$Q$5:$Q$29*(1+$F$5:$F$29)^(A51-2026))+IF(personal_llcActivo=1,personal_llcNeto*(1+personal_llcCrecimiento)^18,0)</f>
        <v/>
      </c>
      <c r="I51" s="7">
        <f>SUMPRODUCT($AL$5:$AL$29,$J$5:$J$29/($C$5:$C$29-$B$5:$B$29+($C$5:$C$29=$B$5:$B$29)))*C51</f>
        <v/>
      </c>
      <c r="J51" s="7">
        <f>SUMPRODUCT($AL$5:$AL$29,$K$5:$K$29)</f>
        <v/>
      </c>
      <c r="K51" s="7">
        <f>SUMPRODUCT($AL$5:$AL$29,$L$5:$L$29)</f>
        <v/>
      </c>
      <c r="L51" s="7">
        <f>SUMPRODUCT($AL$5:$AL$29,$N$5:$N$29)</f>
        <v/>
      </c>
      <c r="M51" s="7">
        <f>IF(SUMPRODUCT($AL$5:$AL$29,$R$5:$R$29)&gt;0,1,0)</f>
        <v/>
      </c>
      <c r="N51" s="7">
        <f>SUMPRODUCT(($AO$5:$AO$24&gt;=A51)*($AO$5:$AO$24&lt;A51+1)*$AP$5:$AP$24)*C51+IF(18=0,IF(sel_loc&lt;&gt;"miami",personal_costoMudanzaInicial,0),0)</f>
        <v/>
      </c>
      <c r="O51" s="7">
        <f>MIN(personal_aporte403bPct*D51,retiro_limite403b*C51)</f>
        <v/>
      </c>
      <c r="P51" s="7">
        <f>MIN(personal_aporte403bPct,personal_match403bPct)*E51</f>
        <v/>
      </c>
      <c r="Q51" s="7">
        <f>IF(G51&gt;0,MAX(0,G51-impuestos_scorpCostoAnual*C51),0)</f>
        <v/>
      </c>
      <c r="R51" s="7">
        <f>Q51*impuestos_scorpSalarioPct/(1+impuestos_ssTasa+impuestos_medicareTasa)</f>
        <v/>
      </c>
      <c r="S51" s="7">
        <f>impuestos_ssTasa*MIN(R51,MAX(0,impuestos_ssTope*C51-D51))+impuestos_medicareTasa*R51</f>
        <v/>
      </c>
      <c r="T51" s="7">
        <f>Q51-R51-S51</f>
        <v/>
      </c>
      <c r="U51" s="7">
        <f>D51+R51</f>
        <v/>
      </c>
      <c r="V51" s="7">
        <f>H51*0.9235</f>
        <v/>
      </c>
      <c r="W51" s="7">
        <f>IF(H51&gt;0,2*impuestos_ssTasa*MIN(V51,MAX(0,impuestos_ssTope*C51-U51))+2*impuestos_medicareTasa*V51,0)</f>
        <v/>
      </c>
      <c r="X51" s="7">
        <f>impuestos_ssTasa*MIN(U51,impuestos_ssTope*C51)+impuestos_medicareTasa*U51+impuestos_medicareAdicional*MAX(0,U51+H51*0.9235-impuestos_medicareUmbral)</f>
        <v/>
      </c>
      <c r="Y51" s="7">
        <f>MAX(0,D51-O51+R51+T51+H51-W51/2)</f>
        <v/>
      </c>
      <c r="Z51" s="7">
        <f>MAX(0,Y51-impuestos_deduccionEstandar*C51)</f>
        <v/>
      </c>
      <c r="AA51" s="7">
        <f>MIN(0.2*MAX(0,T51+H51-W51/2)*MAX(0,MIN(1,1-(Z51-impuestos_qbiUmbral*C51)/(impuestos_qbiRango*C51))),0.2*Z51)</f>
        <v/>
      </c>
      <c r="AB51" s="7">
        <f>MAX(0,Z51-AA51)</f>
        <v/>
      </c>
      <c r="AC51" s="7">
        <f>SUMPRODUCT((AB51&gt;tb_federalBrackets_lo*C51)*(AB51-tb_federalBrackets_lo*C51)*tb_federalBrackets_dr)</f>
        <v/>
      </c>
      <c r="AD51" s="7">
        <f>MAX(0,Y51-impuestos_nyDeduccion*C51)</f>
        <v/>
      </c>
      <c r="AE51" s="7">
        <f>CHOOSE(loc_taxcode,0,impuestos_ohTasa*MAX(0,Y51-impuestos_ohExento*C51)+impuestos_ohMunicipal*U51,SUMPRODUCT((AD51&gt;tb_nyBrackets_lo*C51)*(AD51-tb_nyBrackets_lo*C51)*tb_nyBrackets_dr)+loc_nyc*SUMPRODUCT((AD51&gt;tb_nycBrackets_lo*C51)*(AD51-tb_nycBrackets_lo*C51)*tb_nycBrackets_dr))</f>
        <v/>
      </c>
      <c r="AF51" s="7">
        <f>AC51+AE51+X51+W51</f>
        <v/>
      </c>
      <c r="AG51" s="7">
        <f>D51+F51+R51+T51+H51</f>
        <v/>
      </c>
      <c r="AH51" s="7">
        <f>AG51-AF51-O51</f>
        <v/>
      </c>
      <c r="AI51" s="7">
        <f>D51+F51+G51+H51</f>
        <v/>
      </c>
      <c r="AJ51" s="7">
        <f>loc_gastosVida*C51*g_gastos</f>
        <v/>
      </c>
      <c r="AK51" s="7">
        <f>IF(18=0,personal_liquidoInicial,DR50)</f>
        <v/>
      </c>
      <c r="AL51" s="7">
        <f>IF(18=0,0,BB50)</f>
        <v/>
      </c>
      <c r="AM51" s="7">
        <f>CHOOSE(sel_cfgIdx,loc_precio_duplex,loc_precio_inlaw,loc_precio_dosCasas,loc_precio_casaAdu,loc_precio_multi)</f>
        <v/>
      </c>
      <c r="AN51" s="7">
        <f>AM51*(1+g_appr)^(A51-2026)</f>
        <v/>
      </c>
      <c r="AO51" s="7">
        <f>IF(AND(M51=1,vivienda_prestamoMedico=1),1,0)</f>
        <v/>
      </c>
      <c r="AP51" s="7">
        <f>IF(AO51=1,0.05,vivienda_enganchePct)</f>
        <v/>
      </c>
      <c r="AQ51" s="7">
        <f>AN51*(1-AP51)</f>
        <v/>
      </c>
      <c r="AR51" s="7">
        <f>PMT(g_mortRate/12,vivienda_plazoHipoteca*12,-AQ51)</f>
        <v/>
      </c>
      <c r="AS51" s="7">
        <f>INDEX(cfg_units,sel_cfgIdx)</f>
        <v/>
      </c>
      <c r="AT51" s="7">
        <f>AS51*loc_rentaUnidad*(1+g_inf)^(A51-2026)*(1-vivienda_vacancia)</f>
        <v/>
      </c>
      <c r="AU51" s="7">
        <f>AR51+AN51*loc_impuestoPropPct/12+AM51*loc_seguroPct*(1+vivienda_inflacionSeguro)^(A51-2026)/12+IF(AND(AO51=0,AP51&lt;0.2),AQ51*vivienda_pmiTasa/12,0)</f>
        <v/>
      </c>
      <c r="AV51" s="7">
        <f>AN51*AP51+AN51*vivienda_cierrePct+general_reservaMeses/12*AJ51</f>
        <v/>
      </c>
      <c r="AW51" s="7">
        <f>(IF(18=0,MIN(personal_irsSaldo,personal_irsPagoMensual*12),MIN(CD50,personal_irsPagoMensual*12))+IF(CE51&gt;0,PMT(CF51,MAX(1,prestamos_plazoAnios-CG51),-CE51),0)+IF(CR51&gt;0,PMT(CS51,MAX(1,prestamos_plazoAnios-CT51),-CR51),0))/12</f>
        <v/>
      </c>
      <c r="AX51" s="7">
        <f>IF(OR(sel_cfg="duplex",sel_cfg="multi",sel_cfg="dosCasas"),0.75*personal_aporteFamiliaMensual,0)</f>
        <v/>
      </c>
      <c r="AY51" s="7">
        <f>AU51-0.75*AT51-AX51+AW51</f>
        <v/>
      </c>
      <c r="AZ51" s="7">
        <f>(D51+G51+H51+0.5*F51)/12</f>
        <v/>
      </c>
      <c r="BA51" s="7">
        <f>IF(AND(AL51=0,A51&gt;=vivienda_anioMinCompra,J51&lt;0.5,AI51&gt;0,AK51&gt;=AV51,AY51&lt;=vivienda_dtiMax*AZ51),1,0)</f>
        <v/>
      </c>
      <c r="BB51" s="7">
        <f>MAX(AL51,BA51)</f>
        <v/>
      </c>
      <c r="BC51" s="7">
        <f>IF(BA51=1,A51,IF(18=0,"",BC50))</f>
        <v/>
      </c>
      <c r="BD51" s="7">
        <f>AK51-IF(BA51=1,AN51*AP51+AN51*vivienda_cierrePct,0)</f>
        <v/>
      </c>
      <c r="BE51" s="7">
        <f>IF(BA51=1,AN51,IF(18=0,0,BE50))</f>
        <v/>
      </c>
      <c r="BF51" s="7">
        <f>IF(BA51=1,AR51,IF(18=0,0,BF50))</f>
        <v/>
      </c>
      <c r="BG51" s="7">
        <f>IF(BA51=1,IF(AND(AO51=0,AP51&lt;0.2),1,0),IF(18=0,0,BY50))</f>
        <v/>
      </c>
      <c r="BH51" s="7">
        <f>IF(sel_cfg="casaAdu",1,0)</f>
        <v/>
      </c>
      <c r="BI51" s="7">
        <f>IF(AND(BB51=1,BH51=1,IF(18=0,0,BJ50)=0,A51&gt;=IF(BC51="",9999,BC51)+vivienda_aduRetrasoAnios),1,0)</f>
        <v/>
      </c>
      <c r="BJ51" s="7">
        <f>MAX(IF(18=0,0,BJ50),BI51)</f>
        <v/>
      </c>
      <c r="BK51" s="7">
        <f>IF(BI51=1,PMT((g_mortRate+0.005)/12,180,-loc_precio_aduCosto*C51),IF(18=0,0,BK50))</f>
        <v/>
      </c>
      <c r="BL51" s="7">
        <f>IF(BA51=1,AN51,IF(18=0,0,DT50))+IF(BI51=1,loc_precio_aduCosto*C51,0)</f>
        <v/>
      </c>
      <c r="BM51" s="7">
        <f>IF(BA51=1,AQ51,IF(18=0,0,DU50))</f>
        <v/>
      </c>
      <c r="BN51" s="7">
        <f>IF(BM51&lt;=0,0,FV(g_mortRate/12,12,BF51,-BM51))</f>
        <v/>
      </c>
      <c r="BO51" s="7">
        <f>IF(BM51&lt;=0,0,12*BF51+MIN(0,BN51))</f>
        <v/>
      </c>
      <c r="BP51" s="7">
        <f>MAX(0,BN51)</f>
        <v/>
      </c>
      <c r="BQ51" s="7">
        <f>IF(BI51=1,loc_precio_aduCosto*C51,IF(18=0,0,DV50))</f>
        <v/>
      </c>
      <c r="BR51" s="7">
        <f>IF(BQ51&lt;=0,0,FV((g_mortRate+0.005)/12,12,BK51,-BQ51))</f>
        <v/>
      </c>
      <c r="BS51" s="7">
        <f>IF(BQ51&lt;=0,0,12*BK51+MIN(0,BR51))</f>
        <v/>
      </c>
      <c r="BT51" s="7">
        <f>MAX(0,BR51)</f>
        <v/>
      </c>
      <c r="BU51" s="7">
        <f>IF(BB51=1,AM51*loc_seguroPct*(1+vivienda_inflacionSeguro)^(A51-2026)*IF(BJ51=1,1+loc_precio_aduCosto/AM51,1),0)</f>
        <v/>
      </c>
      <c r="BV51" s="7">
        <f>BL51*loc_impuestoPropPct</f>
        <v/>
      </c>
      <c r="BW51" s="7">
        <f>BL51*vivienda_mantenimientoPct</f>
        <v/>
      </c>
      <c r="BX51" s="7">
        <f>IF(AND(BG51=1,BP51&gt;0.8*BE51),BE51*(1-vivienda_enganchePct)*vivienda_pmiTasa,0)</f>
        <v/>
      </c>
      <c r="BY51" s="7">
        <f>IF(AND(BG51=1,BP51&gt;0.8*BE51),1,0)</f>
        <v/>
      </c>
      <c r="BZ51" s="7">
        <f>IF(BB51=1,AS51*loc_rentaUnidad*12*C51*(1-vivienda_vacancia)*(1-vivienda_gestionPct),0)</f>
        <v/>
      </c>
      <c r="CA51" s="7">
        <f>IF(BB51=1,BO51+BS51+BU51+BV51+BW51+BX51,loc_rentaMensual*12*C51)</f>
        <v/>
      </c>
      <c r="CB51" s="7">
        <f>IF(BB51=1,personal_aporteFamiliaMensual*12,0)</f>
        <v/>
      </c>
      <c r="CC51" s="7">
        <f>MIN(IF(18=0,personal_irsSaldo,CD50),personal_irsPagoMensual*12)</f>
        <v/>
      </c>
      <c r="CD51" s="7">
        <f>IF(18=0,personal_irsSaldo,CD50)-CC51</f>
        <v/>
      </c>
      <c r="CE51" s="7">
        <f>IF(18=0,IF(personal_deudaEsFederal=1,personal_deudaEstudiantil,0),DW50)</f>
        <v/>
      </c>
      <c r="CF51" s="7">
        <f>IF(18=0,personal_tasaDeudaEstudiantil,DX50)</f>
        <v/>
      </c>
      <c r="CG51" s="7">
        <f>IF(18=0,0,DY50)</f>
        <v/>
      </c>
      <c r="CH51" s="7">
        <f>IF(J51&gt;=0.5,1,0)</f>
        <v/>
      </c>
      <c r="CI51" s="7">
        <f>IF(AND(CH51=0,prestamos_pslfActivo=1,K51&gt;=0.5,CE51&gt;0),1,0)</f>
        <v/>
      </c>
      <c r="CJ51" s="7">
        <f>CE51*CF51</f>
        <v/>
      </c>
      <c r="CK51" s="7">
        <f>MAX(prestamos_rapPagoMinimoAnual,IF(Y51&lt;10000,0,MIN(0.1,INT(Y51/10000)/100))*Y51)</f>
        <v/>
      </c>
      <c r="CL51" s="7">
        <f>IF(CE51&lt;=0,0,IF(CH51=1,0,IF(CI51=1,MIN(CE51+CJ51,CK51),PMT(CF51,MAX(1,prestamos_plazoAnios-CG51),-CE51))))</f>
        <v/>
      </c>
      <c r="CM51" s="7">
        <f>IF(CE51&lt;=0,0,IF(CH51=1,CE51+CJ51,IF(CI51=1,MAX(0,CE51-MAX(CL51-CJ51,MIN(600,CL51))),MAX(0,CE51*(1+CF51)-CL51))))</f>
        <v/>
      </c>
      <c r="CN51" s="7">
        <f>IF(18=0,0,CN50)+IF(CI51=1,12*MIN(1,K51),0)</f>
        <v/>
      </c>
      <c r="CO51" s="7">
        <f>IF(AND(CI51=1,CN51&gt;=prestamos_pslfPagos,CM51&gt;0),CM51,0)</f>
        <v/>
      </c>
      <c r="CP51" s="7">
        <f>CM51-CO51</f>
        <v/>
      </c>
      <c r="CQ51" s="7">
        <f>IF(AND(CE51&gt;0,CH51=0,CI51=0),CG51+1,CG51)</f>
        <v/>
      </c>
      <c r="CR51" s="7">
        <f>IF(18=0,IF(personal_deudaEsFederal=1,0,personal_deudaEstudiantil),EA50)</f>
        <v/>
      </c>
      <c r="CS51" s="7">
        <f>IF(18=0,IF(personal_deudaEsFederal=1,prestamos_tasaPrivada,personal_tasaDeudaEstudiantil),EB50)</f>
        <v/>
      </c>
      <c r="CT51" s="7">
        <f>IF(18=0,0,EC50)</f>
        <v/>
      </c>
      <c r="CU51" s="7">
        <f>IF(OR(CR51&lt;=0,CH51=1),0,PMT(CS51,MAX(1,prestamos_plazoAnios-CT51),-CR51))</f>
        <v/>
      </c>
      <c r="CV51" s="7">
        <f>IF(CR51&lt;=0,0,IF(CH51=1,CR51*(1+CS51),MAX(0,CR51*(1+CS51)-CU51)))</f>
        <v/>
      </c>
      <c r="CW51" s="7">
        <f>IF(AND(CR51&gt;0,CH51=0),CT51+1,CT51)</f>
        <v/>
      </c>
      <c r="CX51" s="7">
        <f>IF(18=0,0,ED50)*(1+general_tasaDeudaConsumo)</f>
        <v/>
      </c>
      <c r="CY51" s="7">
        <f>L51*12*tiempos_travelGastoExtraMes*C51</f>
        <v/>
      </c>
      <c r="CZ51" s="7">
        <f>AJ51+CY51+CA51+CC51+CL51+CU51+I51+N51-BZ51-CB51</f>
        <v/>
      </c>
      <c r="DA51" s="7">
        <f>AH51-CZ51</f>
        <v/>
      </c>
      <c r="DB51" s="7">
        <f>IF(18=0,0,DB50)+DA51</f>
        <v/>
      </c>
      <c r="DC51" s="7">
        <f>AN51*vivienda_enganchePct+AN51*vivienda_cierrePct+general_reservaMeses/12*AJ51</f>
        <v/>
      </c>
      <c r="DD51" s="7">
        <f>IF(BB51=1,g_ret,IF(BD51&gt;0,MIN(1,DC51/BD51),1)*g_cash+(1-IF(BD51&gt;0,MIN(1,DC51/BD51),1))*g_ret)</f>
        <v/>
      </c>
      <c r="DE51" s="7">
        <f>IF(DA51&gt;=0,MIN(CX51,DA51),0)</f>
        <v/>
      </c>
      <c r="DF51" s="7">
        <f>IF(DA51&gt;=0,(1-general_tasaAhorro)*(DA51-DE51),0)</f>
        <v/>
      </c>
      <c r="DG51" s="7">
        <f>IF(DA51&gt;=0,DA51-DE51-DF51,0)</f>
        <v/>
      </c>
      <c r="DH51" s="7">
        <f>MIN(personal_rothAnual,DG51)</f>
        <v/>
      </c>
      <c r="DI51" s="7">
        <f>IF(AND(DA51&gt;=0,BB51=1,BP51+BT51&gt;0),MIN(vivienda_prepagoPct*(DG51-DH51),BP51+BT51),0)</f>
        <v/>
      </c>
      <c r="DJ51" s="7">
        <f>MIN(DI51,BP51)</f>
        <v/>
      </c>
      <c r="DK51" s="7">
        <f>IF(DA51&lt;0,MIN(MAX(0,BD51),-DA51),0)</f>
        <v/>
      </c>
      <c r="DL51" s="7">
        <f>IF(DA51&lt;0,-DA51-DK51,0)</f>
        <v/>
      </c>
      <c r="DM51" s="7">
        <f>IF(18=0,0,DZ50)</f>
        <v/>
      </c>
      <c r="DN51" s="7">
        <f>IF(AND(DL51&gt;0,J51&gt;0),MIN(DL51,MIN(prestamos_topeAnualPosgrado*MIN(1,J51),MAX(0,prestamos_topeTotalPosgrado-DM51))),0)</f>
        <v/>
      </c>
      <c r="DO51" s="7">
        <f>IF(AND(DL51&gt;0,J51&gt;0),DL51-DN51,0)</f>
        <v/>
      </c>
      <c r="DP51" s="7">
        <f>IF(AND(DL51&gt;0,J51&lt;=0),DL51,0)</f>
        <v/>
      </c>
      <c r="DQ51" s="7">
        <f>IF(DA51&gt;=0,DG51-DH51-DI51,-DK51)</f>
        <v/>
      </c>
      <c r="DR51" s="7">
        <f>BD51*(1+DD51)+DQ51*(1+DD51/2)</f>
        <v/>
      </c>
      <c r="DS51" s="7">
        <f>IF(18=0,personal_retiroInicial,DS50)*(1+g_ret)+(O51+P51+DH51)*(1+g_ret/2)</f>
        <v/>
      </c>
      <c r="DT51" s="7">
        <f>IF(BB51=1,BL51*(1+g_appr),0)</f>
        <v/>
      </c>
      <c r="DU51" s="7">
        <f>BP51-DJ51</f>
        <v/>
      </c>
      <c r="DV51" s="7">
        <f>BT51-(DI51-DJ51)</f>
        <v/>
      </c>
      <c r="DW51" s="7">
        <f>CP51+DN51</f>
        <v/>
      </c>
      <c r="DX51" s="7">
        <f>IF(DN51&gt;0,(CP51*CF51+DN51*prestamos_tasaFederalPosgrado)/(CP51+DN51),CF51)</f>
        <v/>
      </c>
      <c r="DY51" s="7">
        <f>IF(DN51&gt;0,0,CQ51)</f>
        <v/>
      </c>
      <c r="DZ51" s="7">
        <f>DM51+DN51</f>
        <v/>
      </c>
      <c r="EA51" s="7">
        <f>CV51+DO51</f>
        <v/>
      </c>
      <c r="EB51" s="7">
        <f>IF(DO51&gt;0,(CV51*CS51+DO51*prestamos_tasaPrivada)/(CV51+DO51),CS51)</f>
        <v/>
      </c>
      <c r="EC51" s="7">
        <f>IF(DO51&gt;0,0,CW51)</f>
        <v/>
      </c>
      <c r="ED51" s="7">
        <f>CX51-DE51+DP51</f>
        <v/>
      </c>
      <c r="EE51" s="7">
        <f>IF(IF(18=0,"",EE50)&lt;&gt;"",EE50,IF(AND(BB51=1,DU51&lt;=0.5,DV51&lt;=0.5,OR(BH51=0,BJ51=1)),A51,""))</f>
        <v/>
      </c>
      <c r="EF51" s="7">
        <f>DU51+DV51+DW51+EA51+ED51+CD51</f>
        <v/>
      </c>
      <c r="EG51" s="7">
        <f>DR51+DS51+DT51-EF51</f>
        <v/>
      </c>
      <c r="EH51" s="7">
        <f>EG51/(1+g_inf)^(A51+1-2026)</f>
        <v/>
      </c>
    </row>
    <row r="52">
      <c r="A52" t="n">
        <v>2046</v>
      </c>
      <c r="B52" t="n">
        <v>19</v>
      </c>
      <c r="C52" s="7">
        <f>(1+g_inf)^(A52-2026)</f>
        <v/>
      </c>
      <c r="D52" s="7">
        <f>SUMPRODUCT($AM$5:$AM$29,$E$5:$E$29*(1+$F$5:$F$29)^(A52-2026)*$G$5:$G$29*$H$5:$H$29*(1-$N$5:$N$29*$O$5:$O$29))*g_salMult+SUMPRODUCT(($B$5:$B$29&gt;=A52)*($B$5:$B$29&lt;A52+1)*$I$5:$I$29)*g_salMult</f>
        <v/>
      </c>
      <c r="E52" s="7">
        <f>SUMPRODUCT($AM$5:$AM$29,$E$5:$E$29*(1+$F$5:$F$29)^(A52-2026)*$G$5:$G$29*$H$5:$H$29*$M$5:$M$29)*g_salMult</f>
        <v/>
      </c>
      <c r="F52" s="7">
        <f>SUMPRODUCT($AM$5:$AM$29,$E$5:$E$29*(1+$F$5:$F$29)^(A52-2026)*$G$5:$G$29*$H$5:$H$29*$N$5:$N$29*$O$5:$O$29)*g_salMult</f>
        <v/>
      </c>
      <c r="G52" s="7">
        <f>SUMPRODUCT($AM$5:$AM$29,$P$5:$P$29*(1+$F$5:$F$29)^(A52-2026))</f>
        <v/>
      </c>
      <c r="H52" s="7">
        <f>SUMPRODUCT($AM$5:$AM$29,$Q$5:$Q$29*(1+$F$5:$F$29)^(A52-2026))+IF(personal_llcActivo=1,personal_llcNeto*(1+personal_llcCrecimiento)^19,0)</f>
        <v/>
      </c>
      <c r="I52" s="7">
        <f>SUMPRODUCT($AM$5:$AM$29,$J$5:$J$29/($C$5:$C$29-$B$5:$B$29+($C$5:$C$29=$B$5:$B$29)))*C52</f>
        <v/>
      </c>
      <c r="J52" s="7">
        <f>SUMPRODUCT($AM$5:$AM$29,$K$5:$K$29)</f>
        <v/>
      </c>
      <c r="K52" s="7">
        <f>SUMPRODUCT($AM$5:$AM$29,$L$5:$L$29)</f>
        <v/>
      </c>
      <c r="L52" s="7">
        <f>SUMPRODUCT($AM$5:$AM$29,$N$5:$N$29)</f>
        <v/>
      </c>
      <c r="M52" s="7">
        <f>IF(SUMPRODUCT($AM$5:$AM$29,$R$5:$R$29)&gt;0,1,0)</f>
        <v/>
      </c>
      <c r="N52" s="7">
        <f>SUMPRODUCT(($AO$5:$AO$24&gt;=A52)*($AO$5:$AO$24&lt;A52+1)*$AP$5:$AP$24)*C52+IF(19=0,IF(sel_loc&lt;&gt;"miami",personal_costoMudanzaInicial,0),0)</f>
        <v/>
      </c>
      <c r="O52" s="7">
        <f>MIN(personal_aporte403bPct*D52,retiro_limite403b*C52)</f>
        <v/>
      </c>
      <c r="P52" s="7">
        <f>MIN(personal_aporte403bPct,personal_match403bPct)*E52</f>
        <v/>
      </c>
      <c r="Q52" s="7">
        <f>IF(G52&gt;0,MAX(0,G52-impuestos_scorpCostoAnual*C52),0)</f>
        <v/>
      </c>
      <c r="R52" s="7">
        <f>Q52*impuestos_scorpSalarioPct/(1+impuestos_ssTasa+impuestos_medicareTasa)</f>
        <v/>
      </c>
      <c r="S52" s="7">
        <f>impuestos_ssTasa*MIN(R52,MAX(0,impuestos_ssTope*C52-D52))+impuestos_medicareTasa*R52</f>
        <v/>
      </c>
      <c r="T52" s="7">
        <f>Q52-R52-S52</f>
        <v/>
      </c>
      <c r="U52" s="7">
        <f>D52+R52</f>
        <v/>
      </c>
      <c r="V52" s="7">
        <f>H52*0.9235</f>
        <v/>
      </c>
      <c r="W52" s="7">
        <f>IF(H52&gt;0,2*impuestos_ssTasa*MIN(V52,MAX(0,impuestos_ssTope*C52-U52))+2*impuestos_medicareTasa*V52,0)</f>
        <v/>
      </c>
      <c r="X52" s="7">
        <f>impuestos_ssTasa*MIN(U52,impuestos_ssTope*C52)+impuestos_medicareTasa*U52+impuestos_medicareAdicional*MAX(0,U52+H52*0.9235-impuestos_medicareUmbral)</f>
        <v/>
      </c>
      <c r="Y52" s="7">
        <f>MAX(0,D52-O52+R52+T52+H52-W52/2)</f>
        <v/>
      </c>
      <c r="Z52" s="7">
        <f>MAX(0,Y52-impuestos_deduccionEstandar*C52)</f>
        <v/>
      </c>
      <c r="AA52" s="7">
        <f>MIN(0.2*MAX(0,T52+H52-W52/2)*MAX(0,MIN(1,1-(Z52-impuestos_qbiUmbral*C52)/(impuestos_qbiRango*C52))),0.2*Z52)</f>
        <v/>
      </c>
      <c r="AB52" s="7">
        <f>MAX(0,Z52-AA52)</f>
        <v/>
      </c>
      <c r="AC52" s="7">
        <f>SUMPRODUCT((AB52&gt;tb_federalBrackets_lo*C52)*(AB52-tb_federalBrackets_lo*C52)*tb_federalBrackets_dr)</f>
        <v/>
      </c>
      <c r="AD52" s="7">
        <f>MAX(0,Y52-impuestos_nyDeduccion*C52)</f>
        <v/>
      </c>
      <c r="AE52" s="7">
        <f>CHOOSE(loc_taxcode,0,impuestos_ohTasa*MAX(0,Y52-impuestos_ohExento*C52)+impuestos_ohMunicipal*U52,SUMPRODUCT((AD52&gt;tb_nyBrackets_lo*C52)*(AD52-tb_nyBrackets_lo*C52)*tb_nyBrackets_dr)+loc_nyc*SUMPRODUCT((AD52&gt;tb_nycBrackets_lo*C52)*(AD52-tb_nycBrackets_lo*C52)*tb_nycBrackets_dr))</f>
        <v/>
      </c>
      <c r="AF52" s="7">
        <f>AC52+AE52+X52+W52</f>
        <v/>
      </c>
      <c r="AG52" s="7">
        <f>D52+F52+R52+T52+H52</f>
        <v/>
      </c>
      <c r="AH52" s="7">
        <f>AG52-AF52-O52</f>
        <v/>
      </c>
      <c r="AI52" s="7">
        <f>D52+F52+G52+H52</f>
        <v/>
      </c>
      <c r="AJ52" s="7">
        <f>loc_gastosVida*C52*g_gastos</f>
        <v/>
      </c>
      <c r="AK52" s="7">
        <f>IF(19=0,personal_liquidoInicial,DR51)</f>
        <v/>
      </c>
      <c r="AL52" s="7">
        <f>IF(19=0,0,BB51)</f>
        <v/>
      </c>
      <c r="AM52" s="7">
        <f>CHOOSE(sel_cfgIdx,loc_precio_duplex,loc_precio_inlaw,loc_precio_dosCasas,loc_precio_casaAdu,loc_precio_multi)</f>
        <v/>
      </c>
      <c r="AN52" s="7">
        <f>AM52*(1+g_appr)^(A52-2026)</f>
        <v/>
      </c>
      <c r="AO52" s="7">
        <f>IF(AND(M52=1,vivienda_prestamoMedico=1),1,0)</f>
        <v/>
      </c>
      <c r="AP52" s="7">
        <f>IF(AO52=1,0.05,vivienda_enganchePct)</f>
        <v/>
      </c>
      <c r="AQ52" s="7">
        <f>AN52*(1-AP52)</f>
        <v/>
      </c>
      <c r="AR52" s="7">
        <f>PMT(g_mortRate/12,vivienda_plazoHipoteca*12,-AQ52)</f>
        <v/>
      </c>
      <c r="AS52" s="7">
        <f>INDEX(cfg_units,sel_cfgIdx)</f>
        <v/>
      </c>
      <c r="AT52" s="7">
        <f>AS52*loc_rentaUnidad*(1+g_inf)^(A52-2026)*(1-vivienda_vacancia)</f>
        <v/>
      </c>
      <c r="AU52" s="7">
        <f>AR52+AN52*loc_impuestoPropPct/12+AM52*loc_seguroPct*(1+vivienda_inflacionSeguro)^(A52-2026)/12+IF(AND(AO52=0,AP52&lt;0.2),AQ52*vivienda_pmiTasa/12,0)</f>
        <v/>
      </c>
      <c r="AV52" s="7">
        <f>AN52*AP52+AN52*vivienda_cierrePct+general_reservaMeses/12*AJ52</f>
        <v/>
      </c>
      <c r="AW52" s="7">
        <f>(IF(19=0,MIN(personal_irsSaldo,personal_irsPagoMensual*12),MIN(CD51,personal_irsPagoMensual*12))+IF(CE52&gt;0,PMT(CF52,MAX(1,prestamos_plazoAnios-CG52),-CE52),0)+IF(CR52&gt;0,PMT(CS52,MAX(1,prestamos_plazoAnios-CT52),-CR52),0))/12</f>
        <v/>
      </c>
      <c r="AX52" s="7">
        <f>IF(OR(sel_cfg="duplex",sel_cfg="multi",sel_cfg="dosCasas"),0.75*personal_aporteFamiliaMensual,0)</f>
        <v/>
      </c>
      <c r="AY52" s="7">
        <f>AU52-0.75*AT52-AX52+AW52</f>
        <v/>
      </c>
      <c r="AZ52" s="7">
        <f>(D52+G52+H52+0.5*F52)/12</f>
        <v/>
      </c>
      <c r="BA52" s="7">
        <f>IF(AND(AL52=0,A52&gt;=vivienda_anioMinCompra,J52&lt;0.5,AI52&gt;0,AK52&gt;=AV52,AY52&lt;=vivienda_dtiMax*AZ52),1,0)</f>
        <v/>
      </c>
      <c r="BB52" s="7">
        <f>MAX(AL52,BA52)</f>
        <v/>
      </c>
      <c r="BC52" s="7">
        <f>IF(BA52=1,A52,IF(19=0,"",BC51))</f>
        <v/>
      </c>
      <c r="BD52" s="7">
        <f>AK52-IF(BA52=1,AN52*AP52+AN52*vivienda_cierrePct,0)</f>
        <v/>
      </c>
      <c r="BE52" s="7">
        <f>IF(BA52=1,AN52,IF(19=0,0,BE51))</f>
        <v/>
      </c>
      <c r="BF52" s="7">
        <f>IF(BA52=1,AR52,IF(19=0,0,BF51))</f>
        <v/>
      </c>
      <c r="BG52" s="7">
        <f>IF(BA52=1,IF(AND(AO52=0,AP52&lt;0.2),1,0),IF(19=0,0,BY51))</f>
        <v/>
      </c>
      <c r="BH52" s="7">
        <f>IF(sel_cfg="casaAdu",1,0)</f>
        <v/>
      </c>
      <c r="BI52" s="7">
        <f>IF(AND(BB52=1,BH52=1,IF(19=0,0,BJ51)=0,A52&gt;=IF(BC52="",9999,BC52)+vivienda_aduRetrasoAnios),1,0)</f>
        <v/>
      </c>
      <c r="BJ52" s="7">
        <f>MAX(IF(19=0,0,BJ51),BI52)</f>
        <v/>
      </c>
      <c r="BK52" s="7">
        <f>IF(BI52=1,PMT((g_mortRate+0.005)/12,180,-loc_precio_aduCosto*C52),IF(19=0,0,BK51))</f>
        <v/>
      </c>
      <c r="BL52" s="7">
        <f>IF(BA52=1,AN52,IF(19=0,0,DT51))+IF(BI52=1,loc_precio_aduCosto*C52,0)</f>
        <v/>
      </c>
      <c r="BM52" s="7">
        <f>IF(BA52=1,AQ52,IF(19=0,0,DU51))</f>
        <v/>
      </c>
      <c r="BN52" s="7">
        <f>IF(BM52&lt;=0,0,FV(g_mortRate/12,12,BF52,-BM52))</f>
        <v/>
      </c>
      <c r="BO52" s="7">
        <f>IF(BM52&lt;=0,0,12*BF52+MIN(0,BN52))</f>
        <v/>
      </c>
      <c r="BP52" s="7">
        <f>MAX(0,BN52)</f>
        <v/>
      </c>
      <c r="BQ52" s="7">
        <f>IF(BI52=1,loc_precio_aduCosto*C52,IF(19=0,0,DV51))</f>
        <v/>
      </c>
      <c r="BR52" s="7">
        <f>IF(BQ52&lt;=0,0,FV((g_mortRate+0.005)/12,12,BK52,-BQ52))</f>
        <v/>
      </c>
      <c r="BS52" s="7">
        <f>IF(BQ52&lt;=0,0,12*BK52+MIN(0,BR52))</f>
        <v/>
      </c>
      <c r="BT52" s="7">
        <f>MAX(0,BR52)</f>
        <v/>
      </c>
      <c r="BU52" s="7">
        <f>IF(BB52=1,AM52*loc_seguroPct*(1+vivienda_inflacionSeguro)^(A52-2026)*IF(BJ52=1,1+loc_precio_aduCosto/AM52,1),0)</f>
        <v/>
      </c>
      <c r="BV52" s="7">
        <f>BL52*loc_impuestoPropPct</f>
        <v/>
      </c>
      <c r="BW52" s="7">
        <f>BL52*vivienda_mantenimientoPct</f>
        <v/>
      </c>
      <c r="BX52" s="7">
        <f>IF(AND(BG52=1,BP52&gt;0.8*BE52),BE52*(1-vivienda_enganchePct)*vivienda_pmiTasa,0)</f>
        <v/>
      </c>
      <c r="BY52" s="7">
        <f>IF(AND(BG52=1,BP52&gt;0.8*BE52),1,0)</f>
        <v/>
      </c>
      <c r="BZ52" s="7">
        <f>IF(BB52=1,AS52*loc_rentaUnidad*12*C52*(1-vivienda_vacancia)*(1-vivienda_gestionPct),0)</f>
        <v/>
      </c>
      <c r="CA52" s="7">
        <f>IF(BB52=1,BO52+BS52+BU52+BV52+BW52+BX52,loc_rentaMensual*12*C52)</f>
        <v/>
      </c>
      <c r="CB52" s="7">
        <f>IF(BB52=1,personal_aporteFamiliaMensual*12,0)</f>
        <v/>
      </c>
      <c r="CC52" s="7">
        <f>MIN(IF(19=0,personal_irsSaldo,CD51),personal_irsPagoMensual*12)</f>
        <v/>
      </c>
      <c r="CD52" s="7">
        <f>IF(19=0,personal_irsSaldo,CD51)-CC52</f>
        <v/>
      </c>
      <c r="CE52" s="7">
        <f>IF(19=0,IF(personal_deudaEsFederal=1,personal_deudaEstudiantil,0),DW51)</f>
        <v/>
      </c>
      <c r="CF52" s="7">
        <f>IF(19=0,personal_tasaDeudaEstudiantil,DX51)</f>
        <v/>
      </c>
      <c r="CG52" s="7">
        <f>IF(19=0,0,DY51)</f>
        <v/>
      </c>
      <c r="CH52" s="7">
        <f>IF(J52&gt;=0.5,1,0)</f>
        <v/>
      </c>
      <c r="CI52" s="7">
        <f>IF(AND(CH52=0,prestamos_pslfActivo=1,K52&gt;=0.5,CE52&gt;0),1,0)</f>
        <v/>
      </c>
      <c r="CJ52" s="7">
        <f>CE52*CF52</f>
        <v/>
      </c>
      <c r="CK52" s="7">
        <f>MAX(prestamos_rapPagoMinimoAnual,IF(Y52&lt;10000,0,MIN(0.1,INT(Y52/10000)/100))*Y52)</f>
        <v/>
      </c>
      <c r="CL52" s="7">
        <f>IF(CE52&lt;=0,0,IF(CH52=1,0,IF(CI52=1,MIN(CE52+CJ52,CK52),PMT(CF52,MAX(1,prestamos_plazoAnios-CG52),-CE52))))</f>
        <v/>
      </c>
      <c r="CM52" s="7">
        <f>IF(CE52&lt;=0,0,IF(CH52=1,CE52+CJ52,IF(CI52=1,MAX(0,CE52-MAX(CL52-CJ52,MIN(600,CL52))),MAX(0,CE52*(1+CF52)-CL52))))</f>
        <v/>
      </c>
      <c r="CN52" s="7">
        <f>IF(19=0,0,CN51)+IF(CI52=1,12*MIN(1,K52),0)</f>
        <v/>
      </c>
      <c r="CO52" s="7">
        <f>IF(AND(CI52=1,CN52&gt;=prestamos_pslfPagos,CM52&gt;0),CM52,0)</f>
        <v/>
      </c>
      <c r="CP52" s="7">
        <f>CM52-CO52</f>
        <v/>
      </c>
      <c r="CQ52" s="7">
        <f>IF(AND(CE52&gt;0,CH52=0,CI52=0),CG52+1,CG52)</f>
        <v/>
      </c>
      <c r="CR52" s="7">
        <f>IF(19=0,IF(personal_deudaEsFederal=1,0,personal_deudaEstudiantil),EA51)</f>
        <v/>
      </c>
      <c r="CS52" s="7">
        <f>IF(19=0,IF(personal_deudaEsFederal=1,prestamos_tasaPrivada,personal_tasaDeudaEstudiantil),EB51)</f>
        <v/>
      </c>
      <c r="CT52" s="7">
        <f>IF(19=0,0,EC51)</f>
        <v/>
      </c>
      <c r="CU52" s="7">
        <f>IF(OR(CR52&lt;=0,CH52=1),0,PMT(CS52,MAX(1,prestamos_plazoAnios-CT52),-CR52))</f>
        <v/>
      </c>
      <c r="CV52" s="7">
        <f>IF(CR52&lt;=0,0,IF(CH52=1,CR52*(1+CS52),MAX(0,CR52*(1+CS52)-CU52)))</f>
        <v/>
      </c>
      <c r="CW52" s="7">
        <f>IF(AND(CR52&gt;0,CH52=0),CT52+1,CT52)</f>
        <v/>
      </c>
      <c r="CX52" s="7">
        <f>IF(19=0,0,ED51)*(1+general_tasaDeudaConsumo)</f>
        <v/>
      </c>
      <c r="CY52" s="7">
        <f>L52*12*tiempos_travelGastoExtraMes*C52</f>
        <v/>
      </c>
      <c r="CZ52" s="7">
        <f>AJ52+CY52+CA52+CC52+CL52+CU52+I52+N52-BZ52-CB52</f>
        <v/>
      </c>
      <c r="DA52" s="7">
        <f>AH52-CZ52</f>
        <v/>
      </c>
      <c r="DB52" s="7">
        <f>IF(19=0,0,DB51)+DA52</f>
        <v/>
      </c>
      <c r="DC52" s="7">
        <f>AN52*vivienda_enganchePct+AN52*vivienda_cierrePct+general_reservaMeses/12*AJ52</f>
        <v/>
      </c>
      <c r="DD52" s="7">
        <f>IF(BB52=1,g_ret,IF(BD52&gt;0,MIN(1,DC52/BD52),1)*g_cash+(1-IF(BD52&gt;0,MIN(1,DC52/BD52),1))*g_ret)</f>
        <v/>
      </c>
      <c r="DE52" s="7">
        <f>IF(DA52&gt;=0,MIN(CX52,DA52),0)</f>
        <v/>
      </c>
      <c r="DF52" s="7">
        <f>IF(DA52&gt;=0,(1-general_tasaAhorro)*(DA52-DE52),0)</f>
        <v/>
      </c>
      <c r="DG52" s="7">
        <f>IF(DA52&gt;=0,DA52-DE52-DF52,0)</f>
        <v/>
      </c>
      <c r="DH52" s="7">
        <f>MIN(personal_rothAnual,DG52)</f>
        <v/>
      </c>
      <c r="DI52" s="7">
        <f>IF(AND(DA52&gt;=0,BB52=1,BP52+BT52&gt;0),MIN(vivienda_prepagoPct*(DG52-DH52),BP52+BT52),0)</f>
        <v/>
      </c>
      <c r="DJ52" s="7">
        <f>MIN(DI52,BP52)</f>
        <v/>
      </c>
      <c r="DK52" s="7">
        <f>IF(DA52&lt;0,MIN(MAX(0,BD52),-DA52),0)</f>
        <v/>
      </c>
      <c r="DL52" s="7">
        <f>IF(DA52&lt;0,-DA52-DK52,0)</f>
        <v/>
      </c>
      <c r="DM52" s="7">
        <f>IF(19=0,0,DZ51)</f>
        <v/>
      </c>
      <c r="DN52" s="7">
        <f>IF(AND(DL52&gt;0,J52&gt;0),MIN(DL52,MIN(prestamos_topeAnualPosgrado*MIN(1,J52),MAX(0,prestamos_topeTotalPosgrado-DM52))),0)</f>
        <v/>
      </c>
      <c r="DO52" s="7">
        <f>IF(AND(DL52&gt;0,J52&gt;0),DL52-DN52,0)</f>
        <v/>
      </c>
      <c r="DP52" s="7">
        <f>IF(AND(DL52&gt;0,J52&lt;=0),DL52,0)</f>
        <v/>
      </c>
      <c r="DQ52" s="7">
        <f>IF(DA52&gt;=0,DG52-DH52-DI52,-DK52)</f>
        <v/>
      </c>
      <c r="DR52" s="7">
        <f>BD52*(1+DD52)+DQ52*(1+DD52/2)</f>
        <v/>
      </c>
      <c r="DS52" s="7">
        <f>IF(19=0,personal_retiroInicial,DS51)*(1+g_ret)+(O52+P52+DH52)*(1+g_ret/2)</f>
        <v/>
      </c>
      <c r="DT52" s="7">
        <f>IF(BB52=1,BL52*(1+g_appr),0)</f>
        <v/>
      </c>
      <c r="DU52" s="7">
        <f>BP52-DJ52</f>
        <v/>
      </c>
      <c r="DV52" s="7">
        <f>BT52-(DI52-DJ52)</f>
        <v/>
      </c>
      <c r="DW52" s="7">
        <f>CP52+DN52</f>
        <v/>
      </c>
      <c r="DX52" s="7">
        <f>IF(DN52&gt;0,(CP52*CF52+DN52*prestamos_tasaFederalPosgrado)/(CP52+DN52),CF52)</f>
        <v/>
      </c>
      <c r="DY52" s="7">
        <f>IF(DN52&gt;0,0,CQ52)</f>
        <v/>
      </c>
      <c r="DZ52" s="7">
        <f>DM52+DN52</f>
        <v/>
      </c>
      <c r="EA52" s="7">
        <f>CV52+DO52</f>
        <v/>
      </c>
      <c r="EB52" s="7">
        <f>IF(DO52&gt;0,(CV52*CS52+DO52*prestamos_tasaPrivada)/(CV52+DO52),CS52)</f>
        <v/>
      </c>
      <c r="EC52" s="7">
        <f>IF(DO52&gt;0,0,CW52)</f>
        <v/>
      </c>
      <c r="ED52" s="7">
        <f>CX52-DE52+DP52</f>
        <v/>
      </c>
      <c r="EE52" s="7">
        <f>IF(IF(19=0,"",EE51)&lt;&gt;"",EE51,IF(AND(BB52=1,DU52&lt;=0.5,DV52&lt;=0.5,OR(BH52=0,BJ52=1)),A52,""))</f>
        <v/>
      </c>
      <c r="EF52" s="7">
        <f>DU52+DV52+DW52+EA52+ED52+CD52</f>
        <v/>
      </c>
      <c r="EG52" s="7">
        <f>DR52+DS52+DT52-EF52</f>
        <v/>
      </c>
      <c r="EH52" s="7">
        <f>EG52/(1+g_inf)^(A52+1-2026)</f>
        <v/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H52"/>
  <sheetViews>
    <sheetView workbookViewId="0">
      <pane xSplit="1" ySplit="32" topLeftCell="B3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0" customWidth="1" min="1" max="1"/>
  </cols>
  <sheetData>
    <row r="1">
      <c r="A1" s="1" t="inlineStr">
        <is>
          <t>A5b · ICU → educador clínico</t>
        </is>
      </c>
    </row>
    <row r="2">
      <c r="A2" s="2" t="inlineStr">
        <is>
          <t>Etapas (celdas azules editables; fechas decimales: 2027.67 = sep-2027). Traslape por año en columnas T→AM. Hitos con costo en AN→AP.</t>
        </is>
      </c>
    </row>
    <row r="4">
      <c r="A4" s="5" t="inlineStr">
        <is>
          <t>Etapa</t>
        </is>
      </c>
      <c r="B4" s="5" t="inlineStr">
        <is>
          <t>Inicio</t>
        </is>
      </c>
      <c r="C4" s="5" t="inlineStr">
        <is>
          <t>Fin</t>
        </is>
      </c>
      <c r="D4" s="5" t="inlineStr">
        <is>
          <t>Rol</t>
        </is>
      </c>
      <c r="E4" s="5" t="inlineStr">
        <is>
          <t>Salario base FT 2026 ($)</t>
        </is>
      </c>
      <c r="F4" s="5" t="inlineStr">
        <is>
          <t>Aumento anual</t>
        </is>
      </c>
      <c r="G4" s="5" t="inlineStr">
        <is>
          <t>Horas (FTE)</t>
        </is>
      </c>
      <c r="H4" s="5" t="inlineStr">
        <is>
          <t>Multiplicador</t>
        </is>
      </c>
      <c r="I4" s="5" t="inlineStr">
        <is>
          <t>Bono al inicio</t>
        </is>
      </c>
      <c r="J4" s="5" t="inlineStr">
        <is>
          <t>Matrícula total (2026$)</t>
        </is>
      </c>
      <c r="K4" s="5" t="inlineStr">
        <is>
          <t>Estudio (1/0)</t>
        </is>
      </c>
      <c r="L4" s="5" t="inlineStr">
        <is>
          <t>PSLF (1/0)</t>
        </is>
      </c>
      <c r="M4" s="5" t="inlineStr">
        <is>
          <t>Match 403b (1/0)</t>
        </is>
      </c>
      <c r="N4" s="5" t="inlineStr">
        <is>
          <t>Travel (1/0)</t>
        </is>
      </c>
      <c r="O4" s="5" t="inlineStr">
        <is>
          <t>% stipend libre</t>
        </is>
      </c>
      <c r="P4" s="5" t="inlineStr">
        <is>
          <t>S-corp anual base</t>
        </is>
      </c>
      <c r="Q4" s="5" t="inlineStr">
        <is>
          <t>Autoempleo anual base</t>
        </is>
      </c>
      <c r="R4" s="5" t="inlineStr">
        <is>
          <t>Attending (1/0)</t>
        </is>
      </c>
      <c r="T4" s="8" t="n">
        <v>2027</v>
      </c>
      <c r="U4" s="8" t="n">
        <v>2028</v>
      </c>
      <c r="V4" s="8" t="n">
        <v>2029</v>
      </c>
      <c r="W4" s="8" t="n">
        <v>2030</v>
      </c>
      <c r="X4" s="8" t="n">
        <v>2031</v>
      </c>
      <c r="Y4" s="8" t="n">
        <v>2032</v>
      </c>
      <c r="Z4" s="8" t="n">
        <v>2033</v>
      </c>
      <c r="AA4" s="8" t="n">
        <v>2034</v>
      </c>
      <c r="AB4" s="8" t="n">
        <v>2035</v>
      </c>
      <c r="AC4" s="8" t="n">
        <v>2036</v>
      </c>
      <c r="AD4" s="8" t="n">
        <v>2037</v>
      </c>
      <c r="AE4" s="8" t="n">
        <v>2038</v>
      </c>
      <c r="AF4" s="8" t="n">
        <v>2039</v>
      </c>
      <c r="AG4" s="8" t="n">
        <v>2040</v>
      </c>
      <c r="AH4" s="8" t="n">
        <v>2041</v>
      </c>
      <c r="AI4" s="8" t="n">
        <v>2042</v>
      </c>
      <c r="AJ4" s="8" t="n">
        <v>2043</v>
      </c>
      <c r="AK4" s="8" t="n">
        <v>2044</v>
      </c>
      <c r="AL4" s="8" t="n">
        <v>2045</v>
      </c>
      <c r="AM4" s="8" t="n">
        <v>2046</v>
      </c>
      <c r="AN4" s="5" t="inlineStr">
        <is>
          <t>Hito</t>
        </is>
      </c>
      <c r="AO4" s="5" t="inlineStr">
        <is>
          <t>Fecha</t>
        </is>
      </c>
      <c r="AP4" s="5" t="inlineStr">
        <is>
          <t>Costo (2026$)</t>
        </is>
      </c>
    </row>
    <row r="5">
      <c r="A5" t="inlineStr">
        <is>
          <t>Case manager RN (cursando BSN)</t>
        </is>
      </c>
      <c r="B5" s="3" t="n">
        <v>2027</v>
      </c>
      <c r="C5" s="3" t="n">
        <v>2027.5</v>
      </c>
      <c r="D5" t="inlineStr">
        <is>
          <t>cm</t>
        </is>
      </c>
      <c r="E5">
        <f>personal_tarifaHora*2080*loc_factorRN/ubic_miami_factorRN</f>
        <v/>
      </c>
      <c r="F5">
        <f>roles_cm_aumento</f>
        <v/>
      </c>
      <c r="G5">
        <f>personal_horasSemana/40</f>
        <v/>
      </c>
      <c r="H5" s="3" t="n">
        <v>1</v>
      </c>
      <c r="I5" s="3" t="n">
        <v>0</v>
      </c>
      <c r="J5" s="3" t="n">
        <v>0</v>
      </c>
      <c r="K5" s="3" t="n">
        <v>0</v>
      </c>
      <c r="L5" s="3" t="n">
        <v>1</v>
      </c>
      <c r="M5" s="3" t="n">
        <v>1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T5">
        <f>MAX(0,MIN($C5,T$4+1)-MAX($B5,T$4))</f>
        <v/>
      </c>
      <c r="U5">
        <f>MAX(0,MIN($C5,U$4+1)-MAX($B5,U$4))</f>
        <v/>
      </c>
      <c r="V5">
        <f>MAX(0,MIN($C5,V$4+1)-MAX($B5,V$4))</f>
        <v/>
      </c>
      <c r="W5">
        <f>MAX(0,MIN($C5,W$4+1)-MAX($B5,W$4))</f>
        <v/>
      </c>
      <c r="X5">
        <f>MAX(0,MIN($C5,X$4+1)-MAX($B5,X$4))</f>
        <v/>
      </c>
      <c r="Y5">
        <f>MAX(0,MIN($C5,Y$4+1)-MAX($B5,Y$4))</f>
        <v/>
      </c>
      <c r="Z5">
        <f>MAX(0,MIN($C5,Z$4+1)-MAX($B5,Z$4))</f>
        <v/>
      </c>
      <c r="AA5">
        <f>MAX(0,MIN($C5,AA$4+1)-MAX($B5,AA$4))</f>
        <v/>
      </c>
      <c r="AB5">
        <f>MAX(0,MIN($C5,AB$4+1)-MAX($B5,AB$4))</f>
        <v/>
      </c>
      <c r="AC5">
        <f>MAX(0,MIN($C5,AC$4+1)-MAX($B5,AC$4))</f>
        <v/>
      </c>
      <c r="AD5">
        <f>MAX(0,MIN($C5,AD$4+1)-MAX($B5,AD$4))</f>
        <v/>
      </c>
      <c r="AE5">
        <f>MAX(0,MIN($C5,AE$4+1)-MAX($B5,AE$4))</f>
        <v/>
      </c>
      <c r="AF5">
        <f>MAX(0,MIN($C5,AF$4+1)-MAX($B5,AF$4))</f>
        <v/>
      </c>
      <c r="AG5">
        <f>MAX(0,MIN($C5,AG$4+1)-MAX($B5,AG$4))</f>
        <v/>
      </c>
      <c r="AH5">
        <f>MAX(0,MIN($C5,AH$4+1)-MAX($B5,AH$4))</f>
        <v/>
      </c>
      <c r="AI5">
        <f>MAX(0,MIN($C5,AI$4+1)-MAX($B5,AI$4))</f>
        <v/>
      </c>
      <c r="AJ5">
        <f>MAX(0,MIN($C5,AJ$4+1)-MAX($B5,AJ$4))</f>
        <v/>
      </c>
      <c r="AK5">
        <f>MAX(0,MIN($C5,AK$4+1)-MAX($B5,AK$4))</f>
        <v/>
      </c>
      <c r="AL5">
        <f>MAX(0,MIN($C5,AL$4+1)-MAX($B5,AL$4))</f>
        <v/>
      </c>
      <c r="AM5">
        <f>MAX(0,MIN($C5,AM$4+1)-MAX($B5,AM$4))</f>
        <v/>
      </c>
      <c r="AN5" t="inlineStr">
        <is>
          <t>Graduación RN-BSN</t>
        </is>
      </c>
      <c r="AO5" s="3" t="n">
        <v>2027.5</v>
      </c>
      <c r="AP5" s="3" t="n">
        <v>0</v>
      </c>
    </row>
    <row r="6">
      <c r="A6" t="inlineStr">
        <is>
          <t>Case manager RN (BSN)</t>
        </is>
      </c>
      <c r="B6" s="3" t="n">
        <v>2027.5</v>
      </c>
      <c r="C6" s="3" t="n">
        <v>2027.75</v>
      </c>
      <c r="D6" t="inlineStr">
        <is>
          <t>cm</t>
        </is>
      </c>
      <c r="E6">
        <f>personal_tarifaHora*2080*loc_factorRN/ubic_miami_factorRN</f>
        <v/>
      </c>
      <c r="F6">
        <f>roles_cm_aumento</f>
        <v/>
      </c>
      <c r="G6">
        <f>personal_horasSemana/40</f>
        <v/>
      </c>
      <c r="H6">
        <f>1+personal_bsnAumento</f>
        <v/>
      </c>
      <c r="I6" s="3" t="n">
        <v>0</v>
      </c>
      <c r="J6" s="3" t="n">
        <v>0</v>
      </c>
      <c r="K6" s="3" t="n">
        <v>0</v>
      </c>
      <c r="L6" s="3" t="n">
        <v>1</v>
      </c>
      <c r="M6" s="3" t="n">
        <v>1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  <c r="T6">
        <f>MAX(0,MIN($C6,T$4+1)-MAX($B6,T$4))</f>
        <v/>
      </c>
      <c r="U6">
        <f>MAX(0,MIN($C6,U$4+1)-MAX($B6,U$4))</f>
        <v/>
      </c>
      <c r="V6">
        <f>MAX(0,MIN($C6,V$4+1)-MAX($B6,V$4))</f>
        <v/>
      </c>
      <c r="W6">
        <f>MAX(0,MIN($C6,W$4+1)-MAX($B6,W$4))</f>
        <v/>
      </c>
      <c r="X6">
        <f>MAX(0,MIN($C6,X$4+1)-MAX($B6,X$4))</f>
        <v/>
      </c>
      <c r="Y6">
        <f>MAX(0,MIN($C6,Y$4+1)-MAX($B6,Y$4))</f>
        <v/>
      </c>
      <c r="Z6">
        <f>MAX(0,MIN($C6,Z$4+1)-MAX($B6,Z$4))</f>
        <v/>
      </c>
      <c r="AA6">
        <f>MAX(0,MIN($C6,AA$4+1)-MAX($B6,AA$4))</f>
        <v/>
      </c>
      <c r="AB6">
        <f>MAX(0,MIN($C6,AB$4+1)-MAX($B6,AB$4))</f>
        <v/>
      </c>
      <c r="AC6">
        <f>MAX(0,MIN($C6,AC$4+1)-MAX($B6,AC$4))</f>
        <v/>
      </c>
      <c r="AD6">
        <f>MAX(0,MIN($C6,AD$4+1)-MAX($B6,AD$4))</f>
        <v/>
      </c>
      <c r="AE6">
        <f>MAX(0,MIN($C6,AE$4+1)-MAX($B6,AE$4))</f>
        <v/>
      </c>
      <c r="AF6">
        <f>MAX(0,MIN($C6,AF$4+1)-MAX($B6,AF$4))</f>
        <v/>
      </c>
      <c r="AG6">
        <f>MAX(0,MIN($C6,AG$4+1)-MAX($B6,AG$4))</f>
        <v/>
      </c>
      <c r="AH6">
        <f>MAX(0,MIN($C6,AH$4+1)-MAX($B6,AH$4))</f>
        <v/>
      </c>
      <c r="AI6">
        <f>MAX(0,MIN($C6,AI$4+1)-MAX($B6,AI$4))</f>
        <v/>
      </c>
      <c r="AJ6">
        <f>MAX(0,MIN($C6,AJ$4+1)-MAX($B6,AJ$4))</f>
        <v/>
      </c>
      <c r="AK6">
        <f>MAX(0,MIN($C6,AK$4+1)-MAX($B6,AK$4))</f>
        <v/>
      </c>
      <c r="AL6">
        <f>MAX(0,MIN($C6,AL$4+1)-MAX($B6,AL$4))</f>
        <v/>
      </c>
      <c r="AM6">
        <f>MAX(0,MIN($C6,AM$4+1)-MAX($B6,AM$4))</f>
        <v/>
      </c>
      <c r="AN6" t="inlineStr">
        <is>
          <t>Matrícula restante BSN</t>
        </is>
      </c>
      <c r="AO6" s="3" t="n">
        <v>2027</v>
      </c>
      <c r="AP6" s="3">
        <f>personal_bsnCostoRestante</f>
        <v/>
      </c>
    </row>
    <row r="7">
      <c r="A7" t="inlineStr">
        <is>
          <t>ICU (programa de transición, años 1-2)</t>
        </is>
      </c>
      <c r="B7" s="3" t="n">
        <v>2027.75</v>
      </c>
      <c r="C7" s="3" t="n">
        <v>2029.75</v>
      </c>
      <c r="D7" t="inlineStr">
        <is>
          <t>icuNuevo</t>
        </is>
      </c>
      <c r="E7">
        <f>roles_icuNuevo_base*loc_factorRN</f>
        <v/>
      </c>
      <c r="F7">
        <f>roles_icuNuevo_aumento</f>
        <v/>
      </c>
      <c r="G7" s="3" t="n">
        <v>1</v>
      </c>
      <c r="H7" s="3" t="n">
        <v>1</v>
      </c>
      <c r="I7">
        <f>tiempos_bonoFirmaICU</f>
        <v/>
      </c>
      <c r="J7" s="3" t="n">
        <v>0</v>
      </c>
      <c r="K7" s="3" t="n">
        <v>0</v>
      </c>
      <c r="L7" s="3" t="n">
        <v>1</v>
      </c>
      <c r="M7" s="3" t="n">
        <v>1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T7">
        <f>MAX(0,MIN($C7,T$4+1)-MAX($B7,T$4))</f>
        <v/>
      </c>
      <c r="U7">
        <f>MAX(0,MIN($C7,U$4+1)-MAX($B7,U$4))</f>
        <v/>
      </c>
      <c r="V7">
        <f>MAX(0,MIN($C7,V$4+1)-MAX($B7,V$4))</f>
        <v/>
      </c>
      <c r="W7">
        <f>MAX(0,MIN($C7,W$4+1)-MAX($B7,W$4))</f>
        <v/>
      </c>
      <c r="X7">
        <f>MAX(0,MIN($C7,X$4+1)-MAX($B7,X$4))</f>
        <v/>
      </c>
      <c r="Y7">
        <f>MAX(0,MIN($C7,Y$4+1)-MAX($B7,Y$4))</f>
        <v/>
      </c>
      <c r="Z7">
        <f>MAX(0,MIN($C7,Z$4+1)-MAX($B7,Z$4))</f>
        <v/>
      </c>
      <c r="AA7">
        <f>MAX(0,MIN($C7,AA$4+1)-MAX($B7,AA$4))</f>
        <v/>
      </c>
      <c r="AB7">
        <f>MAX(0,MIN($C7,AB$4+1)-MAX($B7,AB$4))</f>
        <v/>
      </c>
      <c r="AC7">
        <f>MAX(0,MIN($C7,AC$4+1)-MAX($B7,AC$4))</f>
        <v/>
      </c>
      <c r="AD7">
        <f>MAX(0,MIN($C7,AD$4+1)-MAX($B7,AD$4))</f>
        <v/>
      </c>
      <c r="AE7">
        <f>MAX(0,MIN($C7,AE$4+1)-MAX($B7,AE$4))</f>
        <v/>
      </c>
      <c r="AF7">
        <f>MAX(0,MIN($C7,AF$4+1)-MAX($B7,AF$4))</f>
        <v/>
      </c>
      <c r="AG7">
        <f>MAX(0,MIN($C7,AG$4+1)-MAX($B7,AG$4))</f>
        <v/>
      </c>
      <c r="AH7">
        <f>MAX(0,MIN($C7,AH$4+1)-MAX($B7,AH$4))</f>
        <v/>
      </c>
      <c r="AI7">
        <f>MAX(0,MIN($C7,AI$4+1)-MAX($B7,AI$4))</f>
        <v/>
      </c>
      <c r="AJ7">
        <f>MAX(0,MIN($C7,AJ$4+1)-MAX($B7,AJ$4))</f>
        <v/>
      </c>
      <c r="AK7">
        <f>MAX(0,MIN($C7,AK$4+1)-MAX($B7,AK$4))</f>
        <v/>
      </c>
      <c r="AL7">
        <f>MAX(0,MIN($C7,AL$4+1)-MAX($B7,AL$4))</f>
        <v/>
      </c>
      <c r="AM7">
        <f>MAX(0,MIN($C7,AM$4+1)-MAX($B7,AM$4))</f>
        <v/>
      </c>
      <c r="AN7" t="inlineStr">
        <is>
          <t>Educador clínico</t>
        </is>
      </c>
      <c r="AO7" s="3" t="n">
        <v>2030.75</v>
      </c>
      <c r="AP7" s="3" t="n">
        <v>0</v>
      </c>
    </row>
    <row r="8">
      <c r="A8" t="inlineStr">
        <is>
          <t>ICU + MSN educación</t>
        </is>
      </c>
      <c r="B8" s="3" t="n">
        <v>2029.75</v>
      </c>
      <c r="C8" s="3" t="n">
        <v>2030.75</v>
      </c>
      <c r="D8" t="inlineStr">
        <is>
          <t>icuExp</t>
        </is>
      </c>
      <c r="E8">
        <f>roles_icuExp_base*loc_factorRN</f>
        <v/>
      </c>
      <c r="F8">
        <f>roles_icuExp_aumento</f>
        <v/>
      </c>
      <c r="G8" s="3" t="n">
        <v>1</v>
      </c>
      <c r="H8" s="3" t="n">
        <v>1</v>
      </c>
      <c r="I8" s="3" t="n">
        <v>0</v>
      </c>
      <c r="J8">
        <f>tiempos_msnLiderazgoCosto</f>
        <v/>
      </c>
      <c r="K8" s="3" t="n">
        <v>0</v>
      </c>
      <c r="L8" s="3" t="n">
        <v>1</v>
      </c>
      <c r="M8" s="3" t="n">
        <v>1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T8">
        <f>MAX(0,MIN($C8,T$4+1)-MAX($B8,T$4))</f>
        <v/>
      </c>
      <c r="U8">
        <f>MAX(0,MIN($C8,U$4+1)-MAX($B8,U$4))</f>
        <v/>
      </c>
      <c r="V8">
        <f>MAX(0,MIN($C8,V$4+1)-MAX($B8,V$4))</f>
        <v/>
      </c>
      <c r="W8">
        <f>MAX(0,MIN($C8,W$4+1)-MAX($B8,W$4))</f>
        <v/>
      </c>
      <c r="X8">
        <f>MAX(0,MIN($C8,X$4+1)-MAX($B8,X$4))</f>
        <v/>
      </c>
      <c r="Y8">
        <f>MAX(0,MIN($C8,Y$4+1)-MAX($B8,Y$4))</f>
        <v/>
      </c>
      <c r="Z8">
        <f>MAX(0,MIN($C8,Z$4+1)-MAX($B8,Z$4))</f>
        <v/>
      </c>
      <c r="AA8">
        <f>MAX(0,MIN($C8,AA$4+1)-MAX($B8,AA$4))</f>
        <v/>
      </c>
      <c r="AB8">
        <f>MAX(0,MIN($C8,AB$4+1)-MAX($B8,AB$4))</f>
        <v/>
      </c>
      <c r="AC8">
        <f>MAX(0,MIN($C8,AC$4+1)-MAX($B8,AC$4))</f>
        <v/>
      </c>
      <c r="AD8">
        <f>MAX(0,MIN($C8,AD$4+1)-MAX($B8,AD$4))</f>
        <v/>
      </c>
      <c r="AE8">
        <f>MAX(0,MIN($C8,AE$4+1)-MAX($B8,AE$4))</f>
        <v/>
      </c>
      <c r="AF8">
        <f>MAX(0,MIN($C8,AF$4+1)-MAX($B8,AF$4))</f>
        <v/>
      </c>
      <c r="AG8">
        <f>MAX(0,MIN($C8,AG$4+1)-MAX($B8,AG$4))</f>
        <v/>
      </c>
      <c r="AH8">
        <f>MAX(0,MIN($C8,AH$4+1)-MAX($B8,AH$4))</f>
        <v/>
      </c>
      <c r="AI8">
        <f>MAX(0,MIN($C8,AI$4+1)-MAX($B8,AI$4))</f>
        <v/>
      </c>
      <c r="AJ8">
        <f>MAX(0,MIN($C8,AJ$4+1)-MAX($B8,AJ$4))</f>
        <v/>
      </c>
      <c r="AK8">
        <f>MAX(0,MIN($C8,AK$4+1)-MAX($B8,AK$4))</f>
        <v/>
      </c>
      <c r="AL8">
        <f>MAX(0,MIN($C8,AL$4+1)-MAX($B8,AL$4))</f>
        <v/>
      </c>
      <c r="AM8">
        <f>MAX(0,MIN($C8,AM$4+1)-MAX($B8,AM$4))</f>
        <v/>
      </c>
      <c r="AO8" t="n">
        <v>0</v>
      </c>
      <c r="AP8" t="n">
        <v>0</v>
      </c>
    </row>
    <row r="9">
      <c r="A9" t="inlineStr">
        <is>
          <t>Educador clínico</t>
        </is>
      </c>
      <c r="B9" s="3" t="n">
        <v>2030.75</v>
      </c>
      <c r="C9" s="3" t="n">
        <v>2048</v>
      </c>
      <c r="D9" t="inlineStr">
        <is>
          <t>educador</t>
        </is>
      </c>
      <c r="E9">
        <f>roles_educador_base*loc_factorRN</f>
        <v/>
      </c>
      <c r="F9">
        <f>roles_educador_aumento</f>
        <v/>
      </c>
      <c r="G9" s="3" t="n">
        <v>1</v>
      </c>
      <c r="H9" s="3" t="n">
        <v>1</v>
      </c>
      <c r="I9" s="3" t="n">
        <v>0</v>
      </c>
      <c r="J9" s="3" t="n">
        <v>0</v>
      </c>
      <c r="K9" s="3" t="n">
        <v>0</v>
      </c>
      <c r="L9" s="3" t="n">
        <v>1</v>
      </c>
      <c r="M9" s="3" t="n">
        <v>1</v>
      </c>
      <c r="N9" s="3" t="n">
        <v>0</v>
      </c>
      <c r="O9" s="3" t="n">
        <v>0</v>
      </c>
      <c r="P9" s="3" t="n">
        <v>0</v>
      </c>
      <c r="Q9" s="3" t="n">
        <v>0</v>
      </c>
      <c r="R9" s="3" t="n">
        <v>0</v>
      </c>
      <c r="T9">
        <f>MAX(0,MIN($C9,T$4+1)-MAX($B9,T$4))</f>
        <v/>
      </c>
      <c r="U9">
        <f>MAX(0,MIN($C9,U$4+1)-MAX($B9,U$4))</f>
        <v/>
      </c>
      <c r="V9">
        <f>MAX(0,MIN($C9,V$4+1)-MAX($B9,V$4))</f>
        <v/>
      </c>
      <c r="W9">
        <f>MAX(0,MIN($C9,W$4+1)-MAX($B9,W$4))</f>
        <v/>
      </c>
      <c r="X9">
        <f>MAX(0,MIN($C9,X$4+1)-MAX($B9,X$4))</f>
        <v/>
      </c>
      <c r="Y9">
        <f>MAX(0,MIN($C9,Y$4+1)-MAX($B9,Y$4))</f>
        <v/>
      </c>
      <c r="Z9">
        <f>MAX(0,MIN($C9,Z$4+1)-MAX($B9,Z$4))</f>
        <v/>
      </c>
      <c r="AA9">
        <f>MAX(0,MIN($C9,AA$4+1)-MAX($B9,AA$4))</f>
        <v/>
      </c>
      <c r="AB9">
        <f>MAX(0,MIN($C9,AB$4+1)-MAX($B9,AB$4))</f>
        <v/>
      </c>
      <c r="AC9">
        <f>MAX(0,MIN($C9,AC$4+1)-MAX($B9,AC$4))</f>
        <v/>
      </c>
      <c r="AD9">
        <f>MAX(0,MIN($C9,AD$4+1)-MAX($B9,AD$4))</f>
        <v/>
      </c>
      <c r="AE9">
        <f>MAX(0,MIN($C9,AE$4+1)-MAX($B9,AE$4))</f>
        <v/>
      </c>
      <c r="AF9">
        <f>MAX(0,MIN($C9,AF$4+1)-MAX($B9,AF$4))</f>
        <v/>
      </c>
      <c r="AG9">
        <f>MAX(0,MIN($C9,AG$4+1)-MAX($B9,AG$4))</f>
        <v/>
      </c>
      <c r="AH9">
        <f>MAX(0,MIN($C9,AH$4+1)-MAX($B9,AH$4))</f>
        <v/>
      </c>
      <c r="AI9">
        <f>MAX(0,MIN($C9,AI$4+1)-MAX($B9,AI$4))</f>
        <v/>
      </c>
      <c r="AJ9">
        <f>MAX(0,MIN($C9,AJ$4+1)-MAX($B9,AJ$4))</f>
        <v/>
      </c>
      <c r="AK9">
        <f>MAX(0,MIN($C9,AK$4+1)-MAX($B9,AK$4))</f>
        <v/>
      </c>
      <c r="AL9">
        <f>MAX(0,MIN($C9,AL$4+1)-MAX($B9,AL$4))</f>
        <v/>
      </c>
      <c r="AM9">
        <f>MAX(0,MIN($C9,AM$4+1)-MAX($B9,AM$4))</f>
        <v/>
      </c>
      <c r="AO9" t="n">
        <v>0</v>
      </c>
      <c r="AP9" t="n">
        <v>0</v>
      </c>
    </row>
    <row r="10">
      <c r="A10" t="inlineStr"/>
      <c r="B10" s="3" t="n">
        <v>0</v>
      </c>
      <c r="C10" s="3" t="n">
        <v>0</v>
      </c>
      <c r="D10" t="inlineStr"/>
      <c r="E10" t="n">
        <v>0</v>
      </c>
      <c r="F10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T10">
        <f>MAX(0,MIN($C10,T$4+1)-MAX($B10,T$4))</f>
        <v/>
      </c>
      <c r="U10">
        <f>MAX(0,MIN($C10,U$4+1)-MAX($B10,U$4))</f>
        <v/>
      </c>
      <c r="V10">
        <f>MAX(0,MIN($C10,V$4+1)-MAX($B10,V$4))</f>
        <v/>
      </c>
      <c r="W10">
        <f>MAX(0,MIN($C10,W$4+1)-MAX($B10,W$4))</f>
        <v/>
      </c>
      <c r="X10">
        <f>MAX(0,MIN($C10,X$4+1)-MAX($B10,X$4))</f>
        <v/>
      </c>
      <c r="Y10">
        <f>MAX(0,MIN($C10,Y$4+1)-MAX($B10,Y$4))</f>
        <v/>
      </c>
      <c r="Z10">
        <f>MAX(0,MIN($C10,Z$4+1)-MAX($B10,Z$4))</f>
        <v/>
      </c>
      <c r="AA10">
        <f>MAX(0,MIN($C10,AA$4+1)-MAX($B10,AA$4))</f>
        <v/>
      </c>
      <c r="AB10">
        <f>MAX(0,MIN($C10,AB$4+1)-MAX($B10,AB$4))</f>
        <v/>
      </c>
      <c r="AC10">
        <f>MAX(0,MIN($C10,AC$4+1)-MAX($B10,AC$4))</f>
        <v/>
      </c>
      <c r="AD10">
        <f>MAX(0,MIN($C10,AD$4+1)-MAX($B10,AD$4))</f>
        <v/>
      </c>
      <c r="AE10">
        <f>MAX(0,MIN($C10,AE$4+1)-MAX($B10,AE$4))</f>
        <v/>
      </c>
      <c r="AF10">
        <f>MAX(0,MIN($C10,AF$4+1)-MAX($B10,AF$4))</f>
        <v/>
      </c>
      <c r="AG10">
        <f>MAX(0,MIN($C10,AG$4+1)-MAX($B10,AG$4))</f>
        <v/>
      </c>
      <c r="AH10">
        <f>MAX(0,MIN($C10,AH$4+1)-MAX($B10,AH$4))</f>
        <v/>
      </c>
      <c r="AI10">
        <f>MAX(0,MIN($C10,AI$4+1)-MAX($B10,AI$4))</f>
        <v/>
      </c>
      <c r="AJ10">
        <f>MAX(0,MIN($C10,AJ$4+1)-MAX($B10,AJ$4))</f>
        <v/>
      </c>
      <c r="AK10">
        <f>MAX(0,MIN($C10,AK$4+1)-MAX($B10,AK$4))</f>
        <v/>
      </c>
      <c r="AL10">
        <f>MAX(0,MIN($C10,AL$4+1)-MAX($B10,AL$4))</f>
        <v/>
      </c>
      <c r="AM10">
        <f>MAX(0,MIN($C10,AM$4+1)-MAX($B10,AM$4))</f>
        <v/>
      </c>
      <c r="AO10" t="n">
        <v>0</v>
      </c>
      <c r="AP10" t="n">
        <v>0</v>
      </c>
    </row>
    <row r="11">
      <c r="A11" t="inlineStr"/>
      <c r="B11" s="3" t="n">
        <v>0</v>
      </c>
      <c r="C11" s="3" t="n">
        <v>0</v>
      </c>
      <c r="D11" t="inlineStr"/>
      <c r="E11" t="n">
        <v>0</v>
      </c>
      <c r="F11" t="n">
        <v>0</v>
      </c>
      <c r="G11" s="3" t="n">
        <v>0</v>
      </c>
      <c r="H11" s="3" t="n">
        <v>0</v>
      </c>
      <c r="I11" s="3" t="n">
        <v>0</v>
      </c>
      <c r="J11" s="3" t="n">
        <v>0</v>
      </c>
      <c r="K11" s="3" t="n">
        <v>0</v>
      </c>
      <c r="L11" s="3" t="n">
        <v>0</v>
      </c>
      <c r="M11" s="3" t="n">
        <v>0</v>
      </c>
      <c r="N11" s="3" t="n">
        <v>0</v>
      </c>
      <c r="O11" s="3" t="n">
        <v>0</v>
      </c>
      <c r="P11" s="3" t="n">
        <v>0</v>
      </c>
      <c r="Q11" s="3" t="n">
        <v>0</v>
      </c>
      <c r="R11" s="3" t="n">
        <v>0</v>
      </c>
      <c r="T11">
        <f>MAX(0,MIN($C11,T$4+1)-MAX($B11,T$4))</f>
        <v/>
      </c>
      <c r="U11">
        <f>MAX(0,MIN($C11,U$4+1)-MAX($B11,U$4))</f>
        <v/>
      </c>
      <c r="V11">
        <f>MAX(0,MIN($C11,V$4+1)-MAX($B11,V$4))</f>
        <v/>
      </c>
      <c r="W11">
        <f>MAX(0,MIN($C11,W$4+1)-MAX($B11,W$4))</f>
        <v/>
      </c>
      <c r="X11">
        <f>MAX(0,MIN($C11,X$4+1)-MAX($B11,X$4))</f>
        <v/>
      </c>
      <c r="Y11">
        <f>MAX(0,MIN($C11,Y$4+1)-MAX($B11,Y$4))</f>
        <v/>
      </c>
      <c r="Z11">
        <f>MAX(0,MIN($C11,Z$4+1)-MAX($B11,Z$4))</f>
        <v/>
      </c>
      <c r="AA11">
        <f>MAX(0,MIN($C11,AA$4+1)-MAX($B11,AA$4))</f>
        <v/>
      </c>
      <c r="AB11">
        <f>MAX(0,MIN($C11,AB$4+1)-MAX($B11,AB$4))</f>
        <v/>
      </c>
      <c r="AC11">
        <f>MAX(0,MIN($C11,AC$4+1)-MAX($B11,AC$4))</f>
        <v/>
      </c>
      <c r="AD11">
        <f>MAX(0,MIN($C11,AD$4+1)-MAX($B11,AD$4))</f>
        <v/>
      </c>
      <c r="AE11">
        <f>MAX(0,MIN($C11,AE$4+1)-MAX($B11,AE$4))</f>
        <v/>
      </c>
      <c r="AF11">
        <f>MAX(0,MIN($C11,AF$4+1)-MAX($B11,AF$4))</f>
        <v/>
      </c>
      <c r="AG11">
        <f>MAX(0,MIN($C11,AG$4+1)-MAX($B11,AG$4))</f>
        <v/>
      </c>
      <c r="AH11">
        <f>MAX(0,MIN($C11,AH$4+1)-MAX($B11,AH$4))</f>
        <v/>
      </c>
      <c r="AI11">
        <f>MAX(0,MIN($C11,AI$4+1)-MAX($B11,AI$4))</f>
        <v/>
      </c>
      <c r="AJ11">
        <f>MAX(0,MIN($C11,AJ$4+1)-MAX($B11,AJ$4))</f>
        <v/>
      </c>
      <c r="AK11">
        <f>MAX(0,MIN($C11,AK$4+1)-MAX($B11,AK$4))</f>
        <v/>
      </c>
      <c r="AL11">
        <f>MAX(0,MIN($C11,AL$4+1)-MAX($B11,AL$4))</f>
        <v/>
      </c>
      <c r="AM11">
        <f>MAX(0,MIN($C11,AM$4+1)-MAX($B11,AM$4))</f>
        <v/>
      </c>
      <c r="AO11" t="n">
        <v>0</v>
      </c>
      <c r="AP11" t="n">
        <v>0</v>
      </c>
    </row>
    <row r="12">
      <c r="A12" t="inlineStr"/>
      <c r="B12" s="3" t="n">
        <v>0</v>
      </c>
      <c r="C12" s="3" t="n">
        <v>0</v>
      </c>
      <c r="D12" t="inlineStr"/>
      <c r="E12" t="n">
        <v>0</v>
      </c>
      <c r="F12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T12">
        <f>MAX(0,MIN($C12,T$4+1)-MAX($B12,T$4))</f>
        <v/>
      </c>
      <c r="U12">
        <f>MAX(0,MIN($C12,U$4+1)-MAX($B12,U$4))</f>
        <v/>
      </c>
      <c r="V12">
        <f>MAX(0,MIN($C12,V$4+1)-MAX($B12,V$4))</f>
        <v/>
      </c>
      <c r="W12">
        <f>MAX(0,MIN($C12,W$4+1)-MAX($B12,W$4))</f>
        <v/>
      </c>
      <c r="X12">
        <f>MAX(0,MIN($C12,X$4+1)-MAX($B12,X$4))</f>
        <v/>
      </c>
      <c r="Y12">
        <f>MAX(0,MIN($C12,Y$4+1)-MAX($B12,Y$4))</f>
        <v/>
      </c>
      <c r="Z12">
        <f>MAX(0,MIN($C12,Z$4+1)-MAX($B12,Z$4))</f>
        <v/>
      </c>
      <c r="AA12">
        <f>MAX(0,MIN($C12,AA$4+1)-MAX($B12,AA$4))</f>
        <v/>
      </c>
      <c r="AB12">
        <f>MAX(0,MIN($C12,AB$4+1)-MAX($B12,AB$4))</f>
        <v/>
      </c>
      <c r="AC12">
        <f>MAX(0,MIN($C12,AC$4+1)-MAX($B12,AC$4))</f>
        <v/>
      </c>
      <c r="AD12">
        <f>MAX(0,MIN($C12,AD$4+1)-MAX($B12,AD$4))</f>
        <v/>
      </c>
      <c r="AE12">
        <f>MAX(0,MIN($C12,AE$4+1)-MAX($B12,AE$4))</f>
        <v/>
      </c>
      <c r="AF12">
        <f>MAX(0,MIN($C12,AF$4+1)-MAX($B12,AF$4))</f>
        <v/>
      </c>
      <c r="AG12">
        <f>MAX(0,MIN($C12,AG$4+1)-MAX($B12,AG$4))</f>
        <v/>
      </c>
      <c r="AH12">
        <f>MAX(0,MIN($C12,AH$4+1)-MAX($B12,AH$4))</f>
        <v/>
      </c>
      <c r="AI12">
        <f>MAX(0,MIN($C12,AI$4+1)-MAX($B12,AI$4))</f>
        <v/>
      </c>
      <c r="AJ12">
        <f>MAX(0,MIN($C12,AJ$4+1)-MAX($B12,AJ$4))</f>
        <v/>
      </c>
      <c r="AK12">
        <f>MAX(0,MIN($C12,AK$4+1)-MAX($B12,AK$4))</f>
        <v/>
      </c>
      <c r="AL12">
        <f>MAX(0,MIN($C12,AL$4+1)-MAX($B12,AL$4))</f>
        <v/>
      </c>
      <c r="AM12">
        <f>MAX(0,MIN($C12,AM$4+1)-MAX($B12,AM$4))</f>
        <v/>
      </c>
      <c r="AO12" t="n">
        <v>0</v>
      </c>
      <c r="AP12" t="n">
        <v>0</v>
      </c>
    </row>
    <row r="13">
      <c r="A13" t="inlineStr"/>
      <c r="B13" s="3" t="n">
        <v>0</v>
      </c>
      <c r="C13" s="3" t="n">
        <v>0</v>
      </c>
      <c r="D13" t="inlineStr"/>
      <c r="E13" t="n">
        <v>0</v>
      </c>
      <c r="F1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T13">
        <f>MAX(0,MIN($C13,T$4+1)-MAX($B13,T$4))</f>
        <v/>
      </c>
      <c r="U13">
        <f>MAX(0,MIN($C13,U$4+1)-MAX($B13,U$4))</f>
        <v/>
      </c>
      <c r="V13">
        <f>MAX(0,MIN($C13,V$4+1)-MAX($B13,V$4))</f>
        <v/>
      </c>
      <c r="W13">
        <f>MAX(0,MIN($C13,W$4+1)-MAX($B13,W$4))</f>
        <v/>
      </c>
      <c r="X13">
        <f>MAX(0,MIN($C13,X$4+1)-MAX($B13,X$4))</f>
        <v/>
      </c>
      <c r="Y13">
        <f>MAX(0,MIN($C13,Y$4+1)-MAX($B13,Y$4))</f>
        <v/>
      </c>
      <c r="Z13">
        <f>MAX(0,MIN($C13,Z$4+1)-MAX($B13,Z$4))</f>
        <v/>
      </c>
      <c r="AA13">
        <f>MAX(0,MIN($C13,AA$4+1)-MAX($B13,AA$4))</f>
        <v/>
      </c>
      <c r="AB13">
        <f>MAX(0,MIN($C13,AB$4+1)-MAX($B13,AB$4))</f>
        <v/>
      </c>
      <c r="AC13">
        <f>MAX(0,MIN($C13,AC$4+1)-MAX($B13,AC$4))</f>
        <v/>
      </c>
      <c r="AD13">
        <f>MAX(0,MIN($C13,AD$4+1)-MAX($B13,AD$4))</f>
        <v/>
      </c>
      <c r="AE13">
        <f>MAX(0,MIN($C13,AE$4+1)-MAX($B13,AE$4))</f>
        <v/>
      </c>
      <c r="AF13">
        <f>MAX(0,MIN($C13,AF$4+1)-MAX($B13,AF$4))</f>
        <v/>
      </c>
      <c r="AG13">
        <f>MAX(0,MIN($C13,AG$4+1)-MAX($B13,AG$4))</f>
        <v/>
      </c>
      <c r="AH13">
        <f>MAX(0,MIN($C13,AH$4+1)-MAX($B13,AH$4))</f>
        <v/>
      </c>
      <c r="AI13">
        <f>MAX(0,MIN($C13,AI$4+1)-MAX($B13,AI$4))</f>
        <v/>
      </c>
      <c r="AJ13">
        <f>MAX(0,MIN($C13,AJ$4+1)-MAX($B13,AJ$4))</f>
        <v/>
      </c>
      <c r="AK13">
        <f>MAX(0,MIN($C13,AK$4+1)-MAX($B13,AK$4))</f>
        <v/>
      </c>
      <c r="AL13">
        <f>MAX(0,MIN($C13,AL$4+1)-MAX($B13,AL$4))</f>
        <v/>
      </c>
      <c r="AM13">
        <f>MAX(0,MIN($C13,AM$4+1)-MAX($B13,AM$4))</f>
        <v/>
      </c>
      <c r="AO13" t="n">
        <v>0</v>
      </c>
      <c r="AP13" t="n">
        <v>0</v>
      </c>
    </row>
    <row r="14">
      <c r="A14" t="inlineStr"/>
      <c r="B14" s="3" t="n">
        <v>0</v>
      </c>
      <c r="C14" s="3" t="n">
        <v>0</v>
      </c>
      <c r="D14" t="inlineStr"/>
      <c r="E14" t="n">
        <v>0</v>
      </c>
      <c r="F14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T14">
        <f>MAX(0,MIN($C14,T$4+1)-MAX($B14,T$4))</f>
        <v/>
      </c>
      <c r="U14">
        <f>MAX(0,MIN($C14,U$4+1)-MAX($B14,U$4))</f>
        <v/>
      </c>
      <c r="V14">
        <f>MAX(0,MIN($C14,V$4+1)-MAX($B14,V$4))</f>
        <v/>
      </c>
      <c r="W14">
        <f>MAX(0,MIN($C14,W$4+1)-MAX($B14,W$4))</f>
        <v/>
      </c>
      <c r="X14">
        <f>MAX(0,MIN($C14,X$4+1)-MAX($B14,X$4))</f>
        <v/>
      </c>
      <c r="Y14">
        <f>MAX(0,MIN($C14,Y$4+1)-MAX($B14,Y$4))</f>
        <v/>
      </c>
      <c r="Z14">
        <f>MAX(0,MIN($C14,Z$4+1)-MAX($B14,Z$4))</f>
        <v/>
      </c>
      <c r="AA14">
        <f>MAX(0,MIN($C14,AA$4+1)-MAX($B14,AA$4))</f>
        <v/>
      </c>
      <c r="AB14">
        <f>MAX(0,MIN($C14,AB$4+1)-MAX($B14,AB$4))</f>
        <v/>
      </c>
      <c r="AC14">
        <f>MAX(0,MIN($C14,AC$4+1)-MAX($B14,AC$4))</f>
        <v/>
      </c>
      <c r="AD14">
        <f>MAX(0,MIN($C14,AD$4+1)-MAX($B14,AD$4))</f>
        <v/>
      </c>
      <c r="AE14">
        <f>MAX(0,MIN($C14,AE$4+1)-MAX($B14,AE$4))</f>
        <v/>
      </c>
      <c r="AF14">
        <f>MAX(0,MIN($C14,AF$4+1)-MAX($B14,AF$4))</f>
        <v/>
      </c>
      <c r="AG14">
        <f>MAX(0,MIN($C14,AG$4+1)-MAX($B14,AG$4))</f>
        <v/>
      </c>
      <c r="AH14">
        <f>MAX(0,MIN($C14,AH$4+1)-MAX($B14,AH$4))</f>
        <v/>
      </c>
      <c r="AI14">
        <f>MAX(0,MIN($C14,AI$4+1)-MAX($B14,AI$4))</f>
        <v/>
      </c>
      <c r="AJ14">
        <f>MAX(0,MIN($C14,AJ$4+1)-MAX($B14,AJ$4))</f>
        <v/>
      </c>
      <c r="AK14">
        <f>MAX(0,MIN($C14,AK$4+1)-MAX($B14,AK$4))</f>
        <v/>
      </c>
      <c r="AL14">
        <f>MAX(0,MIN($C14,AL$4+1)-MAX($B14,AL$4))</f>
        <v/>
      </c>
      <c r="AM14">
        <f>MAX(0,MIN($C14,AM$4+1)-MAX($B14,AM$4))</f>
        <v/>
      </c>
      <c r="AO14" t="n">
        <v>0</v>
      </c>
      <c r="AP14" t="n">
        <v>0</v>
      </c>
    </row>
    <row r="15">
      <c r="A15" t="inlineStr"/>
      <c r="B15" s="3" t="n">
        <v>0</v>
      </c>
      <c r="C15" s="3" t="n">
        <v>0</v>
      </c>
      <c r="D15" t="inlineStr"/>
      <c r="E15" t="n">
        <v>0</v>
      </c>
      <c r="F15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T15">
        <f>MAX(0,MIN($C15,T$4+1)-MAX($B15,T$4))</f>
        <v/>
      </c>
      <c r="U15">
        <f>MAX(0,MIN($C15,U$4+1)-MAX($B15,U$4))</f>
        <v/>
      </c>
      <c r="V15">
        <f>MAX(0,MIN($C15,V$4+1)-MAX($B15,V$4))</f>
        <v/>
      </c>
      <c r="W15">
        <f>MAX(0,MIN($C15,W$4+1)-MAX($B15,W$4))</f>
        <v/>
      </c>
      <c r="X15">
        <f>MAX(0,MIN($C15,X$4+1)-MAX($B15,X$4))</f>
        <v/>
      </c>
      <c r="Y15">
        <f>MAX(0,MIN($C15,Y$4+1)-MAX($B15,Y$4))</f>
        <v/>
      </c>
      <c r="Z15">
        <f>MAX(0,MIN($C15,Z$4+1)-MAX($B15,Z$4))</f>
        <v/>
      </c>
      <c r="AA15">
        <f>MAX(0,MIN($C15,AA$4+1)-MAX($B15,AA$4))</f>
        <v/>
      </c>
      <c r="AB15">
        <f>MAX(0,MIN($C15,AB$4+1)-MAX($B15,AB$4))</f>
        <v/>
      </c>
      <c r="AC15">
        <f>MAX(0,MIN($C15,AC$4+1)-MAX($B15,AC$4))</f>
        <v/>
      </c>
      <c r="AD15">
        <f>MAX(0,MIN($C15,AD$4+1)-MAX($B15,AD$4))</f>
        <v/>
      </c>
      <c r="AE15">
        <f>MAX(0,MIN($C15,AE$4+1)-MAX($B15,AE$4))</f>
        <v/>
      </c>
      <c r="AF15">
        <f>MAX(0,MIN($C15,AF$4+1)-MAX($B15,AF$4))</f>
        <v/>
      </c>
      <c r="AG15">
        <f>MAX(0,MIN($C15,AG$4+1)-MAX($B15,AG$4))</f>
        <v/>
      </c>
      <c r="AH15">
        <f>MAX(0,MIN($C15,AH$4+1)-MAX($B15,AH$4))</f>
        <v/>
      </c>
      <c r="AI15">
        <f>MAX(0,MIN($C15,AI$4+1)-MAX($B15,AI$4))</f>
        <v/>
      </c>
      <c r="AJ15">
        <f>MAX(0,MIN($C15,AJ$4+1)-MAX($B15,AJ$4))</f>
        <v/>
      </c>
      <c r="AK15">
        <f>MAX(0,MIN($C15,AK$4+1)-MAX($B15,AK$4))</f>
        <v/>
      </c>
      <c r="AL15">
        <f>MAX(0,MIN($C15,AL$4+1)-MAX($B15,AL$4))</f>
        <v/>
      </c>
      <c r="AM15">
        <f>MAX(0,MIN($C15,AM$4+1)-MAX($B15,AM$4))</f>
        <v/>
      </c>
      <c r="AO15" t="n">
        <v>0</v>
      </c>
      <c r="AP15" t="n">
        <v>0</v>
      </c>
    </row>
    <row r="16">
      <c r="A16" t="inlineStr"/>
      <c r="B16" s="3" t="n">
        <v>0</v>
      </c>
      <c r="C16" s="3" t="n">
        <v>0</v>
      </c>
      <c r="D16" t="inlineStr"/>
      <c r="E16" t="n">
        <v>0</v>
      </c>
      <c r="F16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0</v>
      </c>
      <c r="T16">
        <f>MAX(0,MIN($C16,T$4+1)-MAX($B16,T$4))</f>
        <v/>
      </c>
      <c r="U16">
        <f>MAX(0,MIN($C16,U$4+1)-MAX($B16,U$4))</f>
        <v/>
      </c>
      <c r="V16">
        <f>MAX(0,MIN($C16,V$4+1)-MAX($B16,V$4))</f>
        <v/>
      </c>
      <c r="W16">
        <f>MAX(0,MIN($C16,W$4+1)-MAX($B16,W$4))</f>
        <v/>
      </c>
      <c r="X16">
        <f>MAX(0,MIN($C16,X$4+1)-MAX($B16,X$4))</f>
        <v/>
      </c>
      <c r="Y16">
        <f>MAX(0,MIN($C16,Y$4+1)-MAX($B16,Y$4))</f>
        <v/>
      </c>
      <c r="Z16">
        <f>MAX(0,MIN($C16,Z$4+1)-MAX($B16,Z$4))</f>
        <v/>
      </c>
      <c r="AA16">
        <f>MAX(0,MIN($C16,AA$4+1)-MAX($B16,AA$4))</f>
        <v/>
      </c>
      <c r="AB16">
        <f>MAX(0,MIN($C16,AB$4+1)-MAX($B16,AB$4))</f>
        <v/>
      </c>
      <c r="AC16">
        <f>MAX(0,MIN($C16,AC$4+1)-MAX($B16,AC$4))</f>
        <v/>
      </c>
      <c r="AD16">
        <f>MAX(0,MIN($C16,AD$4+1)-MAX($B16,AD$4))</f>
        <v/>
      </c>
      <c r="AE16">
        <f>MAX(0,MIN($C16,AE$4+1)-MAX($B16,AE$4))</f>
        <v/>
      </c>
      <c r="AF16">
        <f>MAX(0,MIN($C16,AF$4+1)-MAX($B16,AF$4))</f>
        <v/>
      </c>
      <c r="AG16">
        <f>MAX(0,MIN($C16,AG$4+1)-MAX($B16,AG$4))</f>
        <v/>
      </c>
      <c r="AH16">
        <f>MAX(0,MIN($C16,AH$4+1)-MAX($B16,AH$4))</f>
        <v/>
      </c>
      <c r="AI16">
        <f>MAX(0,MIN($C16,AI$4+1)-MAX($B16,AI$4))</f>
        <v/>
      </c>
      <c r="AJ16">
        <f>MAX(0,MIN($C16,AJ$4+1)-MAX($B16,AJ$4))</f>
        <v/>
      </c>
      <c r="AK16">
        <f>MAX(0,MIN($C16,AK$4+1)-MAX($B16,AK$4))</f>
        <v/>
      </c>
      <c r="AL16">
        <f>MAX(0,MIN($C16,AL$4+1)-MAX($B16,AL$4))</f>
        <v/>
      </c>
      <c r="AM16">
        <f>MAX(0,MIN($C16,AM$4+1)-MAX($B16,AM$4))</f>
        <v/>
      </c>
      <c r="AO16" t="n">
        <v>0</v>
      </c>
      <c r="AP16" t="n">
        <v>0</v>
      </c>
    </row>
    <row r="17">
      <c r="A17" t="inlineStr"/>
      <c r="B17" s="3" t="n">
        <v>0</v>
      </c>
      <c r="C17" s="3" t="n">
        <v>0</v>
      </c>
      <c r="D17" t="inlineStr"/>
      <c r="E17" t="n">
        <v>0</v>
      </c>
      <c r="F17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T17">
        <f>MAX(0,MIN($C17,T$4+1)-MAX($B17,T$4))</f>
        <v/>
      </c>
      <c r="U17">
        <f>MAX(0,MIN($C17,U$4+1)-MAX($B17,U$4))</f>
        <v/>
      </c>
      <c r="V17">
        <f>MAX(0,MIN($C17,V$4+1)-MAX($B17,V$4))</f>
        <v/>
      </c>
      <c r="W17">
        <f>MAX(0,MIN($C17,W$4+1)-MAX($B17,W$4))</f>
        <v/>
      </c>
      <c r="X17">
        <f>MAX(0,MIN($C17,X$4+1)-MAX($B17,X$4))</f>
        <v/>
      </c>
      <c r="Y17">
        <f>MAX(0,MIN($C17,Y$4+1)-MAX($B17,Y$4))</f>
        <v/>
      </c>
      <c r="Z17">
        <f>MAX(0,MIN($C17,Z$4+1)-MAX($B17,Z$4))</f>
        <v/>
      </c>
      <c r="AA17">
        <f>MAX(0,MIN($C17,AA$4+1)-MAX($B17,AA$4))</f>
        <v/>
      </c>
      <c r="AB17">
        <f>MAX(0,MIN($C17,AB$4+1)-MAX($B17,AB$4))</f>
        <v/>
      </c>
      <c r="AC17">
        <f>MAX(0,MIN($C17,AC$4+1)-MAX($B17,AC$4))</f>
        <v/>
      </c>
      <c r="AD17">
        <f>MAX(0,MIN($C17,AD$4+1)-MAX($B17,AD$4))</f>
        <v/>
      </c>
      <c r="AE17">
        <f>MAX(0,MIN($C17,AE$4+1)-MAX($B17,AE$4))</f>
        <v/>
      </c>
      <c r="AF17">
        <f>MAX(0,MIN($C17,AF$4+1)-MAX($B17,AF$4))</f>
        <v/>
      </c>
      <c r="AG17">
        <f>MAX(0,MIN($C17,AG$4+1)-MAX($B17,AG$4))</f>
        <v/>
      </c>
      <c r="AH17">
        <f>MAX(0,MIN($C17,AH$4+1)-MAX($B17,AH$4))</f>
        <v/>
      </c>
      <c r="AI17">
        <f>MAX(0,MIN($C17,AI$4+1)-MAX($B17,AI$4))</f>
        <v/>
      </c>
      <c r="AJ17">
        <f>MAX(0,MIN($C17,AJ$4+1)-MAX($B17,AJ$4))</f>
        <v/>
      </c>
      <c r="AK17">
        <f>MAX(0,MIN($C17,AK$4+1)-MAX($B17,AK$4))</f>
        <v/>
      </c>
      <c r="AL17">
        <f>MAX(0,MIN($C17,AL$4+1)-MAX($B17,AL$4))</f>
        <v/>
      </c>
      <c r="AM17">
        <f>MAX(0,MIN($C17,AM$4+1)-MAX($B17,AM$4))</f>
        <v/>
      </c>
      <c r="AO17" t="n">
        <v>0</v>
      </c>
      <c r="AP17" t="n">
        <v>0</v>
      </c>
    </row>
    <row r="18">
      <c r="A18" t="inlineStr"/>
      <c r="B18" s="3" t="n">
        <v>0</v>
      </c>
      <c r="C18" s="3" t="n">
        <v>0</v>
      </c>
      <c r="D18" t="inlineStr"/>
      <c r="E18" t="n">
        <v>0</v>
      </c>
      <c r="F18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T18">
        <f>MAX(0,MIN($C18,T$4+1)-MAX($B18,T$4))</f>
        <v/>
      </c>
      <c r="U18">
        <f>MAX(0,MIN($C18,U$4+1)-MAX($B18,U$4))</f>
        <v/>
      </c>
      <c r="V18">
        <f>MAX(0,MIN($C18,V$4+1)-MAX($B18,V$4))</f>
        <v/>
      </c>
      <c r="W18">
        <f>MAX(0,MIN($C18,W$4+1)-MAX($B18,W$4))</f>
        <v/>
      </c>
      <c r="X18">
        <f>MAX(0,MIN($C18,X$4+1)-MAX($B18,X$4))</f>
        <v/>
      </c>
      <c r="Y18">
        <f>MAX(0,MIN($C18,Y$4+1)-MAX($B18,Y$4))</f>
        <v/>
      </c>
      <c r="Z18">
        <f>MAX(0,MIN($C18,Z$4+1)-MAX($B18,Z$4))</f>
        <v/>
      </c>
      <c r="AA18">
        <f>MAX(0,MIN($C18,AA$4+1)-MAX($B18,AA$4))</f>
        <v/>
      </c>
      <c r="AB18">
        <f>MAX(0,MIN($C18,AB$4+1)-MAX($B18,AB$4))</f>
        <v/>
      </c>
      <c r="AC18">
        <f>MAX(0,MIN($C18,AC$4+1)-MAX($B18,AC$4))</f>
        <v/>
      </c>
      <c r="AD18">
        <f>MAX(0,MIN($C18,AD$4+1)-MAX($B18,AD$4))</f>
        <v/>
      </c>
      <c r="AE18">
        <f>MAX(0,MIN($C18,AE$4+1)-MAX($B18,AE$4))</f>
        <v/>
      </c>
      <c r="AF18">
        <f>MAX(0,MIN($C18,AF$4+1)-MAX($B18,AF$4))</f>
        <v/>
      </c>
      <c r="AG18">
        <f>MAX(0,MIN($C18,AG$4+1)-MAX($B18,AG$4))</f>
        <v/>
      </c>
      <c r="AH18">
        <f>MAX(0,MIN($C18,AH$4+1)-MAX($B18,AH$4))</f>
        <v/>
      </c>
      <c r="AI18">
        <f>MAX(0,MIN($C18,AI$4+1)-MAX($B18,AI$4))</f>
        <v/>
      </c>
      <c r="AJ18">
        <f>MAX(0,MIN($C18,AJ$4+1)-MAX($B18,AJ$4))</f>
        <v/>
      </c>
      <c r="AK18">
        <f>MAX(0,MIN($C18,AK$4+1)-MAX($B18,AK$4))</f>
        <v/>
      </c>
      <c r="AL18">
        <f>MAX(0,MIN($C18,AL$4+1)-MAX($B18,AL$4))</f>
        <v/>
      </c>
      <c r="AM18">
        <f>MAX(0,MIN($C18,AM$4+1)-MAX($B18,AM$4))</f>
        <v/>
      </c>
      <c r="AO18" t="n">
        <v>0</v>
      </c>
      <c r="AP18" t="n">
        <v>0</v>
      </c>
    </row>
    <row r="19">
      <c r="A19" t="inlineStr"/>
      <c r="B19" s="3" t="n">
        <v>0</v>
      </c>
      <c r="C19" s="3" t="n">
        <v>0</v>
      </c>
      <c r="D19" t="inlineStr"/>
      <c r="E19" t="n">
        <v>0</v>
      </c>
      <c r="F19" t="n">
        <v>0</v>
      </c>
      <c r="G19" s="3" t="n">
        <v>0</v>
      </c>
      <c r="H19" s="3" t="n">
        <v>0</v>
      </c>
      <c r="I19" s="3" t="n">
        <v>0</v>
      </c>
      <c r="J19" s="3" t="n">
        <v>0</v>
      </c>
      <c r="K19" s="3" t="n">
        <v>0</v>
      </c>
      <c r="L19" s="3" t="n">
        <v>0</v>
      </c>
      <c r="M19" s="3" t="n">
        <v>0</v>
      </c>
      <c r="N19" s="3" t="n">
        <v>0</v>
      </c>
      <c r="O19" s="3" t="n">
        <v>0</v>
      </c>
      <c r="P19" s="3" t="n">
        <v>0</v>
      </c>
      <c r="Q19" s="3" t="n">
        <v>0</v>
      </c>
      <c r="R19" s="3" t="n">
        <v>0</v>
      </c>
      <c r="T19">
        <f>MAX(0,MIN($C19,T$4+1)-MAX($B19,T$4))</f>
        <v/>
      </c>
      <c r="U19">
        <f>MAX(0,MIN($C19,U$4+1)-MAX($B19,U$4))</f>
        <v/>
      </c>
      <c r="V19">
        <f>MAX(0,MIN($C19,V$4+1)-MAX($B19,V$4))</f>
        <v/>
      </c>
      <c r="W19">
        <f>MAX(0,MIN($C19,W$4+1)-MAX($B19,W$4))</f>
        <v/>
      </c>
      <c r="X19">
        <f>MAX(0,MIN($C19,X$4+1)-MAX($B19,X$4))</f>
        <v/>
      </c>
      <c r="Y19">
        <f>MAX(0,MIN($C19,Y$4+1)-MAX($B19,Y$4))</f>
        <v/>
      </c>
      <c r="Z19">
        <f>MAX(0,MIN($C19,Z$4+1)-MAX($B19,Z$4))</f>
        <v/>
      </c>
      <c r="AA19">
        <f>MAX(0,MIN($C19,AA$4+1)-MAX($B19,AA$4))</f>
        <v/>
      </c>
      <c r="AB19">
        <f>MAX(0,MIN($C19,AB$4+1)-MAX($B19,AB$4))</f>
        <v/>
      </c>
      <c r="AC19">
        <f>MAX(0,MIN($C19,AC$4+1)-MAX($B19,AC$4))</f>
        <v/>
      </c>
      <c r="AD19">
        <f>MAX(0,MIN($C19,AD$4+1)-MAX($B19,AD$4))</f>
        <v/>
      </c>
      <c r="AE19">
        <f>MAX(0,MIN($C19,AE$4+1)-MAX($B19,AE$4))</f>
        <v/>
      </c>
      <c r="AF19">
        <f>MAX(0,MIN($C19,AF$4+1)-MAX($B19,AF$4))</f>
        <v/>
      </c>
      <c r="AG19">
        <f>MAX(0,MIN($C19,AG$4+1)-MAX($B19,AG$4))</f>
        <v/>
      </c>
      <c r="AH19">
        <f>MAX(0,MIN($C19,AH$4+1)-MAX($B19,AH$4))</f>
        <v/>
      </c>
      <c r="AI19">
        <f>MAX(0,MIN($C19,AI$4+1)-MAX($B19,AI$4))</f>
        <v/>
      </c>
      <c r="AJ19">
        <f>MAX(0,MIN($C19,AJ$4+1)-MAX($B19,AJ$4))</f>
        <v/>
      </c>
      <c r="AK19">
        <f>MAX(0,MIN($C19,AK$4+1)-MAX($B19,AK$4))</f>
        <v/>
      </c>
      <c r="AL19">
        <f>MAX(0,MIN($C19,AL$4+1)-MAX($B19,AL$4))</f>
        <v/>
      </c>
      <c r="AM19">
        <f>MAX(0,MIN($C19,AM$4+1)-MAX($B19,AM$4))</f>
        <v/>
      </c>
      <c r="AO19" t="n">
        <v>0</v>
      </c>
      <c r="AP19" t="n">
        <v>0</v>
      </c>
    </row>
    <row r="20">
      <c r="A20" t="inlineStr"/>
      <c r="B20" s="3" t="n">
        <v>0</v>
      </c>
      <c r="C20" s="3" t="n">
        <v>0</v>
      </c>
      <c r="D20" t="inlineStr"/>
      <c r="E20" t="n">
        <v>0</v>
      </c>
      <c r="F20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T20">
        <f>MAX(0,MIN($C20,T$4+1)-MAX($B20,T$4))</f>
        <v/>
      </c>
      <c r="U20">
        <f>MAX(0,MIN($C20,U$4+1)-MAX($B20,U$4))</f>
        <v/>
      </c>
      <c r="V20">
        <f>MAX(0,MIN($C20,V$4+1)-MAX($B20,V$4))</f>
        <v/>
      </c>
      <c r="W20">
        <f>MAX(0,MIN($C20,W$4+1)-MAX($B20,W$4))</f>
        <v/>
      </c>
      <c r="X20">
        <f>MAX(0,MIN($C20,X$4+1)-MAX($B20,X$4))</f>
        <v/>
      </c>
      <c r="Y20">
        <f>MAX(0,MIN($C20,Y$4+1)-MAX($B20,Y$4))</f>
        <v/>
      </c>
      <c r="Z20">
        <f>MAX(0,MIN($C20,Z$4+1)-MAX($B20,Z$4))</f>
        <v/>
      </c>
      <c r="AA20">
        <f>MAX(0,MIN($C20,AA$4+1)-MAX($B20,AA$4))</f>
        <v/>
      </c>
      <c r="AB20">
        <f>MAX(0,MIN($C20,AB$4+1)-MAX($B20,AB$4))</f>
        <v/>
      </c>
      <c r="AC20">
        <f>MAX(0,MIN($C20,AC$4+1)-MAX($B20,AC$4))</f>
        <v/>
      </c>
      <c r="AD20">
        <f>MAX(0,MIN($C20,AD$4+1)-MAX($B20,AD$4))</f>
        <v/>
      </c>
      <c r="AE20">
        <f>MAX(0,MIN($C20,AE$4+1)-MAX($B20,AE$4))</f>
        <v/>
      </c>
      <c r="AF20">
        <f>MAX(0,MIN($C20,AF$4+1)-MAX($B20,AF$4))</f>
        <v/>
      </c>
      <c r="AG20">
        <f>MAX(0,MIN($C20,AG$4+1)-MAX($B20,AG$4))</f>
        <v/>
      </c>
      <c r="AH20">
        <f>MAX(0,MIN($C20,AH$4+1)-MAX($B20,AH$4))</f>
        <v/>
      </c>
      <c r="AI20">
        <f>MAX(0,MIN($C20,AI$4+1)-MAX($B20,AI$4))</f>
        <v/>
      </c>
      <c r="AJ20">
        <f>MAX(0,MIN($C20,AJ$4+1)-MAX($B20,AJ$4))</f>
        <v/>
      </c>
      <c r="AK20">
        <f>MAX(0,MIN($C20,AK$4+1)-MAX($B20,AK$4))</f>
        <v/>
      </c>
      <c r="AL20">
        <f>MAX(0,MIN($C20,AL$4+1)-MAX($B20,AL$4))</f>
        <v/>
      </c>
      <c r="AM20">
        <f>MAX(0,MIN($C20,AM$4+1)-MAX($B20,AM$4))</f>
        <v/>
      </c>
      <c r="AO20" t="n">
        <v>0</v>
      </c>
      <c r="AP20" t="n">
        <v>0</v>
      </c>
    </row>
    <row r="21">
      <c r="A21" t="inlineStr"/>
      <c r="B21" s="3" t="n">
        <v>0</v>
      </c>
      <c r="C21" s="3" t="n">
        <v>0</v>
      </c>
      <c r="D21" t="inlineStr"/>
      <c r="E21" t="n">
        <v>0</v>
      </c>
      <c r="F21" t="n">
        <v>0</v>
      </c>
      <c r="G21" s="3" t="n">
        <v>0</v>
      </c>
      <c r="H21" s="3" t="n">
        <v>0</v>
      </c>
      <c r="I21" s="3" t="n">
        <v>0</v>
      </c>
      <c r="J21" s="3" t="n">
        <v>0</v>
      </c>
      <c r="K21" s="3" t="n">
        <v>0</v>
      </c>
      <c r="L21" s="3" t="n">
        <v>0</v>
      </c>
      <c r="M21" s="3" t="n">
        <v>0</v>
      </c>
      <c r="N21" s="3" t="n">
        <v>0</v>
      </c>
      <c r="O21" s="3" t="n">
        <v>0</v>
      </c>
      <c r="P21" s="3" t="n">
        <v>0</v>
      </c>
      <c r="Q21" s="3" t="n">
        <v>0</v>
      </c>
      <c r="R21" s="3" t="n">
        <v>0</v>
      </c>
      <c r="T21">
        <f>MAX(0,MIN($C21,T$4+1)-MAX($B21,T$4))</f>
        <v/>
      </c>
      <c r="U21">
        <f>MAX(0,MIN($C21,U$4+1)-MAX($B21,U$4))</f>
        <v/>
      </c>
      <c r="V21">
        <f>MAX(0,MIN($C21,V$4+1)-MAX($B21,V$4))</f>
        <v/>
      </c>
      <c r="W21">
        <f>MAX(0,MIN($C21,W$4+1)-MAX($B21,W$4))</f>
        <v/>
      </c>
      <c r="X21">
        <f>MAX(0,MIN($C21,X$4+1)-MAX($B21,X$4))</f>
        <v/>
      </c>
      <c r="Y21">
        <f>MAX(0,MIN($C21,Y$4+1)-MAX($B21,Y$4))</f>
        <v/>
      </c>
      <c r="Z21">
        <f>MAX(0,MIN($C21,Z$4+1)-MAX($B21,Z$4))</f>
        <v/>
      </c>
      <c r="AA21">
        <f>MAX(0,MIN($C21,AA$4+1)-MAX($B21,AA$4))</f>
        <v/>
      </c>
      <c r="AB21">
        <f>MAX(0,MIN($C21,AB$4+1)-MAX($B21,AB$4))</f>
        <v/>
      </c>
      <c r="AC21">
        <f>MAX(0,MIN($C21,AC$4+1)-MAX($B21,AC$4))</f>
        <v/>
      </c>
      <c r="AD21">
        <f>MAX(0,MIN($C21,AD$4+1)-MAX($B21,AD$4))</f>
        <v/>
      </c>
      <c r="AE21">
        <f>MAX(0,MIN($C21,AE$4+1)-MAX($B21,AE$4))</f>
        <v/>
      </c>
      <c r="AF21">
        <f>MAX(0,MIN($C21,AF$4+1)-MAX($B21,AF$4))</f>
        <v/>
      </c>
      <c r="AG21">
        <f>MAX(0,MIN($C21,AG$4+1)-MAX($B21,AG$4))</f>
        <v/>
      </c>
      <c r="AH21">
        <f>MAX(0,MIN($C21,AH$4+1)-MAX($B21,AH$4))</f>
        <v/>
      </c>
      <c r="AI21">
        <f>MAX(0,MIN($C21,AI$4+1)-MAX($B21,AI$4))</f>
        <v/>
      </c>
      <c r="AJ21">
        <f>MAX(0,MIN($C21,AJ$4+1)-MAX($B21,AJ$4))</f>
        <v/>
      </c>
      <c r="AK21">
        <f>MAX(0,MIN($C21,AK$4+1)-MAX($B21,AK$4))</f>
        <v/>
      </c>
      <c r="AL21">
        <f>MAX(0,MIN($C21,AL$4+1)-MAX($B21,AL$4))</f>
        <v/>
      </c>
      <c r="AM21">
        <f>MAX(0,MIN($C21,AM$4+1)-MAX($B21,AM$4))</f>
        <v/>
      </c>
      <c r="AO21" t="n">
        <v>0</v>
      </c>
      <c r="AP21" t="n">
        <v>0</v>
      </c>
    </row>
    <row r="22">
      <c r="A22" t="inlineStr"/>
      <c r="B22" s="3" t="n">
        <v>0</v>
      </c>
      <c r="C22" s="3" t="n">
        <v>0</v>
      </c>
      <c r="D22" t="inlineStr"/>
      <c r="E22" t="n">
        <v>0</v>
      </c>
      <c r="F22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T22">
        <f>MAX(0,MIN($C22,T$4+1)-MAX($B22,T$4))</f>
        <v/>
      </c>
      <c r="U22">
        <f>MAX(0,MIN($C22,U$4+1)-MAX($B22,U$4))</f>
        <v/>
      </c>
      <c r="V22">
        <f>MAX(0,MIN($C22,V$4+1)-MAX($B22,V$4))</f>
        <v/>
      </c>
      <c r="W22">
        <f>MAX(0,MIN($C22,W$4+1)-MAX($B22,W$4))</f>
        <v/>
      </c>
      <c r="X22">
        <f>MAX(0,MIN($C22,X$4+1)-MAX($B22,X$4))</f>
        <v/>
      </c>
      <c r="Y22">
        <f>MAX(0,MIN($C22,Y$4+1)-MAX($B22,Y$4))</f>
        <v/>
      </c>
      <c r="Z22">
        <f>MAX(0,MIN($C22,Z$4+1)-MAX($B22,Z$4))</f>
        <v/>
      </c>
      <c r="AA22">
        <f>MAX(0,MIN($C22,AA$4+1)-MAX($B22,AA$4))</f>
        <v/>
      </c>
      <c r="AB22">
        <f>MAX(0,MIN($C22,AB$4+1)-MAX($B22,AB$4))</f>
        <v/>
      </c>
      <c r="AC22">
        <f>MAX(0,MIN($C22,AC$4+1)-MAX($B22,AC$4))</f>
        <v/>
      </c>
      <c r="AD22">
        <f>MAX(0,MIN($C22,AD$4+1)-MAX($B22,AD$4))</f>
        <v/>
      </c>
      <c r="AE22">
        <f>MAX(0,MIN($C22,AE$4+1)-MAX($B22,AE$4))</f>
        <v/>
      </c>
      <c r="AF22">
        <f>MAX(0,MIN($C22,AF$4+1)-MAX($B22,AF$4))</f>
        <v/>
      </c>
      <c r="AG22">
        <f>MAX(0,MIN($C22,AG$4+1)-MAX($B22,AG$4))</f>
        <v/>
      </c>
      <c r="AH22">
        <f>MAX(0,MIN($C22,AH$4+1)-MAX($B22,AH$4))</f>
        <v/>
      </c>
      <c r="AI22">
        <f>MAX(0,MIN($C22,AI$4+1)-MAX($B22,AI$4))</f>
        <v/>
      </c>
      <c r="AJ22">
        <f>MAX(0,MIN($C22,AJ$4+1)-MAX($B22,AJ$4))</f>
        <v/>
      </c>
      <c r="AK22">
        <f>MAX(0,MIN($C22,AK$4+1)-MAX($B22,AK$4))</f>
        <v/>
      </c>
      <c r="AL22">
        <f>MAX(0,MIN($C22,AL$4+1)-MAX($B22,AL$4))</f>
        <v/>
      </c>
      <c r="AM22">
        <f>MAX(0,MIN($C22,AM$4+1)-MAX($B22,AM$4))</f>
        <v/>
      </c>
      <c r="AO22" t="n">
        <v>0</v>
      </c>
      <c r="AP22" t="n">
        <v>0</v>
      </c>
    </row>
    <row r="23">
      <c r="A23" t="inlineStr"/>
      <c r="B23" s="3" t="n">
        <v>0</v>
      </c>
      <c r="C23" s="3" t="n">
        <v>0</v>
      </c>
      <c r="D23" t="inlineStr"/>
      <c r="E23" t="n">
        <v>0</v>
      </c>
      <c r="F2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T23">
        <f>MAX(0,MIN($C23,T$4+1)-MAX($B23,T$4))</f>
        <v/>
      </c>
      <c r="U23">
        <f>MAX(0,MIN($C23,U$4+1)-MAX($B23,U$4))</f>
        <v/>
      </c>
      <c r="V23">
        <f>MAX(0,MIN($C23,V$4+1)-MAX($B23,V$4))</f>
        <v/>
      </c>
      <c r="W23">
        <f>MAX(0,MIN($C23,W$4+1)-MAX($B23,W$4))</f>
        <v/>
      </c>
      <c r="X23">
        <f>MAX(0,MIN($C23,X$4+1)-MAX($B23,X$4))</f>
        <v/>
      </c>
      <c r="Y23">
        <f>MAX(0,MIN($C23,Y$4+1)-MAX($B23,Y$4))</f>
        <v/>
      </c>
      <c r="Z23">
        <f>MAX(0,MIN($C23,Z$4+1)-MAX($B23,Z$4))</f>
        <v/>
      </c>
      <c r="AA23">
        <f>MAX(0,MIN($C23,AA$4+1)-MAX($B23,AA$4))</f>
        <v/>
      </c>
      <c r="AB23">
        <f>MAX(0,MIN($C23,AB$4+1)-MAX($B23,AB$4))</f>
        <v/>
      </c>
      <c r="AC23">
        <f>MAX(0,MIN($C23,AC$4+1)-MAX($B23,AC$4))</f>
        <v/>
      </c>
      <c r="AD23">
        <f>MAX(0,MIN($C23,AD$4+1)-MAX($B23,AD$4))</f>
        <v/>
      </c>
      <c r="AE23">
        <f>MAX(0,MIN($C23,AE$4+1)-MAX($B23,AE$4))</f>
        <v/>
      </c>
      <c r="AF23">
        <f>MAX(0,MIN($C23,AF$4+1)-MAX($B23,AF$4))</f>
        <v/>
      </c>
      <c r="AG23">
        <f>MAX(0,MIN($C23,AG$4+1)-MAX($B23,AG$4))</f>
        <v/>
      </c>
      <c r="AH23">
        <f>MAX(0,MIN($C23,AH$4+1)-MAX($B23,AH$4))</f>
        <v/>
      </c>
      <c r="AI23">
        <f>MAX(0,MIN($C23,AI$4+1)-MAX($B23,AI$4))</f>
        <v/>
      </c>
      <c r="AJ23">
        <f>MAX(0,MIN($C23,AJ$4+1)-MAX($B23,AJ$4))</f>
        <v/>
      </c>
      <c r="AK23">
        <f>MAX(0,MIN($C23,AK$4+1)-MAX($B23,AK$4))</f>
        <v/>
      </c>
      <c r="AL23">
        <f>MAX(0,MIN($C23,AL$4+1)-MAX($B23,AL$4))</f>
        <v/>
      </c>
      <c r="AM23">
        <f>MAX(0,MIN($C23,AM$4+1)-MAX($B23,AM$4))</f>
        <v/>
      </c>
      <c r="AO23" t="n">
        <v>0</v>
      </c>
      <c r="AP23" t="n">
        <v>0</v>
      </c>
    </row>
    <row r="24">
      <c r="A24" t="inlineStr"/>
      <c r="B24" s="3" t="n">
        <v>0</v>
      </c>
      <c r="C24" s="3" t="n">
        <v>0</v>
      </c>
      <c r="D24" t="inlineStr"/>
      <c r="E24" t="n">
        <v>0</v>
      </c>
      <c r="F24" t="n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  <c r="P24" s="3" t="n">
        <v>0</v>
      </c>
      <c r="Q24" s="3" t="n">
        <v>0</v>
      </c>
      <c r="R24" s="3" t="n">
        <v>0</v>
      </c>
      <c r="T24">
        <f>MAX(0,MIN($C24,T$4+1)-MAX($B24,T$4))</f>
        <v/>
      </c>
      <c r="U24">
        <f>MAX(0,MIN($C24,U$4+1)-MAX($B24,U$4))</f>
        <v/>
      </c>
      <c r="V24">
        <f>MAX(0,MIN($C24,V$4+1)-MAX($B24,V$4))</f>
        <v/>
      </c>
      <c r="W24">
        <f>MAX(0,MIN($C24,W$4+1)-MAX($B24,W$4))</f>
        <v/>
      </c>
      <c r="X24">
        <f>MAX(0,MIN($C24,X$4+1)-MAX($B24,X$4))</f>
        <v/>
      </c>
      <c r="Y24">
        <f>MAX(0,MIN($C24,Y$4+1)-MAX($B24,Y$4))</f>
        <v/>
      </c>
      <c r="Z24">
        <f>MAX(0,MIN($C24,Z$4+1)-MAX($B24,Z$4))</f>
        <v/>
      </c>
      <c r="AA24">
        <f>MAX(0,MIN($C24,AA$4+1)-MAX($B24,AA$4))</f>
        <v/>
      </c>
      <c r="AB24">
        <f>MAX(0,MIN($C24,AB$4+1)-MAX($B24,AB$4))</f>
        <v/>
      </c>
      <c r="AC24">
        <f>MAX(0,MIN($C24,AC$4+1)-MAX($B24,AC$4))</f>
        <v/>
      </c>
      <c r="AD24">
        <f>MAX(0,MIN($C24,AD$4+1)-MAX($B24,AD$4))</f>
        <v/>
      </c>
      <c r="AE24">
        <f>MAX(0,MIN($C24,AE$4+1)-MAX($B24,AE$4))</f>
        <v/>
      </c>
      <c r="AF24">
        <f>MAX(0,MIN($C24,AF$4+1)-MAX($B24,AF$4))</f>
        <v/>
      </c>
      <c r="AG24">
        <f>MAX(0,MIN($C24,AG$4+1)-MAX($B24,AG$4))</f>
        <v/>
      </c>
      <c r="AH24">
        <f>MAX(0,MIN($C24,AH$4+1)-MAX($B24,AH$4))</f>
        <v/>
      </c>
      <c r="AI24">
        <f>MAX(0,MIN($C24,AI$4+1)-MAX($B24,AI$4))</f>
        <v/>
      </c>
      <c r="AJ24">
        <f>MAX(0,MIN($C24,AJ$4+1)-MAX($B24,AJ$4))</f>
        <v/>
      </c>
      <c r="AK24">
        <f>MAX(0,MIN($C24,AK$4+1)-MAX($B24,AK$4))</f>
        <v/>
      </c>
      <c r="AL24">
        <f>MAX(0,MIN($C24,AL$4+1)-MAX($B24,AL$4))</f>
        <v/>
      </c>
      <c r="AM24">
        <f>MAX(0,MIN($C24,AM$4+1)-MAX($B24,AM$4))</f>
        <v/>
      </c>
      <c r="AO24" t="n">
        <v>0</v>
      </c>
      <c r="AP24" t="n">
        <v>0</v>
      </c>
    </row>
    <row r="25">
      <c r="A25" t="inlineStr"/>
      <c r="B25" s="3" t="n">
        <v>0</v>
      </c>
      <c r="C25" s="3" t="n">
        <v>0</v>
      </c>
      <c r="D25" t="inlineStr"/>
      <c r="E25" t="n">
        <v>0</v>
      </c>
      <c r="F25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T25">
        <f>MAX(0,MIN($C25,T$4+1)-MAX($B25,T$4))</f>
        <v/>
      </c>
      <c r="U25">
        <f>MAX(0,MIN($C25,U$4+1)-MAX($B25,U$4))</f>
        <v/>
      </c>
      <c r="V25">
        <f>MAX(0,MIN($C25,V$4+1)-MAX($B25,V$4))</f>
        <v/>
      </c>
      <c r="W25">
        <f>MAX(0,MIN($C25,W$4+1)-MAX($B25,W$4))</f>
        <v/>
      </c>
      <c r="X25">
        <f>MAX(0,MIN($C25,X$4+1)-MAX($B25,X$4))</f>
        <v/>
      </c>
      <c r="Y25">
        <f>MAX(0,MIN($C25,Y$4+1)-MAX($B25,Y$4))</f>
        <v/>
      </c>
      <c r="Z25">
        <f>MAX(0,MIN($C25,Z$4+1)-MAX($B25,Z$4))</f>
        <v/>
      </c>
      <c r="AA25">
        <f>MAX(0,MIN($C25,AA$4+1)-MAX($B25,AA$4))</f>
        <v/>
      </c>
      <c r="AB25">
        <f>MAX(0,MIN($C25,AB$4+1)-MAX($B25,AB$4))</f>
        <v/>
      </c>
      <c r="AC25">
        <f>MAX(0,MIN($C25,AC$4+1)-MAX($B25,AC$4))</f>
        <v/>
      </c>
      <c r="AD25">
        <f>MAX(0,MIN($C25,AD$4+1)-MAX($B25,AD$4))</f>
        <v/>
      </c>
      <c r="AE25">
        <f>MAX(0,MIN($C25,AE$4+1)-MAX($B25,AE$4))</f>
        <v/>
      </c>
      <c r="AF25">
        <f>MAX(0,MIN($C25,AF$4+1)-MAX($B25,AF$4))</f>
        <v/>
      </c>
      <c r="AG25">
        <f>MAX(0,MIN($C25,AG$4+1)-MAX($B25,AG$4))</f>
        <v/>
      </c>
      <c r="AH25">
        <f>MAX(0,MIN($C25,AH$4+1)-MAX($B25,AH$4))</f>
        <v/>
      </c>
      <c r="AI25">
        <f>MAX(0,MIN($C25,AI$4+1)-MAX($B25,AI$4))</f>
        <v/>
      </c>
      <c r="AJ25">
        <f>MAX(0,MIN($C25,AJ$4+1)-MAX($B25,AJ$4))</f>
        <v/>
      </c>
      <c r="AK25">
        <f>MAX(0,MIN($C25,AK$4+1)-MAX($B25,AK$4))</f>
        <v/>
      </c>
      <c r="AL25">
        <f>MAX(0,MIN($C25,AL$4+1)-MAX($B25,AL$4))</f>
        <v/>
      </c>
      <c r="AM25">
        <f>MAX(0,MIN($C25,AM$4+1)-MAX($B25,AM$4))</f>
        <v/>
      </c>
    </row>
    <row r="26">
      <c r="A26" t="inlineStr"/>
      <c r="B26" s="3" t="n">
        <v>0</v>
      </c>
      <c r="C26" s="3" t="n">
        <v>0</v>
      </c>
      <c r="D26" t="inlineStr"/>
      <c r="E26" t="n">
        <v>0</v>
      </c>
      <c r="F26" t="n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  <c r="T26">
        <f>MAX(0,MIN($C26,T$4+1)-MAX($B26,T$4))</f>
        <v/>
      </c>
      <c r="U26">
        <f>MAX(0,MIN($C26,U$4+1)-MAX($B26,U$4))</f>
        <v/>
      </c>
      <c r="V26">
        <f>MAX(0,MIN($C26,V$4+1)-MAX($B26,V$4))</f>
        <v/>
      </c>
      <c r="W26">
        <f>MAX(0,MIN($C26,W$4+1)-MAX($B26,W$4))</f>
        <v/>
      </c>
      <c r="X26">
        <f>MAX(0,MIN($C26,X$4+1)-MAX($B26,X$4))</f>
        <v/>
      </c>
      <c r="Y26">
        <f>MAX(0,MIN($C26,Y$4+1)-MAX($B26,Y$4))</f>
        <v/>
      </c>
      <c r="Z26">
        <f>MAX(0,MIN($C26,Z$4+1)-MAX($B26,Z$4))</f>
        <v/>
      </c>
      <c r="AA26">
        <f>MAX(0,MIN($C26,AA$4+1)-MAX($B26,AA$4))</f>
        <v/>
      </c>
      <c r="AB26">
        <f>MAX(0,MIN($C26,AB$4+1)-MAX($B26,AB$4))</f>
        <v/>
      </c>
      <c r="AC26">
        <f>MAX(0,MIN($C26,AC$4+1)-MAX($B26,AC$4))</f>
        <v/>
      </c>
      <c r="AD26">
        <f>MAX(0,MIN($C26,AD$4+1)-MAX($B26,AD$4))</f>
        <v/>
      </c>
      <c r="AE26">
        <f>MAX(0,MIN($C26,AE$4+1)-MAX($B26,AE$4))</f>
        <v/>
      </c>
      <c r="AF26">
        <f>MAX(0,MIN($C26,AF$4+1)-MAX($B26,AF$4))</f>
        <v/>
      </c>
      <c r="AG26">
        <f>MAX(0,MIN($C26,AG$4+1)-MAX($B26,AG$4))</f>
        <v/>
      </c>
      <c r="AH26">
        <f>MAX(0,MIN($C26,AH$4+1)-MAX($B26,AH$4))</f>
        <v/>
      </c>
      <c r="AI26">
        <f>MAX(0,MIN($C26,AI$4+1)-MAX($B26,AI$4))</f>
        <v/>
      </c>
      <c r="AJ26">
        <f>MAX(0,MIN($C26,AJ$4+1)-MAX($B26,AJ$4))</f>
        <v/>
      </c>
      <c r="AK26">
        <f>MAX(0,MIN($C26,AK$4+1)-MAX($B26,AK$4))</f>
        <v/>
      </c>
      <c r="AL26">
        <f>MAX(0,MIN($C26,AL$4+1)-MAX($B26,AL$4))</f>
        <v/>
      </c>
      <c r="AM26">
        <f>MAX(0,MIN($C26,AM$4+1)-MAX($B26,AM$4))</f>
        <v/>
      </c>
    </row>
    <row r="27">
      <c r="A27" t="inlineStr"/>
      <c r="B27" s="3" t="n">
        <v>0</v>
      </c>
      <c r="C27" s="3" t="n">
        <v>0</v>
      </c>
      <c r="D27" t="inlineStr"/>
      <c r="E27" t="n">
        <v>0</v>
      </c>
      <c r="F27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T27">
        <f>MAX(0,MIN($C27,T$4+1)-MAX($B27,T$4))</f>
        <v/>
      </c>
      <c r="U27">
        <f>MAX(0,MIN($C27,U$4+1)-MAX($B27,U$4))</f>
        <v/>
      </c>
      <c r="V27">
        <f>MAX(0,MIN($C27,V$4+1)-MAX($B27,V$4))</f>
        <v/>
      </c>
      <c r="W27">
        <f>MAX(0,MIN($C27,W$4+1)-MAX($B27,W$4))</f>
        <v/>
      </c>
      <c r="X27">
        <f>MAX(0,MIN($C27,X$4+1)-MAX($B27,X$4))</f>
        <v/>
      </c>
      <c r="Y27">
        <f>MAX(0,MIN($C27,Y$4+1)-MAX($B27,Y$4))</f>
        <v/>
      </c>
      <c r="Z27">
        <f>MAX(0,MIN($C27,Z$4+1)-MAX($B27,Z$4))</f>
        <v/>
      </c>
      <c r="AA27">
        <f>MAX(0,MIN($C27,AA$4+1)-MAX($B27,AA$4))</f>
        <v/>
      </c>
      <c r="AB27">
        <f>MAX(0,MIN($C27,AB$4+1)-MAX($B27,AB$4))</f>
        <v/>
      </c>
      <c r="AC27">
        <f>MAX(0,MIN($C27,AC$4+1)-MAX($B27,AC$4))</f>
        <v/>
      </c>
      <c r="AD27">
        <f>MAX(0,MIN($C27,AD$4+1)-MAX($B27,AD$4))</f>
        <v/>
      </c>
      <c r="AE27">
        <f>MAX(0,MIN($C27,AE$4+1)-MAX($B27,AE$4))</f>
        <v/>
      </c>
      <c r="AF27">
        <f>MAX(0,MIN($C27,AF$4+1)-MAX($B27,AF$4))</f>
        <v/>
      </c>
      <c r="AG27">
        <f>MAX(0,MIN($C27,AG$4+1)-MAX($B27,AG$4))</f>
        <v/>
      </c>
      <c r="AH27">
        <f>MAX(0,MIN($C27,AH$4+1)-MAX($B27,AH$4))</f>
        <v/>
      </c>
      <c r="AI27">
        <f>MAX(0,MIN($C27,AI$4+1)-MAX($B27,AI$4))</f>
        <v/>
      </c>
      <c r="AJ27">
        <f>MAX(0,MIN($C27,AJ$4+1)-MAX($B27,AJ$4))</f>
        <v/>
      </c>
      <c r="AK27">
        <f>MAX(0,MIN($C27,AK$4+1)-MAX($B27,AK$4))</f>
        <v/>
      </c>
      <c r="AL27">
        <f>MAX(0,MIN($C27,AL$4+1)-MAX($B27,AL$4))</f>
        <v/>
      </c>
      <c r="AM27">
        <f>MAX(0,MIN($C27,AM$4+1)-MAX($B27,AM$4))</f>
        <v/>
      </c>
    </row>
    <row r="28">
      <c r="A28" t="inlineStr"/>
      <c r="B28" s="3" t="n">
        <v>0</v>
      </c>
      <c r="C28" s="3" t="n">
        <v>0</v>
      </c>
      <c r="D28" t="inlineStr"/>
      <c r="E28" t="n">
        <v>0</v>
      </c>
      <c r="F28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T28">
        <f>MAX(0,MIN($C28,T$4+1)-MAX($B28,T$4))</f>
        <v/>
      </c>
      <c r="U28">
        <f>MAX(0,MIN($C28,U$4+1)-MAX($B28,U$4))</f>
        <v/>
      </c>
      <c r="V28">
        <f>MAX(0,MIN($C28,V$4+1)-MAX($B28,V$4))</f>
        <v/>
      </c>
      <c r="W28">
        <f>MAX(0,MIN($C28,W$4+1)-MAX($B28,W$4))</f>
        <v/>
      </c>
      <c r="X28">
        <f>MAX(0,MIN($C28,X$4+1)-MAX($B28,X$4))</f>
        <v/>
      </c>
      <c r="Y28">
        <f>MAX(0,MIN($C28,Y$4+1)-MAX($B28,Y$4))</f>
        <v/>
      </c>
      <c r="Z28">
        <f>MAX(0,MIN($C28,Z$4+1)-MAX($B28,Z$4))</f>
        <v/>
      </c>
      <c r="AA28">
        <f>MAX(0,MIN($C28,AA$4+1)-MAX($B28,AA$4))</f>
        <v/>
      </c>
      <c r="AB28">
        <f>MAX(0,MIN($C28,AB$4+1)-MAX($B28,AB$4))</f>
        <v/>
      </c>
      <c r="AC28">
        <f>MAX(0,MIN($C28,AC$4+1)-MAX($B28,AC$4))</f>
        <v/>
      </c>
      <c r="AD28">
        <f>MAX(0,MIN($C28,AD$4+1)-MAX($B28,AD$4))</f>
        <v/>
      </c>
      <c r="AE28">
        <f>MAX(0,MIN($C28,AE$4+1)-MAX($B28,AE$4))</f>
        <v/>
      </c>
      <c r="AF28">
        <f>MAX(0,MIN($C28,AF$4+1)-MAX($B28,AF$4))</f>
        <v/>
      </c>
      <c r="AG28">
        <f>MAX(0,MIN($C28,AG$4+1)-MAX($B28,AG$4))</f>
        <v/>
      </c>
      <c r="AH28">
        <f>MAX(0,MIN($C28,AH$4+1)-MAX($B28,AH$4))</f>
        <v/>
      </c>
      <c r="AI28">
        <f>MAX(0,MIN($C28,AI$4+1)-MAX($B28,AI$4))</f>
        <v/>
      </c>
      <c r="AJ28">
        <f>MAX(0,MIN($C28,AJ$4+1)-MAX($B28,AJ$4))</f>
        <v/>
      </c>
      <c r="AK28">
        <f>MAX(0,MIN($C28,AK$4+1)-MAX($B28,AK$4))</f>
        <v/>
      </c>
      <c r="AL28">
        <f>MAX(0,MIN($C28,AL$4+1)-MAX($B28,AL$4))</f>
        <v/>
      </c>
      <c r="AM28">
        <f>MAX(0,MIN($C28,AM$4+1)-MAX($B28,AM$4))</f>
        <v/>
      </c>
    </row>
    <row r="29">
      <c r="A29" t="inlineStr"/>
      <c r="B29" s="3" t="n">
        <v>0</v>
      </c>
      <c r="C29" s="3" t="n">
        <v>0</v>
      </c>
      <c r="D29" t="inlineStr"/>
      <c r="E29" t="n">
        <v>0</v>
      </c>
      <c r="F29" t="n">
        <v>0</v>
      </c>
      <c r="G29" s="3" t="n">
        <v>0</v>
      </c>
      <c r="H29" s="3" t="n">
        <v>0</v>
      </c>
      <c r="I29" s="3" t="n">
        <v>0</v>
      </c>
      <c r="J29" s="3" t="n">
        <v>0</v>
      </c>
      <c r="K29" s="3" t="n">
        <v>0</v>
      </c>
      <c r="L29" s="3" t="n">
        <v>0</v>
      </c>
      <c r="M29" s="3" t="n">
        <v>0</v>
      </c>
      <c r="N29" s="3" t="n">
        <v>0</v>
      </c>
      <c r="O29" s="3" t="n">
        <v>0</v>
      </c>
      <c r="P29" s="3" t="n">
        <v>0</v>
      </c>
      <c r="Q29" s="3" t="n">
        <v>0</v>
      </c>
      <c r="R29" s="3" t="n">
        <v>0</v>
      </c>
      <c r="T29">
        <f>MAX(0,MIN($C29,T$4+1)-MAX($B29,T$4))</f>
        <v/>
      </c>
      <c r="U29">
        <f>MAX(0,MIN($C29,U$4+1)-MAX($B29,U$4))</f>
        <v/>
      </c>
      <c r="V29">
        <f>MAX(0,MIN($C29,V$4+1)-MAX($B29,V$4))</f>
        <v/>
      </c>
      <c r="W29">
        <f>MAX(0,MIN($C29,W$4+1)-MAX($B29,W$4))</f>
        <v/>
      </c>
      <c r="X29">
        <f>MAX(0,MIN($C29,X$4+1)-MAX($B29,X$4))</f>
        <v/>
      </c>
      <c r="Y29">
        <f>MAX(0,MIN($C29,Y$4+1)-MAX($B29,Y$4))</f>
        <v/>
      </c>
      <c r="Z29">
        <f>MAX(0,MIN($C29,Z$4+1)-MAX($B29,Z$4))</f>
        <v/>
      </c>
      <c r="AA29">
        <f>MAX(0,MIN($C29,AA$4+1)-MAX($B29,AA$4))</f>
        <v/>
      </c>
      <c r="AB29">
        <f>MAX(0,MIN($C29,AB$4+1)-MAX($B29,AB$4))</f>
        <v/>
      </c>
      <c r="AC29">
        <f>MAX(0,MIN($C29,AC$4+1)-MAX($B29,AC$4))</f>
        <v/>
      </c>
      <c r="AD29">
        <f>MAX(0,MIN($C29,AD$4+1)-MAX($B29,AD$4))</f>
        <v/>
      </c>
      <c r="AE29">
        <f>MAX(0,MIN($C29,AE$4+1)-MAX($B29,AE$4))</f>
        <v/>
      </c>
      <c r="AF29">
        <f>MAX(0,MIN($C29,AF$4+1)-MAX($B29,AF$4))</f>
        <v/>
      </c>
      <c r="AG29">
        <f>MAX(0,MIN($C29,AG$4+1)-MAX($B29,AG$4))</f>
        <v/>
      </c>
      <c r="AH29">
        <f>MAX(0,MIN($C29,AH$4+1)-MAX($B29,AH$4))</f>
        <v/>
      </c>
      <c r="AI29">
        <f>MAX(0,MIN($C29,AI$4+1)-MAX($B29,AI$4))</f>
        <v/>
      </c>
      <c r="AJ29">
        <f>MAX(0,MIN($C29,AJ$4+1)-MAX($B29,AJ$4))</f>
        <v/>
      </c>
      <c r="AK29">
        <f>MAX(0,MIN($C29,AK$4+1)-MAX($B29,AK$4))</f>
        <v/>
      </c>
      <c r="AL29">
        <f>MAX(0,MIN($C29,AL$4+1)-MAX($B29,AL$4))</f>
        <v/>
      </c>
      <c r="AM29">
        <f>MAX(0,MIN($C29,AM$4+1)-MAX($B29,AM$4))</f>
        <v/>
      </c>
    </row>
    <row r="31">
      <c r="A31" s="1" t="inlineStr">
        <is>
          <t>Simulación anual (todas las celdas son fórmulas)</t>
        </is>
      </c>
    </row>
    <row r="32">
      <c r="A32" s="5" t="inlineStr">
        <is>
          <t>Año</t>
        </is>
      </c>
      <c r="B32" s="5" t="inlineStr">
        <is>
          <t>k</t>
        </is>
      </c>
      <c r="C32" s="5" t="inlineStr">
        <is>
          <t>Índice inflación</t>
        </is>
      </c>
      <c r="D32" s="5" t="inlineStr">
        <is>
          <t>Salarios W-2</t>
        </is>
      </c>
      <c r="E32" s="5" t="inlineStr">
        <is>
          <t>W-2 con match</t>
        </is>
      </c>
      <c r="F32" s="5" t="inlineStr">
        <is>
          <t>Stipends libres</t>
        </is>
      </c>
      <c r="G32" s="5" t="inlineStr">
        <is>
          <t>Ingreso S-corp</t>
        </is>
      </c>
      <c r="H32" s="5" t="inlineStr">
        <is>
          <t>Autoempleo (LLC/tutoría)</t>
        </is>
      </c>
      <c r="I32" s="5" t="inlineStr">
        <is>
          <t>Matrícula</t>
        </is>
      </c>
      <c r="J32" s="5" t="inlineStr">
        <is>
          <t>Fracción estudio</t>
        </is>
      </c>
      <c r="K32" s="5" t="inlineStr">
        <is>
          <t>Fracción PSLF</t>
        </is>
      </c>
      <c r="L32" s="5" t="inlineStr">
        <is>
          <t>Fracción travel</t>
        </is>
      </c>
      <c r="M32" s="5" t="inlineStr">
        <is>
          <t>Attending</t>
        </is>
      </c>
      <c r="N32" s="5" t="inlineStr">
        <is>
          <t>Hitos (costos)</t>
        </is>
      </c>
      <c r="O32" s="5" t="inlineStr">
        <is>
          <t>Aporte 403b</t>
        </is>
      </c>
      <c r="P32" s="5" t="inlineStr">
        <is>
          <t>Match empleador</t>
        </is>
      </c>
      <c r="Q32" s="5" t="inlineStr">
        <is>
          <t>S-corp neto</t>
        </is>
      </c>
      <c r="R32" s="5" t="inlineStr">
        <is>
          <t>Salario S-corp</t>
        </is>
      </c>
      <c r="S32" s="5" t="inlineStr">
        <is>
          <t>FICA patronal S-corp</t>
        </is>
      </c>
      <c r="T32" s="5" t="inlineStr">
        <is>
          <t>Distribución S-corp</t>
        </is>
      </c>
      <c r="U32" s="5" t="inlineStr">
        <is>
          <t>Salarios totales</t>
        </is>
      </c>
      <c r="V32" s="5" t="inlineStr">
        <is>
          <t>Base autoempleo</t>
        </is>
      </c>
      <c r="W32" s="5" t="inlineStr">
        <is>
          <t>Impuesto autoempleo</t>
        </is>
      </c>
      <c r="X32" s="5" t="inlineStr">
        <is>
          <t>FICA empleado</t>
        </is>
      </c>
      <c r="Y32" s="5" t="inlineStr">
        <is>
          <t>AGI</t>
        </is>
      </c>
      <c r="Z32" s="5" t="inlineStr">
        <is>
          <t>Ingreso gravable antes QBI</t>
        </is>
      </c>
      <c r="AA32" s="5" t="inlineStr">
        <is>
          <t>Deducción QBI</t>
        </is>
      </c>
      <c r="AB32" s="5" t="inlineStr">
        <is>
          <t>Ingreso gravable</t>
        </is>
      </c>
      <c r="AC32" s="5" t="inlineStr">
        <is>
          <t>Impuesto federal</t>
        </is>
      </c>
      <c r="AD32" s="5" t="inlineStr">
        <is>
          <t>Gravable NY</t>
        </is>
      </c>
      <c r="AE32" s="5" t="inlineStr">
        <is>
          <t>Impuesto estatal/local</t>
        </is>
      </c>
      <c r="AF32" s="5" t="inlineStr">
        <is>
          <t>Impuestos totales</t>
        </is>
      </c>
      <c r="AG32" s="5" t="inlineStr">
        <is>
          <t>Ingreso personal bruto en efectivo</t>
        </is>
      </c>
      <c r="AH32" s="5" t="inlineStr">
        <is>
          <t>Efectivo neto (tras impuestos y 403b)</t>
        </is>
      </c>
      <c r="AI32" s="5" t="inlineStr">
        <is>
          <t>Ingreso bruto</t>
        </is>
      </c>
      <c r="AJ32" s="5" t="inlineStr">
        <is>
          <t>Gastos de vida</t>
        </is>
      </c>
      <c r="AK32" s="5" t="inlineStr">
        <is>
          <t>Ahorro líquido inicio</t>
        </is>
      </c>
      <c r="AL32" s="5" t="inlineStr">
        <is>
          <t>Ya era dueño</t>
        </is>
      </c>
      <c r="AM32" s="5" t="inlineStr">
        <is>
          <t>Precio base 2026</t>
        </is>
      </c>
      <c r="AN32" s="5" t="inlineStr">
        <is>
          <t>Precio en el año</t>
        </is>
      </c>
      <c r="AO32" s="5" t="inlineStr">
        <is>
          <t>Physician loan</t>
        </is>
      </c>
      <c r="AP32" s="5" t="inlineStr">
        <is>
          <t>% enganche</t>
        </is>
      </c>
      <c r="AQ32" s="5" t="inlineStr">
        <is>
          <t>Préstamo</t>
        </is>
      </c>
      <c r="AR32" s="5" t="inlineStr">
        <is>
          <t>Cuota P&amp;I mensual</t>
        </is>
      </c>
      <c r="AS32" s="5" t="inlineStr">
        <is>
          <t>Unidades rentadas</t>
        </is>
      </c>
      <c r="AT32" s="5" t="inlineStr">
        <is>
          <t>Renta mensual (cotización)</t>
        </is>
      </c>
      <c r="AU32" s="5" t="inlineStr">
        <is>
          <t>PITI mensual</t>
        </is>
      </c>
      <c r="AV32" s="5" t="inlineStr">
        <is>
          <t>Efectivo requerido</t>
        </is>
      </c>
      <c r="AW32" s="5" t="inlineStr">
        <is>
          <t>Otras deudas mensuales</t>
        </is>
      </c>
      <c r="AX32" s="5" t="inlineStr">
        <is>
          <t>Crédito aporte familiar</t>
        </is>
      </c>
      <c r="AY32" s="5" t="inlineStr">
        <is>
          <t>Carga mensual para DTI</t>
        </is>
      </c>
      <c r="AZ32" s="5" t="inlineStr">
        <is>
          <t>Ingreso mensual para DTI</t>
        </is>
      </c>
      <c r="BA32" s="5" t="inlineStr">
        <is>
          <t>Compra este año</t>
        </is>
      </c>
      <c r="BB32" s="5" t="inlineStr">
        <is>
          <t>Dueño</t>
        </is>
      </c>
      <c r="BC32" s="5" t="inlineStr">
        <is>
          <t>Año de compra</t>
        </is>
      </c>
      <c r="BD32" s="5" t="inlineStr">
        <is>
          <t>Ahorro tras enganche</t>
        </is>
      </c>
      <c r="BE32" s="5" t="inlineStr">
        <is>
          <t>Precio de compra</t>
        </is>
      </c>
      <c r="BF32" s="5" t="inlineStr">
        <is>
          <t>Cuota hipoteca</t>
        </is>
      </c>
      <c r="BG32" s="5" t="inlineStr">
        <is>
          <t>PMI activo (antes)</t>
        </is>
      </c>
      <c r="BH32" s="5" t="inlineStr">
        <is>
          <t>Config. con ADU</t>
        </is>
      </c>
      <c r="BI32" s="5" t="inlineStr">
        <is>
          <t>Construye ADU</t>
        </is>
      </c>
      <c r="BJ32" s="5" t="inlineStr">
        <is>
          <t>ADU construido</t>
        </is>
      </c>
      <c r="BK32" s="5" t="inlineStr">
        <is>
          <t>Cuota ADU</t>
        </is>
      </c>
      <c r="BL32" s="5" t="inlineStr">
        <is>
          <t>Valor vivienda inicio</t>
        </is>
      </c>
      <c r="BM32" s="5" t="inlineStr">
        <is>
          <t>Hipoteca inicio</t>
        </is>
      </c>
      <c r="BN32" s="5" t="inlineStr">
        <is>
          <t>Hipoteca tras 12 pagos</t>
        </is>
      </c>
      <c r="BO32" s="5" t="inlineStr">
        <is>
          <t>Pagado hipoteca</t>
        </is>
      </c>
      <c r="BP32" s="5" t="inlineStr">
        <is>
          <t>Hipoteca tras pagos</t>
        </is>
      </c>
      <c r="BQ32" s="5" t="inlineStr">
        <is>
          <t>ADU inicio</t>
        </is>
      </c>
      <c r="BR32" s="5" t="inlineStr">
        <is>
          <t>ADU tras 12 pagos</t>
        </is>
      </c>
      <c r="BS32" s="5" t="inlineStr">
        <is>
          <t>Pagado ADU</t>
        </is>
      </c>
      <c r="BT32" s="5" t="inlineStr">
        <is>
          <t>ADU tras pagos</t>
        </is>
      </c>
      <c r="BU32" s="5" t="inlineStr">
        <is>
          <t>Seguro</t>
        </is>
      </c>
      <c r="BV32" s="5" t="inlineStr">
        <is>
          <t>Impuesto predial</t>
        </is>
      </c>
      <c r="BW32" s="5" t="inlineStr">
        <is>
          <t>Mantenimiento</t>
        </is>
      </c>
      <c r="BX32" s="5" t="inlineStr">
        <is>
          <t>PMI</t>
        </is>
      </c>
      <c r="BY32" s="5" t="inlineStr">
        <is>
          <t>PMI activo (después)</t>
        </is>
      </c>
      <c r="BZ32" s="5" t="inlineStr">
        <is>
          <t>Renta recibida</t>
        </is>
      </c>
      <c r="CA32" s="5" t="inlineStr">
        <is>
          <t>Costo de vivienda</t>
        </is>
      </c>
      <c r="CB32" s="5" t="inlineStr">
        <is>
          <t>Aporte familiar</t>
        </is>
      </c>
      <c r="CC32" s="5" t="inlineStr">
        <is>
          <t>IRS pagado</t>
        </is>
      </c>
      <c r="CD32" s="5" t="inlineStr">
        <is>
          <t>IRS saldo</t>
        </is>
      </c>
      <c r="CE32" s="5" t="inlineStr">
        <is>
          <t>Federal inicio</t>
        </is>
      </c>
      <c r="CF32" s="5" t="inlineStr">
        <is>
          <t>Tasa federal</t>
        </is>
      </c>
      <c r="CG32" s="5" t="inlineStr">
        <is>
          <t>Años repago fed.</t>
        </is>
      </c>
      <c r="CH32" s="5" t="inlineStr">
        <is>
          <t>En estudios (≥50%)</t>
        </is>
      </c>
      <c r="CI32" s="5" t="inlineStr">
        <is>
          <t>Usa RAP/PSLF</t>
        </is>
      </c>
      <c r="CJ32" s="5" t="inlineStr">
        <is>
          <t>Interés federal</t>
        </is>
      </c>
      <c r="CK32" s="5" t="inlineStr">
        <is>
          <t>Pago RAP</t>
        </is>
      </c>
      <c r="CL32" s="5" t="inlineStr">
        <is>
          <t>Pago federal</t>
        </is>
      </c>
      <c r="CM32" s="5" t="inlineStr">
        <is>
          <t>Federal tras pago</t>
        </is>
      </c>
      <c r="CN32" s="5" t="inlineStr">
        <is>
          <t>Meses PSLF</t>
        </is>
      </c>
      <c r="CO32" s="5" t="inlineStr">
        <is>
          <t>Condonado PSLF</t>
        </is>
      </c>
      <c r="CP32" s="5" t="inlineStr">
        <is>
          <t>Federal tras PSLF</t>
        </is>
      </c>
      <c r="CQ32" s="5" t="inlineStr">
        <is>
          <t>Años repago (tras pago)</t>
        </is>
      </c>
      <c r="CR32" s="5" t="inlineStr">
        <is>
          <t>Privado inicio</t>
        </is>
      </c>
      <c r="CS32" s="5" t="inlineStr">
        <is>
          <t>Tasa privada</t>
        </is>
      </c>
      <c r="CT32" s="5" t="inlineStr">
        <is>
          <t>Años repago priv.</t>
        </is>
      </c>
      <c r="CU32" s="5" t="inlineStr">
        <is>
          <t>Pago privado</t>
        </is>
      </c>
      <c r="CV32" s="5" t="inlineStr">
        <is>
          <t>Privado tras pago</t>
        </is>
      </c>
      <c r="CW32" s="5" t="inlineStr">
        <is>
          <t>Años repago priv. (tras)</t>
        </is>
      </c>
      <c r="CX32" s="5" t="inlineStr">
        <is>
          <t>Consumo tras interés</t>
        </is>
      </c>
      <c r="CY32" s="5" t="inlineStr">
        <is>
          <t>Gasto extra travel</t>
        </is>
      </c>
      <c r="CZ32" s="5" t="inlineStr">
        <is>
          <t>Salidas</t>
        </is>
      </c>
      <c r="DA32" s="5" t="inlineStr">
        <is>
          <t>Excedente (déficit)</t>
        </is>
      </c>
      <c r="DB32" s="5" t="inlineStr">
        <is>
          <t>Flujo acumulado</t>
        </is>
      </c>
      <c r="DC32" s="5" t="inlineStr">
        <is>
          <t>Meta enganche</t>
        </is>
      </c>
      <c r="DD32" s="5" t="inlineStr">
        <is>
          <t>Retorno del ahorro líquido</t>
        </is>
      </c>
      <c r="DE32" s="5" t="inlineStr">
        <is>
          <t>Pago deuda consumo</t>
        </is>
      </c>
      <c r="DF32" s="5" t="inlineStr">
        <is>
          <t>Gasto discrecional</t>
        </is>
      </c>
      <c r="DG32" s="5" t="inlineStr">
        <is>
          <t>Ahorro</t>
        </is>
      </c>
      <c r="DH32" s="5" t="inlineStr">
        <is>
          <t>Roth</t>
        </is>
      </c>
      <c r="DI32" s="5" t="inlineStr">
        <is>
          <t>Prepago</t>
        </is>
      </c>
      <c r="DJ32" s="5" t="inlineStr">
        <is>
          <t>Prepago a hipoteca</t>
        </is>
      </c>
      <c r="DK32" s="5" t="inlineStr">
        <is>
          <t>Retiro del ahorro</t>
        </is>
      </c>
      <c r="DL32" s="5" t="inlineStr">
        <is>
          <t>Déficit por financiar</t>
        </is>
      </c>
      <c r="DM32" s="5" t="inlineStr">
        <is>
          <t>Federal acumulado (antes)</t>
        </is>
      </c>
      <c r="DN32" s="5" t="inlineStr">
        <is>
          <t>Nuevo préstamo federal</t>
        </is>
      </c>
      <c r="DO32" s="5" t="inlineStr">
        <is>
          <t>Nuevo préstamo privado</t>
        </is>
      </c>
      <c r="DP32" s="5" t="inlineStr">
        <is>
          <t>Nueva deuda consumo</t>
        </is>
      </c>
      <c r="DQ32" s="5" t="inlineStr">
        <is>
          <t>Flujo al ahorro líquido</t>
        </is>
      </c>
      <c r="DR32" s="5" t="inlineStr">
        <is>
          <t>Ahorro líquido fin</t>
        </is>
      </c>
      <c r="DS32" s="5" t="inlineStr">
        <is>
          <t>Retiro fin</t>
        </is>
      </c>
      <c r="DT32" s="5" t="inlineStr">
        <is>
          <t>Valor vivienda fin</t>
        </is>
      </c>
      <c r="DU32" s="5" t="inlineStr">
        <is>
          <t>Hipoteca fin</t>
        </is>
      </c>
      <c r="DV32" s="5" t="inlineStr">
        <is>
          <t>ADU fin</t>
        </is>
      </c>
      <c r="DW32" s="5" t="inlineStr">
        <is>
          <t>Federal fin</t>
        </is>
      </c>
      <c r="DX32" s="5" t="inlineStr">
        <is>
          <t>Tasa federal fin</t>
        </is>
      </c>
      <c r="DY32" s="5" t="inlineStr">
        <is>
          <t>Años repago fed. fin</t>
        </is>
      </c>
      <c r="DZ32" s="5" t="inlineStr">
        <is>
          <t>Federal acumulado</t>
        </is>
      </c>
      <c r="EA32" s="5" t="inlineStr">
        <is>
          <t>Privado fin</t>
        </is>
      </c>
      <c r="EB32" s="5" t="inlineStr">
        <is>
          <t>Tasa privada fin</t>
        </is>
      </c>
      <c r="EC32" s="5" t="inlineStr">
        <is>
          <t>Años repago priv. fin</t>
        </is>
      </c>
      <c r="ED32" s="5" t="inlineStr">
        <is>
          <t>Deuda consumo fin</t>
        </is>
      </c>
      <c r="EE32" s="5" t="inlineStr">
        <is>
          <t>Año vivienda pagada</t>
        </is>
      </c>
      <c r="EF32" s="5" t="inlineStr">
        <is>
          <t>Deuda total</t>
        </is>
      </c>
      <c r="EG32" s="9" t="inlineStr">
        <is>
          <t>PATRIMONIO NETO</t>
        </is>
      </c>
      <c r="EH32" s="5" t="inlineStr">
        <is>
          <t>Patrimonio (dólares 2026)</t>
        </is>
      </c>
    </row>
    <row r="33">
      <c r="A33" t="n">
        <v>2027</v>
      </c>
      <c r="B33" t="n">
        <v>0</v>
      </c>
      <c r="C33" s="7">
        <f>(1+g_inf)^(A33-2026)</f>
        <v/>
      </c>
      <c r="D33" s="7">
        <f>SUMPRODUCT($T$5:$T$29,$E$5:$E$29*(1+$F$5:$F$29)^(A33-2026)*$G$5:$G$29*$H$5:$H$29*(1-$N$5:$N$29*$O$5:$O$29))*g_salMult+SUMPRODUCT(($B$5:$B$29&gt;=A33)*($B$5:$B$29&lt;A33+1)*$I$5:$I$29)*g_salMult</f>
        <v/>
      </c>
      <c r="E33" s="7">
        <f>SUMPRODUCT($T$5:$T$29,$E$5:$E$29*(1+$F$5:$F$29)^(A33-2026)*$G$5:$G$29*$H$5:$H$29*$M$5:$M$29)*g_salMult</f>
        <v/>
      </c>
      <c r="F33" s="7">
        <f>SUMPRODUCT($T$5:$T$29,$E$5:$E$29*(1+$F$5:$F$29)^(A33-2026)*$G$5:$G$29*$H$5:$H$29*$N$5:$N$29*$O$5:$O$29)*g_salMult</f>
        <v/>
      </c>
      <c r="G33" s="7">
        <f>SUMPRODUCT($T$5:$T$29,$P$5:$P$29*(1+$F$5:$F$29)^(A33-2026))</f>
        <v/>
      </c>
      <c r="H33" s="7">
        <f>SUMPRODUCT($T$5:$T$29,$Q$5:$Q$29*(1+$F$5:$F$29)^(A33-2026))+IF(personal_llcActivo=1,personal_llcNeto*(1+personal_llcCrecimiento)^0,0)</f>
        <v/>
      </c>
      <c r="I33" s="7">
        <f>SUMPRODUCT($T$5:$T$29,$J$5:$J$29/($C$5:$C$29-$B$5:$B$29+($C$5:$C$29=$B$5:$B$29)))*C33</f>
        <v/>
      </c>
      <c r="J33" s="7">
        <f>SUMPRODUCT($T$5:$T$29,$K$5:$K$29)</f>
        <v/>
      </c>
      <c r="K33" s="7">
        <f>SUMPRODUCT($T$5:$T$29,$L$5:$L$29)</f>
        <v/>
      </c>
      <c r="L33" s="7">
        <f>SUMPRODUCT($T$5:$T$29,$N$5:$N$29)</f>
        <v/>
      </c>
      <c r="M33" s="7">
        <f>IF(SUMPRODUCT($T$5:$T$29,$R$5:$R$29)&gt;0,1,0)</f>
        <v/>
      </c>
      <c r="N33" s="7">
        <f>SUMPRODUCT(($AO$5:$AO$24&gt;=A33)*($AO$5:$AO$24&lt;A33+1)*$AP$5:$AP$24)*C33+IF(0=0,IF(sel_loc&lt;&gt;"miami",personal_costoMudanzaInicial,0),0)</f>
        <v/>
      </c>
      <c r="O33" s="7">
        <f>MIN(personal_aporte403bPct*D33,retiro_limite403b*C33)</f>
        <v/>
      </c>
      <c r="P33" s="7">
        <f>MIN(personal_aporte403bPct,personal_match403bPct)*E33</f>
        <v/>
      </c>
      <c r="Q33" s="7">
        <f>IF(G33&gt;0,MAX(0,G33-impuestos_scorpCostoAnual*C33),0)</f>
        <v/>
      </c>
      <c r="R33" s="7">
        <f>Q33*impuestos_scorpSalarioPct/(1+impuestos_ssTasa+impuestos_medicareTasa)</f>
        <v/>
      </c>
      <c r="S33" s="7">
        <f>impuestos_ssTasa*MIN(R33,MAX(0,impuestos_ssTope*C33-D33))+impuestos_medicareTasa*R33</f>
        <v/>
      </c>
      <c r="T33" s="7">
        <f>Q33-R33-S33</f>
        <v/>
      </c>
      <c r="U33" s="7">
        <f>D33+R33</f>
        <v/>
      </c>
      <c r="V33" s="7">
        <f>H33*0.9235</f>
        <v/>
      </c>
      <c r="W33" s="7">
        <f>IF(H33&gt;0,2*impuestos_ssTasa*MIN(V33,MAX(0,impuestos_ssTope*C33-U33))+2*impuestos_medicareTasa*V33,0)</f>
        <v/>
      </c>
      <c r="X33" s="7">
        <f>impuestos_ssTasa*MIN(U33,impuestos_ssTope*C33)+impuestos_medicareTasa*U33+impuestos_medicareAdicional*MAX(0,U33+H33*0.9235-impuestos_medicareUmbral)</f>
        <v/>
      </c>
      <c r="Y33" s="7">
        <f>MAX(0,D33-O33+R33+T33+H33-W33/2)</f>
        <v/>
      </c>
      <c r="Z33" s="7">
        <f>MAX(0,Y33-impuestos_deduccionEstandar*C33)</f>
        <v/>
      </c>
      <c r="AA33" s="7">
        <f>MIN(0.2*MAX(0,T33+H33-W33/2)*MAX(0,MIN(1,1-(Z33-impuestos_qbiUmbral*C33)/(impuestos_qbiRango*C33))),0.2*Z33)</f>
        <v/>
      </c>
      <c r="AB33" s="7">
        <f>MAX(0,Z33-AA33)</f>
        <v/>
      </c>
      <c r="AC33" s="7">
        <f>SUMPRODUCT((AB33&gt;tb_federalBrackets_lo*C33)*(AB33-tb_federalBrackets_lo*C33)*tb_federalBrackets_dr)</f>
        <v/>
      </c>
      <c r="AD33" s="7">
        <f>MAX(0,Y33-impuestos_nyDeduccion*C33)</f>
        <v/>
      </c>
      <c r="AE33" s="7">
        <f>CHOOSE(loc_taxcode,0,impuestos_ohTasa*MAX(0,Y33-impuestos_ohExento*C33)+impuestos_ohMunicipal*U33,SUMPRODUCT((AD33&gt;tb_nyBrackets_lo*C33)*(AD33-tb_nyBrackets_lo*C33)*tb_nyBrackets_dr)+loc_nyc*SUMPRODUCT((AD33&gt;tb_nycBrackets_lo*C33)*(AD33-tb_nycBrackets_lo*C33)*tb_nycBrackets_dr))</f>
        <v/>
      </c>
      <c r="AF33" s="7">
        <f>AC33+AE33+X33+W33</f>
        <v/>
      </c>
      <c r="AG33" s="7">
        <f>D33+F33+R33+T33+H33</f>
        <v/>
      </c>
      <c r="AH33" s="7">
        <f>AG33-AF33-O33</f>
        <v/>
      </c>
      <c r="AI33" s="7">
        <f>D33+F33+G33+H33</f>
        <v/>
      </c>
      <c r="AJ33" s="7">
        <f>loc_gastosVida*C33*g_gastos</f>
        <v/>
      </c>
      <c r="AK33" s="7">
        <f>IF(0=0,personal_liquidoInicial,DR32)</f>
        <v/>
      </c>
      <c r="AL33" s="7">
        <f>IF(0=0,0,BB32)</f>
        <v/>
      </c>
      <c r="AM33" s="7">
        <f>CHOOSE(sel_cfgIdx,loc_precio_duplex,loc_precio_inlaw,loc_precio_dosCasas,loc_precio_casaAdu,loc_precio_multi)</f>
        <v/>
      </c>
      <c r="AN33" s="7">
        <f>AM33*(1+g_appr)^(A33-2026)</f>
        <v/>
      </c>
      <c r="AO33" s="7">
        <f>IF(AND(M33=1,vivienda_prestamoMedico=1),1,0)</f>
        <v/>
      </c>
      <c r="AP33" s="7">
        <f>IF(AO33=1,0.05,vivienda_enganchePct)</f>
        <v/>
      </c>
      <c r="AQ33" s="7">
        <f>AN33*(1-AP33)</f>
        <v/>
      </c>
      <c r="AR33" s="7">
        <f>PMT(g_mortRate/12,vivienda_plazoHipoteca*12,-AQ33)</f>
        <v/>
      </c>
      <c r="AS33" s="7">
        <f>INDEX(cfg_units,sel_cfgIdx)</f>
        <v/>
      </c>
      <c r="AT33" s="7">
        <f>AS33*loc_rentaUnidad*(1+g_inf)^(A33-2026)*(1-vivienda_vacancia)</f>
        <v/>
      </c>
      <c r="AU33" s="7">
        <f>AR33+AN33*loc_impuestoPropPct/12+AM33*loc_seguroPct*(1+vivienda_inflacionSeguro)^(A33-2026)/12+IF(AND(AO33=0,AP33&lt;0.2),AQ33*vivienda_pmiTasa/12,0)</f>
        <v/>
      </c>
      <c r="AV33" s="7">
        <f>AN33*AP33+AN33*vivienda_cierrePct+general_reservaMeses/12*AJ33</f>
        <v/>
      </c>
      <c r="AW33" s="7">
        <f>(IF(0=0,MIN(personal_irsSaldo,personal_irsPagoMensual*12),MIN(CD32,personal_irsPagoMensual*12))+IF(CE33&gt;0,PMT(CF33,MAX(1,prestamos_plazoAnios-CG33),-CE33),0)+IF(CR33&gt;0,PMT(CS33,MAX(1,prestamos_plazoAnios-CT33),-CR33),0))/12</f>
        <v/>
      </c>
      <c r="AX33" s="7">
        <f>IF(OR(sel_cfg="duplex",sel_cfg="multi",sel_cfg="dosCasas"),0.75*personal_aporteFamiliaMensual,0)</f>
        <v/>
      </c>
      <c r="AY33" s="7">
        <f>AU33-0.75*AT33-AX33+AW33</f>
        <v/>
      </c>
      <c r="AZ33" s="7">
        <f>(D33+G33+H33+0.5*F33)/12</f>
        <v/>
      </c>
      <c r="BA33" s="7">
        <f>IF(AND(AL33=0,A33&gt;=vivienda_anioMinCompra,J33&lt;0.5,AI33&gt;0,AK33&gt;=AV33,AY33&lt;=vivienda_dtiMax*AZ33),1,0)</f>
        <v/>
      </c>
      <c r="BB33" s="7">
        <f>MAX(AL33,BA33)</f>
        <v/>
      </c>
      <c r="BC33" s="7">
        <f>IF(BA33=1,A33,IF(0=0,"",BC32))</f>
        <v/>
      </c>
      <c r="BD33" s="7">
        <f>AK33-IF(BA33=1,AN33*AP33+AN33*vivienda_cierrePct,0)</f>
        <v/>
      </c>
      <c r="BE33" s="7">
        <f>IF(BA33=1,AN33,IF(0=0,0,BE32))</f>
        <v/>
      </c>
      <c r="BF33" s="7">
        <f>IF(BA33=1,AR33,IF(0=0,0,BF32))</f>
        <v/>
      </c>
      <c r="BG33" s="7">
        <f>IF(BA33=1,IF(AND(AO33=0,AP33&lt;0.2),1,0),IF(0=0,0,BY32))</f>
        <v/>
      </c>
      <c r="BH33" s="7">
        <f>IF(sel_cfg="casaAdu",1,0)</f>
        <v/>
      </c>
      <c r="BI33" s="7">
        <f>IF(AND(BB33=1,BH33=1,IF(0=0,0,BJ32)=0,A33&gt;=IF(BC33="",9999,BC33)+vivienda_aduRetrasoAnios),1,0)</f>
        <v/>
      </c>
      <c r="BJ33" s="7">
        <f>MAX(IF(0=0,0,BJ32),BI33)</f>
        <v/>
      </c>
      <c r="BK33" s="7">
        <f>IF(BI33=1,PMT((g_mortRate+0.005)/12,180,-loc_precio_aduCosto*C33),IF(0=0,0,BK32))</f>
        <v/>
      </c>
      <c r="BL33" s="7">
        <f>IF(BA33=1,AN33,IF(0=0,0,DT32))+IF(BI33=1,loc_precio_aduCosto*C33,0)</f>
        <v/>
      </c>
      <c r="BM33" s="7">
        <f>IF(BA33=1,AQ33,IF(0=0,0,DU32))</f>
        <v/>
      </c>
      <c r="BN33" s="7">
        <f>IF(BM33&lt;=0,0,FV(g_mortRate/12,12,BF33,-BM33))</f>
        <v/>
      </c>
      <c r="BO33" s="7">
        <f>IF(BM33&lt;=0,0,12*BF33+MIN(0,BN33))</f>
        <v/>
      </c>
      <c r="BP33" s="7">
        <f>MAX(0,BN33)</f>
        <v/>
      </c>
      <c r="BQ33" s="7">
        <f>IF(BI33=1,loc_precio_aduCosto*C33,IF(0=0,0,DV32))</f>
        <v/>
      </c>
      <c r="BR33" s="7">
        <f>IF(BQ33&lt;=0,0,FV((g_mortRate+0.005)/12,12,BK33,-BQ33))</f>
        <v/>
      </c>
      <c r="BS33" s="7">
        <f>IF(BQ33&lt;=0,0,12*BK33+MIN(0,BR33))</f>
        <v/>
      </c>
      <c r="BT33" s="7">
        <f>MAX(0,BR33)</f>
        <v/>
      </c>
      <c r="BU33" s="7">
        <f>IF(BB33=1,AM33*loc_seguroPct*(1+vivienda_inflacionSeguro)^(A33-2026)*IF(BJ33=1,1+loc_precio_aduCosto/AM33,1),0)</f>
        <v/>
      </c>
      <c r="BV33" s="7">
        <f>BL33*loc_impuestoPropPct</f>
        <v/>
      </c>
      <c r="BW33" s="7">
        <f>BL33*vivienda_mantenimientoPct</f>
        <v/>
      </c>
      <c r="BX33" s="7">
        <f>IF(AND(BG33=1,BP33&gt;0.8*BE33),BE33*(1-vivienda_enganchePct)*vivienda_pmiTasa,0)</f>
        <v/>
      </c>
      <c r="BY33" s="7">
        <f>IF(AND(BG33=1,BP33&gt;0.8*BE33),1,0)</f>
        <v/>
      </c>
      <c r="BZ33" s="7">
        <f>IF(BB33=1,AS33*loc_rentaUnidad*12*C33*(1-vivienda_vacancia)*(1-vivienda_gestionPct),0)</f>
        <v/>
      </c>
      <c r="CA33" s="7">
        <f>IF(BB33=1,BO33+BS33+BU33+BV33+BW33+BX33,loc_rentaMensual*12*C33)</f>
        <v/>
      </c>
      <c r="CB33" s="7">
        <f>IF(BB33=1,personal_aporteFamiliaMensual*12,0)</f>
        <v/>
      </c>
      <c r="CC33" s="7">
        <f>MIN(IF(0=0,personal_irsSaldo,CD32),personal_irsPagoMensual*12)</f>
        <v/>
      </c>
      <c r="CD33" s="7">
        <f>IF(0=0,personal_irsSaldo,CD32)-CC33</f>
        <v/>
      </c>
      <c r="CE33" s="7">
        <f>IF(0=0,IF(personal_deudaEsFederal=1,personal_deudaEstudiantil,0),DW32)</f>
        <v/>
      </c>
      <c r="CF33" s="7">
        <f>IF(0=0,personal_tasaDeudaEstudiantil,DX32)</f>
        <v/>
      </c>
      <c r="CG33" s="7">
        <f>IF(0=0,0,DY32)</f>
        <v/>
      </c>
      <c r="CH33" s="7">
        <f>IF(J33&gt;=0.5,1,0)</f>
        <v/>
      </c>
      <c r="CI33" s="7">
        <f>IF(AND(CH33=0,prestamos_pslfActivo=1,K33&gt;=0.5,CE33&gt;0),1,0)</f>
        <v/>
      </c>
      <c r="CJ33" s="7">
        <f>CE33*CF33</f>
        <v/>
      </c>
      <c r="CK33" s="7">
        <f>MAX(prestamos_rapPagoMinimoAnual,IF(Y33&lt;10000,0,MIN(0.1,INT(Y33/10000)/100))*Y33)</f>
        <v/>
      </c>
      <c r="CL33" s="7">
        <f>IF(CE33&lt;=0,0,IF(CH33=1,0,IF(CI33=1,MIN(CE33+CJ33,CK33),PMT(CF33,MAX(1,prestamos_plazoAnios-CG33),-CE33))))</f>
        <v/>
      </c>
      <c r="CM33" s="7">
        <f>IF(CE33&lt;=0,0,IF(CH33=1,CE33+CJ33,IF(CI33=1,MAX(0,CE33-MAX(CL33-CJ33,MIN(600,CL33))),MAX(0,CE33*(1+CF33)-CL33))))</f>
        <v/>
      </c>
      <c r="CN33" s="7">
        <f>IF(0=0,0,CN32)+IF(CI33=1,12*MIN(1,K33),0)</f>
        <v/>
      </c>
      <c r="CO33" s="7">
        <f>IF(AND(CI33=1,CN33&gt;=prestamos_pslfPagos,CM33&gt;0),CM33,0)</f>
        <v/>
      </c>
      <c r="CP33" s="7">
        <f>CM33-CO33</f>
        <v/>
      </c>
      <c r="CQ33" s="7">
        <f>IF(AND(CE33&gt;0,CH33=0,CI33=0),CG33+1,CG33)</f>
        <v/>
      </c>
      <c r="CR33" s="7">
        <f>IF(0=0,IF(personal_deudaEsFederal=1,0,personal_deudaEstudiantil),EA32)</f>
        <v/>
      </c>
      <c r="CS33" s="7">
        <f>IF(0=0,IF(personal_deudaEsFederal=1,prestamos_tasaPrivada,personal_tasaDeudaEstudiantil),EB32)</f>
        <v/>
      </c>
      <c r="CT33" s="7">
        <f>IF(0=0,0,EC32)</f>
        <v/>
      </c>
      <c r="CU33" s="7">
        <f>IF(OR(CR33&lt;=0,CH33=1),0,PMT(CS33,MAX(1,prestamos_plazoAnios-CT33),-CR33))</f>
        <v/>
      </c>
      <c r="CV33" s="7">
        <f>IF(CR33&lt;=0,0,IF(CH33=1,CR33*(1+CS33),MAX(0,CR33*(1+CS33)-CU33)))</f>
        <v/>
      </c>
      <c r="CW33" s="7">
        <f>IF(AND(CR33&gt;0,CH33=0),CT33+1,CT33)</f>
        <v/>
      </c>
      <c r="CX33" s="7">
        <f>IF(0=0,0,ED32)*(1+general_tasaDeudaConsumo)</f>
        <v/>
      </c>
      <c r="CY33" s="7">
        <f>L33*12*tiempos_travelGastoExtraMes*C33</f>
        <v/>
      </c>
      <c r="CZ33" s="7">
        <f>AJ33+CY33+CA33+CC33+CL33+CU33+I33+N33-BZ33-CB33</f>
        <v/>
      </c>
      <c r="DA33" s="7">
        <f>AH33-CZ33</f>
        <v/>
      </c>
      <c r="DB33" s="7">
        <f>IF(0=0,0,DB32)+DA33</f>
        <v/>
      </c>
      <c r="DC33" s="7">
        <f>AN33*vivienda_enganchePct+AN33*vivienda_cierrePct+general_reservaMeses/12*AJ33</f>
        <v/>
      </c>
      <c r="DD33" s="7">
        <f>IF(BB33=1,g_ret,IF(BD33&gt;0,MIN(1,DC33/BD33),1)*g_cash+(1-IF(BD33&gt;0,MIN(1,DC33/BD33),1))*g_ret)</f>
        <v/>
      </c>
      <c r="DE33" s="7">
        <f>IF(DA33&gt;=0,MIN(CX33,DA33),0)</f>
        <v/>
      </c>
      <c r="DF33" s="7">
        <f>IF(DA33&gt;=0,(1-general_tasaAhorro)*(DA33-DE33),0)</f>
        <v/>
      </c>
      <c r="DG33" s="7">
        <f>IF(DA33&gt;=0,DA33-DE33-DF33,0)</f>
        <v/>
      </c>
      <c r="DH33" s="7">
        <f>MIN(personal_rothAnual,DG33)</f>
        <v/>
      </c>
      <c r="DI33" s="7">
        <f>IF(AND(DA33&gt;=0,BB33=1,BP33+BT33&gt;0),MIN(vivienda_prepagoPct*(DG33-DH33),BP33+BT33),0)</f>
        <v/>
      </c>
      <c r="DJ33" s="7">
        <f>MIN(DI33,BP33)</f>
        <v/>
      </c>
      <c r="DK33" s="7">
        <f>IF(DA33&lt;0,MIN(MAX(0,BD33),-DA33),0)</f>
        <v/>
      </c>
      <c r="DL33" s="7">
        <f>IF(DA33&lt;0,-DA33-DK33,0)</f>
        <v/>
      </c>
      <c r="DM33" s="7">
        <f>IF(0=0,0,DZ32)</f>
        <v/>
      </c>
      <c r="DN33" s="7">
        <f>IF(AND(DL33&gt;0,J33&gt;0),MIN(DL33,MIN(prestamos_topeAnualPosgrado*MIN(1,J33),MAX(0,prestamos_topeTotalPosgrado-DM33))),0)</f>
        <v/>
      </c>
      <c r="DO33" s="7">
        <f>IF(AND(DL33&gt;0,J33&gt;0),DL33-DN33,0)</f>
        <v/>
      </c>
      <c r="DP33" s="7">
        <f>IF(AND(DL33&gt;0,J33&lt;=0),DL33,0)</f>
        <v/>
      </c>
      <c r="DQ33" s="7">
        <f>IF(DA33&gt;=0,DG33-DH33-DI33,-DK33)</f>
        <v/>
      </c>
      <c r="DR33" s="7">
        <f>BD33*(1+DD33)+DQ33*(1+DD33/2)</f>
        <v/>
      </c>
      <c r="DS33" s="7">
        <f>IF(0=0,personal_retiroInicial,DS32)*(1+g_ret)+(O33+P33+DH33)*(1+g_ret/2)</f>
        <v/>
      </c>
      <c r="DT33" s="7">
        <f>IF(BB33=1,BL33*(1+g_appr),0)</f>
        <v/>
      </c>
      <c r="DU33" s="7">
        <f>BP33-DJ33</f>
        <v/>
      </c>
      <c r="DV33" s="7">
        <f>BT33-(DI33-DJ33)</f>
        <v/>
      </c>
      <c r="DW33" s="7">
        <f>CP33+DN33</f>
        <v/>
      </c>
      <c r="DX33" s="7">
        <f>IF(DN33&gt;0,(CP33*CF33+DN33*prestamos_tasaFederalPosgrado)/(CP33+DN33),CF33)</f>
        <v/>
      </c>
      <c r="DY33" s="7">
        <f>IF(DN33&gt;0,0,CQ33)</f>
        <v/>
      </c>
      <c r="DZ33" s="7">
        <f>DM33+DN33</f>
        <v/>
      </c>
      <c r="EA33" s="7">
        <f>CV33+DO33</f>
        <v/>
      </c>
      <c r="EB33" s="7">
        <f>IF(DO33&gt;0,(CV33*CS33+DO33*prestamos_tasaPrivada)/(CV33+DO33),CS33)</f>
        <v/>
      </c>
      <c r="EC33" s="7">
        <f>IF(DO33&gt;0,0,CW33)</f>
        <v/>
      </c>
      <c r="ED33" s="7">
        <f>CX33-DE33+DP33</f>
        <v/>
      </c>
      <c r="EE33" s="7">
        <f>IF(IF(0=0,"",EE32)&lt;&gt;"",EE32,IF(AND(BB33=1,DU33&lt;=0.5,DV33&lt;=0.5,OR(BH33=0,BJ33=1)),A33,""))</f>
        <v/>
      </c>
      <c r="EF33" s="7">
        <f>DU33+DV33+DW33+EA33+ED33+CD33</f>
        <v/>
      </c>
      <c r="EG33" s="7">
        <f>DR33+DS33+DT33-EF33</f>
        <v/>
      </c>
      <c r="EH33" s="7">
        <f>EG33/(1+g_inf)^(A33+1-2026)</f>
        <v/>
      </c>
    </row>
    <row r="34">
      <c r="A34" t="n">
        <v>2028</v>
      </c>
      <c r="B34" t="n">
        <v>1</v>
      </c>
      <c r="C34" s="7">
        <f>(1+g_inf)^(A34-2026)</f>
        <v/>
      </c>
      <c r="D34" s="7">
        <f>SUMPRODUCT($U$5:$U$29,$E$5:$E$29*(1+$F$5:$F$29)^(A34-2026)*$G$5:$G$29*$H$5:$H$29*(1-$N$5:$N$29*$O$5:$O$29))*g_salMult+SUMPRODUCT(($B$5:$B$29&gt;=A34)*($B$5:$B$29&lt;A34+1)*$I$5:$I$29)*g_salMult</f>
        <v/>
      </c>
      <c r="E34" s="7">
        <f>SUMPRODUCT($U$5:$U$29,$E$5:$E$29*(1+$F$5:$F$29)^(A34-2026)*$G$5:$G$29*$H$5:$H$29*$M$5:$M$29)*g_salMult</f>
        <v/>
      </c>
      <c r="F34" s="7">
        <f>SUMPRODUCT($U$5:$U$29,$E$5:$E$29*(1+$F$5:$F$29)^(A34-2026)*$G$5:$G$29*$H$5:$H$29*$N$5:$N$29*$O$5:$O$29)*g_salMult</f>
        <v/>
      </c>
      <c r="G34" s="7">
        <f>SUMPRODUCT($U$5:$U$29,$P$5:$P$29*(1+$F$5:$F$29)^(A34-2026))</f>
        <v/>
      </c>
      <c r="H34" s="7">
        <f>SUMPRODUCT($U$5:$U$29,$Q$5:$Q$29*(1+$F$5:$F$29)^(A34-2026))+IF(personal_llcActivo=1,personal_llcNeto*(1+personal_llcCrecimiento)^1,0)</f>
        <v/>
      </c>
      <c r="I34" s="7">
        <f>SUMPRODUCT($U$5:$U$29,$J$5:$J$29/($C$5:$C$29-$B$5:$B$29+($C$5:$C$29=$B$5:$B$29)))*C34</f>
        <v/>
      </c>
      <c r="J34" s="7">
        <f>SUMPRODUCT($U$5:$U$29,$K$5:$K$29)</f>
        <v/>
      </c>
      <c r="K34" s="7">
        <f>SUMPRODUCT($U$5:$U$29,$L$5:$L$29)</f>
        <v/>
      </c>
      <c r="L34" s="7">
        <f>SUMPRODUCT($U$5:$U$29,$N$5:$N$29)</f>
        <v/>
      </c>
      <c r="M34" s="7">
        <f>IF(SUMPRODUCT($U$5:$U$29,$R$5:$R$29)&gt;0,1,0)</f>
        <v/>
      </c>
      <c r="N34" s="7">
        <f>SUMPRODUCT(($AO$5:$AO$24&gt;=A34)*($AO$5:$AO$24&lt;A34+1)*$AP$5:$AP$24)*C34+IF(1=0,IF(sel_loc&lt;&gt;"miami",personal_costoMudanzaInicial,0),0)</f>
        <v/>
      </c>
      <c r="O34" s="7">
        <f>MIN(personal_aporte403bPct*D34,retiro_limite403b*C34)</f>
        <v/>
      </c>
      <c r="P34" s="7">
        <f>MIN(personal_aporte403bPct,personal_match403bPct)*E34</f>
        <v/>
      </c>
      <c r="Q34" s="7">
        <f>IF(G34&gt;0,MAX(0,G34-impuestos_scorpCostoAnual*C34),0)</f>
        <v/>
      </c>
      <c r="R34" s="7">
        <f>Q34*impuestos_scorpSalarioPct/(1+impuestos_ssTasa+impuestos_medicareTasa)</f>
        <v/>
      </c>
      <c r="S34" s="7">
        <f>impuestos_ssTasa*MIN(R34,MAX(0,impuestos_ssTope*C34-D34))+impuestos_medicareTasa*R34</f>
        <v/>
      </c>
      <c r="T34" s="7">
        <f>Q34-R34-S34</f>
        <v/>
      </c>
      <c r="U34" s="7">
        <f>D34+R34</f>
        <v/>
      </c>
      <c r="V34" s="7">
        <f>H34*0.9235</f>
        <v/>
      </c>
      <c r="W34" s="7">
        <f>IF(H34&gt;0,2*impuestos_ssTasa*MIN(V34,MAX(0,impuestos_ssTope*C34-U34))+2*impuestos_medicareTasa*V34,0)</f>
        <v/>
      </c>
      <c r="X34" s="7">
        <f>impuestos_ssTasa*MIN(U34,impuestos_ssTope*C34)+impuestos_medicareTasa*U34+impuestos_medicareAdicional*MAX(0,U34+H34*0.9235-impuestos_medicareUmbral)</f>
        <v/>
      </c>
      <c r="Y34" s="7">
        <f>MAX(0,D34-O34+R34+T34+H34-W34/2)</f>
        <v/>
      </c>
      <c r="Z34" s="7">
        <f>MAX(0,Y34-impuestos_deduccionEstandar*C34)</f>
        <v/>
      </c>
      <c r="AA34" s="7">
        <f>MIN(0.2*MAX(0,T34+H34-W34/2)*MAX(0,MIN(1,1-(Z34-impuestos_qbiUmbral*C34)/(impuestos_qbiRango*C34))),0.2*Z34)</f>
        <v/>
      </c>
      <c r="AB34" s="7">
        <f>MAX(0,Z34-AA34)</f>
        <v/>
      </c>
      <c r="AC34" s="7">
        <f>SUMPRODUCT((AB34&gt;tb_federalBrackets_lo*C34)*(AB34-tb_federalBrackets_lo*C34)*tb_federalBrackets_dr)</f>
        <v/>
      </c>
      <c r="AD34" s="7">
        <f>MAX(0,Y34-impuestos_nyDeduccion*C34)</f>
        <v/>
      </c>
      <c r="AE34" s="7">
        <f>CHOOSE(loc_taxcode,0,impuestos_ohTasa*MAX(0,Y34-impuestos_ohExento*C34)+impuestos_ohMunicipal*U34,SUMPRODUCT((AD34&gt;tb_nyBrackets_lo*C34)*(AD34-tb_nyBrackets_lo*C34)*tb_nyBrackets_dr)+loc_nyc*SUMPRODUCT((AD34&gt;tb_nycBrackets_lo*C34)*(AD34-tb_nycBrackets_lo*C34)*tb_nycBrackets_dr))</f>
        <v/>
      </c>
      <c r="AF34" s="7">
        <f>AC34+AE34+X34+W34</f>
        <v/>
      </c>
      <c r="AG34" s="7">
        <f>D34+F34+R34+T34+H34</f>
        <v/>
      </c>
      <c r="AH34" s="7">
        <f>AG34-AF34-O34</f>
        <v/>
      </c>
      <c r="AI34" s="7">
        <f>D34+F34+G34+H34</f>
        <v/>
      </c>
      <c r="AJ34" s="7">
        <f>loc_gastosVida*C34*g_gastos</f>
        <v/>
      </c>
      <c r="AK34" s="7">
        <f>IF(1=0,personal_liquidoInicial,DR33)</f>
        <v/>
      </c>
      <c r="AL34" s="7">
        <f>IF(1=0,0,BB33)</f>
        <v/>
      </c>
      <c r="AM34" s="7">
        <f>CHOOSE(sel_cfgIdx,loc_precio_duplex,loc_precio_inlaw,loc_precio_dosCasas,loc_precio_casaAdu,loc_precio_multi)</f>
        <v/>
      </c>
      <c r="AN34" s="7">
        <f>AM34*(1+g_appr)^(A34-2026)</f>
        <v/>
      </c>
      <c r="AO34" s="7">
        <f>IF(AND(M34=1,vivienda_prestamoMedico=1),1,0)</f>
        <v/>
      </c>
      <c r="AP34" s="7">
        <f>IF(AO34=1,0.05,vivienda_enganchePct)</f>
        <v/>
      </c>
      <c r="AQ34" s="7">
        <f>AN34*(1-AP34)</f>
        <v/>
      </c>
      <c r="AR34" s="7">
        <f>PMT(g_mortRate/12,vivienda_plazoHipoteca*12,-AQ34)</f>
        <v/>
      </c>
      <c r="AS34" s="7">
        <f>INDEX(cfg_units,sel_cfgIdx)</f>
        <v/>
      </c>
      <c r="AT34" s="7">
        <f>AS34*loc_rentaUnidad*(1+g_inf)^(A34-2026)*(1-vivienda_vacancia)</f>
        <v/>
      </c>
      <c r="AU34" s="7">
        <f>AR34+AN34*loc_impuestoPropPct/12+AM34*loc_seguroPct*(1+vivienda_inflacionSeguro)^(A34-2026)/12+IF(AND(AO34=0,AP34&lt;0.2),AQ34*vivienda_pmiTasa/12,0)</f>
        <v/>
      </c>
      <c r="AV34" s="7">
        <f>AN34*AP34+AN34*vivienda_cierrePct+general_reservaMeses/12*AJ34</f>
        <v/>
      </c>
      <c r="AW34" s="7">
        <f>(IF(1=0,MIN(personal_irsSaldo,personal_irsPagoMensual*12),MIN(CD33,personal_irsPagoMensual*12))+IF(CE34&gt;0,PMT(CF34,MAX(1,prestamos_plazoAnios-CG34),-CE34),0)+IF(CR34&gt;0,PMT(CS34,MAX(1,prestamos_plazoAnios-CT34),-CR34),0))/12</f>
        <v/>
      </c>
      <c r="AX34" s="7">
        <f>IF(OR(sel_cfg="duplex",sel_cfg="multi",sel_cfg="dosCasas"),0.75*personal_aporteFamiliaMensual,0)</f>
        <v/>
      </c>
      <c r="AY34" s="7">
        <f>AU34-0.75*AT34-AX34+AW34</f>
        <v/>
      </c>
      <c r="AZ34" s="7">
        <f>(D34+G34+H34+0.5*F34)/12</f>
        <v/>
      </c>
      <c r="BA34" s="7">
        <f>IF(AND(AL34=0,A34&gt;=vivienda_anioMinCompra,J34&lt;0.5,AI34&gt;0,AK34&gt;=AV34,AY34&lt;=vivienda_dtiMax*AZ34),1,0)</f>
        <v/>
      </c>
      <c r="BB34" s="7">
        <f>MAX(AL34,BA34)</f>
        <v/>
      </c>
      <c r="BC34" s="7">
        <f>IF(BA34=1,A34,IF(1=0,"",BC33))</f>
        <v/>
      </c>
      <c r="BD34" s="7">
        <f>AK34-IF(BA34=1,AN34*AP34+AN34*vivienda_cierrePct,0)</f>
        <v/>
      </c>
      <c r="BE34" s="7">
        <f>IF(BA34=1,AN34,IF(1=0,0,BE33))</f>
        <v/>
      </c>
      <c r="BF34" s="7">
        <f>IF(BA34=1,AR34,IF(1=0,0,BF33))</f>
        <v/>
      </c>
      <c r="BG34" s="7">
        <f>IF(BA34=1,IF(AND(AO34=0,AP34&lt;0.2),1,0),IF(1=0,0,BY33))</f>
        <v/>
      </c>
      <c r="BH34" s="7">
        <f>IF(sel_cfg="casaAdu",1,0)</f>
        <v/>
      </c>
      <c r="BI34" s="7">
        <f>IF(AND(BB34=1,BH34=1,IF(1=0,0,BJ33)=0,A34&gt;=IF(BC34="",9999,BC34)+vivienda_aduRetrasoAnios),1,0)</f>
        <v/>
      </c>
      <c r="BJ34" s="7">
        <f>MAX(IF(1=0,0,BJ33),BI34)</f>
        <v/>
      </c>
      <c r="BK34" s="7">
        <f>IF(BI34=1,PMT((g_mortRate+0.005)/12,180,-loc_precio_aduCosto*C34),IF(1=0,0,BK33))</f>
        <v/>
      </c>
      <c r="BL34" s="7">
        <f>IF(BA34=1,AN34,IF(1=0,0,DT33))+IF(BI34=1,loc_precio_aduCosto*C34,0)</f>
        <v/>
      </c>
      <c r="BM34" s="7">
        <f>IF(BA34=1,AQ34,IF(1=0,0,DU33))</f>
        <v/>
      </c>
      <c r="BN34" s="7">
        <f>IF(BM34&lt;=0,0,FV(g_mortRate/12,12,BF34,-BM34))</f>
        <v/>
      </c>
      <c r="BO34" s="7">
        <f>IF(BM34&lt;=0,0,12*BF34+MIN(0,BN34))</f>
        <v/>
      </c>
      <c r="BP34" s="7">
        <f>MAX(0,BN34)</f>
        <v/>
      </c>
      <c r="BQ34" s="7">
        <f>IF(BI34=1,loc_precio_aduCosto*C34,IF(1=0,0,DV33))</f>
        <v/>
      </c>
      <c r="BR34" s="7">
        <f>IF(BQ34&lt;=0,0,FV((g_mortRate+0.005)/12,12,BK34,-BQ34))</f>
        <v/>
      </c>
      <c r="BS34" s="7">
        <f>IF(BQ34&lt;=0,0,12*BK34+MIN(0,BR34))</f>
        <v/>
      </c>
      <c r="BT34" s="7">
        <f>MAX(0,BR34)</f>
        <v/>
      </c>
      <c r="BU34" s="7">
        <f>IF(BB34=1,AM34*loc_seguroPct*(1+vivienda_inflacionSeguro)^(A34-2026)*IF(BJ34=1,1+loc_precio_aduCosto/AM34,1),0)</f>
        <v/>
      </c>
      <c r="BV34" s="7">
        <f>BL34*loc_impuestoPropPct</f>
        <v/>
      </c>
      <c r="BW34" s="7">
        <f>BL34*vivienda_mantenimientoPct</f>
        <v/>
      </c>
      <c r="BX34" s="7">
        <f>IF(AND(BG34=1,BP34&gt;0.8*BE34),BE34*(1-vivienda_enganchePct)*vivienda_pmiTasa,0)</f>
        <v/>
      </c>
      <c r="BY34" s="7">
        <f>IF(AND(BG34=1,BP34&gt;0.8*BE34),1,0)</f>
        <v/>
      </c>
      <c r="BZ34" s="7">
        <f>IF(BB34=1,AS34*loc_rentaUnidad*12*C34*(1-vivienda_vacancia)*(1-vivienda_gestionPct),0)</f>
        <v/>
      </c>
      <c r="CA34" s="7">
        <f>IF(BB34=1,BO34+BS34+BU34+BV34+BW34+BX34,loc_rentaMensual*12*C34)</f>
        <v/>
      </c>
      <c r="CB34" s="7">
        <f>IF(BB34=1,personal_aporteFamiliaMensual*12,0)</f>
        <v/>
      </c>
      <c r="CC34" s="7">
        <f>MIN(IF(1=0,personal_irsSaldo,CD33),personal_irsPagoMensual*12)</f>
        <v/>
      </c>
      <c r="CD34" s="7">
        <f>IF(1=0,personal_irsSaldo,CD33)-CC34</f>
        <v/>
      </c>
      <c r="CE34" s="7">
        <f>IF(1=0,IF(personal_deudaEsFederal=1,personal_deudaEstudiantil,0),DW33)</f>
        <v/>
      </c>
      <c r="CF34" s="7">
        <f>IF(1=0,personal_tasaDeudaEstudiantil,DX33)</f>
        <v/>
      </c>
      <c r="CG34" s="7">
        <f>IF(1=0,0,DY33)</f>
        <v/>
      </c>
      <c r="CH34" s="7">
        <f>IF(J34&gt;=0.5,1,0)</f>
        <v/>
      </c>
      <c r="CI34" s="7">
        <f>IF(AND(CH34=0,prestamos_pslfActivo=1,K34&gt;=0.5,CE34&gt;0),1,0)</f>
        <v/>
      </c>
      <c r="CJ34" s="7">
        <f>CE34*CF34</f>
        <v/>
      </c>
      <c r="CK34" s="7">
        <f>MAX(prestamos_rapPagoMinimoAnual,IF(Y34&lt;10000,0,MIN(0.1,INT(Y34/10000)/100))*Y34)</f>
        <v/>
      </c>
      <c r="CL34" s="7">
        <f>IF(CE34&lt;=0,0,IF(CH34=1,0,IF(CI34=1,MIN(CE34+CJ34,CK34),PMT(CF34,MAX(1,prestamos_plazoAnios-CG34),-CE34))))</f>
        <v/>
      </c>
      <c r="CM34" s="7">
        <f>IF(CE34&lt;=0,0,IF(CH34=1,CE34+CJ34,IF(CI34=1,MAX(0,CE34-MAX(CL34-CJ34,MIN(600,CL34))),MAX(0,CE34*(1+CF34)-CL34))))</f>
        <v/>
      </c>
      <c r="CN34" s="7">
        <f>IF(1=0,0,CN33)+IF(CI34=1,12*MIN(1,K34),0)</f>
        <v/>
      </c>
      <c r="CO34" s="7">
        <f>IF(AND(CI34=1,CN34&gt;=prestamos_pslfPagos,CM34&gt;0),CM34,0)</f>
        <v/>
      </c>
      <c r="CP34" s="7">
        <f>CM34-CO34</f>
        <v/>
      </c>
      <c r="CQ34" s="7">
        <f>IF(AND(CE34&gt;0,CH34=0,CI34=0),CG34+1,CG34)</f>
        <v/>
      </c>
      <c r="CR34" s="7">
        <f>IF(1=0,IF(personal_deudaEsFederal=1,0,personal_deudaEstudiantil),EA33)</f>
        <v/>
      </c>
      <c r="CS34" s="7">
        <f>IF(1=0,IF(personal_deudaEsFederal=1,prestamos_tasaPrivada,personal_tasaDeudaEstudiantil),EB33)</f>
        <v/>
      </c>
      <c r="CT34" s="7">
        <f>IF(1=0,0,EC33)</f>
        <v/>
      </c>
      <c r="CU34" s="7">
        <f>IF(OR(CR34&lt;=0,CH34=1),0,PMT(CS34,MAX(1,prestamos_plazoAnios-CT34),-CR34))</f>
        <v/>
      </c>
      <c r="CV34" s="7">
        <f>IF(CR34&lt;=0,0,IF(CH34=1,CR34*(1+CS34),MAX(0,CR34*(1+CS34)-CU34)))</f>
        <v/>
      </c>
      <c r="CW34" s="7">
        <f>IF(AND(CR34&gt;0,CH34=0),CT34+1,CT34)</f>
        <v/>
      </c>
      <c r="CX34" s="7">
        <f>IF(1=0,0,ED33)*(1+general_tasaDeudaConsumo)</f>
        <v/>
      </c>
      <c r="CY34" s="7">
        <f>L34*12*tiempos_travelGastoExtraMes*C34</f>
        <v/>
      </c>
      <c r="CZ34" s="7">
        <f>AJ34+CY34+CA34+CC34+CL34+CU34+I34+N34-BZ34-CB34</f>
        <v/>
      </c>
      <c r="DA34" s="7">
        <f>AH34-CZ34</f>
        <v/>
      </c>
      <c r="DB34" s="7">
        <f>IF(1=0,0,DB33)+DA34</f>
        <v/>
      </c>
      <c r="DC34" s="7">
        <f>AN34*vivienda_enganchePct+AN34*vivienda_cierrePct+general_reservaMeses/12*AJ34</f>
        <v/>
      </c>
      <c r="DD34" s="7">
        <f>IF(BB34=1,g_ret,IF(BD34&gt;0,MIN(1,DC34/BD34),1)*g_cash+(1-IF(BD34&gt;0,MIN(1,DC34/BD34),1))*g_ret)</f>
        <v/>
      </c>
      <c r="DE34" s="7">
        <f>IF(DA34&gt;=0,MIN(CX34,DA34),0)</f>
        <v/>
      </c>
      <c r="DF34" s="7">
        <f>IF(DA34&gt;=0,(1-general_tasaAhorro)*(DA34-DE34),0)</f>
        <v/>
      </c>
      <c r="DG34" s="7">
        <f>IF(DA34&gt;=0,DA34-DE34-DF34,0)</f>
        <v/>
      </c>
      <c r="DH34" s="7">
        <f>MIN(personal_rothAnual,DG34)</f>
        <v/>
      </c>
      <c r="DI34" s="7">
        <f>IF(AND(DA34&gt;=0,BB34=1,BP34+BT34&gt;0),MIN(vivienda_prepagoPct*(DG34-DH34),BP34+BT34),0)</f>
        <v/>
      </c>
      <c r="DJ34" s="7">
        <f>MIN(DI34,BP34)</f>
        <v/>
      </c>
      <c r="DK34" s="7">
        <f>IF(DA34&lt;0,MIN(MAX(0,BD34),-DA34),0)</f>
        <v/>
      </c>
      <c r="DL34" s="7">
        <f>IF(DA34&lt;0,-DA34-DK34,0)</f>
        <v/>
      </c>
      <c r="DM34" s="7">
        <f>IF(1=0,0,DZ33)</f>
        <v/>
      </c>
      <c r="DN34" s="7">
        <f>IF(AND(DL34&gt;0,J34&gt;0),MIN(DL34,MIN(prestamos_topeAnualPosgrado*MIN(1,J34),MAX(0,prestamos_topeTotalPosgrado-DM34))),0)</f>
        <v/>
      </c>
      <c r="DO34" s="7">
        <f>IF(AND(DL34&gt;0,J34&gt;0),DL34-DN34,0)</f>
        <v/>
      </c>
      <c r="DP34" s="7">
        <f>IF(AND(DL34&gt;0,J34&lt;=0),DL34,0)</f>
        <v/>
      </c>
      <c r="DQ34" s="7">
        <f>IF(DA34&gt;=0,DG34-DH34-DI34,-DK34)</f>
        <v/>
      </c>
      <c r="DR34" s="7">
        <f>BD34*(1+DD34)+DQ34*(1+DD34/2)</f>
        <v/>
      </c>
      <c r="DS34" s="7">
        <f>IF(1=0,personal_retiroInicial,DS33)*(1+g_ret)+(O34+P34+DH34)*(1+g_ret/2)</f>
        <v/>
      </c>
      <c r="DT34" s="7">
        <f>IF(BB34=1,BL34*(1+g_appr),0)</f>
        <v/>
      </c>
      <c r="DU34" s="7">
        <f>BP34-DJ34</f>
        <v/>
      </c>
      <c r="DV34" s="7">
        <f>BT34-(DI34-DJ34)</f>
        <v/>
      </c>
      <c r="DW34" s="7">
        <f>CP34+DN34</f>
        <v/>
      </c>
      <c r="DX34" s="7">
        <f>IF(DN34&gt;0,(CP34*CF34+DN34*prestamos_tasaFederalPosgrado)/(CP34+DN34),CF34)</f>
        <v/>
      </c>
      <c r="DY34" s="7">
        <f>IF(DN34&gt;0,0,CQ34)</f>
        <v/>
      </c>
      <c r="DZ34" s="7">
        <f>DM34+DN34</f>
        <v/>
      </c>
      <c r="EA34" s="7">
        <f>CV34+DO34</f>
        <v/>
      </c>
      <c r="EB34" s="7">
        <f>IF(DO34&gt;0,(CV34*CS34+DO34*prestamos_tasaPrivada)/(CV34+DO34),CS34)</f>
        <v/>
      </c>
      <c r="EC34" s="7">
        <f>IF(DO34&gt;0,0,CW34)</f>
        <v/>
      </c>
      <c r="ED34" s="7">
        <f>CX34-DE34+DP34</f>
        <v/>
      </c>
      <c r="EE34" s="7">
        <f>IF(IF(1=0,"",EE33)&lt;&gt;"",EE33,IF(AND(BB34=1,DU34&lt;=0.5,DV34&lt;=0.5,OR(BH34=0,BJ34=1)),A34,""))</f>
        <v/>
      </c>
      <c r="EF34" s="7">
        <f>DU34+DV34+DW34+EA34+ED34+CD34</f>
        <v/>
      </c>
      <c r="EG34" s="7">
        <f>DR34+DS34+DT34-EF34</f>
        <v/>
      </c>
      <c r="EH34" s="7">
        <f>EG34/(1+g_inf)^(A34+1-2026)</f>
        <v/>
      </c>
    </row>
    <row r="35">
      <c r="A35" t="n">
        <v>2029</v>
      </c>
      <c r="B35" t="n">
        <v>2</v>
      </c>
      <c r="C35" s="7">
        <f>(1+g_inf)^(A35-2026)</f>
        <v/>
      </c>
      <c r="D35" s="7">
        <f>SUMPRODUCT($V$5:$V$29,$E$5:$E$29*(1+$F$5:$F$29)^(A35-2026)*$G$5:$G$29*$H$5:$H$29*(1-$N$5:$N$29*$O$5:$O$29))*g_salMult+SUMPRODUCT(($B$5:$B$29&gt;=A35)*($B$5:$B$29&lt;A35+1)*$I$5:$I$29)*g_salMult</f>
        <v/>
      </c>
      <c r="E35" s="7">
        <f>SUMPRODUCT($V$5:$V$29,$E$5:$E$29*(1+$F$5:$F$29)^(A35-2026)*$G$5:$G$29*$H$5:$H$29*$M$5:$M$29)*g_salMult</f>
        <v/>
      </c>
      <c r="F35" s="7">
        <f>SUMPRODUCT($V$5:$V$29,$E$5:$E$29*(1+$F$5:$F$29)^(A35-2026)*$G$5:$G$29*$H$5:$H$29*$N$5:$N$29*$O$5:$O$29)*g_salMult</f>
        <v/>
      </c>
      <c r="G35" s="7">
        <f>SUMPRODUCT($V$5:$V$29,$P$5:$P$29*(1+$F$5:$F$29)^(A35-2026))</f>
        <v/>
      </c>
      <c r="H35" s="7">
        <f>SUMPRODUCT($V$5:$V$29,$Q$5:$Q$29*(1+$F$5:$F$29)^(A35-2026))+IF(personal_llcActivo=1,personal_llcNeto*(1+personal_llcCrecimiento)^2,0)</f>
        <v/>
      </c>
      <c r="I35" s="7">
        <f>SUMPRODUCT($V$5:$V$29,$J$5:$J$29/($C$5:$C$29-$B$5:$B$29+($C$5:$C$29=$B$5:$B$29)))*C35</f>
        <v/>
      </c>
      <c r="J35" s="7">
        <f>SUMPRODUCT($V$5:$V$29,$K$5:$K$29)</f>
        <v/>
      </c>
      <c r="K35" s="7">
        <f>SUMPRODUCT($V$5:$V$29,$L$5:$L$29)</f>
        <v/>
      </c>
      <c r="L35" s="7">
        <f>SUMPRODUCT($V$5:$V$29,$N$5:$N$29)</f>
        <v/>
      </c>
      <c r="M35" s="7">
        <f>IF(SUMPRODUCT($V$5:$V$29,$R$5:$R$29)&gt;0,1,0)</f>
        <v/>
      </c>
      <c r="N35" s="7">
        <f>SUMPRODUCT(($AO$5:$AO$24&gt;=A35)*($AO$5:$AO$24&lt;A35+1)*$AP$5:$AP$24)*C35+IF(2=0,IF(sel_loc&lt;&gt;"miami",personal_costoMudanzaInicial,0),0)</f>
        <v/>
      </c>
      <c r="O35" s="7">
        <f>MIN(personal_aporte403bPct*D35,retiro_limite403b*C35)</f>
        <v/>
      </c>
      <c r="P35" s="7">
        <f>MIN(personal_aporte403bPct,personal_match403bPct)*E35</f>
        <v/>
      </c>
      <c r="Q35" s="7">
        <f>IF(G35&gt;0,MAX(0,G35-impuestos_scorpCostoAnual*C35),0)</f>
        <v/>
      </c>
      <c r="R35" s="7">
        <f>Q35*impuestos_scorpSalarioPct/(1+impuestos_ssTasa+impuestos_medicareTasa)</f>
        <v/>
      </c>
      <c r="S35" s="7">
        <f>impuestos_ssTasa*MIN(R35,MAX(0,impuestos_ssTope*C35-D35))+impuestos_medicareTasa*R35</f>
        <v/>
      </c>
      <c r="T35" s="7">
        <f>Q35-R35-S35</f>
        <v/>
      </c>
      <c r="U35" s="7">
        <f>D35+R35</f>
        <v/>
      </c>
      <c r="V35" s="7">
        <f>H35*0.9235</f>
        <v/>
      </c>
      <c r="W35" s="7">
        <f>IF(H35&gt;0,2*impuestos_ssTasa*MIN(V35,MAX(0,impuestos_ssTope*C35-U35))+2*impuestos_medicareTasa*V35,0)</f>
        <v/>
      </c>
      <c r="X35" s="7">
        <f>impuestos_ssTasa*MIN(U35,impuestos_ssTope*C35)+impuestos_medicareTasa*U35+impuestos_medicareAdicional*MAX(0,U35+H35*0.9235-impuestos_medicareUmbral)</f>
        <v/>
      </c>
      <c r="Y35" s="7">
        <f>MAX(0,D35-O35+R35+T35+H35-W35/2)</f>
        <v/>
      </c>
      <c r="Z35" s="7">
        <f>MAX(0,Y35-impuestos_deduccionEstandar*C35)</f>
        <v/>
      </c>
      <c r="AA35" s="7">
        <f>MIN(0.2*MAX(0,T35+H35-W35/2)*MAX(0,MIN(1,1-(Z35-impuestos_qbiUmbral*C35)/(impuestos_qbiRango*C35))),0.2*Z35)</f>
        <v/>
      </c>
      <c r="AB35" s="7">
        <f>MAX(0,Z35-AA35)</f>
        <v/>
      </c>
      <c r="AC35" s="7">
        <f>SUMPRODUCT((AB35&gt;tb_federalBrackets_lo*C35)*(AB35-tb_federalBrackets_lo*C35)*tb_federalBrackets_dr)</f>
        <v/>
      </c>
      <c r="AD35" s="7">
        <f>MAX(0,Y35-impuestos_nyDeduccion*C35)</f>
        <v/>
      </c>
      <c r="AE35" s="7">
        <f>CHOOSE(loc_taxcode,0,impuestos_ohTasa*MAX(0,Y35-impuestos_ohExento*C35)+impuestos_ohMunicipal*U35,SUMPRODUCT((AD35&gt;tb_nyBrackets_lo*C35)*(AD35-tb_nyBrackets_lo*C35)*tb_nyBrackets_dr)+loc_nyc*SUMPRODUCT((AD35&gt;tb_nycBrackets_lo*C35)*(AD35-tb_nycBrackets_lo*C35)*tb_nycBrackets_dr))</f>
        <v/>
      </c>
      <c r="AF35" s="7">
        <f>AC35+AE35+X35+W35</f>
        <v/>
      </c>
      <c r="AG35" s="7">
        <f>D35+F35+R35+T35+H35</f>
        <v/>
      </c>
      <c r="AH35" s="7">
        <f>AG35-AF35-O35</f>
        <v/>
      </c>
      <c r="AI35" s="7">
        <f>D35+F35+G35+H35</f>
        <v/>
      </c>
      <c r="AJ35" s="7">
        <f>loc_gastosVida*C35*g_gastos</f>
        <v/>
      </c>
      <c r="AK35" s="7">
        <f>IF(2=0,personal_liquidoInicial,DR34)</f>
        <v/>
      </c>
      <c r="AL35" s="7">
        <f>IF(2=0,0,BB34)</f>
        <v/>
      </c>
      <c r="AM35" s="7">
        <f>CHOOSE(sel_cfgIdx,loc_precio_duplex,loc_precio_inlaw,loc_precio_dosCasas,loc_precio_casaAdu,loc_precio_multi)</f>
        <v/>
      </c>
      <c r="AN35" s="7">
        <f>AM35*(1+g_appr)^(A35-2026)</f>
        <v/>
      </c>
      <c r="AO35" s="7">
        <f>IF(AND(M35=1,vivienda_prestamoMedico=1),1,0)</f>
        <v/>
      </c>
      <c r="AP35" s="7">
        <f>IF(AO35=1,0.05,vivienda_enganchePct)</f>
        <v/>
      </c>
      <c r="AQ35" s="7">
        <f>AN35*(1-AP35)</f>
        <v/>
      </c>
      <c r="AR35" s="7">
        <f>PMT(g_mortRate/12,vivienda_plazoHipoteca*12,-AQ35)</f>
        <v/>
      </c>
      <c r="AS35" s="7">
        <f>INDEX(cfg_units,sel_cfgIdx)</f>
        <v/>
      </c>
      <c r="AT35" s="7">
        <f>AS35*loc_rentaUnidad*(1+g_inf)^(A35-2026)*(1-vivienda_vacancia)</f>
        <v/>
      </c>
      <c r="AU35" s="7">
        <f>AR35+AN35*loc_impuestoPropPct/12+AM35*loc_seguroPct*(1+vivienda_inflacionSeguro)^(A35-2026)/12+IF(AND(AO35=0,AP35&lt;0.2),AQ35*vivienda_pmiTasa/12,0)</f>
        <v/>
      </c>
      <c r="AV35" s="7">
        <f>AN35*AP35+AN35*vivienda_cierrePct+general_reservaMeses/12*AJ35</f>
        <v/>
      </c>
      <c r="AW35" s="7">
        <f>(IF(2=0,MIN(personal_irsSaldo,personal_irsPagoMensual*12),MIN(CD34,personal_irsPagoMensual*12))+IF(CE35&gt;0,PMT(CF35,MAX(1,prestamos_plazoAnios-CG35),-CE35),0)+IF(CR35&gt;0,PMT(CS35,MAX(1,prestamos_plazoAnios-CT35),-CR35),0))/12</f>
        <v/>
      </c>
      <c r="AX35" s="7">
        <f>IF(OR(sel_cfg="duplex",sel_cfg="multi",sel_cfg="dosCasas"),0.75*personal_aporteFamiliaMensual,0)</f>
        <v/>
      </c>
      <c r="AY35" s="7">
        <f>AU35-0.75*AT35-AX35+AW35</f>
        <v/>
      </c>
      <c r="AZ35" s="7">
        <f>(D35+G35+H35+0.5*F35)/12</f>
        <v/>
      </c>
      <c r="BA35" s="7">
        <f>IF(AND(AL35=0,A35&gt;=vivienda_anioMinCompra,J35&lt;0.5,AI35&gt;0,AK35&gt;=AV35,AY35&lt;=vivienda_dtiMax*AZ35),1,0)</f>
        <v/>
      </c>
      <c r="BB35" s="7">
        <f>MAX(AL35,BA35)</f>
        <v/>
      </c>
      <c r="BC35" s="7">
        <f>IF(BA35=1,A35,IF(2=0,"",BC34))</f>
        <v/>
      </c>
      <c r="BD35" s="7">
        <f>AK35-IF(BA35=1,AN35*AP35+AN35*vivienda_cierrePct,0)</f>
        <v/>
      </c>
      <c r="BE35" s="7">
        <f>IF(BA35=1,AN35,IF(2=0,0,BE34))</f>
        <v/>
      </c>
      <c r="BF35" s="7">
        <f>IF(BA35=1,AR35,IF(2=0,0,BF34))</f>
        <v/>
      </c>
      <c r="BG35" s="7">
        <f>IF(BA35=1,IF(AND(AO35=0,AP35&lt;0.2),1,0),IF(2=0,0,BY34))</f>
        <v/>
      </c>
      <c r="BH35" s="7">
        <f>IF(sel_cfg="casaAdu",1,0)</f>
        <v/>
      </c>
      <c r="BI35" s="7">
        <f>IF(AND(BB35=1,BH35=1,IF(2=0,0,BJ34)=0,A35&gt;=IF(BC35="",9999,BC35)+vivienda_aduRetrasoAnios),1,0)</f>
        <v/>
      </c>
      <c r="BJ35" s="7">
        <f>MAX(IF(2=0,0,BJ34),BI35)</f>
        <v/>
      </c>
      <c r="BK35" s="7">
        <f>IF(BI35=1,PMT((g_mortRate+0.005)/12,180,-loc_precio_aduCosto*C35),IF(2=0,0,BK34))</f>
        <v/>
      </c>
      <c r="BL35" s="7">
        <f>IF(BA35=1,AN35,IF(2=0,0,DT34))+IF(BI35=1,loc_precio_aduCosto*C35,0)</f>
        <v/>
      </c>
      <c r="BM35" s="7">
        <f>IF(BA35=1,AQ35,IF(2=0,0,DU34))</f>
        <v/>
      </c>
      <c r="BN35" s="7">
        <f>IF(BM35&lt;=0,0,FV(g_mortRate/12,12,BF35,-BM35))</f>
        <v/>
      </c>
      <c r="BO35" s="7">
        <f>IF(BM35&lt;=0,0,12*BF35+MIN(0,BN35))</f>
        <v/>
      </c>
      <c r="BP35" s="7">
        <f>MAX(0,BN35)</f>
        <v/>
      </c>
      <c r="BQ35" s="7">
        <f>IF(BI35=1,loc_precio_aduCosto*C35,IF(2=0,0,DV34))</f>
        <v/>
      </c>
      <c r="BR35" s="7">
        <f>IF(BQ35&lt;=0,0,FV((g_mortRate+0.005)/12,12,BK35,-BQ35))</f>
        <v/>
      </c>
      <c r="BS35" s="7">
        <f>IF(BQ35&lt;=0,0,12*BK35+MIN(0,BR35))</f>
        <v/>
      </c>
      <c r="BT35" s="7">
        <f>MAX(0,BR35)</f>
        <v/>
      </c>
      <c r="BU35" s="7">
        <f>IF(BB35=1,AM35*loc_seguroPct*(1+vivienda_inflacionSeguro)^(A35-2026)*IF(BJ35=1,1+loc_precio_aduCosto/AM35,1),0)</f>
        <v/>
      </c>
      <c r="BV35" s="7">
        <f>BL35*loc_impuestoPropPct</f>
        <v/>
      </c>
      <c r="BW35" s="7">
        <f>BL35*vivienda_mantenimientoPct</f>
        <v/>
      </c>
      <c r="BX35" s="7">
        <f>IF(AND(BG35=1,BP35&gt;0.8*BE35),BE35*(1-vivienda_enganchePct)*vivienda_pmiTasa,0)</f>
        <v/>
      </c>
      <c r="BY35" s="7">
        <f>IF(AND(BG35=1,BP35&gt;0.8*BE35),1,0)</f>
        <v/>
      </c>
      <c r="BZ35" s="7">
        <f>IF(BB35=1,AS35*loc_rentaUnidad*12*C35*(1-vivienda_vacancia)*(1-vivienda_gestionPct),0)</f>
        <v/>
      </c>
      <c r="CA35" s="7">
        <f>IF(BB35=1,BO35+BS35+BU35+BV35+BW35+BX35,loc_rentaMensual*12*C35)</f>
        <v/>
      </c>
      <c r="CB35" s="7">
        <f>IF(BB35=1,personal_aporteFamiliaMensual*12,0)</f>
        <v/>
      </c>
      <c r="CC35" s="7">
        <f>MIN(IF(2=0,personal_irsSaldo,CD34),personal_irsPagoMensual*12)</f>
        <v/>
      </c>
      <c r="CD35" s="7">
        <f>IF(2=0,personal_irsSaldo,CD34)-CC35</f>
        <v/>
      </c>
      <c r="CE35" s="7">
        <f>IF(2=0,IF(personal_deudaEsFederal=1,personal_deudaEstudiantil,0),DW34)</f>
        <v/>
      </c>
      <c r="CF35" s="7">
        <f>IF(2=0,personal_tasaDeudaEstudiantil,DX34)</f>
        <v/>
      </c>
      <c r="CG35" s="7">
        <f>IF(2=0,0,DY34)</f>
        <v/>
      </c>
      <c r="CH35" s="7">
        <f>IF(J35&gt;=0.5,1,0)</f>
        <v/>
      </c>
      <c r="CI35" s="7">
        <f>IF(AND(CH35=0,prestamos_pslfActivo=1,K35&gt;=0.5,CE35&gt;0),1,0)</f>
        <v/>
      </c>
      <c r="CJ35" s="7">
        <f>CE35*CF35</f>
        <v/>
      </c>
      <c r="CK35" s="7">
        <f>MAX(prestamos_rapPagoMinimoAnual,IF(Y35&lt;10000,0,MIN(0.1,INT(Y35/10000)/100))*Y35)</f>
        <v/>
      </c>
      <c r="CL35" s="7">
        <f>IF(CE35&lt;=0,0,IF(CH35=1,0,IF(CI35=1,MIN(CE35+CJ35,CK35),PMT(CF35,MAX(1,prestamos_plazoAnios-CG35),-CE35))))</f>
        <v/>
      </c>
      <c r="CM35" s="7">
        <f>IF(CE35&lt;=0,0,IF(CH35=1,CE35+CJ35,IF(CI35=1,MAX(0,CE35-MAX(CL35-CJ35,MIN(600,CL35))),MAX(0,CE35*(1+CF35)-CL35))))</f>
        <v/>
      </c>
      <c r="CN35" s="7">
        <f>IF(2=0,0,CN34)+IF(CI35=1,12*MIN(1,K35),0)</f>
        <v/>
      </c>
      <c r="CO35" s="7">
        <f>IF(AND(CI35=1,CN35&gt;=prestamos_pslfPagos,CM35&gt;0),CM35,0)</f>
        <v/>
      </c>
      <c r="CP35" s="7">
        <f>CM35-CO35</f>
        <v/>
      </c>
      <c r="CQ35" s="7">
        <f>IF(AND(CE35&gt;0,CH35=0,CI35=0),CG35+1,CG35)</f>
        <v/>
      </c>
      <c r="CR35" s="7">
        <f>IF(2=0,IF(personal_deudaEsFederal=1,0,personal_deudaEstudiantil),EA34)</f>
        <v/>
      </c>
      <c r="CS35" s="7">
        <f>IF(2=0,IF(personal_deudaEsFederal=1,prestamos_tasaPrivada,personal_tasaDeudaEstudiantil),EB34)</f>
        <v/>
      </c>
      <c r="CT35" s="7">
        <f>IF(2=0,0,EC34)</f>
        <v/>
      </c>
      <c r="CU35" s="7">
        <f>IF(OR(CR35&lt;=0,CH35=1),0,PMT(CS35,MAX(1,prestamos_plazoAnios-CT35),-CR35))</f>
        <v/>
      </c>
      <c r="CV35" s="7">
        <f>IF(CR35&lt;=0,0,IF(CH35=1,CR35*(1+CS35),MAX(0,CR35*(1+CS35)-CU35)))</f>
        <v/>
      </c>
      <c r="CW35" s="7">
        <f>IF(AND(CR35&gt;0,CH35=0),CT35+1,CT35)</f>
        <v/>
      </c>
      <c r="CX35" s="7">
        <f>IF(2=0,0,ED34)*(1+general_tasaDeudaConsumo)</f>
        <v/>
      </c>
      <c r="CY35" s="7">
        <f>L35*12*tiempos_travelGastoExtraMes*C35</f>
        <v/>
      </c>
      <c r="CZ35" s="7">
        <f>AJ35+CY35+CA35+CC35+CL35+CU35+I35+N35-BZ35-CB35</f>
        <v/>
      </c>
      <c r="DA35" s="7">
        <f>AH35-CZ35</f>
        <v/>
      </c>
      <c r="DB35" s="7">
        <f>IF(2=0,0,DB34)+DA35</f>
        <v/>
      </c>
      <c r="DC35" s="7">
        <f>AN35*vivienda_enganchePct+AN35*vivienda_cierrePct+general_reservaMeses/12*AJ35</f>
        <v/>
      </c>
      <c r="DD35" s="7">
        <f>IF(BB35=1,g_ret,IF(BD35&gt;0,MIN(1,DC35/BD35),1)*g_cash+(1-IF(BD35&gt;0,MIN(1,DC35/BD35),1))*g_ret)</f>
        <v/>
      </c>
      <c r="DE35" s="7">
        <f>IF(DA35&gt;=0,MIN(CX35,DA35),0)</f>
        <v/>
      </c>
      <c r="DF35" s="7">
        <f>IF(DA35&gt;=0,(1-general_tasaAhorro)*(DA35-DE35),0)</f>
        <v/>
      </c>
      <c r="DG35" s="7">
        <f>IF(DA35&gt;=0,DA35-DE35-DF35,0)</f>
        <v/>
      </c>
      <c r="DH35" s="7">
        <f>MIN(personal_rothAnual,DG35)</f>
        <v/>
      </c>
      <c r="DI35" s="7">
        <f>IF(AND(DA35&gt;=0,BB35=1,BP35+BT35&gt;0),MIN(vivienda_prepagoPct*(DG35-DH35),BP35+BT35),0)</f>
        <v/>
      </c>
      <c r="DJ35" s="7">
        <f>MIN(DI35,BP35)</f>
        <v/>
      </c>
      <c r="DK35" s="7">
        <f>IF(DA35&lt;0,MIN(MAX(0,BD35),-DA35),0)</f>
        <v/>
      </c>
      <c r="DL35" s="7">
        <f>IF(DA35&lt;0,-DA35-DK35,0)</f>
        <v/>
      </c>
      <c r="DM35" s="7">
        <f>IF(2=0,0,DZ34)</f>
        <v/>
      </c>
      <c r="DN35" s="7">
        <f>IF(AND(DL35&gt;0,J35&gt;0),MIN(DL35,MIN(prestamos_topeAnualPosgrado*MIN(1,J35),MAX(0,prestamos_topeTotalPosgrado-DM35))),0)</f>
        <v/>
      </c>
      <c r="DO35" s="7">
        <f>IF(AND(DL35&gt;0,J35&gt;0),DL35-DN35,0)</f>
        <v/>
      </c>
      <c r="DP35" s="7">
        <f>IF(AND(DL35&gt;0,J35&lt;=0),DL35,0)</f>
        <v/>
      </c>
      <c r="DQ35" s="7">
        <f>IF(DA35&gt;=0,DG35-DH35-DI35,-DK35)</f>
        <v/>
      </c>
      <c r="DR35" s="7">
        <f>BD35*(1+DD35)+DQ35*(1+DD35/2)</f>
        <v/>
      </c>
      <c r="DS35" s="7">
        <f>IF(2=0,personal_retiroInicial,DS34)*(1+g_ret)+(O35+P35+DH35)*(1+g_ret/2)</f>
        <v/>
      </c>
      <c r="DT35" s="7">
        <f>IF(BB35=1,BL35*(1+g_appr),0)</f>
        <v/>
      </c>
      <c r="DU35" s="7">
        <f>BP35-DJ35</f>
        <v/>
      </c>
      <c r="DV35" s="7">
        <f>BT35-(DI35-DJ35)</f>
        <v/>
      </c>
      <c r="DW35" s="7">
        <f>CP35+DN35</f>
        <v/>
      </c>
      <c r="DX35" s="7">
        <f>IF(DN35&gt;0,(CP35*CF35+DN35*prestamos_tasaFederalPosgrado)/(CP35+DN35),CF35)</f>
        <v/>
      </c>
      <c r="DY35" s="7">
        <f>IF(DN35&gt;0,0,CQ35)</f>
        <v/>
      </c>
      <c r="DZ35" s="7">
        <f>DM35+DN35</f>
        <v/>
      </c>
      <c r="EA35" s="7">
        <f>CV35+DO35</f>
        <v/>
      </c>
      <c r="EB35" s="7">
        <f>IF(DO35&gt;0,(CV35*CS35+DO35*prestamos_tasaPrivada)/(CV35+DO35),CS35)</f>
        <v/>
      </c>
      <c r="EC35" s="7">
        <f>IF(DO35&gt;0,0,CW35)</f>
        <v/>
      </c>
      <c r="ED35" s="7">
        <f>CX35-DE35+DP35</f>
        <v/>
      </c>
      <c r="EE35" s="7">
        <f>IF(IF(2=0,"",EE34)&lt;&gt;"",EE34,IF(AND(BB35=1,DU35&lt;=0.5,DV35&lt;=0.5,OR(BH35=0,BJ35=1)),A35,""))</f>
        <v/>
      </c>
      <c r="EF35" s="7">
        <f>DU35+DV35+DW35+EA35+ED35+CD35</f>
        <v/>
      </c>
      <c r="EG35" s="7">
        <f>DR35+DS35+DT35-EF35</f>
        <v/>
      </c>
      <c r="EH35" s="7">
        <f>EG35/(1+g_inf)^(A35+1-2026)</f>
        <v/>
      </c>
    </row>
    <row r="36">
      <c r="A36" t="n">
        <v>2030</v>
      </c>
      <c r="B36" t="n">
        <v>3</v>
      </c>
      <c r="C36" s="7">
        <f>(1+g_inf)^(A36-2026)</f>
        <v/>
      </c>
      <c r="D36" s="7">
        <f>SUMPRODUCT($W$5:$W$29,$E$5:$E$29*(1+$F$5:$F$29)^(A36-2026)*$G$5:$G$29*$H$5:$H$29*(1-$N$5:$N$29*$O$5:$O$29))*g_salMult+SUMPRODUCT(($B$5:$B$29&gt;=A36)*($B$5:$B$29&lt;A36+1)*$I$5:$I$29)*g_salMult</f>
        <v/>
      </c>
      <c r="E36" s="7">
        <f>SUMPRODUCT($W$5:$W$29,$E$5:$E$29*(1+$F$5:$F$29)^(A36-2026)*$G$5:$G$29*$H$5:$H$29*$M$5:$M$29)*g_salMult</f>
        <v/>
      </c>
      <c r="F36" s="7">
        <f>SUMPRODUCT($W$5:$W$29,$E$5:$E$29*(1+$F$5:$F$29)^(A36-2026)*$G$5:$G$29*$H$5:$H$29*$N$5:$N$29*$O$5:$O$29)*g_salMult</f>
        <v/>
      </c>
      <c r="G36" s="7">
        <f>SUMPRODUCT($W$5:$W$29,$P$5:$P$29*(1+$F$5:$F$29)^(A36-2026))</f>
        <v/>
      </c>
      <c r="H36" s="7">
        <f>SUMPRODUCT($W$5:$W$29,$Q$5:$Q$29*(1+$F$5:$F$29)^(A36-2026))+IF(personal_llcActivo=1,personal_llcNeto*(1+personal_llcCrecimiento)^3,0)</f>
        <v/>
      </c>
      <c r="I36" s="7">
        <f>SUMPRODUCT($W$5:$W$29,$J$5:$J$29/($C$5:$C$29-$B$5:$B$29+($C$5:$C$29=$B$5:$B$29)))*C36</f>
        <v/>
      </c>
      <c r="J36" s="7">
        <f>SUMPRODUCT($W$5:$W$29,$K$5:$K$29)</f>
        <v/>
      </c>
      <c r="K36" s="7">
        <f>SUMPRODUCT($W$5:$W$29,$L$5:$L$29)</f>
        <v/>
      </c>
      <c r="L36" s="7">
        <f>SUMPRODUCT($W$5:$W$29,$N$5:$N$29)</f>
        <v/>
      </c>
      <c r="M36" s="7">
        <f>IF(SUMPRODUCT($W$5:$W$29,$R$5:$R$29)&gt;0,1,0)</f>
        <v/>
      </c>
      <c r="N36" s="7">
        <f>SUMPRODUCT(($AO$5:$AO$24&gt;=A36)*($AO$5:$AO$24&lt;A36+1)*$AP$5:$AP$24)*C36+IF(3=0,IF(sel_loc&lt;&gt;"miami",personal_costoMudanzaInicial,0),0)</f>
        <v/>
      </c>
      <c r="O36" s="7">
        <f>MIN(personal_aporte403bPct*D36,retiro_limite403b*C36)</f>
        <v/>
      </c>
      <c r="P36" s="7">
        <f>MIN(personal_aporte403bPct,personal_match403bPct)*E36</f>
        <v/>
      </c>
      <c r="Q36" s="7">
        <f>IF(G36&gt;0,MAX(0,G36-impuestos_scorpCostoAnual*C36),0)</f>
        <v/>
      </c>
      <c r="R36" s="7">
        <f>Q36*impuestos_scorpSalarioPct/(1+impuestos_ssTasa+impuestos_medicareTasa)</f>
        <v/>
      </c>
      <c r="S36" s="7">
        <f>impuestos_ssTasa*MIN(R36,MAX(0,impuestos_ssTope*C36-D36))+impuestos_medicareTasa*R36</f>
        <v/>
      </c>
      <c r="T36" s="7">
        <f>Q36-R36-S36</f>
        <v/>
      </c>
      <c r="U36" s="7">
        <f>D36+R36</f>
        <v/>
      </c>
      <c r="V36" s="7">
        <f>H36*0.9235</f>
        <v/>
      </c>
      <c r="W36" s="7">
        <f>IF(H36&gt;0,2*impuestos_ssTasa*MIN(V36,MAX(0,impuestos_ssTope*C36-U36))+2*impuestos_medicareTasa*V36,0)</f>
        <v/>
      </c>
      <c r="X36" s="7">
        <f>impuestos_ssTasa*MIN(U36,impuestos_ssTope*C36)+impuestos_medicareTasa*U36+impuestos_medicareAdicional*MAX(0,U36+H36*0.9235-impuestos_medicareUmbral)</f>
        <v/>
      </c>
      <c r="Y36" s="7">
        <f>MAX(0,D36-O36+R36+T36+H36-W36/2)</f>
        <v/>
      </c>
      <c r="Z36" s="7">
        <f>MAX(0,Y36-impuestos_deduccionEstandar*C36)</f>
        <v/>
      </c>
      <c r="AA36" s="7">
        <f>MIN(0.2*MAX(0,T36+H36-W36/2)*MAX(0,MIN(1,1-(Z36-impuestos_qbiUmbral*C36)/(impuestos_qbiRango*C36))),0.2*Z36)</f>
        <v/>
      </c>
      <c r="AB36" s="7">
        <f>MAX(0,Z36-AA36)</f>
        <v/>
      </c>
      <c r="AC36" s="7">
        <f>SUMPRODUCT((AB36&gt;tb_federalBrackets_lo*C36)*(AB36-tb_federalBrackets_lo*C36)*tb_federalBrackets_dr)</f>
        <v/>
      </c>
      <c r="AD36" s="7">
        <f>MAX(0,Y36-impuestos_nyDeduccion*C36)</f>
        <v/>
      </c>
      <c r="AE36" s="7">
        <f>CHOOSE(loc_taxcode,0,impuestos_ohTasa*MAX(0,Y36-impuestos_ohExento*C36)+impuestos_ohMunicipal*U36,SUMPRODUCT((AD36&gt;tb_nyBrackets_lo*C36)*(AD36-tb_nyBrackets_lo*C36)*tb_nyBrackets_dr)+loc_nyc*SUMPRODUCT((AD36&gt;tb_nycBrackets_lo*C36)*(AD36-tb_nycBrackets_lo*C36)*tb_nycBrackets_dr))</f>
        <v/>
      </c>
      <c r="AF36" s="7">
        <f>AC36+AE36+X36+W36</f>
        <v/>
      </c>
      <c r="AG36" s="7">
        <f>D36+F36+R36+T36+H36</f>
        <v/>
      </c>
      <c r="AH36" s="7">
        <f>AG36-AF36-O36</f>
        <v/>
      </c>
      <c r="AI36" s="7">
        <f>D36+F36+G36+H36</f>
        <v/>
      </c>
      <c r="AJ36" s="7">
        <f>loc_gastosVida*C36*g_gastos</f>
        <v/>
      </c>
      <c r="AK36" s="7">
        <f>IF(3=0,personal_liquidoInicial,DR35)</f>
        <v/>
      </c>
      <c r="AL36" s="7">
        <f>IF(3=0,0,BB35)</f>
        <v/>
      </c>
      <c r="AM36" s="7">
        <f>CHOOSE(sel_cfgIdx,loc_precio_duplex,loc_precio_inlaw,loc_precio_dosCasas,loc_precio_casaAdu,loc_precio_multi)</f>
        <v/>
      </c>
      <c r="AN36" s="7">
        <f>AM36*(1+g_appr)^(A36-2026)</f>
        <v/>
      </c>
      <c r="AO36" s="7">
        <f>IF(AND(M36=1,vivienda_prestamoMedico=1),1,0)</f>
        <v/>
      </c>
      <c r="AP36" s="7">
        <f>IF(AO36=1,0.05,vivienda_enganchePct)</f>
        <v/>
      </c>
      <c r="AQ36" s="7">
        <f>AN36*(1-AP36)</f>
        <v/>
      </c>
      <c r="AR36" s="7">
        <f>PMT(g_mortRate/12,vivienda_plazoHipoteca*12,-AQ36)</f>
        <v/>
      </c>
      <c r="AS36" s="7">
        <f>INDEX(cfg_units,sel_cfgIdx)</f>
        <v/>
      </c>
      <c r="AT36" s="7">
        <f>AS36*loc_rentaUnidad*(1+g_inf)^(A36-2026)*(1-vivienda_vacancia)</f>
        <v/>
      </c>
      <c r="AU36" s="7">
        <f>AR36+AN36*loc_impuestoPropPct/12+AM36*loc_seguroPct*(1+vivienda_inflacionSeguro)^(A36-2026)/12+IF(AND(AO36=0,AP36&lt;0.2),AQ36*vivienda_pmiTasa/12,0)</f>
        <v/>
      </c>
      <c r="AV36" s="7">
        <f>AN36*AP36+AN36*vivienda_cierrePct+general_reservaMeses/12*AJ36</f>
        <v/>
      </c>
      <c r="AW36" s="7">
        <f>(IF(3=0,MIN(personal_irsSaldo,personal_irsPagoMensual*12),MIN(CD35,personal_irsPagoMensual*12))+IF(CE36&gt;0,PMT(CF36,MAX(1,prestamos_plazoAnios-CG36),-CE36),0)+IF(CR36&gt;0,PMT(CS36,MAX(1,prestamos_plazoAnios-CT36),-CR36),0))/12</f>
        <v/>
      </c>
      <c r="AX36" s="7">
        <f>IF(OR(sel_cfg="duplex",sel_cfg="multi",sel_cfg="dosCasas"),0.75*personal_aporteFamiliaMensual,0)</f>
        <v/>
      </c>
      <c r="AY36" s="7">
        <f>AU36-0.75*AT36-AX36+AW36</f>
        <v/>
      </c>
      <c r="AZ36" s="7">
        <f>(D36+G36+H36+0.5*F36)/12</f>
        <v/>
      </c>
      <c r="BA36" s="7">
        <f>IF(AND(AL36=0,A36&gt;=vivienda_anioMinCompra,J36&lt;0.5,AI36&gt;0,AK36&gt;=AV36,AY36&lt;=vivienda_dtiMax*AZ36),1,0)</f>
        <v/>
      </c>
      <c r="BB36" s="7">
        <f>MAX(AL36,BA36)</f>
        <v/>
      </c>
      <c r="BC36" s="7">
        <f>IF(BA36=1,A36,IF(3=0,"",BC35))</f>
        <v/>
      </c>
      <c r="BD36" s="7">
        <f>AK36-IF(BA36=1,AN36*AP36+AN36*vivienda_cierrePct,0)</f>
        <v/>
      </c>
      <c r="BE36" s="7">
        <f>IF(BA36=1,AN36,IF(3=0,0,BE35))</f>
        <v/>
      </c>
      <c r="BF36" s="7">
        <f>IF(BA36=1,AR36,IF(3=0,0,BF35))</f>
        <v/>
      </c>
      <c r="BG36" s="7">
        <f>IF(BA36=1,IF(AND(AO36=0,AP36&lt;0.2),1,0),IF(3=0,0,BY35))</f>
        <v/>
      </c>
      <c r="BH36" s="7">
        <f>IF(sel_cfg="casaAdu",1,0)</f>
        <v/>
      </c>
      <c r="BI36" s="7">
        <f>IF(AND(BB36=1,BH36=1,IF(3=0,0,BJ35)=0,A36&gt;=IF(BC36="",9999,BC36)+vivienda_aduRetrasoAnios),1,0)</f>
        <v/>
      </c>
      <c r="BJ36" s="7">
        <f>MAX(IF(3=0,0,BJ35),BI36)</f>
        <v/>
      </c>
      <c r="BK36" s="7">
        <f>IF(BI36=1,PMT((g_mortRate+0.005)/12,180,-loc_precio_aduCosto*C36),IF(3=0,0,BK35))</f>
        <v/>
      </c>
      <c r="BL36" s="7">
        <f>IF(BA36=1,AN36,IF(3=0,0,DT35))+IF(BI36=1,loc_precio_aduCosto*C36,0)</f>
        <v/>
      </c>
      <c r="BM36" s="7">
        <f>IF(BA36=1,AQ36,IF(3=0,0,DU35))</f>
        <v/>
      </c>
      <c r="BN36" s="7">
        <f>IF(BM36&lt;=0,0,FV(g_mortRate/12,12,BF36,-BM36))</f>
        <v/>
      </c>
      <c r="BO36" s="7">
        <f>IF(BM36&lt;=0,0,12*BF36+MIN(0,BN36))</f>
        <v/>
      </c>
      <c r="BP36" s="7">
        <f>MAX(0,BN36)</f>
        <v/>
      </c>
      <c r="BQ36" s="7">
        <f>IF(BI36=1,loc_precio_aduCosto*C36,IF(3=0,0,DV35))</f>
        <v/>
      </c>
      <c r="BR36" s="7">
        <f>IF(BQ36&lt;=0,0,FV((g_mortRate+0.005)/12,12,BK36,-BQ36))</f>
        <v/>
      </c>
      <c r="BS36" s="7">
        <f>IF(BQ36&lt;=0,0,12*BK36+MIN(0,BR36))</f>
        <v/>
      </c>
      <c r="BT36" s="7">
        <f>MAX(0,BR36)</f>
        <v/>
      </c>
      <c r="BU36" s="7">
        <f>IF(BB36=1,AM36*loc_seguroPct*(1+vivienda_inflacionSeguro)^(A36-2026)*IF(BJ36=1,1+loc_precio_aduCosto/AM36,1),0)</f>
        <v/>
      </c>
      <c r="BV36" s="7">
        <f>BL36*loc_impuestoPropPct</f>
        <v/>
      </c>
      <c r="BW36" s="7">
        <f>BL36*vivienda_mantenimientoPct</f>
        <v/>
      </c>
      <c r="BX36" s="7">
        <f>IF(AND(BG36=1,BP36&gt;0.8*BE36),BE36*(1-vivienda_enganchePct)*vivienda_pmiTasa,0)</f>
        <v/>
      </c>
      <c r="BY36" s="7">
        <f>IF(AND(BG36=1,BP36&gt;0.8*BE36),1,0)</f>
        <v/>
      </c>
      <c r="BZ36" s="7">
        <f>IF(BB36=1,AS36*loc_rentaUnidad*12*C36*(1-vivienda_vacancia)*(1-vivienda_gestionPct),0)</f>
        <v/>
      </c>
      <c r="CA36" s="7">
        <f>IF(BB36=1,BO36+BS36+BU36+BV36+BW36+BX36,loc_rentaMensual*12*C36)</f>
        <v/>
      </c>
      <c r="CB36" s="7">
        <f>IF(BB36=1,personal_aporteFamiliaMensual*12,0)</f>
        <v/>
      </c>
      <c r="CC36" s="7">
        <f>MIN(IF(3=0,personal_irsSaldo,CD35),personal_irsPagoMensual*12)</f>
        <v/>
      </c>
      <c r="CD36" s="7">
        <f>IF(3=0,personal_irsSaldo,CD35)-CC36</f>
        <v/>
      </c>
      <c r="CE36" s="7">
        <f>IF(3=0,IF(personal_deudaEsFederal=1,personal_deudaEstudiantil,0),DW35)</f>
        <v/>
      </c>
      <c r="CF36" s="7">
        <f>IF(3=0,personal_tasaDeudaEstudiantil,DX35)</f>
        <v/>
      </c>
      <c r="CG36" s="7">
        <f>IF(3=0,0,DY35)</f>
        <v/>
      </c>
      <c r="CH36" s="7">
        <f>IF(J36&gt;=0.5,1,0)</f>
        <v/>
      </c>
      <c r="CI36" s="7">
        <f>IF(AND(CH36=0,prestamos_pslfActivo=1,K36&gt;=0.5,CE36&gt;0),1,0)</f>
        <v/>
      </c>
      <c r="CJ36" s="7">
        <f>CE36*CF36</f>
        <v/>
      </c>
      <c r="CK36" s="7">
        <f>MAX(prestamos_rapPagoMinimoAnual,IF(Y36&lt;10000,0,MIN(0.1,INT(Y36/10000)/100))*Y36)</f>
        <v/>
      </c>
      <c r="CL36" s="7">
        <f>IF(CE36&lt;=0,0,IF(CH36=1,0,IF(CI36=1,MIN(CE36+CJ36,CK36),PMT(CF36,MAX(1,prestamos_plazoAnios-CG36),-CE36))))</f>
        <v/>
      </c>
      <c r="CM36" s="7">
        <f>IF(CE36&lt;=0,0,IF(CH36=1,CE36+CJ36,IF(CI36=1,MAX(0,CE36-MAX(CL36-CJ36,MIN(600,CL36))),MAX(0,CE36*(1+CF36)-CL36))))</f>
        <v/>
      </c>
      <c r="CN36" s="7">
        <f>IF(3=0,0,CN35)+IF(CI36=1,12*MIN(1,K36),0)</f>
        <v/>
      </c>
      <c r="CO36" s="7">
        <f>IF(AND(CI36=1,CN36&gt;=prestamos_pslfPagos,CM36&gt;0),CM36,0)</f>
        <v/>
      </c>
      <c r="CP36" s="7">
        <f>CM36-CO36</f>
        <v/>
      </c>
      <c r="CQ36" s="7">
        <f>IF(AND(CE36&gt;0,CH36=0,CI36=0),CG36+1,CG36)</f>
        <v/>
      </c>
      <c r="CR36" s="7">
        <f>IF(3=0,IF(personal_deudaEsFederal=1,0,personal_deudaEstudiantil),EA35)</f>
        <v/>
      </c>
      <c r="CS36" s="7">
        <f>IF(3=0,IF(personal_deudaEsFederal=1,prestamos_tasaPrivada,personal_tasaDeudaEstudiantil),EB35)</f>
        <v/>
      </c>
      <c r="CT36" s="7">
        <f>IF(3=0,0,EC35)</f>
        <v/>
      </c>
      <c r="CU36" s="7">
        <f>IF(OR(CR36&lt;=0,CH36=1),0,PMT(CS36,MAX(1,prestamos_plazoAnios-CT36),-CR36))</f>
        <v/>
      </c>
      <c r="CV36" s="7">
        <f>IF(CR36&lt;=0,0,IF(CH36=1,CR36*(1+CS36),MAX(0,CR36*(1+CS36)-CU36)))</f>
        <v/>
      </c>
      <c r="CW36" s="7">
        <f>IF(AND(CR36&gt;0,CH36=0),CT36+1,CT36)</f>
        <v/>
      </c>
      <c r="CX36" s="7">
        <f>IF(3=0,0,ED35)*(1+general_tasaDeudaConsumo)</f>
        <v/>
      </c>
      <c r="CY36" s="7">
        <f>L36*12*tiempos_travelGastoExtraMes*C36</f>
        <v/>
      </c>
      <c r="CZ36" s="7">
        <f>AJ36+CY36+CA36+CC36+CL36+CU36+I36+N36-BZ36-CB36</f>
        <v/>
      </c>
      <c r="DA36" s="7">
        <f>AH36-CZ36</f>
        <v/>
      </c>
      <c r="DB36" s="7">
        <f>IF(3=0,0,DB35)+DA36</f>
        <v/>
      </c>
      <c r="DC36" s="7">
        <f>AN36*vivienda_enganchePct+AN36*vivienda_cierrePct+general_reservaMeses/12*AJ36</f>
        <v/>
      </c>
      <c r="DD36" s="7">
        <f>IF(BB36=1,g_ret,IF(BD36&gt;0,MIN(1,DC36/BD36),1)*g_cash+(1-IF(BD36&gt;0,MIN(1,DC36/BD36),1))*g_ret)</f>
        <v/>
      </c>
      <c r="DE36" s="7">
        <f>IF(DA36&gt;=0,MIN(CX36,DA36),0)</f>
        <v/>
      </c>
      <c r="DF36" s="7">
        <f>IF(DA36&gt;=0,(1-general_tasaAhorro)*(DA36-DE36),0)</f>
        <v/>
      </c>
      <c r="DG36" s="7">
        <f>IF(DA36&gt;=0,DA36-DE36-DF36,0)</f>
        <v/>
      </c>
      <c r="DH36" s="7">
        <f>MIN(personal_rothAnual,DG36)</f>
        <v/>
      </c>
      <c r="DI36" s="7">
        <f>IF(AND(DA36&gt;=0,BB36=1,BP36+BT36&gt;0),MIN(vivienda_prepagoPct*(DG36-DH36),BP36+BT36),0)</f>
        <v/>
      </c>
      <c r="DJ36" s="7">
        <f>MIN(DI36,BP36)</f>
        <v/>
      </c>
      <c r="DK36" s="7">
        <f>IF(DA36&lt;0,MIN(MAX(0,BD36),-DA36),0)</f>
        <v/>
      </c>
      <c r="DL36" s="7">
        <f>IF(DA36&lt;0,-DA36-DK36,0)</f>
        <v/>
      </c>
      <c r="DM36" s="7">
        <f>IF(3=0,0,DZ35)</f>
        <v/>
      </c>
      <c r="DN36" s="7">
        <f>IF(AND(DL36&gt;0,J36&gt;0),MIN(DL36,MIN(prestamos_topeAnualPosgrado*MIN(1,J36),MAX(0,prestamos_topeTotalPosgrado-DM36))),0)</f>
        <v/>
      </c>
      <c r="DO36" s="7">
        <f>IF(AND(DL36&gt;0,J36&gt;0),DL36-DN36,0)</f>
        <v/>
      </c>
      <c r="DP36" s="7">
        <f>IF(AND(DL36&gt;0,J36&lt;=0),DL36,0)</f>
        <v/>
      </c>
      <c r="DQ36" s="7">
        <f>IF(DA36&gt;=0,DG36-DH36-DI36,-DK36)</f>
        <v/>
      </c>
      <c r="DR36" s="7">
        <f>BD36*(1+DD36)+DQ36*(1+DD36/2)</f>
        <v/>
      </c>
      <c r="DS36" s="7">
        <f>IF(3=0,personal_retiroInicial,DS35)*(1+g_ret)+(O36+P36+DH36)*(1+g_ret/2)</f>
        <v/>
      </c>
      <c r="DT36" s="7">
        <f>IF(BB36=1,BL36*(1+g_appr),0)</f>
        <v/>
      </c>
      <c r="DU36" s="7">
        <f>BP36-DJ36</f>
        <v/>
      </c>
      <c r="DV36" s="7">
        <f>BT36-(DI36-DJ36)</f>
        <v/>
      </c>
      <c r="DW36" s="7">
        <f>CP36+DN36</f>
        <v/>
      </c>
      <c r="DX36" s="7">
        <f>IF(DN36&gt;0,(CP36*CF36+DN36*prestamos_tasaFederalPosgrado)/(CP36+DN36),CF36)</f>
        <v/>
      </c>
      <c r="DY36" s="7">
        <f>IF(DN36&gt;0,0,CQ36)</f>
        <v/>
      </c>
      <c r="DZ36" s="7">
        <f>DM36+DN36</f>
        <v/>
      </c>
      <c r="EA36" s="7">
        <f>CV36+DO36</f>
        <v/>
      </c>
      <c r="EB36" s="7">
        <f>IF(DO36&gt;0,(CV36*CS36+DO36*prestamos_tasaPrivada)/(CV36+DO36),CS36)</f>
        <v/>
      </c>
      <c r="EC36" s="7">
        <f>IF(DO36&gt;0,0,CW36)</f>
        <v/>
      </c>
      <c r="ED36" s="7">
        <f>CX36-DE36+DP36</f>
        <v/>
      </c>
      <c r="EE36" s="7">
        <f>IF(IF(3=0,"",EE35)&lt;&gt;"",EE35,IF(AND(BB36=1,DU36&lt;=0.5,DV36&lt;=0.5,OR(BH36=0,BJ36=1)),A36,""))</f>
        <v/>
      </c>
      <c r="EF36" s="7">
        <f>DU36+DV36+DW36+EA36+ED36+CD36</f>
        <v/>
      </c>
      <c r="EG36" s="7">
        <f>DR36+DS36+DT36-EF36</f>
        <v/>
      </c>
      <c r="EH36" s="7">
        <f>EG36/(1+g_inf)^(A36+1-2026)</f>
        <v/>
      </c>
    </row>
    <row r="37">
      <c r="A37" t="n">
        <v>2031</v>
      </c>
      <c r="B37" t="n">
        <v>4</v>
      </c>
      <c r="C37" s="7">
        <f>(1+g_inf)^(A37-2026)</f>
        <v/>
      </c>
      <c r="D37" s="7">
        <f>SUMPRODUCT($X$5:$X$29,$E$5:$E$29*(1+$F$5:$F$29)^(A37-2026)*$G$5:$G$29*$H$5:$H$29*(1-$N$5:$N$29*$O$5:$O$29))*g_salMult+SUMPRODUCT(($B$5:$B$29&gt;=A37)*($B$5:$B$29&lt;A37+1)*$I$5:$I$29)*g_salMult</f>
        <v/>
      </c>
      <c r="E37" s="7">
        <f>SUMPRODUCT($X$5:$X$29,$E$5:$E$29*(1+$F$5:$F$29)^(A37-2026)*$G$5:$G$29*$H$5:$H$29*$M$5:$M$29)*g_salMult</f>
        <v/>
      </c>
      <c r="F37" s="7">
        <f>SUMPRODUCT($X$5:$X$29,$E$5:$E$29*(1+$F$5:$F$29)^(A37-2026)*$G$5:$G$29*$H$5:$H$29*$N$5:$N$29*$O$5:$O$29)*g_salMult</f>
        <v/>
      </c>
      <c r="G37" s="7">
        <f>SUMPRODUCT($X$5:$X$29,$P$5:$P$29*(1+$F$5:$F$29)^(A37-2026))</f>
        <v/>
      </c>
      <c r="H37" s="7">
        <f>SUMPRODUCT($X$5:$X$29,$Q$5:$Q$29*(1+$F$5:$F$29)^(A37-2026))+IF(personal_llcActivo=1,personal_llcNeto*(1+personal_llcCrecimiento)^4,0)</f>
        <v/>
      </c>
      <c r="I37" s="7">
        <f>SUMPRODUCT($X$5:$X$29,$J$5:$J$29/($C$5:$C$29-$B$5:$B$29+($C$5:$C$29=$B$5:$B$29)))*C37</f>
        <v/>
      </c>
      <c r="J37" s="7">
        <f>SUMPRODUCT($X$5:$X$29,$K$5:$K$29)</f>
        <v/>
      </c>
      <c r="K37" s="7">
        <f>SUMPRODUCT($X$5:$X$29,$L$5:$L$29)</f>
        <v/>
      </c>
      <c r="L37" s="7">
        <f>SUMPRODUCT($X$5:$X$29,$N$5:$N$29)</f>
        <v/>
      </c>
      <c r="M37" s="7">
        <f>IF(SUMPRODUCT($X$5:$X$29,$R$5:$R$29)&gt;0,1,0)</f>
        <v/>
      </c>
      <c r="N37" s="7">
        <f>SUMPRODUCT(($AO$5:$AO$24&gt;=A37)*($AO$5:$AO$24&lt;A37+1)*$AP$5:$AP$24)*C37+IF(4=0,IF(sel_loc&lt;&gt;"miami",personal_costoMudanzaInicial,0),0)</f>
        <v/>
      </c>
      <c r="O37" s="7">
        <f>MIN(personal_aporte403bPct*D37,retiro_limite403b*C37)</f>
        <v/>
      </c>
      <c r="P37" s="7">
        <f>MIN(personal_aporte403bPct,personal_match403bPct)*E37</f>
        <v/>
      </c>
      <c r="Q37" s="7">
        <f>IF(G37&gt;0,MAX(0,G37-impuestos_scorpCostoAnual*C37),0)</f>
        <v/>
      </c>
      <c r="R37" s="7">
        <f>Q37*impuestos_scorpSalarioPct/(1+impuestos_ssTasa+impuestos_medicareTasa)</f>
        <v/>
      </c>
      <c r="S37" s="7">
        <f>impuestos_ssTasa*MIN(R37,MAX(0,impuestos_ssTope*C37-D37))+impuestos_medicareTasa*R37</f>
        <v/>
      </c>
      <c r="T37" s="7">
        <f>Q37-R37-S37</f>
        <v/>
      </c>
      <c r="U37" s="7">
        <f>D37+R37</f>
        <v/>
      </c>
      <c r="V37" s="7">
        <f>H37*0.9235</f>
        <v/>
      </c>
      <c r="W37" s="7">
        <f>IF(H37&gt;0,2*impuestos_ssTasa*MIN(V37,MAX(0,impuestos_ssTope*C37-U37))+2*impuestos_medicareTasa*V37,0)</f>
        <v/>
      </c>
      <c r="X37" s="7">
        <f>impuestos_ssTasa*MIN(U37,impuestos_ssTope*C37)+impuestos_medicareTasa*U37+impuestos_medicareAdicional*MAX(0,U37+H37*0.9235-impuestos_medicareUmbral)</f>
        <v/>
      </c>
      <c r="Y37" s="7">
        <f>MAX(0,D37-O37+R37+T37+H37-W37/2)</f>
        <v/>
      </c>
      <c r="Z37" s="7">
        <f>MAX(0,Y37-impuestos_deduccionEstandar*C37)</f>
        <v/>
      </c>
      <c r="AA37" s="7">
        <f>MIN(0.2*MAX(0,T37+H37-W37/2)*MAX(0,MIN(1,1-(Z37-impuestos_qbiUmbral*C37)/(impuestos_qbiRango*C37))),0.2*Z37)</f>
        <v/>
      </c>
      <c r="AB37" s="7">
        <f>MAX(0,Z37-AA37)</f>
        <v/>
      </c>
      <c r="AC37" s="7">
        <f>SUMPRODUCT((AB37&gt;tb_federalBrackets_lo*C37)*(AB37-tb_federalBrackets_lo*C37)*tb_federalBrackets_dr)</f>
        <v/>
      </c>
      <c r="AD37" s="7">
        <f>MAX(0,Y37-impuestos_nyDeduccion*C37)</f>
        <v/>
      </c>
      <c r="AE37" s="7">
        <f>CHOOSE(loc_taxcode,0,impuestos_ohTasa*MAX(0,Y37-impuestos_ohExento*C37)+impuestos_ohMunicipal*U37,SUMPRODUCT((AD37&gt;tb_nyBrackets_lo*C37)*(AD37-tb_nyBrackets_lo*C37)*tb_nyBrackets_dr)+loc_nyc*SUMPRODUCT((AD37&gt;tb_nycBrackets_lo*C37)*(AD37-tb_nycBrackets_lo*C37)*tb_nycBrackets_dr))</f>
        <v/>
      </c>
      <c r="AF37" s="7">
        <f>AC37+AE37+X37+W37</f>
        <v/>
      </c>
      <c r="AG37" s="7">
        <f>D37+F37+R37+T37+H37</f>
        <v/>
      </c>
      <c r="AH37" s="7">
        <f>AG37-AF37-O37</f>
        <v/>
      </c>
      <c r="AI37" s="7">
        <f>D37+F37+G37+H37</f>
        <v/>
      </c>
      <c r="AJ37" s="7">
        <f>loc_gastosVida*C37*g_gastos</f>
        <v/>
      </c>
      <c r="AK37" s="7">
        <f>IF(4=0,personal_liquidoInicial,DR36)</f>
        <v/>
      </c>
      <c r="AL37" s="7">
        <f>IF(4=0,0,BB36)</f>
        <v/>
      </c>
      <c r="AM37" s="7">
        <f>CHOOSE(sel_cfgIdx,loc_precio_duplex,loc_precio_inlaw,loc_precio_dosCasas,loc_precio_casaAdu,loc_precio_multi)</f>
        <v/>
      </c>
      <c r="AN37" s="7">
        <f>AM37*(1+g_appr)^(A37-2026)</f>
        <v/>
      </c>
      <c r="AO37" s="7">
        <f>IF(AND(M37=1,vivienda_prestamoMedico=1),1,0)</f>
        <v/>
      </c>
      <c r="AP37" s="7">
        <f>IF(AO37=1,0.05,vivienda_enganchePct)</f>
        <v/>
      </c>
      <c r="AQ37" s="7">
        <f>AN37*(1-AP37)</f>
        <v/>
      </c>
      <c r="AR37" s="7">
        <f>PMT(g_mortRate/12,vivienda_plazoHipoteca*12,-AQ37)</f>
        <v/>
      </c>
      <c r="AS37" s="7">
        <f>INDEX(cfg_units,sel_cfgIdx)</f>
        <v/>
      </c>
      <c r="AT37" s="7">
        <f>AS37*loc_rentaUnidad*(1+g_inf)^(A37-2026)*(1-vivienda_vacancia)</f>
        <v/>
      </c>
      <c r="AU37" s="7">
        <f>AR37+AN37*loc_impuestoPropPct/12+AM37*loc_seguroPct*(1+vivienda_inflacionSeguro)^(A37-2026)/12+IF(AND(AO37=0,AP37&lt;0.2),AQ37*vivienda_pmiTasa/12,0)</f>
        <v/>
      </c>
      <c r="AV37" s="7">
        <f>AN37*AP37+AN37*vivienda_cierrePct+general_reservaMeses/12*AJ37</f>
        <v/>
      </c>
      <c r="AW37" s="7">
        <f>(IF(4=0,MIN(personal_irsSaldo,personal_irsPagoMensual*12),MIN(CD36,personal_irsPagoMensual*12))+IF(CE37&gt;0,PMT(CF37,MAX(1,prestamos_plazoAnios-CG37),-CE37),0)+IF(CR37&gt;0,PMT(CS37,MAX(1,prestamos_plazoAnios-CT37),-CR37),0))/12</f>
        <v/>
      </c>
      <c r="AX37" s="7">
        <f>IF(OR(sel_cfg="duplex",sel_cfg="multi",sel_cfg="dosCasas"),0.75*personal_aporteFamiliaMensual,0)</f>
        <v/>
      </c>
      <c r="AY37" s="7">
        <f>AU37-0.75*AT37-AX37+AW37</f>
        <v/>
      </c>
      <c r="AZ37" s="7">
        <f>(D37+G37+H37+0.5*F37)/12</f>
        <v/>
      </c>
      <c r="BA37" s="7">
        <f>IF(AND(AL37=0,A37&gt;=vivienda_anioMinCompra,J37&lt;0.5,AI37&gt;0,AK37&gt;=AV37,AY37&lt;=vivienda_dtiMax*AZ37),1,0)</f>
        <v/>
      </c>
      <c r="BB37" s="7">
        <f>MAX(AL37,BA37)</f>
        <v/>
      </c>
      <c r="BC37" s="7">
        <f>IF(BA37=1,A37,IF(4=0,"",BC36))</f>
        <v/>
      </c>
      <c r="BD37" s="7">
        <f>AK37-IF(BA37=1,AN37*AP37+AN37*vivienda_cierrePct,0)</f>
        <v/>
      </c>
      <c r="BE37" s="7">
        <f>IF(BA37=1,AN37,IF(4=0,0,BE36))</f>
        <v/>
      </c>
      <c r="BF37" s="7">
        <f>IF(BA37=1,AR37,IF(4=0,0,BF36))</f>
        <v/>
      </c>
      <c r="BG37" s="7">
        <f>IF(BA37=1,IF(AND(AO37=0,AP37&lt;0.2),1,0),IF(4=0,0,BY36))</f>
        <v/>
      </c>
      <c r="BH37" s="7">
        <f>IF(sel_cfg="casaAdu",1,0)</f>
        <v/>
      </c>
      <c r="BI37" s="7">
        <f>IF(AND(BB37=1,BH37=1,IF(4=0,0,BJ36)=0,A37&gt;=IF(BC37="",9999,BC37)+vivienda_aduRetrasoAnios),1,0)</f>
        <v/>
      </c>
      <c r="BJ37" s="7">
        <f>MAX(IF(4=0,0,BJ36),BI37)</f>
        <v/>
      </c>
      <c r="BK37" s="7">
        <f>IF(BI37=1,PMT((g_mortRate+0.005)/12,180,-loc_precio_aduCosto*C37),IF(4=0,0,BK36))</f>
        <v/>
      </c>
      <c r="BL37" s="7">
        <f>IF(BA37=1,AN37,IF(4=0,0,DT36))+IF(BI37=1,loc_precio_aduCosto*C37,0)</f>
        <v/>
      </c>
      <c r="BM37" s="7">
        <f>IF(BA37=1,AQ37,IF(4=0,0,DU36))</f>
        <v/>
      </c>
      <c r="BN37" s="7">
        <f>IF(BM37&lt;=0,0,FV(g_mortRate/12,12,BF37,-BM37))</f>
        <v/>
      </c>
      <c r="BO37" s="7">
        <f>IF(BM37&lt;=0,0,12*BF37+MIN(0,BN37))</f>
        <v/>
      </c>
      <c r="BP37" s="7">
        <f>MAX(0,BN37)</f>
        <v/>
      </c>
      <c r="BQ37" s="7">
        <f>IF(BI37=1,loc_precio_aduCosto*C37,IF(4=0,0,DV36))</f>
        <v/>
      </c>
      <c r="BR37" s="7">
        <f>IF(BQ37&lt;=0,0,FV((g_mortRate+0.005)/12,12,BK37,-BQ37))</f>
        <v/>
      </c>
      <c r="BS37" s="7">
        <f>IF(BQ37&lt;=0,0,12*BK37+MIN(0,BR37))</f>
        <v/>
      </c>
      <c r="BT37" s="7">
        <f>MAX(0,BR37)</f>
        <v/>
      </c>
      <c r="BU37" s="7">
        <f>IF(BB37=1,AM37*loc_seguroPct*(1+vivienda_inflacionSeguro)^(A37-2026)*IF(BJ37=1,1+loc_precio_aduCosto/AM37,1),0)</f>
        <v/>
      </c>
      <c r="BV37" s="7">
        <f>BL37*loc_impuestoPropPct</f>
        <v/>
      </c>
      <c r="BW37" s="7">
        <f>BL37*vivienda_mantenimientoPct</f>
        <v/>
      </c>
      <c r="BX37" s="7">
        <f>IF(AND(BG37=1,BP37&gt;0.8*BE37),BE37*(1-vivienda_enganchePct)*vivienda_pmiTasa,0)</f>
        <v/>
      </c>
      <c r="BY37" s="7">
        <f>IF(AND(BG37=1,BP37&gt;0.8*BE37),1,0)</f>
        <v/>
      </c>
      <c r="BZ37" s="7">
        <f>IF(BB37=1,AS37*loc_rentaUnidad*12*C37*(1-vivienda_vacancia)*(1-vivienda_gestionPct),0)</f>
        <v/>
      </c>
      <c r="CA37" s="7">
        <f>IF(BB37=1,BO37+BS37+BU37+BV37+BW37+BX37,loc_rentaMensual*12*C37)</f>
        <v/>
      </c>
      <c r="CB37" s="7">
        <f>IF(BB37=1,personal_aporteFamiliaMensual*12,0)</f>
        <v/>
      </c>
      <c r="CC37" s="7">
        <f>MIN(IF(4=0,personal_irsSaldo,CD36),personal_irsPagoMensual*12)</f>
        <v/>
      </c>
      <c r="CD37" s="7">
        <f>IF(4=0,personal_irsSaldo,CD36)-CC37</f>
        <v/>
      </c>
      <c r="CE37" s="7">
        <f>IF(4=0,IF(personal_deudaEsFederal=1,personal_deudaEstudiantil,0),DW36)</f>
        <v/>
      </c>
      <c r="CF37" s="7">
        <f>IF(4=0,personal_tasaDeudaEstudiantil,DX36)</f>
        <v/>
      </c>
      <c r="CG37" s="7">
        <f>IF(4=0,0,DY36)</f>
        <v/>
      </c>
      <c r="CH37" s="7">
        <f>IF(J37&gt;=0.5,1,0)</f>
        <v/>
      </c>
      <c r="CI37" s="7">
        <f>IF(AND(CH37=0,prestamos_pslfActivo=1,K37&gt;=0.5,CE37&gt;0),1,0)</f>
        <v/>
      </c>
      <c r="CJ37" s="7">
        <f>CE37*CF37</f>
        <v/>
      </c>
      <c r="CK37" s="7">
        <f>MAX(prestamos_rapPagoMinimoAnual,IF(Y37&lt;10000,0,MIN(0.1,INT(Y37/10000)/100))*Y37)</f>
        <v/>
      </c>
      <c r="CL37" s="7">
        <f>IF(CE37&lt;=0,0,IF(CH37=1,0,IF(CI37=1,MIN(CE37+CJ37,CK37),PMT(CF37,MAX(1,prestamos_plazoAnios-CG37),-CE37))))</f>
        <v/>
      </c>
      <c r="CM37" s="7">
        <f>IF(CE37&lt;=0,0,IF(CH37=1,CE37+CJ37,IF(CI37=1,MAX(0,CE37-MAX(CL37-CJ37,MIN(600,CL37))),MAX(0,CE37*(1+CF37)-CL37))))</f>
        <v/>
      </c>
      <c r="CN37" s="7">
        <f>IF(4=0,0,CN36)+IF(CI37=1,12*MIN(1,K37),0)</f>
        <v/>
      </c>
      <c r="CO37" s="7">
        <f>IF(AND(CI37=1,CN37&gt;=prestamos_pslfPagos,CM37&gt;0),CM37,0)</f>
        <v/>
      </c>
      <c r="CP37" s="7">
        <f>CM37-CO37</f>
        <v/>
      </c>
      <c r="CQ37" s="7">
        <f>IF(AND(CE37&gt;0,CH37=0,CI37=0),CG37+1,CG37)</f>
        <v/>
      </c>
      <c r="CR37" s="7">
        <f>IF(4=0,IF(personal_deudaEsFederal=1,0,personal_deudaEstudiantil),EA36)</f>
        <v/>
      </c>
      <c r="CS37" s="7">
        <f>IF(4=0,IF(personal_deudaEsFederal=1,prestamos_tasaPrivada,personal_tasaDeudaEstudiantil),EB36)</f>
        <v/>
      </c>
      <c r="CT37" s="7">
        <f>IF(4=0,0,EC36)</f>
        <v/>
      </c>
      <c r="CU37" s="7">
        <f>IF(OR(CR37&lt;=0,CH37=1),0,PMT(CS37,MAX(1,prestamos_plazoAnios-CT37),-CR37))</f>
        <v/>
      </c>
      <c r="CV37" s="7">
        <f>IF(CR37&lt;=0,0,IF(CH37=1,CR37*(1+CS37),MAX(0,CR37*(1+CS37)-CU37)))</f>
        <v/>
      </c>
      <c r="CW37" s="7">
        <f>IF(AND(CR37&gt;0,CH37=0),CT37+1,CT37)</f>
        <v/>
      </c>
      <c r="CX37" s="7">
        <f>IF(4=0,0,ED36)*(1+general_tasaDeudaConsumo)</f>
        <v/>
      </c>
      <c r="CY37" s="7">
        <f>L37*12*tiempos_travelGastoExtraMes*C37</f>
        <v/>
      </c>
      <c r="CZ37" s="7">
        <f>AJ37+CY37+CA37+CC37+CL37+CU37+I37+N37-BZ37-CB37</f>
        <v/>
      </c>
      <c r="DA37" s="7">
        <f>AH37-CZ37</f>
        <v/>
      </c>
      <c r="DB37" s="7">
        <f>IF(4=0,0,DB36)+DA37</f>
        <v/>
      </c>
      <c r="DC37" s="7">
        <f>AN37*vivienda_enganchePct+AN37*vivienda_cierrePct+general_reservaMeses/12*AJ37</f>
        <v/>
      </c>
      <c r="DD37" s="7">
        <f>IF(BB37=1,g_ret,IF(BD37&gt;0,MIN(1,DC37/BD37),1)*g_cash+(1-IF(BD37&gt;0,MIN(1,DC37/BD37),1))*g_ret)</f>
        <v/>
      </c>
      <c r="DE37" s="7">
        <f>IF(DA37&gt;=0,MIN(CX37,DA37),0)</f>
        <v/>
      </c>
      <c r="DF37" s="7">
        <f>IF(DA37&gt;=0,(1-general_tasaAhorro)*(DA37-DE37),0)</f>
        <v/>
      </c>
      <c r="DG37" s="7">
        <f>IF(DA37&gt;=0,DA37-DE37-DF37,0)</f>
        <v/>
      </c>
      <c r="DH37" s="7">
        <f>MIN(personal_rothAnual,DG37)</f>
        <v/>
      </c>
      <c r="DI37" s="7">
        <f>IF(AND(DA37&gt;=0,BB37=1,BP37+BT37&gt;0),MIN(vivienda_prepagoPct*(DG37-DH37),BP37+BT37),0)</f>
        <v/>
      </c>
      <c r="DJ37" s="7">
        <f>MIN(DI37,BP37)</f>
        <v/>
      </c>
      <c r="DK37" s="7">
        <f>IF(DA37&lt;0,MIN(MAX(0,BD37),-DA37),0)</f>
        <v/>
      </c>
      <c r="DL37" s="7">
        <f>IF(DA37&lt;0,-DA37-DK37,0)</f>
        <v/>
      </c>
      <c r="DM37" s="7">
        <f>IF(4=0,0,DZ36)</f>
        <v/>
      </c>
      <c r="DN37" s="7">
        <f>IF(AND(DL37&gt;0,J37&gt;0),MIN(DL37,MIN(prestamos_topeAnualPosgrado*MIN(1,J37),MAX(0,prestamos_topeTotalPosgrado-DM37))),0)</f>
        <v/>
      </c>
      <c r="DO37" s="7">
        <f>IF(AND(DL37&gt;0,J37&gt;0),DL37-DN37,0)</f>
        <v/>
      </c>
      <c r="DP37" s="7">
        <f>IF(AND(DL37&gt;0,J37&lt;=0),DL37,0)</f>
        <v/>
      </c>
      <c r="DQ37" s="7">
        <f>IF(DA37&gt;=0,DG37-DH37-DI37,-DK37)</f>
        <v/>
      </c>
      <c r="DR37" s="7">
        <f>BD37*(1+DD37)+DQ37*(1+DD37/2)</f>
        <v/>
      </c>
      <c r="DS37" s="7">
        <f>IF(4=0,personal_retiroInicial,DS36)*(1+g_ret)+(O37+P37+DH37)*(1+g_ret/2)</f>
        <v/>
      </c>
      <c r="DT37" s="7">
        <f>IF(BB37=1,BL37*(1+g_appr),0)</f>
        <v/>
      </c>
      <c r="DU37" s="7">
        <f>BP37-DJ37</f>
        <v/>
      </c>
      <c r="DV37" s="7">
        <f>BT37-(DI37-DJ37)</f>
        <v/>
      </c>
      <c r="DW37" s="7">
        <f>CP37+DN37</f>
        <v/>
      </c>
      <c r="DX37" s="7">
        <f>IF(DN37&gt;0,(CP37*CF37+DN37*prestamos_tasaFederalPosgrado)/(CP37+DN37),CF37)</f>
        <v/>
      </c>
      <c r="DY37" s="7">
        <f>IF(DN37&gt;0,0,CQ37)</f>
        <v/>
      </c>
      <c r="DZ37" s="7">
        <f>DM37+DN37</f>
        <v/>
      </c>
      <c r="EA37" s="7">
        <f>CV37+DO37</f>
        <v/>
      </c>
      <c r="EB37" s="7">
        <f>IF(DO37&gt;0,(CV37*CS37+DO37*prestamos_tasaPrivada)/(CV37+DO37),CS37)</f>
        <v/>
      </c>
      <c r="EC37" s="7">
        <f>IF(DO37&gt;0,0,CW37)</f>
        <v/>
      </c>
      <c r="ED37" s="7">
        <f>CX37-DE37+DP37</f>
        <v/>
      </c>
      <c r="EE37" s="7">
        <f>IF(IF(4=0,"",EE36)&lt;&gt;"",EE36,IF(AND(BB37=1,DU37&lt;=0.5,DV37&lt;=0.5,OR(BH37=0,BJ37=1)),A37,""))</f>
        <v/>
      </c>
      <c r="EF37" s="7">
        <f>DU37+DV37+DW37+EA37+ED37+CD37</f>
        <v/>
      </c>
      <c r="EG37" s="7">
        <f>DR37+DS37+DT37-EF37</f>
        <v/>
      </c>
      <c r="EH37" s="7">
        <f>EG37/(1+g_inf)^(A37+1-2026)</f>
        <v/>
      </c>
    </row>
    <row r="38">
      <c r="A38" t="n">
        <v>2032</v>
      </c>
      <c r="B38" t="n">
        <v>5</v>
      </c>
      <c r="C38" s="7">
        <f>(1+g_inf)^(A38-2026)</f>
        <v/>
      </c>
      <c r="D38" s="7">
        <f>SUMPRODUCT($Y$5:$Y$29,$E$5:$E$29*(1+$F$5:$F$29)^(A38-2026)*$G$5:$G$29*$H$5:$H$29*(1-$N$5:$N$29*$O$5:$O$29))*g_salMult+SUMPRODUCT(($B$5:$B$29&gt;=A38)*($B$5:$B$29&lt;A38+1)*$I$5:$I$29)*g_salMult</f>
        <v/>
      </c>
      <c r="E38" s="7">
        <f>SUMPRODUCT($Y$5:$Y$29,$E$5:$E$29*(1+$F$5:$F$29)^(A38-2026)*$G$5:$G$29*$H$5:$H$29*$M$5:$M$29)*g_salMult</f>
        <v/>
      </c>
      <c r="F38" s="7">
        <f>SUMPRODUCT($Y$5:$Y$29,$E$5:$E$29*(1+$F$5:$F$29)^(A38-2026)*$G$5:$G$29*$H$5:$H$29*$N$5:$N$29*$O$5:$O$29)*g_salMult</f>
        <v/>
      </c>
      <c r="G38" s="7">
        <f>SUMPRODUCT($Y$5:$Y$29,$P$5:$P$29*(1+$F$5:$F$29)^(A38-2026))</f>
        <v/>
      </c>
      <c r="H38" s="7">
        <f>SUMPRODUCT($Y$5:$Y$29,$Q$5:$Q$29*(1+$F$5:$F$29)^(A38-2026))+IF(personal_llcActivo=1,personal_llcNeto*(1+personal_llcCrecimiento)^5,0)</f>
        <v/>
      </c>
      <c r="I38" s="7">
        <f>SUMPRODUCT($Y$5:$Y$29,$J$5:$J$29/($C$5:$C$29-$B$5:$B$29+($C$5:$C$29=$B$5:$B$29)))*C38</f>
        <v/>
      </c>
      <c r="J38" s="7">
        <f>SUMPRODUCT($Y$5:$Y$29,$K$5:$K$29)</f>
        <v/>
      </c>
      <c r="K38" s="7">
        <f>SUMPRODUCT($Y$5:$Y$29,$L$5:$L$29)</f>
        <v/>
      </c>
      <c r="L38" s="7">
        <f>SUMPRODUCT($Y$5:$Y$29,$N$5:$N$29)</f>
        <v/>
      </c>
      <c r="M38" s="7">
        <f>IF(SUMPRODUCT($Y$5:$Y$29,$R$5:$R$29)&gt;0,1,0)</f>
        <v/>
      </c>
      <c r="N38" s="7">
        <f>SUMPRODUCT(($AO$5:$AO$24&gt;=A38)*($AO$5:$AO$24&lt;A38+1)*$AP$5:$AP$24)*C38+IF(5=0,IF(sel_loc&lt;&gt;"miami",personal_costoMudanzaInicial,0),0)</f>
        <v/>
      </c>
      <c r="O38" s="7">
        <f>MIN(personal_aporte403bPct*D38,retiro_limite403b*C38)</f>
        <v/>
      </c>
      <c r="P38" s="7">
        <f>MIN(personal_aporte403bPct,personal_match403bPct)*E38</f>
        <v/>
      </c>
      <c r="Q38" s="7">
        <f>IF(G38&gt;0,MAX(0,G38-impuestos_scorpCostoAnual*C38),0)</f>
        <v/>
      </c>
      <c r="R38" s="7">
        <f>Q38*impuestos_scorpSalarioPct/(1+impuestos_ssTasa+impuestos_medicareTasa)</f>
        <v/>
      </c>
      <c r="S38" s="7">
        <f>impuestos_ssTasa*MIN(R38,MAX(0,impuestos_ssTope*C38-D38))+impuestos_medicareTasa*R38</f>
        <v/>
      </c>
      <c r="T38" s="7">
        <f>Q38-R38-S38</f>
        <v/>
      </c>
      <c r="U38" s="7">
        <f>D38+R38</f>
        <v/>
      </c>
      <c r="V38" s="7">
        <f>H38*0.9235</f>
        <v/>
      </c>
      <c r="W38" s="7">
        <f>IF(H38&gt;0,2*impuestos_ssTasa*MIN(V38,MAX(0,impuestos_ssTope*C38-U38))+2*impuestos_medicareTasa*V38,0)</f>
        <v/>
      </c>
      <c r="X38" s="7">
        <f>impuestos_ssTasa*MIN(U38,impuestos_ssTope*C38)+impuestos_medicareTasa*U38+impuestos_medicareAdicional*MAX(0,U38+H38*0.9235-impuestos_medicareUmbral)</f>
        <v/>
      </c>
      <c r="Y38" s="7">
        <f>MAX(0,D38-O38+R38+T38+H38-W38/2)</f>
        <v/>
      </c>
      <c r="Z38" s="7">
        <f>MAX(0,Y38-impuestos_deduccionEstandar*C38)</f>
        <v/>
      </c>
      <c r="AA38" s="7">
        <f>MIN(0.2*MAX(0,T38+H38-W38/2)*MAX(0,MIN(1,1-(Z38-impuestos_qbiUmbral*C38)/(impuestos_qbiRango*C38))),0.2*Z38)</f>
        <v/>
      </c>
      <c r="AB38" s="7">
        <f>MAX(0,Z38-AA38)</f>
        <v/>
      </c>
      <c r="AC38" s="7">
        <f>SUMPRODUCT((AB38&gt;tb_federalBrackets_lo*C38)*(AB38-tb_federalBrackets_lo*C38)*tb_federalBrackets_dr)</f>
        <v/>
      </c>
      <c r="AD38" s="7">
        <f>MAX(0,Y38-impuestos_nyDeduccion*C38)</f>
        <v/>
      </c>
      <c r="AE38" s="7">
        <f>CHOOSE(loc_taxcode,0,impuestos_ohTasa*MAX(0,Y38-impuestos_ohExento*C38)+impuestos_ohMunicipal*U38,SUMPRODUCT((AD38&gt;tb_nyBrackets_lo*C38)*(AD38-tb_nyBrackets_lo*C38)*tb_nyBrackets_dr)+loc_nyc*SUMPRODUCT((AD38&gt;tb_nycBrackets_lo*C38)*(AD38-tb_nycBrackets_lo*C38)*tb_nycBrackets_dr))</f>
        <v/>
      </c>
      <c r="AF38" s="7">
        <f>AC38+AE38+X38+W38</f>
        <v/>
      </c>
      <c r="AG38" s="7">
        <f>D38+F38+R38+T38+H38</f>
        <v/>
      </c>
      <c r="AH38" s="7">
        <f>AG38-AF38-O38</f>
        <v/>
      </c>
      <c r="AI38" s="7">
        <f>D38+F38+G38+H38</f>
        <v/>
      </c>
      <c r="AJ38" s="7">
        <f>loc_gastosVida*C38*g_gastos</f>
        <v/>
      </c>
      <c r="AK38" s="7">
        <f>IF(5=0,personal_liquidoInicial,DR37)</f>
        <v/>
      </c>
      <c r="AL38" s="7">
        <f>IF(5=0,0,BB37)</f>
        <v/>
      </c>
      <c r="AM38" s="7">
        <f>CHOOSE(sel_cfgIdx,loc_precio_duplex,loc_precio_inlaw,loc_precio_dosCasas,loc_precio_casaAdu,loc_precio_multi)</f>
        <v/>
      </c>
      <c r="AN38" s="7">
        <f>AM38*(1+g_appr)^(A38-2026)</f>
        <v/>
      </c>
      <c r="AO38" s="7">
        <f>IF(AND(M38=1,vivienda_prestamoMedico=1),1,0)</f>
        <v/>
      </c>
      <c r="AP38" s="7">
        <f>IF(AO38=1,0.05,vivienda_enganchePct)</f>
        <v/>
      </c>
      <c r="AQ38" s="7">
        <f>AN38*(1-AP38)</f>
        <v/>
      </c>
      <c r="AR38" s="7">
        <f>PMT(g_mortRate/12,vivienda_plazoHipoteca*12,-AQ38)</f>
        <v/>
      </c>
      <c r="AS38" s="7">
        <f>INDEX(cfg_units,sel_cfgIdx)</f>
        <v/>
      </c>
      <c r="AT38" s="7">
        <f>AS38*loc_rentaUnidad*(1+g_inf)^(A38-2026)*(1-vivienda_vacancia)</f>
        <v/>
      </c>
      <c r="AU38" s="7">
        <f>AR38+AN38*loc_impuestoPropPct/12+AM38*loc_seguroPct*(1+vivienda_inflacionSeguro)^(A38-2026)/12+IF(AND(AO38=0,AP38&lt;0.2),AQ38*vivienda_pmiTasa/12,0)</f>
        <v/>
      </c>
      <c r="AV38" s="7">
        <f>AN38*AP38+AN38*vivienda_cierrePct+general_reservaMeses/12*AJ38</f>
        <v/>
      </c>
      <c r="AW38" s="7">
        <f>(IF(5=0,MIN(personal_irsSaldo,personal_irsPagoMensual*12),MIN(CD37,personal_irsPagoMensual*12))+IF(CE38&gt;0,PMT(CF38,MAX(1,prestamos_plazoAnios-CG38),-CE38),0)+IF(CR38&gt;0,PMT(CS38,MAX(1,prestamos_plazoAnios-CT38),-CR38),0))/12</f>
        <v/>
      </c>
      <c r="AX38" s="7">
        <f>IF(OR(sel_cfg="duplex",sel_cfg="multi",sel_cfg="dosCasas"),0.75*personal_aporteFamiliaMensual,0)</f>
        <v/>
      </c>
      <c r="AY38" s="7">
        <f>AU38-0.75*AT38-AX38+AW38</f>
        <v/>
      </c>
      <c r="AZ38" s="7">
        <f>(D38+G38+H38+0.5*F38)/12</f>
        <v/>
      </c>
      <c r="BA38" s="7">
        <f>IF(AND(AL38=0,A38&gt;=vivienda_anioMinCompra,J38&lt;0.5,AI38&gt;0,AK38&gt;=AV38,AY38&lt;=vivienda_dtiMax*AZ38),1,0)</f>
        <v/>
      </c>
      <c r="BB38" s="7">
        <f>MAX(AL38,BA38)</f>
        <v/>
      </c>
      <c r="BC38" s="7">
        <f>IF(BA38=1,A38,IF(5=0,"",BC37))</f>
        <v/>
      </c>
      <c r="BD38" s="7">
        <f>AK38-IF(BA38=1,AN38*AP38+AN38*vivienda_cierrePct,0)</f>
        <v/>
      </c>
      <c r="BE38" s="7">
        <f>IF(BA38=1,AN38,IF(5=0,0,BE37))</f>
        <v/>
      </c>
      <c r="BF38" s="7">
        <f>IF(BA38=1,AR38,IF(5=0,0,BF37))</f>
        <v/>
      </c>
      <c r="BG38" s="7">
        <f>IF(BA38=1,IF(AND(AO38=0,AP38&lt;0.2),1,0),IF(5=0,0,BY37))</f>
        <v/>
      </c>
      <c r="BH38" s="7">
        <f>IF(sel_cfg="casaAdu",1,0)</f>
        <v/>
      </c>
      <c r="BI38" s="7">
        <f>IF(AND(BB38=1,BH38=1,IF(5=0,0,BJ37)=0,A38&gt;=IF(BC38="",9999,BC38)+vivienda_aduRetrasoAnios),1,0)</f>
        <v/>
      </c>
      <c r="BJ38" s="7">
        <f>MAX(IF(5=0,0,BJ37),BI38)</f>
        <v/>
      </c>
      <c r="BK38" s="7">
        <f>IF(BI38=1,PMT((g_mortRate+0.005)/12,180,-loc_precio_aduCosto*C38),IF(5=0,0,BK37))</f>
        <v/>
      </c>
      <c r="BL38" s="7">
        <f>IF(BA38=1,AN38,IF(5=0,0,DT37))+IF(BI38=1,loc_precio_aduCosto*C38,0)</f>
        <v/>
      </c>
      <c r="BM38" s="7">
        <f>IF(BA38=1,AQ38,IF(5=0,0,DU37))</f>
        <v/>
      </c>
      <c r="BN38" s="7">
        <f>IF(BM38&lt;=0,0,FV(g_mortRate/12,12,BF38,-BM38))</f>
        <v/>
      </c>
      <c r="BO38" s="7">
        <f>IF(BM38&lt;=0,0,12*BF38+MIN(0,BN38))</f>
        <v/>
      </c>
      <c r="BP38" s="7">
        <f>MAX(0,BN38)</f>
        <v/>
      </c>
      <c r="BQ38" s="7">
        <f>IF(BI38=1,loc_precio_aduCosto*C38,IF(5=0,0,DV37))</f>
        <v/>
      </c>
      <c r="BR38" s="7">
        <f>IF(BQ38&lt;=0,0,FV((g_mortRate+0.005)/12,12,BK38,-BQ38))</f>
        <v/>
      </c>
      <c r="BS38" s="7">
        <f>IF(BQ38&lt;=0,0,12*BK38+MIN(0,BR38))</f>
        <v/>
      </c>
      <c r="BT38" s="7">
        <f>MAX(0,BR38)</f>
        <v/>
      </c>
      <c r="BU38" s="7">
        <f>IF(BB38=1,AM38*loc_seguroPct*(1+vivienda_inflacionSeguro)^(A38-2026)*IF(BJ38=1,1+loc_precio_aduCosto/AM38,1),0)</f>
        <v/>
      </c>
      <c r="BV38" s="7">
        <f>BL38*loc_impuestoPropPct</f>
        <v/>
      </c>
      <c r="BW38" s="7">
        <f>BL38*vivienda_mantenimientoPct</f>
        <v/>
      </c>
      <c r="BX38" s="7">
        <f>IF(AND(BG38=1,BP38&gt;0.8*BE38),BE38*(1-vivienda_enganchePct)*vivienda_pmiTasa,0)</f>
        <v/>
      </c>
      <c r="BY38" s="7">
        <f>IF(AND(BG38=1,BP38&gt;0.8*BE38),1,0)</f>
        <v/>
      </c>
      <c r="BZ38" s="7">
        <f>IF(BB38=1,AS38*loc_rentaUnidad*12*C38*(1-vivienda_vacancia)*(1-vivienda_gestionPct),0)</f>
        <v/>
      </c>
      <c r="CA38" s="7">
        <f>IF(BB38=1,BO38+BS38+BU38+BV38+BW38+BX38,loc_rentaMensual*12*C38)</f>
        <v/>
      </c>
      <c r="CB38" s="7">
        <f>IF(BB38=1,personal_aporteFamiliaMensual*12,0)</f>
        <v/>
      </c>
      <c r="CC38" s="7">
        <f>MIN(IF(5=0,personal_irsSaldo,CD37),personal_irsPagoMensual*12)</f>
        <v/>
      </c>
      <c r="CD38" s="7">
        <f>IF(5=0,personal_irsSaldo,CD37)-CC38</f>
        <v/>
      </c>
      <c r="CE38" s="7">
        <f>IF(5=0,IF(personal_deudaEsFederal=1,personal_deudaEstudiantil,0),DW37)</f>
        <v/>
      </c>
      <c r="CF38" s="7">
        <f>IF(5=0,personal_tasaDeudaEstudiantil,DX37)</f>
        <v/>
      </c>
      <c r="CG38" s="7">
        <f>IF(5=0,0,DY37)</f>
        <v/>
      </c>
      <c r="CH38" s="7">
        <f>IF(J38&gt;=0.5,1,0)</f>
        <v/>
      </c>
      <c r="CI38" s="7">
        <f>IF(AND(CH38=0,prestamos_pslfActivo=1,K38&gt;=0.5,CE38&gt;0),1,0)</f>
        <v/>
      </c>
      <c r="CJ38" s="7">
        <f>CE38*CF38</f>
        <v/>
      </c>
      <c r="CK38" s="7">
        <f>MAX(prestamos_rapPagoMinimoAnual,IF(Y38&lt;10000,0,MIN(0.1,INT(Y38/10000)/100))*Y38)</f>
        <v/>
      </c>
      <c r="CL38" s="7">
        <f>IF(CE38&lt;=0,0,IF(CH38=1,0,IF(CI38=1,MIN(CE38+CJ38,CK38),PMT(CF38,MAX(1,prestamos_plazoAnios-CG38),-CE38))))</f>
        <v/>
      </c>
      <c r="CM38" s="7">
        <f>IF(CE38&lt;=0,0,IF(CH38=1,CE38+CJ38,IF(CI38=1,MAX(0,CE38-MAX(CL38-CJ38,MIN(600,CL38))),MAX(0,CE38*(1+CF38)-CL38))))</f>
        <v/>
      </c>
      <c r="CN38" s="7">
        <f>IF(5=0,0,CN37)+IF(CI38=1,12*MIN(1,K38),0)</f>
        <v/>
      </c>
      <c r="CO38" s="7">
        <f>IF(AND(CI38=1,CN38&gt;=prestamos_pslfPagos,CM38&gt;0),CM38,0)</f>
        <v/>
      </c>
      <c r="CP38" s="7">
        <f>CM38-CO38</f>
        <v/>
      </c>
      <c r="CQ38" s="7">
        <f>IF(AND(CE38&gt;0,CH38=0,CI38=0),CG38+1,CG38)</f>
        <v/>
      </c>
      <c r="CR38" s="7">
        <f>IF(5=0,IF(personal_deudaEsFederal=1,0,personal_deudaEstudiantil),EA37)</f>
        <v/>
      </c>
      <c r="CS38" s="7">
        <f>IF(5=0,IF(personal_deudaEsFederal=1,prestamos_tasaPrivada,personal_tasaDeudaEstudiantil),EB37)</f>
        <v/>
      </c>
      <c r="CT38" s="7">
        <f>IF(5=0,0,EC37)</f>
        <v/>
      </c>
      <c r="CU38" s="7">
        <f>IF(OR(CR38&lt;=0,CH38=1),0,PMT(CS38,MAX(1,prestamos_plazoAnios-CT38),-CR38))</f>
        <v/>
      </c>
      <c r="CV38" s="7">
        <f>IF(CR38&lt;=0,0,IF(CH38=1,CR38*(1+CS38),MAX(0,CR38*(1+CS38)-CU38)))</f>
        <v/>
      </c>
      <c r="CW38" s="7">
        <f>IF(AND(CR38&gt;0,CH38=0),CT38+1,CT38)</f>
        <v/>
      </c>
      <c r="CX38" s="7">
        <f>IF(5=0,0,ED37)*(1+general_tasaDeudaConsumo)</f>
        <v/>
      </c>
      <c r="CY38" s="7">
        <f>L38*12*tiempos_travelGastoExtraMes*C38</f>
        <v/>
      </c>
      <c r="CZ38" s="7">
        <f>AJ38+CY38+CA38+CC38+CL38+CU38+I38+N38-BZ38-CB38</f>
        <v/>
      </c>
      <c r="DA38" s="7">
        <f>AH38-CZ38</f>
        <v/>
      </c>
      <c r="DB38" s="7">
        <f>IF(5=0,0,DB37)+DA38</f>
        <v/>
      </c>
      <c r="DC38" s="7">
        <f>AN38*vivienda_enganchePct+AN38*vivienda_cierrePct+general_reservaMeses/12*AJ38</f>
        <v/>
      </c>
      <c r="DD38" s="7">
        <f>IF(BB38=1,g_ret,IF(BD38&gt;0,MIN(1,DC38/BD38),1)*g_cash+(1-IF(BD38&gt;0,MIN(1,DC38/BD38),1))*g_ret)</f>
        <v/>
      </c>
      <c r="DE38" s="7">
        <f>IF(DA38&gt;=0,MIN(CX38,DA38),0)</f>
        <v/>
      </c>
      <c r="DF38" s="7">
        <f>IF(DA38&gt;=0,(1-general_tasaAhorro)*(DA38-DE38),0)</f>
        <v/>
      </c>
      <c r="DG38" s="7">
        <f>IF(DA38&gt;=0,DA38-DE38-DF38,0)</f>
        <v/>
      </c>
      <c r="DH38" s="7">
        <f>MIN(personal_rothAnual,DG38)</f>
        <v/>
      </c>
      <c r="DI38" s="7">
        <f>IF(AND(DA38&gt;=0,BB38=1,BP38+BT38&gt;0),MIN(vivienda_prepagoPct*(DG38-DH38),BP38+BT38),0)</f>
        <v/>
      </c>
      <c r="DJ38" s="7">
        <f>MIN(DI38,BP38)</f>
        <v/>
      </c>
      <c r="DK38" s="7">
        <f>IF(DA38&lt;0,MIN(MAX(0,BD38),-DA38),0)</f>
        <v/>
      </c>
      <c r="DL38" s="7">
        <f>IF(DA38&lt;0,-DA38-DK38,0)</f>
        <v/>
      </c>
      <c r="DM38" s="7">
        <f>IF(5=0,0,DZ37)</f>
        <v/>
      </c>
      <c r="DN38" s="7">
        <f>IF(AND(DL38&gt;0,J38&gt;0),MIN(DL38,MIN(prestamos_topeAnualPosgrado*MIN(1,J38),MAX(0,prestamos_topeTotalPosgrado-DM38))),0)</f>
        <v/>
      </c>
      <c r="DO38" s="7">
        <f>IF(AND(DL38&gt;0,J38&gt;0),DL38-DN38,0)</f>
        <v/>
      </c>
      <c r="DP38" s="7">
        <f>IF(AND(DL38&gt;0,J38&lt;=0),DL38,0)</f>
        <v/>
      </c>
      <c r="DQ38" s="7">
        <f>IF(DA38&gt;=0,DG38-DH38-DI38,-DK38)</f>
        <v/>
      </c>
      <c r="DR38" s="7">
        <f>BD38*(1+DD38)+DQ38*(1+DD38/2)</f>
        <v/>
      </c>
      <c r="DS38" s="7">
        <f>IF(5=0,personal_retiroInicial,DS37)*(1+g_ret)+(O38+P38+DH38)*(1+g_ret/2)</f>
        <v/>
      </c>
      <c r="DT38" s="7">
        <f>IF(BB38=1,BL38*(1+g_appr),0)</f>
        <v/>
      </c>
      <c r="DU38" s="7">
        <f>BP38-DJ38</f>
        <v/>
      </c>
      <c r="DV38" s="7">
        <f>BT38-(DI38-DJ38)</f>
        <v/>
      </c>
      <c r="DW38" s="7">
        <f>CP38+DN38</f>
        <v/>
      </c>
      <c r="DX38" s="7">
        <f>IF(DN38&gt;0,(CP38*CF38+DN38*prestamos_tasaFederalPosgrado)/(CP38+DN38),CF38)</f>
        <v/>
      </c>
      <c r="DY38" s="7">
        <f>IF(DN38&gt;0,0,CQ38)</f>
        <v/>
      </c>
      <c r="DZ38" s="7">
        <f>DM38+DN38</f>
        <v/>
      </c>
      <c r="EA38" s="7">
        <f>CV38+DO38</f>
        <v/>
      </c>
      <c r="EB38" s="7">
        <f>IF(DO38&gt;0,(CV38*CS38+DO38*prestamos_tasaPrivada)/(CV38+DO38),CS38)</f>
        <v/>
      </c>
      <c r="EC38" s="7">
        <f>IF(DO38&gt;0,0,CW38)</f>
        <v/>
      </c>
      <c r="ED38" s="7">
        <f>CX38-DE38+DP38</f>
        <v/>
      </c>
      <c r="EE38" s="7">
        <f>IF(IF(5=0,"",EE37)&lt;&gt;"",EE37,IF(AND(BB38=1,DU38&lt;=0.5,DV38&lt;=0.5,OR(BH38=0,BJ38=1)),A38,""))</f>
        <v/>
      </c>
      <c r="EF38" s="7">
        <f>DU38+DV38+DW38+EA38+ED38+CD38</f>
        <v/>
      </c>
      <c r="EG38" s="7">
        <f>DR38+DS38+DT38-EF38</f>
        <v/>
      </c>
      <c r="EH38" s="7">
        <f>EG38/(1+g_inf)^(A38+1-2026)</f>
        <v/>
      </c>
    </row>
    <row r="39">
      <c r="A39" t="n">
        <v>2033</v>
      </c>
      <c r="B39" t="n">
        <v>6</v>
      </c>
      <c r="C39" s="7">
        <f>(1+g_inf)^(A39-2026)</f>
        <v/>
      </c>
      <c r="D39" s="7">
        <f>SUMPRODUCT($Z$5:$Z$29,$E$5:$E$29*(1+$F$5:$F$29)^(A39-2026)*$G$5:$G$29*$H$5:$H$29*(1-$N$5:$N$29*$O$5:$O$29))*g_salMult+SUMPRODUCT(($B$5:$B$29&gt;=A39)*($B$5:$B$29&lt;A39+1)*$I$5:$I$29)*g_salMult</f>
        <v/>
      </c>
      <c r="E39" s="7">
        <f>SUMPRODUCT($Z$5:$Z$29,$E$5:$E$29*(1+$F$5:$F$29)^(A39-2026)*$G$5:$G$29*$H$5:$H$29*$M$5:$M$29)*g_salMult</f>
        <v/>
      </c>
      <c r="F39" s="7">
        <f>SUMPRODUCT($Z$5:$Z$29,$E$5:$E$29*(1+$F$5:$F$29)^(A39-2026)*$G$5:$G$29*$H$5:$H$29*$N$5:$N$29*$O$5:$O$29)*g_salMult</f>
        <v/>
      </c>
      <c r="G39" s="7">
        <f>SUMPRODUCT($Z$5:$Z$29,$P$5:$P$29*(1+$F$5:$F$29)^(A39-2026))</f>
        <v/>
      </c>
      <c r="H39" s="7">
        <f>SUMPRODUCT($Z$5:$Z$29,$Q$5:$Q$29*(1+$F$5:$F$29)^(A39-2026))+IF(personal_llcActivo=1,personal_llcNeto*(1+personal_llcCrecimiento)^6,0)</f>
        <v/>
      </c>
      <c r="I39" s="7">
        <f>SUMPRODUCT($Z$5:$Z$29,$J$5:$J$29/($C$5:$C$29-$B$5:$B$29+($C$5:$C$29=$B$5:$B$29)))*C39</f>
        <v/>
      </c>
      <c r="J39" s="7">
        <f>SUMPRODUCT($Z$5:$Z$29,$K$5:$K$29)</f>
        <v/>
      </c>
      <c r="K39" s="7">
        <f>SUMPRODUCT($Z$5:$Z$29,$L$5:$L$29)</f>
        <v/>
      </c>
      <c r="L39" s="7">
        <f>SUMPRODUCT($Z$5:$Z$29,$N$5:$N$29)</f>
        <v/>
      </c>
      <c r="M39" s="7">
        <f>IF(SUMPRODUCT($Z$5:$Z$29,$R$5:$R$29)&gt;0,1,0)</f>
        <v/>
      </c>
      <c r="N39" s="7">
        <f>SUMPRODUCT(($AO$5:$AO$24&gt;=A39)*($AO$5:$AO$24&lt;A39+1)*$AP$5:$AP$24)*C39+IF(6=0,IF(sel_loc&lt;&gt;"miami",personal_costoMudanzaInicial,0),0)</f>
        <v/>
      </c>
      <c r="O39" s="7">
        <f>MIN(personal_aporte403bPct*D39,retiro_limite403b*C39)</f>
        <v/>
      </c>
      <c r="P39" s="7">
        <f>MIN(personal_aporte403bPct,personal_match403bPct)*E39</f>
        <v/>
      </c>
      <c r="Q39" s="7">
        <f>IF(G39&gt;0,MAX(0,G39-impuestos_scorpCostoAnual*C39),0)</f>
        <v/>
      </c>
      <c r="R39" s="7">
        <f>Q39*impuestos_scorpSalarioPct/(1+impuestos_ssTasa+impuestos_medicareTasa)</f>
        <v/>
      </c>
      <c r="S39" s="7">
        <f>impuestos_ssTasa*MIN(R39,MAX(0,impuestos_ssTope*C39-D39))+impuestos_medicareTasa*R39</f>
        <v/>
      </c>
      <c r="T39" s="7">
        <f>Q39-R39-S39</f>
        <v/>
      </c>
      <c r="U39" s="7">
        <f>D39+R39</f>
        <v/>
      </c>
      <c r="V39" s="7">
        <f>H39*0.9235</f>
        <v/>
      </c>
      <c r="W39" s="7">
        <f>IF(H39&gt;0,2*impuestos_ssTasa*MIN(V39,MAX(0,impuestos_ssTope*C39-U39))+2*impuestos_medicareTasa*V39,0)</f>
        <v/>
      </c>
      <c r="X39" s="7">
        <f>impuestos_ssTasa*MIN(U39,impuestos_ssTope*C39)+impuestos_medicareTasa*U39+impuestos_medicareAdicional*MAX(0,U39+H39*0.9235-impuestos_medicareUmbral)</f>
        <v/>
      </c>
      <c r="Y39" s="7">
        <f>MAX(0,D39-O39+R39+T39+H39-W39/2)</f>
        <v/>
      </c>
      <c r="Z39" s="7">
        <f>MAX(0,Y39-impuestos_deduccionEstandar*C39)</f>
        <v/>
      </c>
      <c r="AA39" s="7">
        <f>MIN(0.2*MAX(0,T39+H39-W39/2)*MAX(0,MIN(1,1-(Z39-impuestos_qbiUmbral*C39)/(impuestos_qbiRango*C39))),0.2*Z39)</f>
        <v/>
      </c>
      <c r="AB39" s="7">
        <f>MAX(0,Z39-AA39)</f>
        <v/>
      </c>
      <c r="AC39" s="7">
        <f>SUMPRODUCT((AB39&gt;tb_federalBrackets_lo*C39)*(AB39-tb_federalBrackets_lo*C39)*tb_federalBrackets_dr)</f>
        <v/>
      </c>
      <c r="AD39" s="7">
        <f>MAX(0,Y39-impuestos_nyDeduccion*C39)</f>
        <v/>
      </c>
      <c r="AE39" s="7">
        <f>CHOOSE(loc_taxcode,0,impuestos_ohTasa*MAX(0,Y39-impuestos_ohExento*C39)+impuestos_ohMunicipal*U39,SUMPRODUCT((AD39&gt;tb_nyBrackets_lo*C39)*(AD39-tb_nyBrackets_lo*C39)*tb_nyBrackets_dr)+loc_nyc*SUMPRODUCT((AD39&gt;tb_nycBrackets_lo*C39)*(AD39-tb_nycBrackets_lo*C39)*tb_nycBrackets_dr))</f>
        <v/>
      </c>
      <c r="AF39" s="7">
        <f>AC39+AE39+X39+W39</f>
        <v/>
      </c>
      <c r="AG39" s="7">
        <f>D39+F39+R39+T39+H39</f>
        <v/>
      </c>
      <c r="AH39" s="7">
        <f>AG39-AF39-O39</f>
        <v/>
      </c>
      <c r="AI39" s="7">
        <f>D39+F39+G39+H39</f>
        <v/>
      </c>
      <c r="AJ39" s="7">
        <f>loc_gastosVida*C39*g_gastos</f>
        <v/>
      </c>
      <c r="AK39" s="7">
        <f>IF(6=0,personal_liquidoInicial,DR38)</f>
        <v/>
      </c>
      <c r="AL39" s="7">
        <f>IF(6=0,0,BB38)</f>
        <v/>
      </c>
      <c r="AM39" s="7">
        <f>CHOOSE(sel_cfgIdx,loc_precio_duplex,loc_precio_inlaw,loc_precio_dosCasas,loc_precio_casaAdu,loc_precio_multi)</f>
        <v/>
      </c>
      <c r="AN39" s="7">
        <f>AM39*(1+g_appr)^(A39-2026)</f>
        <v/>
      </c>
      <c r="AO39" s="7">
        <f>IF(AND(M39=1,vivienda_prestamoMedico=1),1,0)</f>
        <v/>
      </c>
      <c r="AP39" s="7">
        <f>IF(AO39=1,0.05,vivienda_enganchePct)</f>
        <v/>
      </c>
      <c r="AQ39" s="7">
        <f>AN39*(1-AP39)</f>
        <v/>
      </c>
      <c r="AR39" s="7">
        <f>PMT(g_mortRate/12,vivienda_plazoHipoteca*12,-AQ39)</f>
        <v/>
      </c>
      <c r="AS39" s="7">
        <f>INDEX(cfg_units,sel_cfgIdx)</f>
        <v/>
      </c>
      <c r="AT39" s="7">
        <f>AS39*loc_rentaUnidad*(1+g_inf)^(A39-2026)*(1-vivienda_vacancia)</f>
        <v/>
      </c>
      <c r="AU39" s="7">
        <f>AR39+AN39*loc_impuestoPropPct/12+AM39*loc_seguroPct*(1+vivienda_inflacionSeguro)^(A39-2026)/12+IF(AND(AO39=0,AP39&lt;0.2),AQ39*vivienda_pmiTasa/12,0)</f>
        <v/>
      </c>
      <c r="AV39" s="7">
        <f>AN39*AP39+AN39*vivienda_cierrePct+general_reservaMeses/12*AJ39</f>
        <v/>
      </c>
      <c r="AW39" s="7">
        <f>(IF(6=0,MIN(personal_irsSaldo,personal_irsPagoMensual*12),MIN(CD38,personal_irsPagoMensual*12))+IF(CE39&gt;0,PMT(CF39,MAX(1,prestamos_plazoAnios-CG39),-CE39),0)+IF(CR39&gt;0,PMT(CS39,MAX(1,prestamos_plazoAnios-CT39),-CR39),0))/12</f>
        <v/>
      </c>
      <c r="AX39" s="7">
        <f>IF(OR(sel_cfg="duplex",sel_cfg="multi",sel_cfg="dosCasas"),0.75*personal_aporteFamiliaMensual,0)</f>
        <v/>
      </c>
      <c r="AY39" s="7">
        <f>AU39-0.75*AT39-AX39+AW39</f>
        <v/>
      </c>
      <c r="AZ39" s="7">
        <f>(D39+G39+H39+0.5*F39)/12</f>
        <v/>
      </c>
      <c r="BA39" s="7">
        <f>IF(AND(AL39=0,A39&gt;=vivienda_anioMinCompra,J39&lt;0.5,AI39&gt;0,AK39&gt;=AV39,AY39&lt;=vivienda_dtiMax*AZ39),1,0)</f>
        <v/>
      </c>
      <c r="BB39" s="7">
        <f>MAX(AL39,BA39)</f>
        <v/>
      </c>
      <c r="BC39" s="7">
        <f>IF(BA39=1,A39,IF(6=0,"",BC38))</f>
        <v/>
      </c>
      <c r="BD39" s="7">
        <f>AK39-IF(BA39=1,AN39*AP39+AN39*vivienda_cierrePct,0)</f>
        <v/>
      </c>
      <c r="BE39" s="7">
        <f>IF(BA39=1,AN39,IF(6=0,0,BE38))</f>
        <v/>
      </c>
      <c r="BF39" s="7">
        <f>IF(BA39=1,AR39,IF(6=0,0,BF38))</f>
        <v/>
      </c>
      <c r="BG39" s="7">
        <f>IF(BA39=1,IF(AND(AO39=0,AP39&lt;0.2),1,0),IF(6=0,0,BY38))</f>
        <v/>
      </c>
      <c r="BH39" s="7">
        <f>IF(sel_cfg="casaAdu",1,0)</f>
        <v/>
      </c>
      <c r="BI39" s="7">
        <f>IF(AND(BB39=1,BH39=1,IF(6=0,0,BJ38)=0,A39&gt;=IF(BC39="",9999,BC39)+vivienda_aduRetrasoAnios),1,0)</f>
        <v/>
      </c>
      <c r="BJ39" s="7">
        <f>MAX(IF(6=0,0,BJ38),BI39)</f>
        <v/>
      </c>
      <c r="BK39" s="7">
        <f>IF(BI39=1,PMT((g_mortRate+0.005)/12,180,-loc_precio_aduCosto*C39),IF(6=0,0,BK38))</f>
        <v/>
      </c>
      <c r="BL39" s="7">
        <f>IF(BA39=1,AN39,IF(6=0,0,DT38))+IF(BI39=1,loc_precio_aduCosto*C39,0)</f>
        <v/>
      </c>
      <c r="BM39" s="7">
        <f>IF(BA39=1,AQ39,IF(6=0,0,DU38))</f>
        <v/>
      </c>
      <c r="BN39" s="7">
        <f>IF(BM39&lt;=0,0,FV(g_mortRate/12,12,BF39,-BM39))</f>
        <v/>
      </c>
      <c r="BO39" s="7">
        <f>IF(BM39&lt;=0,0,12*BF39+MIN(0,BN39))</f>
        <v/>
      </c>
      <c r="BP39" s="7">
        <f>MAX(0,BN39)</f>
        <v/>
      </c>
      <c r="BQ39" s="7">
        <f>IF(BI39=1,loc_precio_aduCosto*C39,IF(6=0,0,DV38))</f>
        <v/>
      </c>
      <c r="BR39" s="7">
        <f>IF(BQ39&lt;=0,0,FV((g_mortRate+0.005)/12,12,BK39,-BQ39))</f>
        <v/>
      </c>
      <c r="BS39" s="7">
        <f>IF(BQ39&lt;=0,0,12*BK39+MIN(0,BR39))</f>
        <v/>
      </c>
      <c r="BT39" s="7">
        <f>MAX(0,BR39)</f>
        <v/>
      </c>
      <c r="BU39" s="7">
        <f>IF(BB39=1,AM39*loc_seguroPct*(1+vivienda_inflacionSeguro)^(A39-2026)*IF(BJ39=1,1+loc_precio_aduCosto/AM39,1),0)</f>
        <v/>
      </c>
      <c r="BV39" s="7">
        <f>BL39*loc_impuestoPropPct</f>
        <v/>
      </c>
      <c r="BW39" s="7">
        <f>BL39*vivienda_mantenimientoPct</f>
        <v/>
      </c>
      <c r="BX39" s="7">
        <f>IF(AND(BG39=1,BP39&gt;0.8*BE39),BE39*(1-vivienda_enganchePct)*vivienda_pmiTasa,0)</f>
        <v/>
      </c>
      <c r="BY39" s="7">
        <f>IF(AND(BG39=1,BP39&gt;0.8*BE39),1,0)</f>
        <v/>
      </c>
      <c r="BZ39" s="7">
        <f>IF(BB39=1,AS39*loc_rentaUnidad*12*C39*(1-vivienda_vacancia)*(1-vivienda_gestionPct),0)</f>
        <v/>
      </c>
      <c r="CA39" s="7">
        <f>IF(BB39=1,BO39+BS39+BU39+BV39+BW39+BX39,loc_rentaMensual*12*C39)</f>
        <v/>
      </c>
      <c r="CB39" s="7">
        <f>IF(BB39=1,personal_aporteFamiliaMensual*12,0)</f>
        <v/>
      </c>
      <c r="CC39" s="7">
        <f>MIN(IF(6=0,personal_irsSaldo,CD38),personal_irsPagoMensual*12)</f>
        <v/>
      </c>
      <c r="CD39" s="7">
        <f>IF(6=0,personal_irsSaldo,CD38)-CC39</f>
        <v/>
      </c>
      <c r="CE39" s="7">
        <f>IF(6=0,IF(personal_deudaEsFederal=1,personal_deudaEstudiantil,0),DW38)</f>
        <v/>
      </c>
      <c r="CF39" s="7">
        <f>IF(6=0,personal_tasaDeudaEstudiantil,DX38)</f>
        <v/>
      </c>
      <c r="CG39" s="7">
        <f>IF(6=0,0,DY38)</f>
        <v/>
      </c>
      <c r="CH39" s="7">
        <f>IF(J39&gt;=0.5,1,0)</f>
        <v/>
      </c>
      <c r="CI39" s="7">
        <f>IF(AND(CH39=0,prestamos_pslfActivo=1,K39&gt;=0.5,CE39&gt;0),1,0)</f>
        <v/>
      </c>
      <c r="CJ39" s="7">
        <f>CE39*CF39</f>
        <v/>
      </c>
      <c r="CK39" s="7">
        <f>MAX(prestamos_rapPagoMinimoAnual,IF(Y39&lt;10000,0,MIN(0.1,INT(Y39/10000)/100))*Y39)</f>
        <v/>
      </c>
      <c r="CL39" s="7">
        <f>IF(CE39&lt;=0,0,IF(CH39=1,0,IF(CI39=1,MIN(CE39+CJ39,CK39),PMT(CF39,MAX(1,prestamos_plazoAnios-CG39),-CE39))))</f>
        <v/>
      </c>
      <c r="CM39" s="7">
        <f>IF(CE39&lt;=0,0,IF(CH39=1,CE39+CJ39,IF(CI39=1,MAX(0,CE39-MAX(CL39-CJ39,MIN(600,CL39))),MAX(0,CE39*(1+CF39)-CL39))))</f>
        <v/>
      </c>
      <c r="CN39" s="7">
        <f>IF(6=0,0,CN38)+IF(CI39=1,12*MIN(1,K39),0)</f>
        <v/>
      </c>
      <c r="CO39" s="7">
        <f>IF(AND(CI39=1,CN39&gt;=prestamos_pslfPagos,CM39&gt;0),CM39,0)</f>
        <v/>
      </c>
      <c r="CP39" s="7">
        <f>CM39-CO39</f>
        <v/>
      </c>
      <c r="CQ39" s="7">
        <f>IF(AND(CE39&gt;0,CH39=0,CI39=0),CG39+1,CG39)</f>
        <v/>
      </c>
      <c r="CR39" s="7">
        <f>IF(6=0,IF(personal_deudaEsFederal=1,0,personal_deudaEstudiantil),EA38)</f>
        <v/>
      </c>
      <c r="CS39" s="7">
        <f>IF(6=0,IF(personal_deudaEsFederal=1,prestamos_tasaPrivada,personal_tasaDeudaEstudiantil),EB38)</f>
        <v/>
      </c>
      <c r="CT39" s="7">
        <f>IF(6=0,0,EC38)</f>
        <v/>
      </c>
      <c r="CU39" s="7">
        <f>IF(OR(CR39&lt;=0,CH39=1),0,PMT(CS39,MAX(1,prestamos_plazoAnios-CT39),-CR39))</f>
        <v/>
      </c>
      <c r="CV39" s="7">
        <f>IF(CR39&lt;=0,0,IF(CH39=1,CR39*(1+CS39),MAX(0,CR39*(1+CS39)-CU39)))</f>
        <v/>
      </c>
      <c r="CW39" s="7">
        <f>IF(AND(CR39&gt;0,CH39=0),CT39+1,CT39)</f>
        <v/>
      </c>
      <c r="CX39" s="7">
        <f>IF(6=0,0,ED38)*(1+general_tasaDeudaConsumo)</f>
        <v/>
      </c>
      <c r="CY39" s="7">
        <f>L39*12*tiempos_travelGastoExtraMes*C39</f>
        <v/>
      </c>
      <c r="CZ39" s="7">
        <f>AJ39+CY39+CA39+CC39+CL39+CU39+I39+N39-BZ39-CB39</f>
        <v/>
      </c>
      <c r="DA39" s="7">
        <f>AH39-CZ39</f>
        <v/>
      </c>
      <c r="DB39" s="7">
        <f>IF(6=0,0,DB38)+DA39</f>
        <v/>
      </c>
      <c r="DC39" s="7">
        <f>AN39*vivienda_enganchePct+AN39*vivienda_cierrePct+general_reservaMeses/12*AJ39</f>
        <v/>
      </c>
      <c r="DD39" s="7">
        <f>IF(BB39=1,g_ret,IF(BD39&gt;0,MIN(1,DC39/BD39),1)*g_cash+(1-IF(BD39&gt;0,MIN(1,DC39/BD39),1))*g_ret)</f>
        <v/>
      </c>
      <c r="DE39" s="7">
        <f>IF(DA39&gt;=0,MIN(CX39,DA39),0)</f>
        <v/>
      </c>
      <c r="DF39" s="7">
        <f>IF(DA39&gt;=0,(1-general_tasaAhorro)*(DA39-DE39),0)</f>
        <v/>
      </c>
      <c r="DG39" s="7">
        <f>IF(DA39&gt;=0,DA39-DE39-DF39,0)</f>
        <v/>
      </c>
      <c r="DH39" s="7">
        <f>MIN(personal_rothAnual,DG39)</f>
        <v/>
      </c>
      <c r="DI39" s="7">
        <f>IF(AND(DA39&gt;=0,BB39=1,BP39+BT39&gt;0),MIN(vivienda_prepagoPct*(DG39-DH39),BP39+BT39),0)</f>
        <v/>
      </c>
      <c r="DJ39" s="7">
        <f>MIN(DI39,BP39)</f>
        <v/>
      </c>
      <c r="DK39" s="7">
        <f>IF(DA39&lt;0,MIN(MAX(0,BD39),-DA39),0)</f>
        <v/>
      </c>
      <c r="DL39" s="7">
        <f>IF(DA39&lt;0,-DA39-DK39,0)</f>
        <v/>
      </c>
      <c r="DM39" s="7">
        <f>IF(6=0,0,DZ38)</f>
        <v/>
      </c>
      <c r="DN39" s="7">
        <f>IF(AND(DL39&gt;0,J39&gt;0),MIN(DL39,MIN(prestamos_topeAnualPosgrado*MIN(1,J39),MAX(0,prestamos_topeTotalPosgrado-DM39))),0)</f>
        <v/>
      </c>
      <c r="DO39" s="7">
        <f>IF(AND(DL39&gt;0,J39&gt;0),DL39-DN39,0)</f>
        <v/>
      </c>
      <c r="DP39" s="7">
        <f>IF(AND(DL39&gt;0,J39&lt;=0),DL39,0)</f>
        <v/>
      </c>
      <c r="DQ39" s="7">
        <f>IF(DA39&gt;=0,DG39-DH39-DI39,-DK39)</f>
        <v/>
      </c>
      <c r="DR39" s="7">
        <f>BD39*(1+DD39)+DQ39*(1+DD39/2)</f>
        <v/>
      </c>
      <c r="DS39" s="7">
        <f>IF(6=0,personal_retiroInicial,DS38)*(1+g_ret)+(O39+P39+DH39)*(1+g_ret/2)</f>
        <v/>
      </c>
      <c r="DT39" s="7">
        <f>IF(BB39=1,BL39*(1+g_appr),0)</f>
        <v/>
      </c>
      <c r="DU39" s="7">
        <f>BP39-DJ39</f>
        <v/>
      </c>
      <c r="DV39" s="7">
        <f>BT39-(DI39-DJ39)</f>
        <v/>
      </c>
      <c r="DW39" s="7">
        <f>CP39+DN39</f>
        <v/>
      </c>
      <c r="DX39" s="7">
        <f>IF(DN39&gt;0,(CP39*CF39+DN39*prestamos_tasaFederalPosgrado)/(CP39+DN39),CF39)</f>
        <v/>
      </c>
      <c r="DY39" s="7">
        <f>IF(DN39&gt;0,0,CQ39)</f>
        <v/>
      </c>
      <c r="DZ39" s="7">
        <f>DM39+DN39</f>
        <v/>
      </c>
      <c r="EA39" s="7">
        <f>CV39+DO39</f>
        <v/>
      </c>
      <c r="EB39" s="7">
        <f>IF(DO39&gt;0,(CV39*CS39+DO39*prestamos_tasaPrivada)/(CV39+DO39),CS39)</f>
        <v/>
      </c>
      <c r="EC39" s="7">
        <f>IF(DO39&gt;0,0,CW39)</f>
        <v/>
      </c>
      <c r="ED39" s="7">
        <f>CX39-DE39+DP39</f>
        <v/>
      </c>
      <c r="EE39" s="7">
        <f>IF(IF(6=0,"",EE38)&lt;&gt;"",EE38,IF(AND(BB39=1,DU39&lt;=0.5,DV39&lt;=0.5,OR(BH39=0,BJ39=1)),A39,""))</f>
        <v/>
      </c>
      <c r="EF39" s="7">
        <f>DU39+DV39+DW39+EA39+ED39+CD39</f>
        <v/>
      </c>
      <c r="EG39" s="7">
        <f>DR39+DS39+DT39-EF39</f>
        <v/>
      </c>
      <c r="EH39" s="7">
        <f>EG39/(1+g_inf)^(A39+1-2026)</f>
        <v/>
      </c>
    </row>
    <row r="40">
      <c r="A40" t="n">
        <v>2034</v>
      </c>
      <c r="B40" t="n">
        <v>7</v>
      </c>
      <c r="C40" s="7">
        <f>(1+g_inf)^(A40-2026)</f>
        <v/>
      </c>
      <c r="D40" s="7">
        <f>SUMPRODUCT($AA$5:$AA$29,$E$5:$E$29*(1+$F$5:$F$29)^(A40-2026)*$G$5:$G$29*$H$5:$H$29*(1-$N$5:$N$29*$O$5:$O$29))*g_salMult+SUMPRODUCT(($B$5:$B$29&gt;=A40)*($B$5:$B$29&lt;A40+1)*$I$5:$I$29)*g_salMult</f>
        <v/>
      </c>
      <c r="E40" s="7">
        <f>SUMPRODUCT($AA$5:$AA$29,$E$5:$E$29*(1+$F$5:$F$29)^(A40-2026)*$G$5:$G$29*$H$5:$H$29*$M$5:$M$29)*g_salMult</f>
        <v/>
      </c>
      <c r="F40" s="7">
        <f>SUMPRODUCT($AA$5:$AA$29,$E$5:$E$29*(1+$F$5:$F$29)^(A40-2026)*$G$5:$G$29*$H$5:$H$29*$N$5:$N$29*$O$5:$O$29)*g_salMult</f>
        <v/>
      </c>
      <c r="G40" s="7">
        <f>SUMPRODUCT($AA$5:$AA$29,$P$5:$P$29*(1+$F$5:$F$29)^(A40-2026))</f>
        <v/>
      </c>
      <c r="H40" s="7">
        <f>SUMPRODUCT($AA$5:$AA$29,$Q$5:$Q$29*(1+$F$5:$F$29)^(A40-2026))+IF(personal_llcActivo=1,personal_llcNeto*(1+personal_llcCrecimiento)^7,0)</f>
        <v/>
      </c>
      <c r="I40" s="7">
        <f>SUMPRODUCT($AA$5:$AA$29,$J$5:$J$29/($C$5:$C$29-$B$5:$B$29+($C$5:$C$29=$B$5:$B$29)))*C40</f>
        <v/>
      </c>
      <c r="J40" s="7">
        <f>SUMPRODUCT($AA$5:$AA$29,$K$5:$K$29)</f>
        <v/>
      </c>
      <c r="K40" s="7">
        <f>SUMPRODUCT($AA$5:$AA$29,$L$5:$L$29)</f>
        <v/>
      </c>
      <c r="L40" s="7">
        <f>SUMPRODUCT($AA$5:$AA$29,$N$5:$N$29)</f>
        <v/>
      </c>
      <c r="M40" s="7">
        <f>IF(SUMPRODUCT($AA$5:$AA$29,$R$5:$R$29)&gt;0,1,0)</f>
        <v/>
      </c>
      <c r="N40" s="7">
        <f>SUMPRODUCT(($AO$5:$AO$24&gt;=A40)*($AO$5:$AO$24&lt;A40+1)*$AP$5:$AP$24)*C40+IF(7=0,IF(sel_loc&lt;&gt;"miami",personal_costoMudanzaInicial,0),0)</f>
        <v/>
      </c>
      <c r="O40" s="7">
        <f>MIN(personal_aporte403bPct*D40,retiro_limite403b*C40)</f>
        <v/>
      </c>
      <c r="P40" s="7">
        <f>MIN(personal_aporte403bPct,personal_match403bPct)*E40</f>
        <v/>
      </c>
      <c r="Q40" s="7">
        <f>IF(G40&gt;0,MAX(0,G40-impuestos_scorpCostoAnual*C40),0)</f>
        <v/>
      </c>
      <c r="R40" s="7">
        <f>Q40*impuestos_scorpSalarioPct/(1+impuestos_ssTasa+impuestos_medicareTasa)</f>
        <v/>
      </c>
      <c r="S40" s="7">
        <f>impuestos_ssTasa*MIN(R40,MAX(0,impuestos_ssTope*C40-D40))+impuestos_medicareTasa*R40</f>
        <v/>
      </c>
      <c r="T40" s="7">
        <f>Q40-R40-S40</f>
        <v/>
      </c>
      <c r="U40" s="7">
        <f>D40+R40</f>
        <v/>
      </c>
      <c r="V40" s="7">
        <f>H40*0.9235</f>
        <v/>
      </c>
      <c r="W40" s="7">
        <f>IF(H40&gt;0,2*impuestos_ssTasa*MIN(V40,MAX(0,impuestos_ssTope*C40-U40))+2*impuestos_medicareTasa*V40,0)</f>
        <v/>
      </c>
      <c r="X40" s="7">
        <f>impuestos_ssTasa*MIN(U40,impuestos_ssTope*C40)+impuestos_medicareTasa*U40+impuestos_medicareAdicional*MAX(0,U40+H40*0.9235-impuestos_medicareUmbral)</f>
        <v/>
      </c>
      <c r="Y40" s="7">
        <f>MAX(0,D40-O40+R40+T40+H40-W40/2)</f>
        <v/>
      </c>
      <c r="Z40" s="7">
        <f>MAX(0,Y40-impuestos_deduccionEstandar*C40)</f>
        <v/>
      </c>
      <c r="AA40" s="7">
        <f>MIN(0.2*MAX(0,T40+H40-W40/2)*MAX(0,MIN(1,1-(Z40-impuestos_qbiUmbral*C40)/(impuestos_qbiRango*C40))),0.2*Z40)</f>
        <v/>
      </c>
      <c r="AB40" s="7">
        <f>MAX(0,Z40-AA40)</f>
        <v/>
      </c>
      <c r="AC40" s="7">
        <f>SUMPRODUCT((AB40&gt;tb_federalBrackets_lo*C40)*(AB40-tb_federalBrackets_lo*C40)*tb_federalBrackets_dr)</f>
        <v/>
      </c>
      <c r="AD40" s="7">
        <f>MAX(0,Y40-impuestos_nyDeduccion*C40)</f>
        <v/>
      </c>
      <c r="AE40" s="7">
        <f>CHOOSE(loc_taxcode,0,impuestos_ohTasa*MAX(0,Y40-impuestos_ohExento*C40)+impuestos_ohMunicipal*U40,SUMPRODUCT((AD40&gt;tb_nyBrackets_lo*C40)*(AD40-tb_nyBrackets_lo*C40)*tb_nyBrackets_dr)+loc_nyc*SUMPRODUCT((AD40&gt;tb_nycBrackets_lo*C40)*(AD40-tb_nycBrackets_lo*C40)*tb_nycBrackets_dr))</f>
        <v/>
      </c>
      <c r="AF40" s="7">
        <f>AC40+AE40+X40+W40</f>
        <v/>
      </c>
      <c r="AG40" s="7">
        <f>D40+F40+R40+T40+H40</f>
        <v/>
      </c>
      <c r="AH40" s="7">
        <f>AG40-AF40-O40</f>
        <v/>
      </c>
      <c r="AI40" s="7">
        <f>D40+F40+G40+H40</f>
        <v/>
      </c>
      <c r="AJ40" s="7">
        <f>loc_gastosVida*C40*g_gastos</f>
        <v/>
      </c>
      <c r="AK40" s="7">
        <f>IF(7=0,personal_liquidoInicial,DR39)</f>
        <v/>
      </c>
      <c r="AL40" s="7">
        <f>IF(7=0,0,BB39)</f>
        <v/>
      </c>
      <c r="AM40" s="7">
        <f>CHOOSE(sel_cfgIdx,loc_precio_duplex,loc_precio_inlaw,loc_precio_dosCasas,loc_precio_casaAdu,loc_precio_multi)</f>
        <v/>
      </c>
      <c r="AN40" s="7">
        <f>AM40*(1+g_appr)^(A40-2026)</f>
        <v/>
      </c>
      <c r="AO40" s="7">
        <f>IF(AND(M40=1,vivienda_prestamoMedico=1),1,0)</f>
        <v/>
      </c>
      <c r="AP40" s="7">
        <f>IF(AO40=1,0.05,vivienda_enganchePct)</f>
        <v/>
      </c>
      <c r="AQ40" s="7">
        <f>AN40*(1-AP40)</f>
        <v/>
      </c>
      <c r="AR40" s="7">
        <f>PMT(g_mortRate/12,vivienda_plazoHipoteca*12,-AQ40)</f>
        <v/>
      </c>
      <c r="AS40" s="7">
        <f>INDEX(cfg_units,sel_cfgIdx)</f>
        <v/>
      </c>
      <c r="AT40" s="7">
        <f>AS40*loc_rentaUnidad*(1+g_inf)^(A40-2026)*(1-vivienda_vacancia)</f>
        <v/>
      </c>
      <c r="AU40" s="7">
        <f>AR40+AN40*loc_impuestoPropPct/12+AM40*loc_seguroPct*(1+vivienda_inflacionSeguro)^(A40-2026)/12+IF(AND(AO40=0,AP40&lt;0.2),AQ40*vivienda_pmiTasa/12,0)</f>
        <v/>
      </c>
      <c r="AV40" s="7">
        <f>AN40*AP40+AN40*vivienda_cierrePct+general_reservaMeses/12*AJ40</f>
        <v/>
      </c>
      <c r="AW40" s="7">
        <f>(IF(7=0,MIN(personal_irsSaldo,personal_irsPagoMensual*12),MIN(CD39,personal_irsPagoMensual*12))+IF(CE40&gt;0,PMT(CF40,MAX(1,prestamos_plazoAnios-CG40),-CE40),0)+IF(CR40&gt;0,PMT(CS40,MAX(1,prestamos_plazoAnios-CT40),-CR40),0))/12</f>
        <v/>
      </c>
      <c r="AX40" s="7">
        <f>IF(OR(sel_cfg="duplex",sel_cfg="multi",sel_cfg="dosCasas"),0.75*personal_aporteFamiliaMensual,0)</f>
        <v/>
      </c>
      <c r="AY40" s="7">
        <f>AU40-0.75*AT40-AX40+AW40</f>
        <v/>
      </c>
      <c r="AZ40" s="7">
        <f>(D40+G40+H40+0.5*F40)/12</f>
        <v/>
      </c>
      <c r="BA40" s="7">
        <f>IF(AND(AL40=0,A40&gt;=vivienda_anioMinCompra,J40&lt;0.5,AI40&gt;0,AK40&gt;=AV40,AY40&lt;=vivienda_dtiMax*AZ40),1,0)</f>
        <v/>
      </c>
      <c r="BB40" s="7">
        <f>MAX(AL40,BA40)</f>
        <v/>
      </c>
      <c r="BC40" s="7">
        <f>IF(BA40=1,A40,IF(7=0,"",BC39))</f>
        <v/>
      </c>
      <c r="BD40" s="7">
        <f>AK40-IF(BA40=1,AN40*AP40+AN40*vivienda_cierrePct,0)</f>
        <v/>
      </c>
      <c r="BE40" s="7">
        <f>IF(BA40=1,AN40,IF(7=0,0,BE39))</f>
        <v/>
      </c>
      <c r="BF40" s="7">
        <f>IF(BA40=1,AR40,IF(7=0,0,BF39))</f>
        <v/>
      </c>
      <c r="BG40" s="7">
        <f>IF(BA40=1,IF(AND(AO40=0,AP40&lt;0.2),1,0),IF(7=0,0,BY39))</f>
        <v/>
      </c>
      <c r="BH40" s="7">
        <f>IF(sel_cfg="casaAdu",1,0)</f>
        <v/>
      </c>
      <c r="BI40" s="7">
        <f>IF(AND(BB40=1,BH40=1,IF(7=0,0,BJ39)=0,A40&gt;=IF(BC40="",9999,BC40)+vivienda_aduRetrasoAnios),1,0)</f>
        <v/>
      </c>
      <c r="BJ40" s="7">
        <f>MAX(IF(7=0,0,BJ39),BI40)</f>
        <v/>
      </c>
      <c r="BK40" s="7">
        <f>IF(BI40=1,PMT((g_mortRate+0.005)/12,180,-loc_precio_aduCosto*C40),IF(7=0,0,BK39))</f>
        <v/>
      </c>
      <c r="BL40" s="7">
        <f>IF(BA40=1,AN40,IF(7=0,0,DT39))+IF(BI40=1,loc_precio_aduCosto*C40,0)</f>
        <v/>
      </c>
      <c r="BM40" s="7">
        <f>IF(BA40=1,AQ40,IF(7=0,0,DU39))</f>
        <v/>
      </c>
      <c r="BN40" s="7">
        <f>IF(BM40&lt;=0,0,FV(g_mortRate/12,12,BF40,-BM40))</f>
        <v/>
      </c>
      <c r="BO40" s="7">
        <f>IF(BM40&lt;=0,0,12*BF40+MIN(0,BN40))</f>
        <v/>
      </c>
      <c r="BP40" s="7">
        <f>MAX(0,BN40)</f>
        <v/>
      </c>
      <c r="BQ40" s="7">
        <f>IF(BI40=1,loc_precio_aduCosto*C40,IF(7=0,0,DV39))</f>
        <v/>
      </c>
      <c r="BR40" s="7">
        <f>IF(BQ40&lt;=0,0,FV((g_mortRate+0.005)/12,12,BK40,-BQ40))</f>
        <v/>
      </c>
      <c r="BS40" s="7">
        <f>IF(BQ40&lt;=0,0,12*BK40+MIN(0,BR40))</f>
        <v/>
      </c>
      <c r="BT40" s="7">
        <f>MAX(0,BR40)</f>
        <v/>
      </c>
      <c r="BU40" s="7">
        <f>IF(BB40=1,AM40*loc_seguroPct*(1+vivienda_inflacionSeguro)^(A40-2026)*IF(BJ40=1,1+loc_precio_aduCosto/AM40,1),0)</f>
        <v/>
      </c>
      <c r="BV40" s="7">
        <f>BL40*loc_impuestoPropPct</f>
        <v/>
      </c>
      <c r="BW40" s="7">
        <f>BL40*vivienda_mantenimientoPct</f>
        <v/>
      </c>
      <c r="BX40" s="7">
        <f>IF(AND(BG40=1,BP40&gt;0.8*BE40),BE40*(1-vivienda_enganchePct)*vivienda_pmiTasa,0)</f>
        <v/>
      </c>
      <c r="BY40" s="7">
        <f>IF(AND(BG40=1,BP40&gt;0.8*BE40),1,0)</f>
        <v/>
      </c>
      <c r="BZ40" s="7">
        <f>IF(BB40=1,AS40*loc_rentaUnidad*12*C40*(1-vivienda_vacancia)*(1-vivienda_gestionPct),0)</f>
        <v/>
      </c>
      <c r="CA40" s="7">
        <f>IF(BB40=1,BO40+BS40+BU40+BV40+BW40+BX40,loc_rentaMensual*12*C40)</f>
        <v/>
      </c>
      <c r="CB40" s="7">
        <f>IF(BB40=1,personal_aporteFamiliaMensual*12,0)</f>
        <v/>
      </c>
      <c r="CC40" s="7">
        <f>MIN(IF(7=0,personal_irsSaldo,CD39),personal_irsPagoMensual*12)</f>
        <v/>
      </c>
      <c r="CD40" s="7">
        <f>IF(7=0,personal_irsSaldo,CD39)-CC40</f>
        <v/>
      </c>
      <c r="CE40" s="7">
        <f>IF(7=0,IF(personal_deudaEsFederal=1,personal_deudaEstudiantil,0),DW39)</f>
        <v/>
      </c>
      <c r="CF40" s="7">
        <f>IF(7=0,personal_tasaDeudaEstudiantil,DX39)</f>
        <v/>
      </c>
      <c r="CG40" s="7">
        <f>IF(7=0,0,DY39)</f>
        <v/>
      </c>
      <c r="CH40" s="7">
        <f>IF(J40&gt;=0.5,1,0)</f>
        <v/>
      </c>
      <c r="CI40" s="7">
        <f>IF(AND(CH40=0,prestamos_pslfActivo=1,K40&gt;=0.5,CE40&gt;0),1,0)</f>
        <v/>
      </c>
      <c r="CJ40" s="7">
        <f>CE40*CF40</f>
        <v/>
      </c>
      <c r="CK40" s="7">
        <f>MAX(prestamos_rapPagoMinimoAnual,IF(Y40&lt;10000,0,MIN(0.1,INT(Y40/10000)/100))*Y40)</f>
        <v/>
      </c>
      <c r="CL40" s="7">
        <f>IF(CE40&lt;=0,0,IF(CH40=1,0,IF(CI40=1,MIN(CE40+CJ40,CK40),PMT(CF40,MAX(1,prestamos_plazoAnios-CG40),-CE40))))</f>
        <v/>
      </c>
      <c r="CM40" s="7">
        <f>IF(CE40&lt;=0,0,IF(CH40=1,CE40+CJ40,IF(CI40=1,MAX(0,CE40-MAX(CL40-CJ40,MIN(600,CL40))),MAX(0,CE40*(1+CF40)-CL40))))</f>
        <v/>
      </c>
      <c r="CN40" s="7">
        <f>IF(7=0,0,CN39)+IF(CI40=1,12*MIN(1,K40),0)</f>
        <v/>
      </c>
      <c r="CO40" s="7">
        <f>IF(AND(CI40=1,CN40&gt;=prestamos_pslfPagos,CM40&gt;0),CM40,0)</f>
        <v/>
      </c>
      <c r="CP40" s="7">
        <f>CM40-CO40</f>
        <v/>
      </c>
      <c r="CQ40" s="7">
        <f>IF(AND(CE40&gt;0,CH40=0,CI40=0),CG40+1,CG40)</f>
        <v/>
      </c>
      <c r="CR40" s="7">
        <f>IF(7=0,IF(personal_deudaEsFederal=1,0,personal_deudaEstudiantil),EA39)</f>
        <v/>
      </c>
      <c r="CS40" s="7">
        <f>IF(7=0,IF(personal_deudaEsFederal=1,prestamos_tasaPrivada,personal_tasaDeudaEstudiantil),EB39)</f>
        <v/>
      </c>
      <c r="CT40" s="7">
        <f>IF(7=0,0,EC39)</f>
        <v/>
      </c>
      <c r="CU40" s="7">
        <f>IF(OR(CR40&lt;=0,CH40=1),0,PMT(CS40,MAX(1,prestamos_plazoAnios-CT40),-CR40))</f>
        <v/>
      </c>
      <c r="CV40" s="7">
        <f>IF(CR40&lt;=0,0,IF(CH40=1,CR40*(1+CS40),MAX(0,CR40*(1+CS40)-CU40)))</f>
        <v/>
      </c>
      <c r="CW40" s="7">
        <f>IF(AND(CR40&gt;0,CH40=0),CT40+1,CT40)</f>
        <v/>
      </c>
      <c r="CX40" s="7">
        <f>IF(7=0,0,ED39)*(1+general_tasaDeudaConsumo)</f>
        <v/>
      </c>
      <c r="CY40" s="7">
        <f>L40*12*tiempos_travelGastoExtraMes*C40</f>
        <v/>
      </c>
      <c r="CZ40" s="7">
        <f>AJ40+CY40+CA40+CC40+CL40+CU40+I40+N40-BZ40-CB40</f>
        <v/>
      </c>
      <c r="DA40" s="7">
        <f>AH40-CZ40</f>
        <v/>
      </c>
      <c r="DB40" s="7">
        <f>IF(7=0,0,DB39)+DA40</f>
        <v/>
      </c>
      <c r="DC40" s="7">
        <f>AN40*vivienda_enganchePct+AN40*vivienda_cierrePct+general_reservaMeses/12*AJ40</f>
        <v/>
      </c>
      <c r="DD40" s="7">
        <f>IF(BB40=1,g_ret,IF(BD40&gt;0,MIN(1,DC40/BD40),1)*g_cash+(1-IF(BD40&gt;0,MIN(1,DC40/BD40),1))*g_ret)</f>
        <v/>
      </c>
      <c r="DE40" s="7">
        <f>IF(DA40&gt;=0,MIN(CX40,DA40),0)</f>
        <v/>
      </c>
      <c r="DF40" s="7">
        <f>IF(DA40&gt;=0,(1-general_tasaAhorro)*(DA40-DE40),0)</f>
        <v/>
      </c>
      <c r="DG40" s="7">
        <f>IF(DA40&gt;=0,DA40-DE40-DF40,0)</f>
        <v/>
      </c>
      <c r="DH40" s="7">
        <f>MIN(personal_rothAnual,DG40)</f>
        <v/>
      </c>
      <c r="DI40" s="7">
        <f>IF(AND(DA40&gt;=0,BB40=1,BP40+BT40&gt;0),MIN(vivienda_prepagoPct*(DG40-DH40),BP40+BT40),0)</f>
        <v/>
      </c>
      <c r="DJ40" s="7">
        <f>MIN(DI40,BP40)</f>
        <v/>
      </c>
      <c r="DK40" s="7">
        <f>IF(DA40&lt;0,MIN(MAX(0,BD40),-DA40),0)</f>
        <v/>
      </c>
      <c r="DL40" s="7">
        <f>IF(DA40&lt;0,-DA40-DK40,0)</f>
        <v/>
      </c>
      <c r="DM40" s="7">
        <f>IF(7=0,0,DZ39)</f>
        <v/>
      </c>
      <c r="DN40" s="7">
        <f>IF(AND(DL40&gt;0,J40&gt;0),MIN(DL40,MIN(prestamos_topeAnualPosgrado*MIN(1,J40),MAX(0,prestamos_topeTotalPosgrado-DM40))),0)</f>
        <v/>
      </c>
      <c r="DO40" s="7">
        <f>IF(AND(DL40&gt;0,J40&gt;0),DL40-DN40,0)</f>
        <v/>
      </c>
      <c r="DP40" s="7">
        <f>IF(AND(DL40&gt;0,J40&lt;=0),DL40,0)</f>
        <v/>
      </c>
      <c r="DQ40" s="7">
        <f>IF(DA40&gt;=0,DG40-DH40-DI40,-DK40)</f>
        <v/>
      </c>
      <c r="DR40" s="7">
        <f>BD40*(1+DD40)+DQ40*(1+DD40/2)</f>
        <v/>
      </c>
      <c r="DS40" s="7">
        <f>IF(7=0,personal_retiroInicial,DS39)*(1+g_ret)+(O40+P40+DH40)*(1+g_ret/2)</f>
        <v/>
      </c>
      <c r="DT40" s="7">
        <f>IF(BB40=1,BL40*(1+g_appr),0)</f>
        <v/>
      </c>
      <c r="DU40" s="7">
        <f>BP40-DJ40</f>
        <v/>
      </c>
      <c r="DV40" s="7">
        <f>BT40-(DI40-DJ40)</f>
        <v/>
      </c>
      <c r="DW40" s="7">
        <f>CP40+DN40</f>
        <v/>
      </c>
      <c r="DX40" s="7">
        <f>IF(DN40&gt;0,(CP40*CF40+DN40*prestamos_tasaFederalPosgrado)/(CP40+DN40),CF40)</f>
        <v/>
      </c>
      <c r="DY40" s="7">
        <f>IF(DN40&gt;0,0,CQ40)</f>
        <v/>
      </c>
      <c r="DZ40" s="7">
        <f>DM40+DN40</f>
        <v/>
      </c>
      <c r="EA40" s="7">
        <f>CV40+DO40</f>
        <v/>
      </c>
      <c r="EB40" s="7">
        <f>IF(DO40&gt;0,(CV40*CS40+DO40*prestamos_tasaPrivada)/(CV40+DO40),CS40)</f>
        <v/>
      </c>
      <c r="EC40" s="7">
        <f>IF(DO40&gt;0,0,CW40)</f>
        <v/>
      </c>
      <c r="ED40" s="7">
        <f>CX40-DE40+DP40</f>
        <v/>
      </c>
      <c r="EE40" s="7">
        <f>IF(IF(7=0,"",EE39)&lt;&gt;"",EE39,IF(AND(BB40=1,DU40&lt;=0.5,DV40&lt;=0.5,OR(BH40=0,BJ40=1)),A40,""))</f>
        <v/>
      </c>
      <c r="EF40" s="7">
        <f>DU40+DV40+DW40+EA40+ED40+CD40</f>
        <v/>
      </c>
      <c r="EG40" s="7">
        <f>DR40+DS40+DT40-EF40</f>
        <v/>
      </c>
      <c r="EH40" s="7">
        <f>EG40/(1+g_inf)^(A40+1-2026)</f>
        <v/>
      </c>
    </row>
    <row r="41">
      <c r="A41" t="n">
        <v>2035</v>
      </c>
      <c r="B41" t="n">
        <v>8</v>
      </c>
      <c r="C41" s="7">
        <f>(1+g_inf)^(A41-2026)</f>
        <v/>
      </c>
      <c r="D41" s="7">
        <f>SUMPRODUCT($AB$5:$AB$29,$E$5:$E$29*(1+$F$5:$F$29)^(A41-2026)*$G$5:$G$29*$H$5:$H$29*(1-$N$5:$N$29*$O$5:$O$29))*g_salMult+SUMPRODUCT(($B$5:$B$29&gt;=A41)*($B$5:$B$29&lt;A41+1)*$I$5:$I$29)*g_salMult</f>
        <v/>
      </c>
      <c r="E41" s="7">
        <f>SUMPRODUCT($AB$5:$AB$29,$E$5:$E$29*(1+$F$5:$F$29)^(A41-2026)*$G$5:$G$29*$H$5:$H$29*$M$5:$M$29)*g_salMult</f>
        <v/>
      </c>
      <c r="F41" s="7">
        <f>SUMPRODUCT($AB$5:$AB$29,$E$5:$E$29*(1+$F$5:$F$29)^(A41-2026)*$G$5:$G$29*$H$5:$H$29*$N$5:$N$29*$O$5:$O$29)*g_salMult</f>
        <v/>
      </c>
      <c r="G41" s="7">
        <f>SUMPRODUCT($AB$5:$AB$29,$P$5:$P$29*(1+$F$5:$F$29)^(A41-2026))</f>
        <v/>
      </c>
      <c r="H41" s="7">
        <f>SUMPRODUCT($AB$5:$AB$29,$Q$5:$Q$29*(1+$F$5:$F$29)^(A41-2026))+IF(personal_llcActivo=1,personal_llcNeto*(1+personal_llcCrecimiento)^8,0)</f>
        <v/>
      </c>
      <c r="I41" s="7">
        <f>SUMPRODUCT($AB$5:$AB$29,$J$5:$J$29/($C$5:$C$29-$B$5:$B$29+($C$5:$C$29=$B$5:$B$29)))*C41</f>
        <v/>
      </c>
      <c r="J41" s="7">
        <f>SUMPRODUCT($AB$5:$AB$29,$K$5:$K$29)</f>
        <v/>
      </c>
      <c r="K41" s="7">
        <f>SUMPRODUCT($AB$5:$AB$29,$L$5:$L$29)</f>
        <v/>
      </c>
      <c r="L41" s="7">
        <f>SUMPRODUCT($AB$5:$AB$29,$N$5:$N$29)</f>
        <v/>
      </c>
      <c r="M41" s="7">
        <f>IF(SUMPRODUCT($AB$5:$AB$29,$R$5:$R$29)&gt;0,1,0)</f>
        <v/>
      </c>
      <c r="N41" s="7">
        <f>SUMPRODUCT(($AO$5:$AO$24&gt;=A41)*($AO$5:$AO$24&lt;A41+1)*$AP$5:$AP$24)*C41+IF(8=0,IF(sel_loc&lt;&gt;"miami",personal_costoMudanzaInicial,0),0)</f>
        <v/>
      </c>
      <c r="O41" s="7">
        <f>MIN(personal_aporte403bPct*D41,retiro_limite403b*C41)</f>
        <v/>
      </c>
      <c r="P41" s="7">
        <f>MIN(personal_aporte403bPct,personal_match403bPct)*E41</f>
        <v/>
      </c>
      <c r="Q41" s="7">
        <f>IF(G41&gt;0,MAX(0,G41-impuestos_scorpCostoAnual*C41),0)</f>
        <v/>
      </c>
      <c r="R41" s="7">
        <f>Q41*impuestos_scorpSalarioPct/(1+impuestos_ssTasa+impuestos_medicareTasa)</f>
        <v/>
      </c>
      <c r="S41" s="7">
        <f>impuestos_ssTasa*MIN(R41,MAX(0,impuestos_ssTope*C41-D41))+impuestos_medicareTasa*R41</f>
        <v/>
      </c>
      <c r="T41" s="7">
        <f>Q41-R41-S41</f>
        <v/>
      </c>
      <c r="U41" s="7">
        <f>D41+R41</f>
        <v/>
      </c>
      <c r="V41" s="7">
        <f>H41*0.9235</f>
        <v/>
      </c>
      <c r="W41" s="7">
        <f>IF(H41&gt;0,2*impuestos_ssTasa*MIN(V41,MAX(0,impuestos_ssTope*C41-U41))+2*impuestos_medicareTasa*V41,0)</f>
        <v/>
      </c>
      <c r="X41" s="7">
        <f>impuestos_ssTasa*MIN(U41,impuestos_ssTope*C41)+impuestos_medicareTasa*U41+impuestos_medicareAdicional*MAX(0,U41+H41*0.9235-impuestos_medicareUmbral)</f>
        <v/>
      </c>
      <c r="Y41" s="7">
        <f>MAX(0,D41-O41+R41+T41+H41-W41/2)</f>
        <v/>
      </c>
      <c r="Z41" s="7">
        <f>MAX(0,Y41-impuestos_deduccionEstandar*C41)</f>
        <v/>
      </c>
      <c r="AA41" s="7">
        <f>MIN(0.2*MAX(0,T41+H41-W41/2)*MAX(0,MIN(1,1-(Z41-impuestos_qbiUmbral*C41)/(impuestos_qbiRango*C41))),0.2*Z41)</f>
        <v/>
      </c>
      <c r="AB41" s="7">
        <f>MAX(0,Z41-AA41)</f>
        <v/>
      </c>
      <c r="AC41" s="7">
        <f>SUMPRODUCT((AB41&gt;tb_federalBrackets_lo*C41)*(AB41-tb_federalBrackets_lo*C41)*tb_federalBrackets_dr)</f>
        <v/>
      </c>
      <c r="AD41" s="7">
        <f>MAX(0,Y41-impuestos_nyDeduccion*C41)</f>
        <v/>
      </c>
      <c r="AE41" s="7">
        <f>CHOOSE(loc_taxcode,0,impuestos_ohTasa*MAX(0,Y41-impuestos_ohExento*C41)+impuestos_ohMunicipal*U41,SUMPRODUCT((AD41&gt;tb_nyBrackets_lo*C41)*(AD41-tb_nyBrackets_lo*C41)*tb_nyBrackets_dr)+loc_nyc*SUMPRODUCT((AD41&gt;tb_nycBrackets_lo*C41)*(AD41-tb_nycBrackets_lo*C41)*tb_nycBrackets_dr))</f>
        <v/>
      </c>
      <c r="AF41" s="7">
        <f>AC41+AE41+X41+W41</f>
        <v/>
      </c>
      <c r="AG41" s="7">
        <f>D41+F41+R41+T41+H41</f>
        <v/>
      </c>
      <c r="AH41" s="7">
        <f>AG41-AF41-O41</f>
        <v/>
      </c>
      <c r="AI41" s="7">
        <f>D41+F41+G41+H41</f>
        <v/>
      </c>
      <c r="AJ41" s="7">
        <f>loc_gastosVida*C41*g_gastos</f>
        <v/>
      </c>
      <c r="AK41" s="7">
        <f>IF(8=0,personal_liquidoInicial,DR40)</f>
        <v/>
      </c>
      <c r="AL41" s="7">
        <f>IF(8=0,0,BB40)</f>
        <v/>
      </c>
      <c r="AM41" s="7">
        <f>CHOOSE(sel_cfgIdx,loc_precio_duplex,loc_precio_inlaw,loc_precio_dosCasas,loc_precio_casaAdu,loc_precio_multi)</f>
        <v/>
      </c>
      <c r="AN41" s="7">
        <f>AM41*(1+g_appr)^(A41-2026)</f>
        <v/>
      </c>
      <c r="AO41" s="7">
        <f>IF(AND(M41=1,vivienda_prestamoMedico=1),1,0)</f>
        <v/>
      </c>
      <c r="AP41" s="7">
        <f>IF(AO41=1,0.05,vivienda_enganchePct)</f>
        <v/>
      </c>
      <c r="AQ41" s="7">
        <f>AN41*(1-AP41)</f>
        <v/>
      </c>
      <c r="AR41" s="7">
        <f>PMT(g_mortRate/12,vivienda_plazoHipoteca*12,-AQ41)</f>
        <v/>
      </c>
      <c r="AS41" s="7">
        <f>INDEX(cfg_units,sel_cfgIdx)</f>
        <v/>
      </c>
      <c r="AT41" s="7">
        <f>AS41*loc_rentaUnidad*(1+g_inf)^(A41-2026)*(1-vivienda_vacancia)</f>
        <v/>
      </c>
      <c r="AU41" s="7">
        <f>AR41+AN41*loc_impuestoPropPct/12+AM41*loc_seguroPct*(1+vivienda_inflacionSeguro)^(A41-2026)/12+IF(AND(AO41=0,AP41&lt;0.2),AQ41*vivienda_pmiTasa/12,0)</f>
        <v/>
      </c>
      <c r="AV41" s="7">
        <f>AN41*AP41+AN41*vivienda_cierrePct+general_reservaMeses/12*AJ41</f>
        <v/>
      </c>
      <c r="AW41" s="7">
        <f>(IF(8=0,MIN(personal_irsSaldo,personal_irsPagoMensual*12),MIN(CD40,personal_irsPagoMensual*12))+IF(CE41&gt;0,PMT(CF41,MAX(1,prestamos_plazoAnios-CG41),-CE41),0)+IF(CR41&gt;0,PMT(CS41,MAX(1,prestamos_plazoAnios-CT41),-CR41),0))/12</f>
        <v/>
      </c>
      <c r="AX41" s="7">
        <f>IF(OR(sel_cfg="duplex",sel_cfg="multi",sel_cfg="dosCasas"),0.75*personal_aporteFamiliaMensual,0)</f>
        <v/>
      </c>
      <c r="AY41" s="7">
        <f>AU41-0.75*AT41-AX41+AW41</f>
        <v/>
      </c>
      <c r="AZ41" s="7">
        <f>(D41+G41+H41+0.5*F41)/12</f>
        <v/>
      </c>
      <c r="BA41" s="7">
        <f>IF(AND(AL41=0,A41&gt;=vivienda_anioMinCompra,J41&lt;0.5,AI41&gt;0,AK41&gt;=AV41,AY41&lt;=vivienda_dtiMax*AZ41),1,0)</f>
        <v/>
      </c>
      <c r="BB41" s="7">
        <f>MAX(AL41,BA41)</f>
        <v/>
      </c>
      <c r="BC41" s="7">
        <f>IF(BA41=1,A41,IF(8=0,"",BC40))</f>
        <v/>
      </c>
      <c r="BD41" s="7">
        <f>AK41-IF(BA41=1,AN41*AP41+AN41*vivienda_cierrePct,0)</f>
        <v/>
      </c>
      <c r="BE41" s="7">
        <f>IF(BA41=1,AN41,IF(8=0,0,BE40))</f>
        <v/>
      </c>
      <c r="BF41" s="7">
        <f>IF(BA41=1,AR41,IF(8=0,0,BF40))</f>
        <v/>
      </c>
      <c r="BG41" s="7">
        <f>IF(BA41=1,IF(AND(AO41=0,AP41&lt;0.2),1,0),IF(8=0,0,BY40))</f>
        <v/>
      </c>
      <c r="BH41" s="7">
        <f>IF(sel_cfg="casaAdu",1,0)</f>
        <v/>
      </c>
      <c r="BI41" s="7">
        <f>IF(AND(BB41=1,BH41=1,IF(8=0,0,BJ40)=0,A41&gt;=IF(BC41="",9999,BC41)+vivienda_aduRetrasoAnios),1,0)</f>
        <v/>
      </c>
      <c r="BJ41" s="7">
        <f>MAX(IF(8=0,0,BJ40),BI41)</f>
        <v/>
      </c>
      <c r="BK41" s="7">
        <f>IF(BI41=1,PMT((g_mortRate+0.005)/12,180,-loc_precio_aduCosto*C41),IF(8=0,0,BK40))</f>
        <v/>
      </c>
      <c r="BL41" s="7">
        <f>IF(BA41=1,AN41,IF(8=0,0,DT40))+IF(BI41=1,loc_precio_aduCosto*C41,0)</f>
        <v/>
      </c>
      <c r="BM41" s="7">
        <f>IF(BA41=1,AQ41,IF(8=0,0,DU40))</f>
        <v/>
      </c>
      <c r="BN41" s="7">
        <f>IF(BM41&lt;=0,0,FV(g_mortRate/12,12,BF41,-BM41))</f>
        <v/>
      </c>
      <c r="BO41" s="7">
        <f>IF(BM41&lt;=0,0,12*BF41+MIN(0,BN41))</f>
        <v/>
      </c>
      <c r="BP41" s="7">
        <f>MAX(0,BN41)</f>
        <v/>
      </c>
      <c r="BQ41" s="7">
        <f>IF(BI41=1,loc_precio_aduCosto*C41,IF(8=0,0,DV40))</f>
        <v/>
      </c>
      <c r="BR41" s="7">
        <f>IF(BQ41&lt;=0,0,FV((g_mortRate+0.005)/12,12,BK41,-BQ41))</f>
        <v/>
      </c>
      <c r="BS41" s="7">
        <f>IF(BQ41&lt;=0,0,12*BK41+MIN(0,BR41))</f>
        <v/>
      </c>
      <c r="BT41" s="7">
        <f>MAX(0,BR41)</f>
        <v/>
      </c>
      <c r="BU41" s="7">
        <f>IF(BB41=1,AM41*loc_seguroPct*(1+vivienda_inflacionSeguro)^(A41-2026)*IF(BJ41=1,1+loc_precio_aduCosto/AM41,1),0)</f>
        <v/>
      </c>
      <c r="BV41" s="7">
        <f>BL41*loc_impuestoPropPct</f>
        <v/>
      </c>
      <c r="BW41" s="7">
        <f>BL41*vivienda_mantenimientoPct</f>
        <v/>
      </c>
      <c r="BX41" s="7">
        <f>IF(AND(BG41=1,BP41&gt;0.8*BE41),BE41*(1-vivienda_enganchePct)*vivienda_pmiTasa,0)</f>
        <v/>
      </c>
      <c r="BY41" s="7">
        <f>IF(AND(BG41=1,BP41&gt;0.8*BE41),1,0)</f>
        <v/>
      </c>
      <c r="BZ41" s="7">
        <f>IF(BB41=1,AS41*loc_rentaUnidad*12*C41*(1-vivienda_vacancia)*(1-vivienda_gestionPct),0)</f>
        <v/>
      </c>
      <c r="CA41" s="7">
        <f>IF(BB41=1,BO41+BS41+BU41+BV41+BW41+BX41,loc_rentaMensual*12*C41)</f>
        <v/>
      </c>
      <c r="CB41" s="7">
        <f>IF(BB41=1,personal_aporteFamiliaMensual*12,0)</f>
        <v/>
      </c>
      <c r="CC41" s="7">
        <f>MIN(IF(8=0,personal_irsSaldo,CD40),personal_irsPagoMensual*12)</f>
        <v/>
      </c>
      <c r="CD41" s="7">
        <f>IF(8=0,personal_irsSaldo,CD40)-CC41</f>
        <v/>
      </c>
      <c r="CE41" s="7">
        <f>IF(8=0,IF(personal_deudaEsFederal=1,personal_deudaEstudiantil,0),DW40)</f>
        <v/>
      </c>
      <c r="CF41" s="7">
        <f>IF(8=0,personal_tasaDeudaEstudiantil,DX40)</f>
        <v/>
      </c>
      <c r="CG41" s="7">
        <f>IF(8=0,0,DY40)</f>
        <v/>
      </c>
      <c r="CH41" s="7">
        <f>IF(J41&gt;=0.5,1,0)</f>
        <v/>
      </c>
      <c r="CI41" s="7">
        <f>IF(AND(CH41=0,prestamos_pslfActivo=1,K41&gt;=0.5,CE41&gt;0),1,0)</f>
        <v/>
      </c>
      <c r="CJ41" s="7">
        <f>CE41*CF41</f>
        <v/>
      </c>
      <c r="CK41" s="7">
        <f>MAX(prestamos_rapPagoMinimoAnual,IF(Y41&lt;10000,0,MIN(0.1,INT(Y41/10000)/100))*Y41)</f>
        <v/>
      </c>
      <c r="CL41" s="7">
        <f>IF(CE41&lt;=0,0,IF(CH41=1,0,IF(CI41=1,MIN(CE41+CJ41,CK41),PMT(CF41,MAX(1,prestamos_plazoAnios-CG41),-CE41))))</f>
        <v/>
      </c>
      <c r="CM41" s="7">
        <f>IF(CE41&lt;=0,0,IF(CH41=1,CE41+CJ41,IF(CI41=1,MAX(0,CE41-MAX(CL41-CJ41,MIN(600,CL41))),MAX(0,CE41*(1+CF41)-CL41))))</f>
        <v/>
      </c>
      <c r="CN41" s="7">
        <f>IF(8=0,0,CN40)+IF(CI41=1,12*MIN(1,K41),0)</f>
        <v/>
      </c>
      <c r="CO41" s="7">
        <f>IF(AND(CI41=1,CN41&gt;=prestamos_pslfPagos,CM41&gt;0),CM41,0)</f>
        <v/>
      </c>
      <c r="CP41" s="7">
        <f>CM41-CO41</f>
        <v/>
      </c>
      <c r="CQ41" s="7">
        <f>IF(AND(CE41&gt;0,CH41=0,CI41=0),CG41+1,CG41)</f>
        <v/>
      </c>
      <c r="CR41" s="7">
        <f>IF(8=0,IF(personal_deudaEsFederal=1,0,personal_deudaEstudiantil),EA40)</f>
        <v/>
      </c>
      <c r="CS41" s="7">
        <f>IF(8=0,IF(personal_deudaEsFederal=1,prestamos_tasaPrivada,personal_tasaDeudaEstudiantil),EB40)</f>
        <v/>
      </c>
      <c r="CT41" s="7">
        <f>IF(8=0,0,EC40)</f>
        <v/>
      </c>
      <c r="CU41" s="7">
        <f>IF(OR(CR41&lt;=0,CH41=1),0,PMT(CS41,MAX(1,prestamos_plazoAnios-CT41),-CR41))</f>
        <v/>
      </c>
      <c r="CV41" s="7">
        <f>IF(CR41&lt;=0,0,IF(CH41=1,CR41*(1+CS41),MAX(0,CR41*(1+CS41)-CU41)))</f>
        <v/>
      </c>
      <c r="CW41" s="7">
        <f>IF(AND(CR41&gt;0,CH41=0),CT41+1,CT41)</f>
        <v/>
      </c>
      <c r="CX41" s="7">
        <f>IF(8=0,0,ED40)*(1+general_tasaDeudaConsumo)</f>
        <v/>
      </c>
      <c r="CY41" s="7">
        <f>L41*12*tiempos_travelGastoExtraMes*C41</f>
        <v/>
      </c>
      <c r="CZ41" s="7">
        <f>AJ41+CY41+CA41+CC41+CL41+CU41+I41+N41-BZ41-CB41</f>
        <v/>
      </c>
      <c r="DA41" s="7">
        <f>AH41-CZ41</f>
        <v/>
      </c>
      <c r="DB41" s="7">
        <f>IF(8=0,0,DB40)+DA41</f>
        <v/>
      </c>
      <c r="DC41" s="7">
        <f>AN41*vivienda_enganchePct+AN41*vivienda_cierrePct+general_reservaMeses/12*AJ41</f>
        <v/>
      </c>
      <c r="DD41" s="7">
        <f>IF(BB41=1,g_ret,IF(BD41&gt;0,MIN(1,DC41/BD41),1)*g_cash+(1-IF(BD41&gt;0,MIN(1,DC41/BD41),1))*g_ret)</f>
        <v/>
      </c>
      <c r="DE41" s="7">
        <f>IF(DA41&gt;=0,MIN(CX41,DA41),0)</f>
        <v/>
      </c>
      <c r="DF41" s="7">
        <f>IF(DA41&gt;=0,(1-general_tasaAhorro)*(DA41-DE41),0)</f>
        <v/>
      </c>
      <c r="DG41" s="7">
        <f>IF(DA41&gt;=0,DA41-DE41-DF41,0)</f>
        <v/>
      </c>
      <c r="DH41" s="7">
        <f>MIN(personal_rothAnual,DG41)</f>
        <v/>
      </c>
      <c r="DI41" s="7">
        <f>IF(AND(DA41&gt;=0,BB41=1,BP41+BT41&gt;0),MIN(vivienda_prepagoPct*(DG41-DH41),BP41+BT41),0)</f>
        <v/>
      </c>
      <c r="DJ41" s="7">
        <f>MIN(DI41,BP41)</f>
        <v/>
      </c>
      <c r="DK41" s="7">
        <f>IF(DA41&lt;0,MIN(MAX(0,BD41),-DA41),0)</f>
        <v/>
      </c>
      <c r="DL41" s="7">
        <f>IF(DA41&lt;0,-DA41-DK41,0)</f>
        <v/>
      </c>
      <c r="DM41" s="7">
        <f>IF(8=0,0,DZ40)</f>
        <v/>
      </c>
      <c r="DN41" s="7">
        <f>IF(AND(DL41&gt;0,J41&gt;0),MIN(DL41,MIN(prestamos_topeAnualPosgrado*MIN(1,J41),MAX(0,prestamos_topeTotalPosgrado-DM41))),0)</f>
        <v/>
      </c>
      <c r="DO41" s="7">
        <f>IF(AND(DL41&gt;0,J41&gt;0),DL41-DN41,0)</f>
        <v/>
      </c>
      <c r="DP41" s="7">
        <f>IF(AND(DL41&gt;0,J41&lt;=0),DL41,0)</f>
        <v/>
      </c>
      <c r="DQ41" s="7">
        <f>IF(DA41&gt;=0,DG41-DH41-DI41,-DK41)</f>
        <v/>
      </c>
      <c r="DR41" s="7">
        <f>BD41*(1+DD41)+DQ41*(1+DD41/2)</f>
        <v/>
      </c>
      <c r="DS41" s="7">
        <f>IF(8=0,personal_retiroInicial,DS40)*(1+g_ret)+(O41+P41+DH41)*(1+g_ret/2)</f>
        <v/>
      </c>
      <c r="DT41" s="7">
        <f>IF(BB41=1,BL41*(1+g_appr),0)</f>
        <v/>
      </c>
      <c r="DU41" s="7">
        <f>BP41-DJ41</f>
        <v/>
      </c>
      <c r="DV41" s="7">
        <f>BT41-(DI41-DJ41)</f>
        <v/>
      </c>
      <c r="DW41" s="7">
        <f>CP41+DN41</f>
        <v/>
      </c>
      <c r="DX41" s="7">
        <f>IF(DN41&gt;0,(CP41*CF41+DN41*prestamos_tasaFederalPosgrado)/(CP41+DN41),CF41)</f>
        <v/>
      </c>
      <c r="DY41" s="7">
        <f>IF(DN41&gt;0,0,CQ41)</f>
        <v/>
      </c>
      <c r="DZ41" s="7">
        <f>DM41+DN41</f>
        <v/>
      </c>
      <c r="EA41" s="7">
        <f>CV41+DO41</f>
        <v/>
      </c>
      <c r="EB41" s="7">
        <f>IF(DO41&gt;0,(CV41*CS41+DO41*prestamos_tasaPrivada)/(CV41+DO41),CS41)</f>
        <v/>
      </c>
      <c r="EC41" s="7">
        <f>IF(DO41&gt;0,0,CW41)</f>
        <v/>
      </c>
      <c r="ED41" s="7">
        <f>CX41-DE41+DP41</f>
        <v/>
      </c>
      <c r="EE41" s="7">
        <f>IF(IF(8=0,"",EE40)&lt;&gt;"",EE40,IF(AND(BB41=1,DU41&lt;=0.5,DV41&lt;=0.5,OR(BH41=0,BJ41=1)),A41,""))</f>
        <v/>
      </c>
      <c r="EF41" s="7">
        <f>DU41+DV41+DW41+EA41+ED41+CD41</f>
        <v/>
      </c>
      <c r="EG41" s="7">
        <f>DR41+DS41+DT41-EF41</f>
        <v/>
      </c>
      <c r="EH41" s="7">
        <f>EG41/(1+g_inf)^(A41+1-2026)</f>
        <v/>
      </c>
    </row>
    <row r="42">
      <c r="A42" t="n">
        <v>2036</v>
      </c>
      <c r="B42" t="n">
        <v>9</v>
      </c>
      <c r="C42" s="7">
        <f>(1+g_inf)^(A42-2026)</f>
        <v/>
      </c>
      <c r="D42" s="7">
        <f>SUMPRODUCT($AC$5:$AC$29,$E$5:$E$29*(1+$F$5:$F$29)^(A42-2026)*$G$5:$G$29*$H$5:$H$29*(1-$N$5:$N$29*$O$5:$O$29))*g_salMult+SUMPRODUCT(($B$5:$B$29&gt;=A42)*($B$5:$B$29&lt;A42+1)*$I$5:$I$29)*g_salMult</f>
        <v/>
      </c>
      <c r="E42" s="7">
        <f>SUMPRODUCT($AC$5:$AC$29,$E$5:$E$29*(1+$F$5:$F$29)^(A42-2026)*$G$5:$G$29*$H$5:$H$29*$M$5:$M$29)*g_salMult</f>
        <v/>
      </c>
      <c r="F42" s="7">
        <f>SUMPRODUCT($AC$5:$AC$29,$E$5:$E$29*(1+$F$5:$F$29)^(A42-2026)*$G$5:$G$29*$H$5:$H$29*$N$5:$N$29*$O$5:$O$29)*g_salMult</f>
        <v/>
      </c>
      <c r="G42" s="7">
        <f>SUMPRODUCT($AC$5:$AC$29,$P$5:$P$29*(1+$F$5:$F$29)^(A42-2026))</f>
        <v/>
      </c>
      <c r="H42" s="7">
        <f>SUMPRODUCT($AC$5:$AC$29,$Q$5:$Q$29*(1+$F$5:$F$29)^(A42-2026))+IF(personal_llcActivo=1,personal_llcNeto*(1+personal_llcCrecimiento)^9,0)</f>
        <v/>
      </c>
      <c r="I42" s="7">
        <f>SUMPRODUCT($AC$5:$AC$29,$J$5:$J$29/($C$5:$C$29-$B$5:$B$29+($C$5:$C$29=$B$5:$B$29)))*C42</f>
        <v/>
      </c>
      <c r="J42" s="7">
        <f>SUMPRODUCT($AC$5:$AC$29,$K$5:$K$29)</f>
        <v/>
      </c>
      <c r="K42" s="7">
        <f>SUMPRODUCT($AC$5:$AC$29,$L$5:$L$29)</f>
        <v/>
      </c>
      <c r="L42" s="7">
        <f>SUMPRODUCT($AC$5:$AC$29,$N$5:$N$29)</f>
        <v/>
      </c>
      <c r="M42" s="7">
        <f>IF(SUMPRODUCT($AC$5:$AC$29,$R$5:$R$29)&gt;0,1,0)</f>
        <v/>
      </c>
      <c r="N42" s="7">
        <f>SUMPRODUCT(($AO$5:$AO$24&gt;=A42)*($AO$5:$AO$24&lt;A42+1)*$AP$5:$AP$24)*C42+IF(9=0,IF(sel_loc&lt;&gt;"miami",personal_costoMudanzaInicial,0),0)</f>
        <v/>
      </c>
      <c r="O42" s="7">
        <f>MIN(personal_aporte403bPct*D42,retiro_limite403b*C42)</f>
        <v/>
      </c>
      <c r="P42" s="7">
        <f>MIN(personal_aporte403bPct,personal_match403bPct)*E42</f>
        <v/>
      </c>
      <c r="Q42" s="7">
        <f>IF(G42&gt;0,MAX(0,G42-impuestos_scorpCostoAnual*C42),0)</f>
        <v/>
      </c>
      <c r="R42" s="7">
        <f>Q42*impuestos_scorpSalarioPct/(1+impuestos_ssTasa+impuestos_medicareTasa)</f>
        <v/>
      </c>
      <c r="S42" s="7">
        <f>impuestos_ssTasa*MIN(R42,MAX(0,impuestos_ssTope*C42-D42))+impuestos_medicareTasa*R42</f>
        <v/>
      </c>
      <c r="T42" s="7">
        <f>Q42-R42-S42</f>
        <v/>
      </c>
      <c r="U42" s="7">
        <f>D42+R42</f>
        <v/>
      </c>
      <c r="V42" s="7">
        <f>H42*0.9235</f>
        <v/>
      </c>
      <c r="W42" s="7">
        <f>IF(H42&gt;0,2*impuestos_ssTasa*MIN(V42,MAX(0,impuestos_ssTope*C42-U42))+2*impuestos_medicareTasa*V42,0)</f>
        <v/>
      </c>
      <c r="X42" s="7">
        <f>impuestos_ssTasa*MIN(U42,impuestos_ssTope*C42)+impuestos_medicareTasa*U42+impuestos_medicareAdicional*MAX(0,U42+H42*0.9235-impuestos_medicareUmbral)</f>
        <v/>
      </c>
      <c r="Y42" s="7">
        <f>MAX(0,D42-O42+R42+T42+H42-W42/2)</f>
        <v/>
      </c>
      <c r="Z42" s="7">
        <f>MAX(0,Y42-impuestos_deduccionEstandar*C42)</f>
        <v/>
      </c>
      <c r="AA42" s="7">
        <f>MIN(0.2*MAX(0,T42+H42-W42/2)*MAX(0,MIN(1,1-(Z42-impuestos_qbiUmbral*C42)/(impuestos_qbiRango*C42))),0.2*Z42)</f>
        <v/>
      </c>
      <c r="AB42" s="7">
        <f>MAX(0,Z42-AA42)</f>
        <v/>
      </c>
      <c r="AC42" s="7">
        <f>SUMPRODUCT((AB42&gt;tb_federalBrackets_lo*C42)*(AB42-tb_federalBrackets_lo*C42)*tb_federalBrackets_dr)</f>
        <v/>
      </c>
      <c r="AD42" s="7">
        <f>MAX(0,Y42-impuestos_nyDeduccion*C42)</f>
        <v/>
      </c>
      <c r="AE42" s="7">
        <f>CHOOSE(loc_taxcode,0,impuestos_ohTasa*MAX(0,Y42-impuestos_ohExento*C42)+impuestos_ohMunicipal*U42,SUMPRODUCT((AD42&gt;tb_nyBrackets_lo*C42)*(AD42-tb_nyBrackets_lo*C42)*tb_nyBrackets_dr)+loc_nyc*SUMPRODUCT((AD42&gt;tb_nycBrackets_lo*C42)*(AD42-tb_nycBrackets_lo*C42)*tb_nycBrackets_dr))</f>
        <v/>
      </c>
      <c r="AF42" s="7">
        <f>AC42+AE42+X42+W42</f>
        <v/>
      </c>
      <c r="AG42" s="7">
        <f>D42+F42+R42+T42+H42</f>
        <v/>
      </c>
      <c r="AH42" s="7">
        <f>AG42-AF42-O42</f>
        <v/>
      </c>
      <c r="AI42" s="7">
        <f>D42+F42+G42+H42</f>
        <v/>
      </c>
      <c r="AJ42" s="7">
        <f>loc_gastosVida*C42*g_gastos</f>
        <v/>
      </c>
      <c r="AK42" s="7">
        <f>IF(9=0,personal_liquidoInicial,DR41)</f>
        <v/>
      </c>
      <c r="AL42" s="7">
        <f>IF(9=0,0,BB41)</f>
        <v/>
      </c>
      <c r="AM42" s="7">
        <f>CHOOSE(sel_cfgIdx,loc_precio_duplex,loc_precio_inlaw,loc_precio_dosCasas,loc_precio_casaAdu,loc_precio_multi)</f>
        <v/>
      </c>
      <c r="AN42" s="7">
        <f>AM42*(1+g_appr)^(A42-2026)</f>
        <v/>
      </c>
      <c r="AO42" s="7">
        <f>IF(AND(M42=1,vivienda_prestamoMedico=1),1,0)</f>
        <v/>
      </c>
      <c r="AP42" s="7">
        <f>IF(AO42=1,0.05,vivienda_enganchePct)</f>
        <v/>
      </c>
      <c r="AQ42" s="7">
        <f>AN42*(1-AP42)</f>
        <v/>
      </c>
      <c r="AR42" s="7">
        <f>PMT(g_mortRate/12,vivienda_plazoHipoteca*12,-AQ42)</f>
        <v/>
      </c>
      <c r="AS42" s="7">
        <f>INDEX(cfg_units,sel_cfgIdx)</f>
        <v/>
      </c>
      <c r="AT42" s="7">
        <f>AS42*loc_rentaUnidad*(1+g_inf)^(A42-2026)*(1-vivienda_vacancia)</f>
        <v/>
      </c>
      <c r="AU42" s="7">
        <f>AR42+AN42*loc_impuestoPropPct/12+AM42*loc_seguroPct*(1+vivienda_inflacionSeguro)^(A42-2026)/12+IF(AND(AO42=0,AP42&lt;0.2),AQ42*vivienda_pmiTasa/12,0)</f>
        <v/>
      </c>
      <c r="AV42" s="7">
        <f>AN42*AP42+AN42*vivienda_cierrePct+general_reservaMeses/12*AJ42</f>
        <v/>
      </c>
      <c r="AW42" s="7">
        <f>(IF(9=0,MIN(personal_irsSaldo,personal_irsPagoMensual*12),MIN(CD41,personal_irsPagoMensual*12))+IF(CE42&gt;0,PMT(CF42,MAX(1,prestamos_plazoAnios-CG42),-CE42),0)+IF(CR42&gt;0,PMT(CS42,MAX(1,prestamos_plazoAnios-CT42),-CR42),0))/12</f>
        <v/>
      </c>
      <c r="AX42" s="7">
        <f>IF(OR(sel_cfg="duplex",sel_cfg="multi",sel_cfg="dosCasas"),0.75*personal_aporteFamiliaMensual,0)</f>
        <v/>
      </c>
      <c r="AY42" s="7">
        <f>AU42-0.75*AT42-AX42+AW42</f>
        <v/>
      </c>
      <c r="AZ42" s="7">
        <f>(D42+G42+H42+0.5*F42)/12</f>
        <v/>
      </c>
      <c r="BA42" s="7">
        <f>IF(AND(AL42=0,A42&gt;=vivienda_anioMinCompra,J42&lt;0.5,AI42&gt;0,AK42&gt;=AV42,AY42&lt;=vivienda_dtiMax*AZ42),1,0)</f>
        <v/>
      </c>
      <c r="BB42" s="7">
        <f>MAX(AL42,BA42)</f>
        <v/>
      </c>
      <c r="BC42" s="7">
        <f>IF(BA42=1,A42,IF(9=0,"",BC41))</f>
        <v/>
      </c>
      <c r="BD42" s="7">
        <f>AK42-IF(BA42=1,AN42*AP42+AN42*vivienda_cierrePct,0)</f>
        <v/>
      </c>
      <c r="BE42" s="7">
        <f>IF(BA42=1,AN42,IF(9=0,0,BE41))</f>
        <v/>
      </c>
      <c r="BF42" s="7">
        <f>IF(BA42=1,AR42,IF(9=0,0,BF41))</f>
        <v/>
      </c>
      <c r="BG42" s="7">
        <f>IF(BA42=1,IF(AND(AO42=0,AP42&lt;0.2),1,0),IF(9=0,0,BY41))</f>
        <v/>
      </c>
      <c r="BH42" s="7">
        <f>IF(sel_cfg="casaAdu",1,0)</f>
        <v/>
      </c>
      <c r="BI42" s="7">
        <f>IF(AND(BB42=1,BH42=1,IF(9=0,0,BJ41)=0,A42&gt;=IF(BC42="",9999,BC42)+vivienda_aduRetrasoAnios),1,0)</f>
        <v/>
      </c>
      <c r="BJ42" s="7">
        <f>MAX(IF(9=0,0,BJ41),BI42)</f>
        <v/>
      </c>
      <c r="BK42" s="7">
        <f>IF(BI42=1,PMT((g_mortRate+0.005)/12,180,-loc_precio_aduCosto*C42),IF(9=0,0,BK41))</f>
        <v/>
      </c>
      <c r="BL42" s="7">
        <f>IF(BA42=1,AN42,IF(9=0,0,DT41))+IF(BI42=1,loc_precio_aduCosto*C42,0)</f>
        <v/>
      </c>
      <c r="BM42" s="7">
        <f>IF(BA42=1,AQ42,IF(9=0,0,DU41))</f>
        <v/>
      </c>
      <c r="BN42" s="7">
        <f>IF(BM42&lt;=0,0,FV(g_mortRate/12,12,BF42,-BM42))</f>
        <v/>
      </c>
      <c r="BO42" s="7">
        <f>IF(BM42&lt;=0,0,12*BF42+MIN(0,BN42))</f>
        <v/>
      </c>
      <c r="BP42" s="7">
        <f>MAX(0,BN42)</f>
        <v/>
      </c>
      <c r="BQ42" s="7">
        <f>IF(BI42=1,loc_precio_aduCosto*C42,IF(9=0,0,DV41))</f>
        <v/>
      </c>
      <c r="BR42" s="7">
        <f>IF(BQ42&lt;=0,0,FV((g_mortRate+0.005)/12,12,BK42,-BQ42))</f>
        <v/>
      </c>
      <c r="BS42" s="7">
        <f>IF(BQ42&lt;=0,0,12*BK42+MIN(0,BR42))</f>
        <v/>
      </c>
      <c r="BT42" s="7">
        <f>MAX(0,BR42)</f>
        <v/>
      </c>
      <c r="BU42" s="7">
        <f>IF(BB42=1,AM42*loc_seguroPct*(1+vivienda_inflacionSeguro)^(A42-2026)*IF(BJ42=1,1+loc_precio_aduCosto/AM42,1),0)</f>
        <v/>
      </c>
      <c r="BV42" s="7">
        <f>BL42*loc_impuestoPropPct</f>
        <v/>
      </c>
      <c r="BW42" s="7">
        <f>BL42*vivienda_mantenimientoPct</f>
        <v/>
      </c>
      <c r="BX42" s="7">
        <f>IF(AND(BG42=1,BP42&gt;0.8*BE42),BE42*(1-vivienda_enganchePct)*vivienda_pmiTasa,0)</f>
        <v/>
      </c>
      <c r="BY42" s="7">
        <f>IF(AND(BG42=1,BP42&gt;0.8*BE42),1,0)</f>
        <v/>
      </c>
      <c r="BZ42" s="7">
        <f>IF(BB42=1,AS42*loc_rentaUnidad*12*C42*(1-vivienda_vacancia)*(1-vivienda_gestionPct),0)</f>
        <v/>
      </c>
      <c r="CA42" s="7">
        <f>IF(BB42=1,BO42+BS42+BU42+BV42+BW42+BX42,loc_rentaMensual*12*C42)</f>
        <v/>
      </c>
      <c r="CB42" s="7">
        <f>IF(BB42=1,personal_aporteFamiliaMensual*12,0)</f>
        <v/>
      </c>
      <c r="CC42" s="7">
        <f>MIN(IF(9=0,personal_irsSaldo,CD41),personal_irsPagoMensual*12)</f>
        <v/>
      </c>
      <c r="CD42" s="7">
        <f>IF(9=0,personal_irsSaldo,CD41)-CC42</f>
        <v/>
      </c>
      <c r="CE42" s="7">
        <f>IF(9=0,IF(personal_deudaEsFederal=1,personal_deudaEstudiantil,0),DW41)</f>
        <v/>
      </c>
      <c r="CF42" s="7">
        <f>IF(9=0,personal_tasaDeudaEstudiantil,DX41)</f>
        <v/>
      </c>
      <c r="CG42" s="7">
        <f>IF(9=0,0,DY41)</f>
        <v/>
      </c>
      <c r="CH42" s="7">
        <f>IF(J42&gt;=0.5,1,0)</f>
        <v/>
      </c>
      <c r="CI42" s="7">
        <f>IF(AND(CH42=0,prestamos_pslfActivo=1,K42&gt;=0.5,CE42&gt;0),1,0)</f>
        <v/>
      </c>
      <c r="CJ42" s="7">
        <f>CE42*CF42</f>
        <v/>
      </c>
      <c r="CK42" s="7">
        <f>MAX(prestamos_rapPagoMinimoAnual,IF(Y42&lt;10000,0,MIN(0.1,INT(Y42/10000)/100))*Y42)</f>
        <v/>
      </c>
      <c r="CL42" s="7">
        <f>IF(CE42&lt;=0,0,IF(CH42=1,0,IF(CI42=1,MIN(CE42+CJ42,CK42),PMT(CF42,MAX(1,prestamos_plazoAnios-CG42),-CE42))))</f>
        <v/>
      </c>
      <c r="CM42" s="7">
        <f>IF(CE42&lt;=0,0,IF(CH42=1,CE42+CJ42,IF(CI42=1,MAX(0,CE42-MAX(CL42-CJ42,MIN(600,CL42))),MAX(0,CE42*(1+CF42)-CL42))))</f>
        <v/>
      </c>
      <c r="CN42" s="7">
        <f>IF(9=0,0,CN41)+IF(CI42=1,12*MIN(1,K42),0)</f>
        <v/>
      </c>
      <c r="CO42" s="7">
        <f>IF(AND(CI42=1,CN42&gt;=prestamos_pslfPagos,CM42&gt;0),CM42,0)</f>
        <v/>
      </c>
      <c r="CP42" s="7">
        <f>CM42-CO42</f>
        <v/>
      </c>
      <c r="CQ42" s="7">
        <f>IF(AND(CE42&gt;0,CH42=0,CI42=0),CG42+1,CG42)</f>
        <v/>
      </c>
      <c r="CR42" s="7">
        <f>IF(9=0,IF(personal_deudaEsFederal=1,0,personal_deudaEstudiantil),EA41)</f>
        <v/>
      </c>
      <c r="CS42" s="7">
        <f>IF(9=0,IF(personal_deudaEsFederal=1,prestamos_tasaPrivada,personal_tasaDeudaEstudiantil),EB41)</f>
        <v/>
      </c>
      <c r="CT42" s="7">
        <f>IF(9=0,0,EC41)</f>
        <v/>
      </c>
      <c r="CU42" s="7">
        <f>IF(OR(CR42&lt;=0,CH42=1),0,PMT(CS42,MAX(1,prestamos_plazoAnios-CT42),-CR42))</f>
        <v/>
      </c>
      <c r="CV42" s="7">
        <f>IF(CR42&lt;=0,0,IF(CH42=1,CR42*(1+CS42),MAX(0,CR42*(1+CS42)-CU42)))</f>
        <v/>
      </c>
      <c r="CW42" s="7">
        <f>IF(AND(CR42&gt;0,CH42=0),CT42+1,CT42)</f>
        <v/>
      </c>
      <c r="CX42" s="7">
        <f>IF(9=0,0,ED41)*(1+general_tasaDeudaConsumo)</f>
        <v/>
      </c>
      <c r="CY42" s="7">
        <f>L42*12*tiempos_travelGastoExtraMes*C42</f>
        <v/>
      </c>
      <c r="CZ42" s="7">
        <f>AJ42+CY42+CA42+CC42+CL42+CU42+I42+N42-BZ42-CB42</f>
        <v/>
      </c>
      <c r="DA42" s="7">
        <f>AH42-CZ42</f>
        <v/>
      </c>
      <c r="DB42" s="7">
        <f>IF(9=0,0,DB41)+DA42</f>
        <v/>
      </c>
      <c r="DC42" s="7">
        <f>AN42*vivienda_enganchePct+AN42*vivienda_cierrePct+general_reservaMeses/12*AJ42</f>
        <v/>
      </c>
      <c r="DD42" s="7">
        <f>IF(BB42=1,g_ret,IF(BD42&gt;0,MIN(1,DC42/BD42),1)*g_cash+(1-IF(BD42&gt;0,MIN(1,DC42/BD42),1))*g_ret)</f>
        <v/>
      </c>
      <c r="DE42" s="7">
        <f>IF(DA42&gt;=0,MIN(CX42,DA42),0)</f>
        <v/>
      </c>
      <c r="DF42" s="7">
        <f>IF(DA42&gt;=0,(1-general_tasaAhorro)*(DA42-DE42),0)</f>
        <v/>
      </c>
      <c r="DG42" s="7">
        <f>IF(DA42&gt;=0,DA42-DE42-DF42,0)</f>
        <v/>
      </c>
      <c r="DH42" s="7">
        <f>MIN(personal_rothAnual,DG42)</f>
        <v/>
      </c>
      <c r="DI42" s="7">
        <f>IF(AND(DA42&gt;=0,BB42=1,BP42+BT42&gt;0),MIN(vivienda_prepagoPct*(DG42-DH42),BP42+BT42),0)</f>
        <v/>
      </c>
      <c r="DJ42" s="7">
        <f>MIN(DI42,BP42)</f>
        <v/>
      </c>
      <c r="DK42" s="7">
        <f>IF(DA42&lt;0,MIN(MAX(0,BD42),-DA42),0)</f>
        <v/>
      </c>
      <c r="DL42" s="7">
        <f>IF(DA42&lt;0,-DA42-DK42,0)</f>
        <v/>
      </c>
      <c r="DM42" s="7">
        <f>IF(9=0,0,DZ41)</f>
        <v/>
      </c>
      <c r="DN42" s="7">
        <f>IF(AND(DL42&gt;0,J42&gt;0),MIN(DL42,MIN(prestamos_topeAnualPosgrado*MIN(1,J42),MAX(0,prestamos_topeTotalPosgrado-DM42))),0)</f>
        <v/>
      </c>
      <c r="DO42" s="7">
        <f>IF(AND(DL42&gt;0,J42&gt;0),DL42-DN42,0)</f>
        <v/>
      </c>
      <c r="DP42" s="7">
        <f>IF(AND(DL42&gt;0,J42&lt;=0),DL42,0)</f>
        <v/>
      </c>
      <c r="DQ42" s="7">
        <f>IF(DA42&gt;=0,DG42-DH42-DI42,-DK42)</f>
        <v/>
      </c>
      <c r="DR42" s="7">
        <f>BD42*(1+DD42)+DQ42*(1+DD42/2)</f>
        <v/>
      </c>
      <c r="DS42" s="7">
        <f>IF(9=0,personal_retiroInicial,DS41)*(1+g_ret)+(O42+P42+DH42)*(1+g_ret/2)</f>
        <v/>
      </c>
      <c r="DT42" s="7">
        <f>IF(BB42=1,BL42*(1+g_appr),0)</f>
        <v/>
      </c>
      <c r="DU42" s="7">
        <f>BP42-DJ42</f>
        <v/>
      </c>
      <c r="DV42" s="7">
        <f>BT42-(DI42-DJ42)</f>
        <v/>
      </c>
      <c r="DW42" s="7">
        <f>CP42+DN42</f>
        <v/>
      </c>
      <c r="DX42" s="7">
        <f>IF(DN42&gt;0,(CP42*CF42+DN42*prestamos_tasaFederalPosgrado)/(CP42+DN42),CF42)</f>
        <v/>
      </c>
      <c r="DY42" s="7">
        <f>IF(DN42&gt;0,0,CQ42)</f>
        <v/>
      </c>
      <c r="DZ42" s="7">
        <f>DM42+DN42</f>
        <v/>
      </c>
      <c r="EA42" s="7">
        <f>CV42+DO42</f>
        <v/>
      </c>
      <c r="EB42" s="7">
        <f>IF(DO42&gt;0,(CV42*CS42+DO42*prestamos_tasaPrivada)/(CV42+DO42),CS42)</f>
        <v/>
      </c>
      <c r="EC42" s="7">
        <f>IF(DO42&gt;0,0,CW42)</f>
        <v/>
      </c>
      <c r="ED42" s="7">
        <f>CX42-DE42+DP42</f>
        <v/>
      </c>
      <c r="EE42" s="7">
        <f>IF(IF(9=0,"",EE41)&lt;&gt;"",EE41,IF(AND(BB42=1,DU42&lt;=0.5,DV42&lt;=0.5,OR(BH42=0,BJ42=1)),A42,""))</f>
        <v/>
      </c>
      <c r="EF42" s="7">
        <f>DU42+DV42+DW42+EA42+ED42+CD42</f>
        <v/>
      </c>
      <c r="EG42" s="7">
        <f>DR42+DS42+DT42-EF42</f>
        <v/>
      </c>
      <c r="EH42" s="7">
        <f>EG42/(1+g_inf)^(A42+1-2026)</f>
        <v/>
      </c>
    </row>
    <row r="43">
      <c r="A43" t="n">
        <v>2037</v>
      </c>
      <c r="B43" t="n">
        <v>10</v>
      </c>
      <c r="C43" s="7">
        <f>(1+g_inf)^(A43-2026)</f>
        <v/>
      </c>
      <c r="D43" s="7">
        <f>SUMPRODUCT($AD$5:$AD$29,$E$5:$E$29*(1+$F$5:$F$29)^(A43-2026)*$G$5:$G$29*$H$5:$H$29*(1-$N$5:$N$29*$O$5:$O$29))*g_salMult+SUMPRODUCT(($B$5:$B$29&gt;=A43)*($B$5:$B$29&lt;A43+1)*$I$5:$I$29)*g_salMult</f>
        <v/>
      </c>
      <c r="E43" s="7">
        <f>SUMPRODUCT($AD$5:$AD$29,$E$5:$E$29*(1+$F$5:$F$29)^(A43-2026)*$G$5:$G$29*$H$5:$H$29*$M$5:$M$29)*g_salMult</f>
        <v/>
      </c>
      <c r="F43" s="7">
        <f>SUMPRODUCT($AD$5:$AD$29,$E$5:$E$29*(1+$F$5:$F$29)^(A43-2026)*$G$5:$G$29*$H$5:$H$29*$N$5:$N$29*$O$5:$O$29)*g_salMult</f>
        <v/>
      </c>
      <c r="G43" s="7">
        <f>SUMPRODUCT($AD$5:$AD$29,$P$5:$P$29*(1+$F$5:$F$29)^(A43-2026))</f>
        <v/>
      </c>
      <c r="H43" s="7">
        <f>SUMPRODUCT($AD$5:$AD$29,$Q$5:$Q$29*(1+$F$5:$F$29)^(A43-2026))+IF(personal_llcActivo=1,personal_llcNeto*(1+personal_llcCrecimiento)^10,0)</f>
        <v/>
      </c>
      <c r="I43" s="7">
        <f>SUMPRODUCT($AD$5:$AD$29,$J$5:$J$29/($C$5:$C$29-$B$5:$B$29+($C$5:$C$29=$B$5:$B$29)))*C43</f>
        <v/>
      </c>
      <c r="J43" s="7">
        <f>SUMPRODUCT($AD$5:$AD$29,$K$5:$K$29)</f>
        <v/>
      </c>
      <c r="K43" s="7">
        <f>SUMPRODUCT($AD$5:$AD$29,$L$5:$L$29)</f>
        <v/>
      </c>
      <c r="L43" s="7">
        <f>SUMPRODUCT($AD$5:$AD$29,$N$5:$N$29)</f>
        <v/>
      </c>
      <c r="M43" s="7">
        <f>IF(SUMPRODUCT($AD$5:$AD$29,$R$5:$R$29)&gt;0,1,0)</f>
        <v/>
      </c>
      <c r="N43" s="7">
        <f>SUMPRODUCT(($AO$5:$AO$24&gt;=A43)*($AO$5:$AO$24&lt;A43+1)*$AP$5:$AP$24)*C43+IF(10=0,IF(sel_loc&lt;&gt;"miami",personal_costoMudanzaInicial,0),0)</f>
        <v/>
      </c>
      <c r="O43" s="7">
        <f>MIN(personal_aporte403bPct*D43,retiro_limite403b*C43)</f>
        <v/>
      </c>
      <c r="P43" s="7">
        <f>MIN(personal_aporte403bPct,personal_match403bPct)*E43</f>
        <v/>
      </c>
      <c r="Q43" s="7">
        <f>IF(G43&gt;0,MAX(0,G43-impuestos_scorpCostoAnual*C43),0)</f>
        <v/>
      </c>
      <c r="R43" s="7">
        <f>Q43*impuestos_scorpSalarioPct/(1+impuestos_ssTasa+impuestos_medicareTasa)</f>
        <v/>
      </c>
      <c r="S43" s="7">
        <f>impuestos_ssTasa*MIN(R43,MAX(0,impuestos_ssTope*C43-D43))+impuestos_medicareTasa*R43</f>
        <v/>
      </c>
      <c r="T43" s="7">
        <f>Q43-R43-S43</f>
        <v/>
      </c>
      <c r="U43" s="7">
        <f>D43+R43</f>
        <v/>
      </c>
      <c r="V43" s="7">
        <f>H43*0.9235</f>
        <v/>
      </c>
      <c r="W43" s="7">
        <f>IF(H43&gt;0,2*impuestos_ssTasa*MIN(V43,MAX(0,impuestos_ssTope*C43-U43))+2*impuestos_medicareTasa*V43,0)</f>
        <v/>
      </c>
      <c r="X43" s="7">
        <f>impuestos_ssTasa*MIN(U43,impuestos_ssTope*C43)+impuestos_medicareTasa*U43+impuestos_medicareAdicional*MAX(0,U43+H43*0.9235-impuestos_medicareUmbral)</f>
        <v/>
      </c>
      <c r="Y43" s="7">
        <f>MAX(0,D43-O43+R43+T43+H43-W43/2)</f>
        <v/>
      </c>
      <c r="Z43" s="7">
        <f>MAX(0,Y43-impuestos_deduccionEstandar*C43)</f>
        <v/>
      </c>
      <c r="AA43" s="7">
        <f>MIN(0.2*MAX(0,T43+H43-W43/2)*MAX(0,MIN(1,1-(Z43-impuestos_qbiUmbral*C43)/(impuestos_qbiRango*C43))),0.2*Z43)</f>
        <v/>
      </c>
      <c r="AB43" s="7">
        <f>MAX(0,Z43-AA43)</f>
        <v/>
      </c>
      <c r="AC43" s="7">
        <f>SUMPRODUCT((AB43&gt;tb_federalBrackets_lo*C43)*(AB43-tb_federalBrackets_lo*C43)*tb_federalBrackets_dr)</f>
        <v/>
      </c>
      <c r="AD43" s="7">
        <f>MAX(0,Y43-impuestos_nyDeduccion*C43)</f>
        <v/>
      </c>
      <c r="AE43" s="7">
        <f>CHOOSE(loc_taxcode,0,impuestos_ohTasa*MAX(0,Y43-impuestos_ohExento*C43)+impuestos_ohMunicipal*U43,SUMPRODUCT((AD43&gt;tb_nyBrackets_lo*C43)*(AD43-tb_nyBrackets_lo*C43)*tb_nyBrackets_dr)+loc_nyc*SUMPRODUCT((AD43&gt;tb_nycBrackets_lo*C43)*(AD43-tb_nycBrackets_lo*C43)*tb_nycBrackets_dr))</f>
        <v/>
      </c>
      <c r="AF43" s="7">
        <f>AC43+AE43+X43+W43</f>
        <v/>
      </c>
      <c r="AG43" s="7">
        <f>D43+F43+R43+T43+H43</f>
        <v/>
      </c>
      <c r="AH43" s="7">
        <f>AG43-AF43-O43</f>
        <v/>
      </c>
      <c r="AI43" s="7">
        <f>D43+F43+G43+H43</f>
        <v/>
      </c>
      <c r="AJ43" s="7">
        <f>loc_gastosVida*C43*g_gastos</f>
        <v/>
      </c>
      <c r="AK43" s="7">
        <f>IF(10=0,personal_liquidoInicial,DR42)</f>
        <v/>
      </c>
      <c r="AL43" s="7">
        <f>IF(10=0,0,BB42)</f>
        <v/>
      </c>
      <c r="AM43" s="7">
        <f>CHOOSE(sel_cfgIdx,loc_precio_duplex,loc_precio_inlaw,loc_precio_dosCasas,loc_precio_casaAdu,loc_precio_multi)</f>
        <v/>
      </c>
      <c r="AN43" s="7">
        <f>AM43*(1+g_appr)^(A43-2026)</f>
        <v/>
      </c>
      <c r="AO43" s="7">
        <f>IF(AND(M43=1,vivienda_prestamoMedico=1),1,0)</f>
        <v/>
      </c>
      <c r="AP43" s="7">
        <f>IF(AO43=1,0.05,vivienda_enganchePct)</f>
        <v/>
      </c>
      <c r="AQ43" s="7">
        <f>AN43*(1-AP43)</f>
        <v/>
      </c>
      <c r="AR43" s="7">
        <f>PMT(g_mortRate/12,vivienda_plazoHipoteca*12,-AQ43)</f>
        <v/>
      </c>
      <c r="AS43" s="7">
        <f>INDEX(cfg_units,sel_cfgIdx)</f>
        <v/>
      </c>
      <c r="AT43" s="7">
        <f>AS43*loc_rentaUnidad*(1+g_inf)^(A43-2026)*(1-vivienda_vacancia)</f>
        <v/>
      </c>
      <c r="AU43" s="7">
        <f>AR43+AN43*loc_impuestoPropPct/12+AM43*loc_seguroPct*(1+vivienda_inflacionSeguro)^(A43-2026)/12+IF(AND(AO43=0,AP43&lt;0.2),AQ43*vivienda_pmiTasa/12,0)</f>
        <v/>
      </c>
      <c r="AV43" s="7">
        <f>AN43*AP43+AN43*vivienda_cierrePct+general_reservaMeses/12*AJ43</f>
        <v/>
      </c>
      <c r="AW43" s="7">
        <f>(IF(10=0,MIN(personal_irsSaldo,personal_irsPagoMensual*12),MIN(CD42,personal_irsPagoMensual*12))+IF(CE43&gt;0,PMT(CF43,MAX(1,prestamos_plazoAnios-CG43),-CE43),0)+IF(CR43&gt;0,PMT(CS43,MAX(1,prestamos_plazoAnios-CT43),-CR43),0))/12</f>
        <v/>
      </c>
      <c r="AX43" s="7">
        <f>IF(OR(sel_cfg="duplex",sel_cfg="multi",sel_cfg="dosCasas"),0.75*personal_aporteFamiliaMensual,0)</f>
        <v/>
      </c>
      <c r="AY43" s="7">
        <f>AU43-0.75*AT43-AX43+AW43</f>
        <v/>
      </c>
      <c r="AZ43" s="7">
        <f>(D43+G43+H43+0.5*F43)/12</f>
        <v/>
      </c>
      <c r="BA43" s="7">
        <f>IF(AND(AL43=0,A43&gt;=vivienda_anioMinCompra,J43&lt;0.5,AI43&gt;0,AK43&gt;=AV43,AY43&lt;=vivienda_dtiMax*AZ43),1,0)</f>
        <v/>
      </c>
      <c r="BB43" s="7">
        <f>MAX(AL43,BA43)</f>
        <v/>
      </c>
      <c r="BC43" s="7">
        <f>IF(BA43=1,A43,IF(10=0,"",BC42))</f>
        <v/>
      </c>
      <c r="BD43" s="7">
        <f>AK43-IF(BA43=1,AN43*AP43+AN43*vivienda_cierrePct,0)</f>
        <v/>
      </c>
      <c r="BE43" s="7">
        <f>IF(BA43=1,AN43,IF(10=0,0,BE42))</f>
        <v/>
      </c>
      <c r="BF43" s="7">
        <f>IF(BA43=1,AR43,IF(10=0,0,BF42))</f>
        <v/>
      </c>
      <c r="BG43" s="7">
        <f>IF(BA43=1,IF(AND(AO43=0,AP43&lt;0.2),1,0),IF(10=0,0,BY42))</f>
        <v/>
      </c>
      <c r="BH43" s="7">
        <f>IF(sel_cfg="casaAdu",1,0)</f>
        <v/>
      </c>
      <c r="BI43" s="7">
        <f>IF(AND(BB43=1,BH43=1,IF(10=0,0,BJ42)=0,A43&gt;=IF(BC43="",9999,BC43)+vivienda_aduRetrasoAnios),1,0)</f>
        <v/>
      </c>
      <c r="BJ43" s="7">
        <f>MAX(IF(10=0,0,BJ42),BI43)</f>
        <v/>
      </c>
      <c r="BK43" s="7">
        <f>IF(BI43=1,PMT((g_mortRate+0.005)/12,180,-loc_precio_aduCosto*C43),IF(10=0,0,BK42))</f>
        <v/>
      </c>
      <c r="BL43" s="7">
        <f>IF(BA43=1,AN43,IF(10=0,0,DT42))+IF(BI43=1,loc_precio_aduCosto*C43,0)</f>
        <v/>
      </c>
      <c r="BM43" s="7">
        <f>IF(BA43=1,AQ43,IF(10=0,0,DU42))</f>
        <v/>
      </c>
      <c r="BN43" s="7">
        <f>IF(BM43&lt;=0,0,FV(g_mortRate/12,12,BF43,-BM43))</f>
        <v/>
      </c>
      <c r="BO43" s="7">
        <f>IF(BM43&lt;=0,0,12*BF43+MIN(0,BN43))</f>
        <v/>
      </c>
      <c r="BP43" s="7">
        <f>MAX(0,BN43)</f>
        <v/>
      </c>
      <c r="BQ43" s="7">
        <f>IF(BI43=1,loc_precio_aduCosto*C43,IF(10=0,0,DV42))</f>
        <v/>
      </c>
      <c r="BR43" s="7">
        <f>IF(BQ43&lt;=0,0,FV((g_mortRate+0.005)/12,12,BK43,-BQ43))</f>
        <v/>
      </c>
      <c r="BS43" s="7">
        <f>IF(BQ43&lt;=0,0,12*BK43+MIN(0,BR43))</f>
        <v/>
      </c>
      <c r="BT43" s="7">
        <f>MAX(0,BR43)</f>
        <v/>
      </c>
      <c r="BU43" s="7">
        <f>IF(BB43=1,AM43*loc_seguroPct*(1+vivienda_inflacionSeguro)^(A43-2026)*IF(BJ43=1,1+loc_precio_aduCosto/AM43,1),0)</f>
        <v/>
      </c>
      <c r="BV43" s="7">
        <f>BL43*loc_impuestoPropPct</f>
        <v/>
      </c>
      <c r="BW43" s="7">
        <f>BL43*vivienda_mantenimientoPct</f>
        <v/>
      </c>
      <c r="BX43" s="7">
        <f>IF(AND(BG43=1,BP43&gt;0.8*BE43),BE43*(1-vivienda_enganchePct)*vivienda_pmiTasa,0)</f>
        <v/>
      </c>
      <c r="BY43" s="7">
        <f>IF(AND(BG43=1,BP43&gt;0.8*BE43),1,0)</f>
        <v/>
      </c>
      <c r="BZ43" s="7">
        <f>IF(BB43=1,AS43*loc_rentaUnidad*12*C43*(1-vivienda_vacancia)*(1-vivienda_gestionPct),0)</f>
        <v/>
      </c>
      <c r="CA43" s="7">
        <f>IF(BB43=1,BO43+BS43+BU43+BV43+BW43+BX43,loc_rentaMensual*12*C43)</f>
        <v/>
      </c>
      <c r="CB43" s="7">
        <f>IF(BB43=1,personal_aporteFamiliaMensual*12,0)</f>
        <v/>
      </c>
      <c r="CC43" s="7">
        <f>MIN(IF(10=0,personal_irsSaldo,CD42),personal_irsPagoMensual*12)</f>
        <v/>
      </c>
      <c r="CD43" s="7">
        <f>IF(10=0,personal_irsSaldo,CD42)-CC43</f>
        <v/>
      </c>
      <c r="CE43" s="7">
        <f>IF(10=0,IF(personal_deudaEsFederal=1,personal_deudaEstudiantil,0),DW42)</f>
        <v/>
      </c>
      <c r="CF43" s="7">
        <f>IF(10=0,personal_tasaDeudaEstudiantil,DX42)</f>
        <v/>
      </c>
      <c r="CG43" s="7">
        <f>IF(10=0,0,DY42)</f>
        <v/>
      </c>
      <c r="CH43" s="7">
        <f>IF(J43&gt;=0.5,1,0)</f>
        <v/>
      </c>
      <c r="CI43" s="7">
        <f>IF(AND(CH43=0,prestamos_pslfActivo=1,K43&gt;=0.5,CE43&gt;0),1,0)</f>
        <v/>
      </c>
      <c r="CJ43" s="7">
        <f>CE43*CF43</f>
        <v/>
      </c>
      <c r="CK43" s="7">
        <f>MAX(prestamos_rapPagoMinimoAnual,IF(Y43&lt;10000,0,MIN(0.1,INT(Y43/10000)/100))*Y43)</f>
        <v/>
      </c>
      <c r="CL43" s="7">
        <f>IF(CE43&lt;=0,0,IF(CH43=1,0,IF(CI43=1,MIN(CE43+CJ43,CK43),PMT(CF43,MAX(1,prestamos_plazoAnios-CG43),-CE43))))</f>
        <v/>
      </c>
      <c r="CM43" s="7">
        <f>IF(CE43&lt;=0,0,IF(CH43=1,CE43+CJ43,IF(CI43=1,MAX(0,CE43-MAX(CL43-CJ43,MIN(600,CL43))),MAX(0,CE43*(1+CF43)-CL43))))</f>
        <v/>
      </c>
      <c r="CN43" s="7">
        <f>IF(10=0,0,CN42)+IF(CI43=1,12*MIN(1,K43),0)</f>
        <v/>
      </c>
      <c r="CO43" s="7">
        <f>IF(AND(CI43=1,CN43&gt;=prestamos_pslfPagos,CM43&gt;0),CM43,0)</f>
        <v/>
      </c>
      <c r="CP43" s="7">
        <f>CM43-CO43</f>
        <v/>
      </c>
      <c r="CQ43" s="7">
        <f>IF(AND(CE43&gt;0,CH43=0,CI43=0),CG43+1,CG43)</f>
        <v/>
      </c>
      <c r="CR43" s="7">
        <f>IF(10=0,IF(personal_deudaEsFederal=1,0,personal_deudaEstudiantil),EA42)</f>
        <v/>
      </c>
      <c r="CS43" s="7">
        <f>IF(10=0,IF(personal_deudaEsFederal=1,prestamos_tasaPrivada,personal_tasaDeudaEstudiantil),EB42)</f>
        <v/>
      </c>
      <c r="CT43" s="7">
        <f>IF(10=0,0,EC42)</f>
        <v/>
      </c>
      <c r="CU43" s="7">
        <f>IF(OR(CR43&lt;=0,CH43=1),0,PMT(CS43,MAX(1,prestamos_plazoAnios-CT43),-CR43))</f>
        <v/>
      </c>
      <c r="CV43" s="7">
        <f>IF(CR43&lt;=0,0,IF(CH43=1,CR43*(1+CS43),MAX(0,CR43*(1+CS43)-CU43)))</f>
        <v/>
      </c>
      <c r="CW43" s="7">
        <f>IF(AND(CR43&gt;0,CH43=0),CT43+1,CT43)</f>
        <v/>
      </c>
      <c r="CX43" s="7">
        <f>IF(10=0,0,ED42)*(1+general_tasaDeudaConsumo)</f>
        <v/>
      </c>
      <c r="CY43" s="7">
        <f>L43*12*tiempos_travelGastoExtraMes*C43</f>
        <v/>
      </c>
      <c r="CZ43" s="7">
        <f>AJ43+CY43+CA43+CC43+CL43+CU43+I43+N43-BZ43-CB43</f>
        <v/>
      </c>
      <c r="DA43" s="7">
        <f>AH43-CZ43</f>
        <v/>
      </c>
      <c r="DB43" s="7">
        <f>IF(10=0,0,DB42)+DA43</f>
        <v/>
      </c>
      <c r="DC43" s="7">
        <f>AN43*vivienda_enganchePct+AN43*vivienda_cierrePct+general_reservaMeses/12*AJ43</f>
        <v/>
      </c>
      <c r="DD43" s="7">
        <f>IF(BB43=1,g_ret,IF(BD43&gt;0,MIN(1,DC43/BD43),1)*g_cash+(1-IF(BD43&gt;0,MIN(1,DC43/BD43),1))*g_ret)</f>
        <v/>
      </c>
      <c r="DE43" s="7">
        <f>IF(DA43&gt;=0,MIN(CX43,DA43),0)</f>
        <v/>
      </c>
      <c r="DF43" s="7">
        <f>IF(DA43&gt;=0,(1-general_tasaAhorro)*(DA43-DE43),0)</f>
        <v/>
      </c>
      <c r="DG43" s="7">
        <f>IF(DA43&gt;=0,DA43-DE43-DF43,0)</f>
        <v/>
      </c>
      <c r="DH43" s="7">
        <f>MIN(personal_rothAnual,DG43)</f>
        <v/>
      </c>
      <c r="DI43" s="7">
        <f>IF(AND(DA43&gt;=0,BB43=1,BP43+BT43&gt;0),MIN(vivienda_prepagoPct*(DG43-DH43),BP43+BT43),0)</f>
        <v/>
      </c>
      <c r="DJ43" s="7">
        <f>MIN(DI43,BP43)</f>
        <v/>
      </c>
      <c r="DK43" s="7">
        <f>IF(DA43&lt;0,MIN(MAX(0,BD43),-DA43),0)</f>
        <v/>
      </c>
      <c r="DL43" s="7">
        <f>IF(DA43&lt;0,-DA43-DK43,0)</f>
        <v/>
      </c>
      <c r="DM43" s="7">
        <f>IF(10=0,0,DZ42)</f>
        <v/>
      </c>
      <c r="DN43" s="7">
        <f>IF(AND(DL43&gt;0,J43&gt;0),MIN(DL43,MIN(prestamos_topeAnualPosgrado*MIN(1,J43),MAX(0,prestamos_topeTotalPosgrado-DM43))),0)</f>
        <v/>
      </c>
      <c r="DO43" s="7">
        <f>IF(AND(DL43&gt;0,J43&gt;0),DL43-DN43,0)</f>
        <v/>
      </c>
      <c r="DP43" s="7">
        <f>IF(AND(DL43&gt;0,J43&lt;=0),DL43,0)</f>
        <v/>
      </c>
      <c r="DQ43" s="7">
        <f>IF(DA43&gt;=0,DG43-DH43-DI43,-DK43)</f>
        <v/>
      </c>
      <c r="DR43" s="7">
        <f>BD43*(1+DD43)+DQ43*(1+DD43/2)</f>
        <v/>
      </c>
      <c r="DS43" s="7">
        <f>IF(10=0,personal_retiroInicial,DS42)*(1+g_ret)+(O43+P43+DH43)*(1+g_ret/2)</f>
        <v/>
      </c>
      <c r="DT43" s="7">
        <f>IF(BB43=1,BL43*(1+g_appr),0)</f>
        <v/>
      </c>
      <c r="DU43" s="7">
        <f>BP43-DJ43</f>
        <v/>
      </c>
      <c r="DV43" s="7">
        <f>BT43-(DI43-DJ43)</f>
        <v/>
      </c>
      <c r="DW43" s="7">
        <f>CP43+DN43</f>
        <v/>
      </c>
      <c r="DX43" s="7">
        <f>IF(DN43&gt;0,(CP43*CF43+DN43*prestamos_tasaFederalPosgrado)/(CP43+DN43),CF43)</f>
        <v/>
      </c>
      <c r="DY43" s="7">
        <f>IF(DN43&gt;0,0,CQ43)</f>
        <v/>
      </c>
      <c r="DZ43" s="7">
        <f>DM43+DN43</f>
        <v/>
      </c>
      <c r="EA43" s="7">
        <f>CV43+DO43</f>
        <v/>
      </c>
      <c r="EB43" s="7">
        <f>IF(DO43&gt;0,(CV43*CS43+DO43*prestamos_tasaPrivada)/(CV43+DO43),CS43)</f>
        <v/>
      </c>
      <c r="EC43" s="7">
        <f>IF(DO43&gt;0,0,CW43)</f>
        <v/>
      </c>
      <c r="ED43" s="7">
        <f>CX43-DE43+DP43</f>
        <v/>
      </c>
      <c r="EE43" s="7">
        <f>IF(IF(10=0,"",EE42)&lt;&gt;"",EE42,IF(AND(BB43=1,DU43&lt;=0.5,DV43&lt;=0.5,OR(BH43=0,BJ43=1)),A43,""))</f>
        <v/>
      </c>
      <c r="EF43" s="7">
        <f>DU43+DV43+DW43+EA43+ED43+CD43</f>
        <v/>
      </c>
      <c r="EG43" s="7">
        <f>DR43+DS43+DT43-EF43</f>
        <v/>
      </c>
      <c r="EH43" s="7">
        <f>EG43/(1+g_inf)^(A43+1-2026)</f>
        <v/>
      </c>
    </row>
    <row r="44">
      <c r="A44" t="n">
        <v>2038</v>
      </c>
      <c r="B44" t="n">
        <v>11</v>
      </c>
      <c r="C44" s="7">
        <f>(1+g_inf)^(A44-2026)</f>
        <v/>
      </c>
      <c r="D44" s="7">
        <f>SUMPRODUCT($AE$5:$AE$29,$E$5:$E$29*(1+$F$5:$F$29)^(A44-2026)*$G$5:$G$29*$H$5:$H$29*(1-$N$5:$N$29*$O$5:$O$29))*g_salMult+SUMPRODUCT(($B$5:$B$29&gt;=A44)*($B$5:$B$29&lt;A44+1)*$I$5:$I$29)*g_salMult</f>
        <v/>
      </c>
      <c r="E44" s="7">
        <f>SUMPRODUCT($AE$5:$AE$29,$E$5:$E$29*(1+$F$5:$F$29)^(A44-2026)*$G$5:$G$29*$H$5:$H$29*$M$5:$M$29)*g_salMult</f>
        <v/>
      </c>
      <c r="F44" s="7">
        <f>SUMPRODUCT($AE$5:$AE$29,$E$5:$E$29*(1+$F$5:$F$29)^(A44-2026)*$G$5:$G$29*$H$5:$H$29*$N$5:$N$29*$O$5:$O$29)*g_salMult</f>
        <v/>
      </c>
      <c r="G44" s="7">
        <f>SUMPRODUCT($AE$5:$AE$29,$P$5:$P$29*(1+$F$5:$F$29)^(A44-2026))</f>
        <v/>
      </c>
      <c r="H44" s="7">
        <f>SUMPRODUCT($AE$5:$AE$29,$Q$5:$Q$29*(1+$F$5:$F$29)^(A44-2026))+IF(personal_llcActivo=1,personal_llcNeto*(1+personal_llcCrecimiento)^11,0)</f>
        <v/>
      </c>
      <c r="I44" s="7">
        <f>SUMPRODUCT($AE$5:$AE$29,$J$5:$J$29/($C$5:$C$29-$B$5:$B$29+($C$5:$C$29=$B$5:$B$29)))*C44</f>
        <v/>
      </c>
      <c r="J44" s="7">
        <f>SUMPRODUCT($AE$5:$AE$29,$K$5:$K$29)</f>
        <v/>
      </c>
      <c r="K44" s="7">
        <f>SUMPRODUCT($AE$5:$AE$29,$L$5:$L$29)</f>
        <v/>
      </c>
      <c r="L44" s="7">
        <f>SUMPRODUCT($AE$5:$AE$29,$N$5:$N$29)</f>
        <v/>
      </c>
      <c r="M44" s="7">
        <f>IF(SUMPRODUCT($AE$5:$AE$29,$R$5:$R$29)&gt;0,1,0)</f>
        <v/>
      </c>
      <c r="N44" s="7">
        <f>SUMPRODUCT(($AO$5:$AO$24&gt;=A44)*($AO$5:$AO$24&lt;A44+1)*$AP$5:$AP$24)*C44+IF(11=0,IF(sel_loc&lt;&gt;"miami",personal_costoMudanzaInicial,0),0)</f>
        <v/>
      </c>
      <c r="O44" s="7">
        <f>MIN(personal_aporte403bPct*D44,retiro_limite403b*C44)</f>
        <v/>
      </c>
      <c r="P44" s="7">
        <f>MIN(personal_aporte403bPct,personal_match403bPct)*E44</f>
        <v/>
      </c>
      <c r="Q44" s="7">
        <f>IF(G44&gt;0,MAX(0,G44-impuestos_scorpCostoAnual*C44),0)</f>
        <v/>
      </c>
      <c r="R44" s="7">
        <f>Q44*impuestos_scorpSalarioPct/(1+impuestos_ssTasa+impuestos_medicareTasa)</f>
        <v/>
      </c>
      <c r="S44" s="7">
        <f>impuestos_ssTasa*MIN(R44,MAX(0,impuestos_ssTope*C44-D44))+impuestos_medicareTasa*R44</f>
        <v/>
      </c>
      <c r="T44" s="7">
        <f>Q44-R44-S44</f>
        <v/>
      </c>
      <c r="U44" s="7">
        <f>D44+R44</f>
        <v/>
      </c>
      <c r="V44" s="7">
        <f>H44*0.9235</f>
        <v/>
      </c>
      <c r="W44" s="7">
        <f>IF(H44&gt;0,2*impuestos_ssTasa*MIN(V44,MAX(0,impuestos_ssTope*C44-U44))+2*impuestos_medicareTasa*V44,0)</f>
        <v/>
      </c>
      <c r="X44" s="7">
        <f>impuestos_ssTasa*MIN(U44,impuestos_ssTope*C44)+impuestos_medicareTasa*U44+impuestos_medicareAdicional*MAX(0,U44+H44*0.9235-impuestos_medicareUmbral)</f>
        <v/>
      </c>
      <c r="Y44" s="7">
        <f>MAX(0,D44-O44+R44+T44+H44-W44/2)</f>
        <v/>
      </c>
      <c r="Z44" s="7">
        <f>MAX(0,Y44-impuestos_deduccionEstandar*C44)</f>
        <v/>
      </c>
      <c r="AA44" s="7">
        <f>MIN(0.2*MAX(0,T44+H44-W44/2)*MAX(0,MIN(1,1-(Z44-impuestos_qbiUmbral*C44)/(impuestos_qbiRango*C44))),0.2*Z44)</f>
        <v/>
      </c>
      <c r="AB44" s="7">
        <f>MAX(0,Z44-AA44)</f>
        <v/>
      </c>
      <c r="AC44" s="7">
        <f>SUMPRODUCT((AB44&gt;tb_federalBrackets_lo*C44)*(AB44-tb_federalBrackets_lo*C44)*tb_federalBrackets_dr)</f>
        <v/>
      </c>
      <c r="AD44" s="7">
        <f>MAX(0,Y44-impuestos_nyDeduccion*C44)</f>
        <v/>
      </c>
      <c r="AE44" s="7">
        <f>CHOOSE(loc_taxcode,0,impuestos_ohTasa*MAX(0,Y44-impuestos_ohExento*C44)+impuestos_ohMunicipal*U44,SUMPRODUCT((AD44&gt;tb_nyBrackets_lo*C44)*(AD44-tb_nyBrackets_lo*C44)*tb_nyBrackets_dr)+loc_nyc*SUMPRODUCT((AD44&gt;tb_nycBrackets_lo*C44)*(AD44-tb_nycBrackets_lo*C44)*tb_nycBrackets_dr))</f>
        <v/>
      </c>
      <c r="AF44" s="7">
        <f>AC44+AE44+X44+W44</f>
        <v/>
      </c>
      <c r="AG44" s="7">
        <f>D44+F44+R44+T44+H44</f>
        <v/>
      </c>
      <c r="AH44" s="7">
        <f>AG44-AF44-O44</f>
        <v/>
      </c>
      <c r="AI44" s="7">
        <f>D44+F44+G44+H44</f>
        <v/>
      </c>
      <c r="AJ44" s="7">
        <f>loc_gastosVida*C44*g_gastos</f>
        <v/>
      </c>
      <c r="AK44" s="7">
        <f>IF(11=0,personal_liquidoInicial,DR43)</f>
        <v/>
      </c>
      <c r="AL44" s="7">
        <f>IF(11=0,0,BB43)</f>
        <v/>
      </c>
      <c r="AM44" s="7">
        <f>CHOOSE(sel_cfgIdx,loc_precio_duplex,loc_precio_inlaw,loc_precio_dosCasas,loc_precio_casaAdu,loc_precio_multi)</f>
        <v/>
      </c>
      <c r="AN44" s="7">
        <f>AM44*(1+g_appr)^(A44-2026)</f>
        <v/>
      </c>
      <c r="AO44" s="7">
        <f>IF(AND(M44=1,vivienda_prestamoMedico=1),1,0)</f>
        <v/>
      </c>
      <c r="AP44" s="7">
        <f>IF(AO44=1,0.05,vivienda_enganchePct)</f>
        <v/>
      </c>
      <c r="AQ44" s="7">
        <f>AN44*(1-AP44)</f>
        <v/>
      </c>
      <c r="AR44" s="7">
        <f>PMT(g_mortRate/12,vivienda_plazoHipoteca*12,-AQ44)</f>
        <v/>
      </c>
      <c r="AS44" s="7">
        <f>INDEX(cfg_units,sel_cfgIdx)</f>
        <v/>
      </c>
      <c r="AT44" s="7">
        <f>AS44*loc_rentaUnidad*(1+g_inf)^(A44-2026)*(1-vivienda_vacancia)</f>
        <v/>
      </c>
      <c r="AU44" s="7">
        <f>AR44+AN44*loc_impuestoPropPct/12+AM44*loc_seguroPct*(1+vivienda_inflacionSeguro)^(A44-2026)/12+IF(AND(AO44=0,AP44&lt;0.2),AQ44*vivienda_pmiTasa/12,0)</f>
        <v/>
      </c>
      <c r="AV44" s="7">
        <f>AN44*AP44+AN44*vivienda_cierrePct+general_reservaMeses/12*AJ44</f>
        <v/>
      </c>
      <c r="AW44" s="7">
        <f>(IF(11=0,MIN(personal_irsSaldo,personal_irsPagoMensual*12),MIN(CD43,personal_irsPagoMensual*12))+IF(CE44&gt;0,PMT(CF44,MAX(1,prestamos_plazoAnios-CG44),-CE44),0)+IF(CR44&gt;0,PMT(CS44,MAX(1,prestamos_plazoAnios-CT44),-CR44),0))/12</f>
        <v/>
      </c>
      <c r="AX44" s="7">
        <f>IF(OR(sel_cfg="duplex",sel_cfg="multi",sel_cfg="dosCasas"),0.75*personal_aporteFamiliaMensual,0)</f>
        <v/>
      </c>
      <c r="AY44" s="7">
        <f>AU44-0.75*AT44-AX44+AW44</f>
        <v/>
      </c>
      <c r="AZ44" s="7">
        <f>(D44+G44+H44+0.5*F44)/12</f>
        <v/>
      </c>
      <c r="BA44" s="7">
        <f>IF(AND(AL44=0,A44&gt;=vivienda_anioMinCompra,J44&lt;0.5,AI44&gt;0,AK44&gt;=AV44,AY44&lt;=vivienda_dtiMax*AZ44),1,0)</f>
        <v/>
      </c>
      <c r="BB44" s="7">
        <f>MAX(AL44,BA44)</f>
        <v/>
      </c>
      <c r="BC44" s="7">
        <f>IF(BA44=1,A44,IF(11=0,"",BC43))</f>
        <v/>
      </c>
      <c r="BD44" s="7">
        <f>AK44-IF(BA44=1,AN44*AP44+AN44*vivienda_cierrePct,0)</f>
        <v/>
      </c>
      <c r="BE44" s="7">
        <f>IF(BA44=1,AN44,IF(11=0,0,BE43))</f>
        <v/>
      </c>
      <c r="BF44" s="7">
        <f>IF(BA44=1,AR44,IF(11=0,0,BF43))</f>
        <v/>
      </c>
      <c r="BG44" s="7">
        <f>IF(BA44=1,IF(AND(AO44=0,AP44&lt;0.2),1,0),IF(11=0,0,BY43))</f>
        <v/>
      </c>
      <c r="BH44" s="7">
        <f>IF(sel_cfg="casaAdu",1,0)</f>
        <v/>
      </c>
      <c r="BI44" s="7">
        <f>IF(AND(BB44=1,BH44=1,IF(11=0,0,BJ43)=0,A44&gt;=IF(BC44="",9999,BC44)+vivienda_aduRetrasoAnios),1,0)</f>
        <v/>
      </c>
      <c r="BJ44" s="7">
        <f>MAX(IF(11=0,0,BJ43),BI44)</f>
        <v/>
      </c>
      <c r="BK44" s="7">
        <f>IF(BI44=1,PMT((g_mortRate+0.005)/12,180,-loc_precio_aduCosto*C44),IF(11=0,0,BK43))</f>
        <v/>
      </c>
      <c r="BL44" s="7">
        <f>IF(BA44=1,AN44,IF(11=0,0,DT43))+IF(BI44=1,loc_precio_aduCosto*C44,0)</f>
        <v/>
      </c>
      <c r="BM44" s="7">
        <f>IF(BA44=1,AQ44,IF(11=0,0,DU43))</f>
        <v/>
      </c>
      <c r="BN44" s="7">
        <f>IF(BM44&lt;=0,0,FV(g_mortRate/12,12,BF44,-BM44))</f>
        <v/>
      </c>
      <c r="BO44" s="7">
        <f>IF(BM44&lt;=0,0,12*BF44+MIN(0,BN44))</f>
        <v/>
      </c>
      <c r="BP44" s="7">
        <f>MAX(0,BN44)</f>
        <v/>
      </c>
      <c r="BQ44" s="7">
        <f>IF(BI44=1,loc_precio_aduCosto*C44,IF(11=0,0,DV43))</f>
        <v/>
      </c>
      <c r="BR44" s="7">
        <f>IF(BQ44&lt;=0,0,FV((g_mortRate+0.005)/12,12,BK44,-BQ44))</f>
        <v/>
      </c>
      <c r="BS44" s="7">
        <f>IF(BQ44&lt;=0,0,12*BK44+MIN(0,BR44))</f>
        <v/>
      </c>
      <c r="BT44" s="7">
        <f>MAX(0,BR44)</f>
        <v/>
      </c>
      <c r="BU44" s="7">
        <f>IF(BB44=1,AM44*loc_seguroPct*(1+vivienda_inflacionSeguro)^(A44-2026)*IF(BJ44=1,1+loc_precio_aduCosto/AM44,1),0)</f>
        <v/>
      </c>
      <c r="BV44" s="7">
        <f>BL44*loc_impuestoPropPct</f>
        <v/>
      </c>
      <c r="BW44" s="7">
        <f>BL44*vivienda_mantenimientoPct</f>
        <v/>
      </c>
      <c r="BX44" s="7">
        <f>IF(AND(BG44=1,BP44&gt;0.8*BE44),BE44*(1-vivienda_enganchePct)*vivienda_pmiTasa,0)</f>
        <v/>
      </c>
      <c r="BY44" s="7">
        <f>IF(AND(BG44=1,BP44&gt;0.8*BE44),1,0)</f>
        <v/>
      </c>
      <c r="BZ44" s="7">
        <f>IF(BB44=1,AS44*loc_rentaUnidad*12*C44*(1-vivienda_vacancia)*(1-vivienda_gestionPct),0)</f>
        <v/>
      </c>
      <c r="CA44" s="7">
        <f>IF(BB44=1,BO44+BS44+BU44+BV44+BW44+BX44,loc_rentaMensual*12*C44)</f>
        <v/>
      </c>
      <c r="CB44" s="7">
        <f>IF(BB44=1,personal_aporteFamiliaMensual*12,0)</f>
        <v/>
      </c>
      <c r="CC44" s="7">
        <f>MIN(IF(11=0,personal_irsSaldo,CD43),personal_irsPagoMensual*12)</f>
        <v/>
      </c>
      <c r="CD44" s="7">
        <f>IF(11=0,personal_irsSaldo,CD43)-CC44</f>
        <v/>
      </c>
      <c r="CE44" s="7">
        <f>IF(11=0,IF(personal_deudaEsFederal=1,personal_deudaEstudiantil,0),DW43)</f>
        <v/>
      </c>
      <c r="CF44" s="7">
        <f>IF(11=0,personal_tasaDeudaEstudiantil,DX43)</f>
        <v/>
      </c>
      <c r="CG44" s="7">
        <f>IF(11=0,0,DY43)</f>
        <v/>
      </c>
      <c r="CH44" s="7">
        <f>IF(J44&gt;=0.5,1,0)</f>
        <v/>
      </c>
      <c r="CI44" s="7">
        <f>IF(AND(CH44=0,prestamos_pslfActivo=1,K44&gt;=0.5,CE44&gt;0),1,0)</f>
        <v/>
      </c>
      <c r="CJ44" s="7">
        <f>CE44*CF44</f>
        <v/>
      </c>
      <c r="CK44" s="7">
        <f>MAX(prestamos_rapPagoMinimoAnual,IF(Y44&lt;10000,0,MIN(0.1,INT(Y44/10000)/100))*Y44)</f>
        <v/>
      </c>
      <c r="CL44" s="7">
        <f>IF(CE44&lt;=0,0,IF(CH44=1,0,IF(CI44=1,MIN(CE44+CJ44,CK44),PMT(CF44,MAX(1,prestamos_plazoAnios-CG44),-CE44))))</f>
        <v/>
      </c>
      <c r="CM44" s="7">
        <f>IF(CE44&lt;=0,0,IF(CH44=1,CE44+CJ44,IF(CI44=1,MAX(0,CE44-MAX(CL44-CJ44,MIN(600,CL44))),MAX(0,CE44*(1+CF44)-CL44))))</f>
        <v/>
      </c>
      <c r="CN44" s="7">
        <f>IF(11=0,0,CN43)+IF(CI44=1,12*MIN(1,K44),0)</f>
        <v/>
      </c>
      <c r="CO44" s="7">
        <f>IF(AND(CI44=1,CN44&gt;=prestamos_pslfPagos,CM44&gt;0),CM44,0)</f>
        <v/>
      </c>
      <c r="CP44" s="7">
        <f>CM44-CO44</f>
        <v/>
      </c>
      <c r="CQ44" s="7">
        <f>IF(AND(CE44&gt;0,CH44=0,CI44=0),CG44+1,CG44)</f>
        <v/>
      </c>
      <c r="CR44" s="7">
        <f>IF(11=0,IF(personal_deudaEsFederal=1,0,personal_deudaEstudiantil),EA43)</f>
        <v/>
      </c>
      <c r="CS44" s="7">
        <f>IF(11=0,IF(personal_deudaEsFederal=1,prestamos_tasaPrivada,personal_tasaDeudaEstudiantil),EB43)</f>
        <v/>
      </c>
      <c r="CT44" s="7">
        <f>IF(11=0,0,EC43)</f>
        <v/>
      </c>
      <c r="CU44" s="7">
        <f>IF(OR(CR44&lt;=0,CH44=1),0,PMT(CS44,MAX(1,prestamos_plazoAnios-CT44),-CR44))</f>
        <v/>
      </c>
      <c r="CV44" s="7">
        <f>IF(CR44&lt;=0,0,IF(CH44=1,CR44*(1+CS44),MAX(0,CR44*(1+CS44)-CU44)))</f>
        <v/>
      </c>
      <c r="CW44" s="7">
        <f>IF(AND(CR44&gt;0,CH44=0),CT44+1,CT44)</f>
        <v/>
      </c>
      <c r="CX44" s="7">
        <f>IF(11=0,0,ED43)*(1+general_tasaDeudaConsumo)</f>
        <v/>
      </c>
      <c r="CY44" s="7">
        <f>L44*12*tiempos_travelGastoExtraMes*C44</f>
        <v/>
      </c>
      <c r="CZ44" s="7">
        <f>AJ44+CY44+CA44+CC44+CL44+CU44+I44+N44-BZ44-CB44</f>
        <v/>
      </c>
      <c r="DA44" s="7">
        <f>AH44-CZ44</f>
        <v/>
      </c>
      <c r="DB44" s="7">
        <f>IF(11=0,0,DB43)+DA44</f>
        <v/>
      </c>
      <c r="DC44" s="7">
        <f>AN44*vivienda_enganchePct+AN44*vivienda_cierrePct+general_reservaMeses/12*AJ44</f>
        <v/>
      </c>
      <c r="DD44" s="7">
        <f>IF(BB44=1,g_ret,IF(BD44&gt;0,MIN(1,DC44/BD44),1)*g_cash+(1-IF(BD44&gt;0,MIN(1,DC44/BD44),1))*g_ret)</f>
        <v/>
      </c>
      <c r="DE44" s="7">
        <f>IF(DA44&gt;=0,MIN(CX44,DA44),0)</f>
        <v/>
      </c>
      <c r="DF44" s="7">
        <f>IF(DA44&gt;=0,(1-general_tasaAhorro)*(DA44-DE44),0)</f>
        <v/>
      </c>
      <c r="DG44" s="7">
        <f>IF(DA44&gt;=0,DA44-DE44-DF44,0)</f>
        <v/>
      </c>
      <c r="DH44" s="7">
        <f>MIN(personal_rothAnual,DG44)</f>
        <v/>
      </c>
      <c r="DI44" s="7">
        <f>IF(AND(DA44&gt;=0,BB44=1,BP44+BT44&gt;0),MIN(vivienda_prepagoPct*(DG44-DH44),BP44+BT44),0)</f>
        <v/>
      </c>
      <c r="DJ44" s="7">
        <f>MIN(DI44,BP44)</f>
        <v/>
      </c>
      <c r="DK44" s="7">
        <f>IF(DA44&lt;0,MIN(MAX(0,BD44),-DA44),0)</f>
        <v/>
      </c>
      <c r="DL44" s="7">
        <f>IF(DA44&lt;0,-DA44-DK44,0)</f>
        <v/>
      </c>
      <c r="DM44" s="7">
        <f>IF(11=0,0,DZ43)</f>
        <v/>
      </c>
      <c r="DN44" s="7">
        <f>IF(AND(DL44&gt;0,J44&gt;0),MIN(DL44,MIN(prestamos_topeAnualPosgrado*MIN(1,J44),MAX(0,prestamos_topeTotalPosgrado-DM44))),0)</f>
        <v/>
      </c>
      <c r="DO44" s="7">
        <f>IF(AND(DL44&gt;0,J44&gt;0),DL44-DN44,0)</f>
        <v/>
      </c>
      <c r="DP44" s="7">
        <f>IF(AND(DL44&gt;0,J44&lt;=0),DL44,0)</f>
        <v/>
      </c>
      <c r="DQ44" s="7">
        <f>IF(DA44&gt;=0,DG44-DH44-DI44,-DK44)</f>
        <v/>
      </c>
      <c r="DR44" s="7">
        <f>BD44*(1+DD44)+DQ44*(1+DD44/2)</f>
        <v/>
      </c>
      <c r="DS44" s="7">
        <f>IF(11=0,personal_retiroInicial,DS43)*(1+g_ret)+(O44+P44+DH44)*(1+g_ret/2)</f>
        <v/>
      </c>
      <c r="DT44" s="7">
        <f>IF(BB44=1,BL44*(1+g_appr),0)</f>
        <v/>
      </c>
      <c r="DU44" s="7">
        <f>BP44-DJ44</f>
        <v/>
      </c>
      <c r="DV44" s="7">
        <f>BT44-(DI44-DJ44)</f>
        <v/>
      </c>
      <c r="DW44" s="7">
        <f>CP44+DN44</f>
        <v/>
      </c>
      <c r="DX44" s="7">
        <f>IF(DN44&gt;0,(CP44*CF44+DN44*prestamos_tasaFederalPosgrado)/(CP44+DN44),CF44)</f>
        <v/>
      </c>
      <c r="DY44" s="7">
        <f>IF(DN44&gt;0,0,CQ44)</f>
        <v/>
      </c>
      <c r="DZ44" s="7">
        <f>DM44+DN44</f>
        <v/>
      </c>
      <c r="EA44" s="7">
        <f>CV44+DO44</f>
        <v/>
      </c>
      <c r="EB44" s="7">
        <f>IF(DO44&gt;0,(CV44*CS44+DO44*prestamos_tasaPrivada)/(CV44+DO44),CS44)</f>
        <v/>
      </c>
      <c r="EC44" s="7">
        <f>IF(DO44&gt;0,0,CW44)</f>
        <v/>
      </c>
      <c r="ED44" s="7">
        <f>CX44-DE44+DP44</f>
        <v/>
      </c>
      <c r="EE44" s="7">
        <f>IF(IF(11=0,"",EE43)&lt;&gt;"",EE43,IF(AND(BB44=1,DU44&lt;=0.5,DV44&lt;=0.5,OR(BH44=0,BJ44=1)),A44,""))</f>
        <v/>
      </c>
      <c r="EF44" s="7">
        <f>DU44+DV44+DW44+EA44+ED44+CD44</f>
        <v/>
      </c>
      <c r="EG44" s="7">
        <f>DR44+DS44+DT44-EF44</f>
        <v/>
      </c>
      <c r="EH44" s="7">
        <f>EG44/(1+g_inf)^(A44+1-2026)</f>
        <v/>
      </c>
    </row>
    <row r="45">
      <c r="A45" t="n">
        <v>2039</v>
      </c>
      <c r="B45" t="n">
        <v>12</v>
      </c>
      <c r="C45" s="7">
        <f>(1+g_inf)^(A45-2026)</f>
        <v/>
      </c>
      <c r="D45" s="7">
        <f>SUMPRODUCT($AF$5:$AF$29,$E$5:$E$29*(1+$F$5:$F$29)^(A45-2026)*$G$5:$G$29*$H$5:$H$29*(1-$N$5:$N$29*$O$5:$O$29))*g_salMult+SUMPRODUCT(($B$5:$B$29&gt;=A45)*($B$5:$B$29&lt;A45+1)*$I$5:$I$29)*g_salMult</f>
        <v/>
      </c>
      <c r="E45" s="7">
        <f>SUMPRODUCT($AF$5:$AF$29,$E$5:$E$29*(1+$F$5:$F$29)^(A45-2026)*$G$5:$G$29*$H$5:$H$29*$M$5:$M$29)*g_salMult</f>
        <v/>
      </c>
      <c r="F45" s="7">
        <f>SUMPRODUCT($AF$5:$AF$29,$E$5:$E$29*(1+$F$5:$F$29)^(A45-2026)*$G$5:$G$29*$H$5:$H$29*$N$5:$N$29*$O$5:$O$29)*g_salMult</f>
        <v/>
      </c>
      <c r="G45" s="7">
        <f>SUMPRODUCT($AF$5:$AF$29,$P$5:$P$29*(1+$F$5:$F$29)^(A45-2026))</f>
        <v/>
      </c>
      <c r="H45" s="7">
        <f>SUMPRODUCT($AF$5:$AF$29,$Q$5:$Q$29*(1+$F$5:$F$29)^(A45-2026))+IF(personal_llcActivo=1,personal_llcNeto*(1+personal_llcCrecimiento)^12,0)</f>
        <v/>
      </c>
      <c r="I45" s="7">
        <f>SUMPRODUCT($AF$5:$AF$29,$J$5:$J$29/($C$5:$C$29-$B$5:$B$29+($C$5:$C$29=$B$5:$B$29)))*C45</f>
        <v/>
      </c>
      <c r="J45" s="7">
        <f>SUMPRODUCT($AF$5:$AF$29,$K$5:$K$29)</f>
        <v/>
      </c>
      <c r="K45" s="7">
        <f>SUMPRODUCT($AF$5:$AF$29,$L$5:$L$29)</f>
        <v/>
      </c>
      <c r="L45" s="7">
        <f>SUMPRODUCT($AF$5:$AF$29,$N$5:$N$29)</f>
        <v/>
      </c>
      <c r="M45" s="7">
        <f>IF(SUMPRODUCT($AF$5:$AF$29,$R$5:$R$29)&gt;0,1,0)</f>
        <v/>
      </c>
      <c r="N45" s="7">
        <f>SUMPRODUCT(($AO$5:$AO$24&gt;=A45)*($AO$5:$AO$24&lt;A45+1)*$AP$5:$AP$24)*C45+IF(12=0,IF(sel_loc&lt;&gt;"miami",personal_costoMudanzaInicial,0),0)</f>
        <v/>
      </c>
      <c r="O45" s="7">
        <f>MIN(personal_aporte403bPct*D45,retiro_limite403b*C45)</f>
        <v/>
      </c>
      <c r="P45" s="7">
        <f>MIN(personal_aporte403bPct,personal_match403bPct)*E45</f>
        <v/>
      </c>
      <c r="Q45" s="7">
        <f>IF(G45&gt;0,MAX(0,G45-impuestos_scorpCostoAnual*C45),0)</f>
        <v/>
      </c>
      <c r="R45" s="7">
        <f>Q45*impuestos_scorpSalarioPct/(1+impuestos_ssTasa+impuestos_medicareTasa)</f>
        <v/>
      </c>
      <c r="S45" s="7">
        <f>impuestos_ssTasa*MIN(R45,MAX(0,impuestos_ssTope*C45-D45))+impuestos_medicareTasa*R45</f>
        <v/>
      </c>
      <c r="T45" s="7">
        <f>Q45-R45-S45</f>
        <v/>
      </c>
      <c r="U45" s="7">
        <f>D45+R45</f>
        <v/>
      </c>
      <c r="V45" s="7">
        <f>H45*0.9235</f>
        <v/>
      </c>
      <c r="W45" s="7">
        <f>IF(H45&gt;0,2*impuestos_ssTasa*MIN(V45,MAX(0,impuestos_ssTope*C45-U45))+2*impuestos_medicareTasa*V45,0)</f>
        <v/>
      </c>
      <c r="X45" s="7">
        <f>impuestos_ssTasa*MIN(U45,impuestos_ssTope*C45)+impuestos_medicareTasa*U45+impuestos_medicareAdicional*MAX(0,U45+H45*0.9235-impuestos_medicareUmbral)</f>
        <v/>
      </c>
      <c r="Y45" s="7">
        <f>MAX(0,D45-O45+R45+T45+H45-W45/2)</f>
        <v/>
      </c>
      <c r="Z45" s="7">
        <f>MAX(0,Y45-impuestos_deduccionEstandar*C45)</f>
        <v/>
      </c>
      <c r="AA45" s="7">
        <f>MIN(0.2*MAX(0,T45+H45-W45/2)*MAX(0,MIN(1,1-(Z45-impuestos_qbiUmbral*C45)/(impuestos_qbiRango*C45))),0.2*Z45)</f>
        <v/>
      </c>
      <c r="AB45" s="7">
        <f>MAX(0,Z45-AA45)</f>
        <v/>
      </c>
      <c r="AC45" s="7">
        <f>SUMPRODUCT((AB45&gt;tb_federalBrackets_lo*C45)*(AB45-tb_federalBrackets_lo*C45)*tb_federalBrackets_dr)</f>
        <v/>
      </c>
      <c r="AD45" s="7">
        <f>MAX(0,Y45-impuestos_nyDeduccion*C45)</f>
        <v/>
      </c>
      <c r="AE45" s="7">
        <f>CHOOSE(loc_taxcode,0,impuestos_ohTasa*MAX(0,Y45-impuestos_ohExento*C45)+impuestos_ohMunicipal*U45,SUMPRODUCT((AD45&gt;tb_nyBrackets_lo*C45)*(AD45-tb_nyBrackets_lo*C45)*tb_nyBrackets_dr)+loc_nyc*SUMPRODUCT((AD45&gt;tb_nycBrackets_lo*C45)*(AD45-tb_nycBrackets_lo*C45)*tb_nycBrackets_dr))</f>
        <v/>
      </c>
      <c r="AF45" s="7">
        <f>AC45+AE45+X45+W45</f>
        <v/>
      </c>
      <c r="AG45" s="7">
        <f>D45+F45+R45+T45+H45</f>
        <v/>
      </c>
      <c r="AH45" s="7">
        <f>AG45-AF45-O45</f>
        <v/>
      </c>
      <c r="AI45" s="7">
        <f>D45+F45+G45+H45</f>
        <v/>
      </c>
      <c r="AJ45" s="7">
        <f>loc_gastosVida*C45*g_gastos</f>
        <v/>
      </c>
      <c r="AK45" s="7">
        <f>IF(12=0,personal_liquidoInicial,DR44)</f>
        <v/>
      </c>
      <c r="AL45" s="7">
        <f>IF(12=0,0,BB44)</f>
        <v/>
      </c>
      <c r="AM45" s="7">
        <f>CHOOSE(sel_cfgIdx,loc_precio_duplex,loc_precio_inlaw,loc_precio_dosCasas,loc_precio_casaAdu,loc_precio_multi)</f>
        <v/>
      </c>
      <c r="AN45" s="7">
        <f>AM45*(1+g_appr)^(A45-2026)</f>
        <v/>
      </c>
      <c r="AO45" s="7">
        <f>IF(AND(M45=1,vivienda_prestamoMedico=1),1,0)</f>
        <v/>
      </c>
      <c r="AP45" s="7">
        <f>IF(AO45=1,0.05,vivienda_enganchePct)</f>
        <v/>
      </c>
      <c r="AQ45" s="7">
        <f>AN45*(1-AP45)</f>
        <v/>
      </c>
      <c r="AR45" s="7">
        <f>PMT(g_mortRate/12,vivienda_plazoHipoteca*12,-AQ45)</f>
        <v/>
      </c>
      <c r="AS45" s="7">
        <f>INDEX(cfg_units,sel_cfgIdx)</f>
        <v/>
      </c>
      <c r="AT45" s="7">
        <f>AS45*loc_rentaUnidad*(1+g_inf)^(A45-2026)*(1-vivienda_vacancia)</f>
        <v/>
      </c>
      <c r="AU45" s="7">
        <f>AR45+AN45*loc_impuestoPropPct/12+AM45*loc_seguroPct*(1+vivienda_inflacionSeguro)^(A45-2026)/12+IF(AND(AO45=0,AP45&lt;0.2),AQ45*vivienda_pmiTasa/12,0)</f>
        <v/>
      </c>
      <c r="AV45" s="7">
        <f>AN45*AP45+AN45*vivienda_cierrePct+general_reservaMeses/12*AJ45</f>
        <v/>
      </c>
      <c r="AW45" s="7">
        <f>(IF(12=0,MIN(personal_irsSaldo,personal_irsPagoMensual*12),MIN(CD44,personal_irsPagoMensual*12))+IF(CE45&gt;0,PMT(CF45,MAX(1,prestamos_plazoAnios-CG45),-CE45),0)+IF(CR45&gt;0,PMT(CS45,MAX(1,prestamos_plazoAnios-CT45),-CR45),0))/12</f>
        <v/>
      </c>
      <c r="AX45" s="7">
        <f>IF(OR(sel_cfg="duplex",sel_cfg="multi",sel_cfg="dosCasas"),0.75*personal_aporteFamiliaMensual,0)</f>
        <v/>
      </c>
      <c r="AY45" s="7">
        <f>AU45-0.75*AT45-AX45+AW45</f>
        <v/>
      </c>
      <c r="AZ45" s="7">
        <f>(D45+G45+H45+0.5*F45)/12</f>
        <v/>
      </c>
      <c r="BA45" s="7">
        <f>IF(AND(AL45=0,A45&gt;=vivienda_anioMinCompra,J45&lt;0.5,AI45&gt;0,AK45&gt;=AV45,AY45&lt;=vivienda_dtiMax*AZ45),1,0)</f>
        <v/>
      </c>
      <c r="BB45" s="7">
        <f>MAX(AL45,BA45)</f>
        <v/>
      </c>
      <c r="BC45" s="7">
        <f>IF(BA45=1,A45,IF(12=0,"",BC44))</f>
        <v/>
      </c>
      <c r="BD45" s="7">
        <f>AK45-IF(BA45=1,AN45*AP45+AN45*vivienda_cierrePct,0)</f>
        <v/>
      </c>
      <c r="BE45" s="7">
        <f>IF(BA45=1,AN45,IF(12=0,0,BE44))</f>
        <v/>
      </c>
      <c r="BF45" s="7">
        <f>IF(BA45=1,AR45,IF(12=0,0,BF44))</f>
        <v/>
      </c>
      <c r="BG45" s="7">
        <f>IF(BA45=1,IF(AND(AO45=0,AP45&lt;0.2),1,0),IF(12=0,0,BY44))</f>
        <v/>
      </c>
      <c r="BH45" s="7">
        <f>IF(sel_cfg="casaAdu",1,0)</f>
        <v/>
      </c>
      <c r="BI45" s="7">
        <f>IF(AND(BB45=1,BH45=1,IF(12=0,0,BJ44)=0,A45&gt;=IF(BC45="",9999,BC45)+vivienda_aduRetrasoAnios),1,0)</f>
        <v/>
      </c>
      <c r="BJ45" s="7">
        <f>MAX(IF(12=0,0,BJ44),BI45)</f>
        <v/>
      </c>
      <c r="BK45" s="7">
        <f>IF(BI45=1,PMT((g_mortRate+0.005)/12,180,-loc_precio_aduCosto*C45),IF(12=0,0,BK44))</f>
        <v/>
      </c>
      <c r="BL45" s="7">
        <f>IF(BA45=1,AN45,IF(12=0,0,DT44))+IF(BI45=1,loc_precio_aduCosto*C45,0)</f>
        <v/>
      </c>
      <c r="BM45" s="7">
        <f>IF(BA45=1,AQ45,IF(12=0,0,DU44))</f>
        <v/>
      </c>
      <c r="BN45" s="7">
        <f>IF(BM45&lt;=0,0,FV(g_mortRate/12,12,BF45,-BM45))</f>
        <v/>
      </c>
      <c r="BO45" s="7">
        <f>IF(BM45&lt;=0,0,12*BF45+MIN(0,BN45))</f>
        <v/>
      </c>
      <c r="BP45" s="7">
        <f>MAX(0,BN45)</f>
        <v/>
      </c>
      <c r="BQ45" s="7">
        <f>IF(BI45=1,loc_precio_aduCosto*C45,IF(12=0,0,DV44))</f>
        <v/>
      </c>
      <c r="BR45" s="7">
        <f>IF(BQ45&lt;=0,0,FV((g_mortRate+0.005)/12,12,BK45,-BQ45))</f>
        <v/>
      </c>
      <c r="BS45" s="7">
        <f>IF(BQ45&lt;=0,0,12*BK45+MIN(0,BR45))</f>
        <v/>
      </c>
      <c r="BT45" s="7">
        <f>MAX(0,BR45)</f>
        <v/>
      </c>
      <c r="BU45" s="7">
        <f>IF(BB45=1,AM45*loc_seguroPct*(1+vivienda_inflacionSeguro)^(A45-2026)*IF(BJ45=1,1+loc_precio_aduCosto/AM45,1),0)</f>
        <v/>
      </c>
      <c r="BV45" s="7">
        <f>BL45*loc_impuestoPropPct</f>
        <v/>
      </c>
      <c r="BW45" s="7">
        <f>BL45*vivienda_mantenimientoPct</f>
        <v/>
      </c>
      <c r="BX45" s="7">
        <f>IF(AND(BG45=1,BP45&gt;0.8*BE45),BE45*(1-vivienda_enganchePct)*vivienda_pmiTasa,0)</f>
        <v/>
      </c>
      <c r="BY45" s="7">
        <f>IF(AND(BG45=1,BP45&gt;0.8*BE45),1,0)</f>
        <v/>
      </c>
      <c r="BZ45" s="7">
        <f>IF(BB45=1,AS45*loc_rentaUnidad*12*C45*(1-vivienda_vacancia)*(1-vivienda_gestionPct),0)</f>
        <v/>
      </c>
      <c r="CA45" s="7">
        <f>IF(BB45=1,BO45+BS45+BU45+BV45+BW45+BX45,loc_rentaMensual*12*C45)</f>
        <v/>
      </c>
      <c r="CB45" s="7">
        <f>IF(BB45=1,personal_aporteFamiliaMensual*12,0)</f>
        <v/>
      </c>
      <c r="CC45" s="7">
        <f>MIN(IF(12=0,personal_irsSaldo,CD44),personal_irsPagoMensual*12)</f>
        <v/>
      </c>
      <c r="CD45" s="7">
        <f>IF(12=0,personal_irsSaldo,CD44)-CC45</f>
        <v/>
      </c>
      <c r="CE45" s="7">
        <f>IF(12=0,IF(personal_deudaEsFederal=1,personal_deudaEstudiantil,0),DW44)</f>
        <v/>
      </c>
      <c r="CF45" s="7">
        <f>IF(12=0,personal_tasaDeudaEstudiantil,DX44)</f>
        <v/>
      </c>
      <c r="CG45" s="7">
        <f>IF(12=0,0,DY44)</f>
        <v/>
      </c>
      <c r="CH45" s="7">
        <f>IF(J45&gt;=0.5,1,0)</f>
        <v/>
      </c>
      <c r="CI45" s="7">
        <f>IF(AND(CH45=0,prestamos_pslfActivo=1,K45&gt;=0.5,CE45&gt;0),1,0)</f>
        <v/>
      </c>
      <c r="CJ45" s="7">
        <f>CE45*CF45</f>
        <v/>
      </c>
      <c r="CK45" s="7">
        <f>MAX(prestamos_rapPagoMinimoAnual,IF(Y45&lt;10000,0,MIN(0.1,INT(Y45/10000)/100))*Y45)</f>
        <v/>
      </c>
      <c r="CL45" s="7">
        <f>IF(CE45&lt;=0,0,IF(CH45=1,0,IF(CI45=1,MIN(CE45+CJ45,CK45),PMT(CF45,MAX(1,prestamos_plazoAnios-CG45),-CE45))))</f>
        <v/>
      </c>
      <c r="CM45" s="7">
        <f>IF(CE45&lt;=0,0,IF(CH45=1,CE45+CJ45,IF(CI45=1,MAX(0,CE45-MAX(CL45-CJ45,MIN(600,CL45))),MAX(0,CE45*(1+CF45)-CL45))))</f>
        <v/>
      </c>
      <c r="CN45" s="7">
        <f>IF(12=0,0,CN44)+IF(CI45=1,12*MIN(1,K45),0)</f>
        <v/>
      </c>
      <c r="CO45" s="7">
        <f>IF(AND(CI45=1,CN45&gt;=prestamos_pslfPagos,CM45&gt;0),CM45,0)</f>
        <v/>
      </c>
      <c r="CP45" s="7">
        <f>CM45-CO45</f>
        <v/>
      </c>
      <c r="CQ45" s="7">
        <f>IF(AND(CE45&gt;0,CH45=0,CI45=0),CG45+1,CG45)</f>
        <v/>
      </c>
      <c r="CR45" s="7">
        <f>IF(12=0,IF(personal_deudaEsFederal=1,0,personal_deudaEstudiantil),EA44)</f>
        <v/>
      </c>
      <c r="CS45" s="7">
        <f>IF(12=0,IF(personal_deudaEsFederal=1,prestamos_tasaPrivada,personal_tasaDeudaEstudiantil),EB44)</f>
        <v/>
      </c>
      <c r="CT45" s="7">
        <f>IF(12=0,0,EC44)</f>
        <v/>
      </c>
      <c r="CU45" s="7">
        <f>IF(OR(CR45&lt;=0,CH45=1),0,PMT(CS45,MAX(1,prestamos_plazoAnios-CT45),-CR45))</f>
        <v/>
      </c>
      <c r="CV45" s="7">
        <f>IF(CR45&lt;=0,0,IF(CH45=1,CR45*(1+CS45),MAX(0,CR45*(1+CS45)-CU45)))</f>
        <v/>
      </c>
      <c r="CW45" s="7">
        <f>IF(AND(CR45&gt;0,CH45=0),CT45+1,CT45)</f>
        <v/>
      </c>
      <c r="CX45" s="7">
        <f>IF(12=0,0,ED44)*(1+general_tasaDeudaConsumo)</f>
        <v/>
      </c>
      <c r="CY45" s="7">
        <f>L45*12*tiempos_travelGastoExtraMes*C45</f>
        <v/>
      </c>
      <c r="CZ45" s="7">
        <f>AJ45+CY45+CA45+CC45+CL45+CU45+I45+N45-BZ45-CB45</f>
        <v/>
      </c>
      <c r="DA45" s="7">
        <f>AH45-CZ45</f>
        <v/>
      </c>
      <c r="DB45" s="7">
        <f>IF(12=0,0,DB44)+DA45</f>
        <v/>
      </c>
      <c r="DC45" s="7">
        <f>AN45*vivienda_enganchePct+AN45*vivienda_cierrePct+general_reservaMeses/12*AJ45</f>
        <v/>
      </c>
      <c r="DD45" s="7">
        <f>IF(BB45=1,g_ret,IF(BD45&gt;0,MIN(1,DC45/BD45),1)*g_cash+(1-IF(BD45&gt;0,MIN(1,DC45/BD45),1))*g_ret)</f>
        <v/>
      </c>
      <c r="DE45" s="7">
        <f>IF(DA45&gt;=0,MIN(CX45,DA45),0)</f>
        <v/>
      </c>
      <c r="DF45" s="7">
        <f>IF(DA45&gt;=0,(1-general_tasaAhorro)*(DA45-DE45),0)</f>
        <v/>
      </c>
      <c r="DG45" s="7">
        <f>IF(DA45&gt;=0,DA45-DE45-DF45,0)</f>
        <v/>
      </c>
      <c r="DH45" s="7">
        <f>MIN(personal_rothAnual,DG45)</f>
        <v/>
      </c>
      <c r="DI45" s="7">
        <f>IF(AND(DA45&gt;=0,BB45=1,BP45+BT45&gt;0),MIN(vivienda_prepagoPct*(DG45-DH45),BP45+BT45),0)</f>
        <v/>
      </c>
      <c r="DJ45" s="7">
        <f>MIN(DI45,BP45)</f>
        <v/>
      </c>
      <c r="DK45" s="7">
        <f>IF(DA45&lt;0,MIN(MAX(0,BD45),-DA45),0)</f>
        <v/>
      </c>
      <c r="DL45" s="7">
        <f>IF(DA45&lt;0,-DA45-DK45,0)</f>
        <v/>
      </c>
      <c r="DM45" s="7">
        <f>IF(12=0,0,DZ44)</f>
        <v/>
      </c>
      <c r="DN45" s="7">
        <f>IF(AND(DL45&gt;0,J45&gt;0),MIN(DL45,MIN(prestamos_topeAnualPosgrado*MIN(1,J45),MAX(0,prestamos_topeTotalPosgrado-DM45))),0)</f>
        <v/>
      </c>
      <c r="DO45" s="7">
        <f>IF(AND(DL45&gt;0,J45&gt;0),DL45-DN45,0)</f>
        <v/>
      </c>
      <c r="DP45" s="7">
        <f>IF(AND(DL45&gt;0,J45&lt;=0),DL45,0)</f>
        <v/>
      </c>
      <c r="DQ45" s="7">
        <f>IF(DA45&gt;=0,DG45-DH45-DI45,-DK45)</f>
        <v/>
      </c>
      <c r="DR45" s="7">
        <f>BD45*(1+DD45)+DQ45*(1+DD45/2)</f>
        <v/>
      </c>
      <c r="DS45" s="7">
        <f>IF(12=0,personal_retiroInicial,DS44)*(1+g_ret)+(O45+P45+DH45)*(1+g_ret/2)</f>
        <v/>
      </c>
      <c r="DT45" s="7">
        <f>IF(BB45=1,BL45*(1+g_appr),0)</f>
        <v/>
      </c>
      <c r="DU45" s="7">
        <f>BP45-DJ45</f>
        <v/>
      </c>
      <c r="DV45" s="7">
        <f>BT45-(DI45-DJ45)</f>
        <v/>
      </c>
      <c r="DW45" s="7">
        <f>CP45+DN45</f>
        <v/>
      </c>
      <c r="DX45" s="7">
        <f>IF(DN45&gt;0,(CP45*CF45+DN45*prestamos_tasaFederalPosgrado)/(CP45+DN45),CF45)</f>
        <v/>
      </c>
      <c r="DY45" s="7">
        <f>IF(DN45&gt;0,0,CQ45)</f>
        <v/>
      </c>
      <c r="DZ45" s="7">
        <f>DM45+DN45</f>
        <v/>
      </c>
      <c r="EA45" s="7">
        <f>CV45+DO45</f>
        <v/>
      </c>
      <c r="EB45" s="7">
        <f>IF(DO45&gt;0,(CV45*CS45+DO45*prestamos_tasaPrivada)/(CV45+DO45),CS45)</f>
        <v/>
      </c>
      <c r="EC45" s="7">
        <f>IF(DO45&gt;0,0,CW45)</f>
        <v/>
      </c>
      <c r="ED45" s="7">
        <f>CX45-DE45+DP45</f>
        <v/>
      </c>
      <c r="EE45" s="7">
        <f>IF(IF(12=0,"",EE44)&lt;&gt;"",EE44,IF(AND(BB45=1,DU45&lt;=0.5,DV45&lt;=0.5,OR(BH45=0,BJ45=1)),A45,""))</f>
        <v/>
      </c>
      <c r="EF45" s="7">
        <f>DU45+DV45+DW45+EA45+ED45+CD45</f>
        <v/>
      </c>
      <c r="EG45" s="7">
        <f>DR45+DS45+DT45-EF45</f>
        <v/>
      </c>
      <c r="EH45" s="7">
        <f>EG45/(1+g_inf)^(A45+1-2026)</f>
        <v/>
      </c>
    </row>
    <row r="46">
      <c r="A46" t="n">
        <v>2040</v>
      </c>
      <c r="B46" t="n">
        <v>13</v>
      </c>
      <c r="C46" s="7">
        <f>(1+g_inf)^(A46-2026)</f>
        <v/>
      </c>
      <c r="D46" s="7">
        <f>SUMPRODUCT($AG$5:$AG$29,$E$5:$E$29*(1+$F$5:$F$29)^(A46-2026)*$G$5:$G$29*$H$5:$H$29*(1-$N$5:$N$29*$O$5:$O$29))*g_salMult+SUMPRODUCT(($B$5:$B$29&gt;=A46)*($B$5:$B$29&lt;A46+1)*$I$5:$I$29)*g_salMult</f>
        <v/>
      </c>
      <c r="E46" s="7">
        <f>SUMPRODUCT($AG$5:$AG$29,$E$5:$E$29*(1+$F$5:$F$29)^(A46-2026)*$G$5:$G$29*$H$5:$H$29*$M$5:$M$29)*g_salMult</f>
        <v/>
      </c>
      <c r="F46" s="7">
        <f>SUMPRODUCT($AG$5:$AG$29,$E$5:$E$29*(1+$F$5:$F$29)^(A46-2026)*$G$5:$G$29*$H$5:$H$29*$N$5:$N$29*$O$5:$O$29)*g_salMult</f>
        <v/>
      </c>
      <c r="G46" s="7">
        <f>SUMPRODUCT($AG$5:$AG$29,$P$5:$P$29*(1+$F$5:$F$29)^(A46-2026))</f>
        <v/>
      </c>
      <c r="H46" s="7">
        <f>SUMPRODUCT($AG$5:$AG$29,$Q$5:$Q$29*(1+$F$5:$F$29)^(A46-2026))+IF(personal_llcActivo=1,personal_llcNeto*(1+personal_llcCrecimiento)^13,0)</f>
        <v/>
      </c>
      <c r="I46" s="7">
        <f>SUMPRODUCT($AG$5:$AG$29,$J$5:$J$29/($C$5:$C$29-$B$5:$B$29+($C$5:$C$29=$B$5:$B$29)))*C46</f>
        <v/>
      </c>
      <c r="J46" s="7">
        <f>SUMPRODUCT($AG$5:$AG$29,$K$5:$K$29)</f>
        <v/>
      </c>
      <c r="K46" s="7">
        <f>SUMPRODUCT($AG$5:$AG$29,$L$5:$L$29)</f>
        <v/>
      </c>
      <c r="L46" s="7">
        <f>SUMPRODUCT($AG$5:$AG$29,$N$5:$N$29)</f>
        <v/>
      </c>
      <c r="M46" s="7">
        <f>IF(SUMPRODUCT($AG$5:$AG$29,$R$5:$R$29)&gt;0,1,0)</f>
        <v/>
      </c>
      <c r="N46" s="7">
        <f>SUMPRODUCT(($AO$5:$AO$24&gt;=A46)*($AO$5:$AO$24&lt;A46+1)*$AP$5:$AP$24)*C46+IF(13=0,IF(sel_loc&lt;&gt;"miami",personal_costoMudanzaInicial,0),0)</f>
        <v/>
      </c>
      <c r="O46" s="7">
        <f>MIN(personal_aporte403bPct*D46,retiro_limite403b*C46)</f>
        <v/>
      </c>
      <c r="P46" s="7">
        <f>MIN(personal_aporte403bPct,personal_match403bPct)*E46</f>
        <v/>
      </c>
      <c r="Q46" s="7">
        <f>IF(G46&gt;0,MAX(0,G46-impuestos_scorpCostoAnual*C46),0)</f>
        <v/>
      </c>
      <c r="R46" s="7">
        <f>Q46*impuestos_scorpSalarioPct/(1+impuestos_ssTasa+impuestos_medicareTasa)</f>
        <v/>
      </c>
      <c r="S46" s="7">
        <f>impuestos_ssTasa*MIN(R46,MAX(0,impuestos_ssTope*C46-D46))+impuestos_medicareTasa*R46</f>
        <v/>
      </c>
      <c r="T46" s="7">
        <f>Q46-R46-S46</f>
        <v/>
      </c>
      <c r="U46" s="7">
        <f>D46+R46</f>
        <v/>
      </c>
      <c r="V46" s="7">
        <f>H46*0.9235</f>
        <v/>
      </c>
      <c r="W46" s="7">
        <f>IF(H46&gt;0,2*impuestos_ssTasa*MIN(V46,MAX(0,impuestos_ssTope*C46-U46))+2*impuestos_medicareTasa*V46,0)</f>
        <v/>
      </c>
      <c r="X46" s="7">
        <f>impuestos_ssTasa*MIN(U46,impuestos_ssTope*C46)+impuestos_medicareTasa*U46+impuestos_medicareAdicional*MAX(0,U46+H46*0.9235-impuestos_medicareUmbral)</f>
        <v/>
      </c>
      <c r="Y46" s="7">
        <f>MAX(0,D46-O46+R46+T46+H46-W46/2)</f>
        <v/>
      </c>
      <c r="Z46" s="7">
        <f>MAX(0,Y46-impuestos_deduccionEstandar*C46)</f>
        <v/>
      </c>
      <c r="AA46" s="7">
        <f>MIN(0.2*MAX(0,T46+H46-W46/2)*MAX(0,MIN(1,1-(Z46-impuestos_qbiUmbral*C46)/(impuestos_qbiRango*C46))),0.2*Z46)</f>
        <v/>
      </c>
      <c r="AB46" s="7">
        <f>MAX(0,Z46-AA46)</f>
        <v/>
      </c>
      <c r="AC46" s="7">
        <f>SUMPRODUCT((AB46&gt;tb_federalBrackets_lo*C46)*(AB46-tb_federalBrackets_lo*C46)*tb_federalBrackets_dr)</f>
        <v/>
      </c>
      <c r="AD46" s="7">
        <f>MAX(0,Y46-impuestos_nyDeduccion*C46)</f>
        <v/>
      </c>
      <c r="AE46" s="7">
        <f>CHOOSE(loc_taxcode,0,impuestos_ohTasa*MAX(0,Y46-impuestos_ohExento*C46)+impuestos_ohMunicipal*U46,SUMPRODUCT((AD46&gt;tb_nyBrackets_lo*C46)*(AD46-tb_nyBrackets_lo*C46)*tb_nyBrackets_dr)+loc_nyc*SUMPRODUCT((AD46&gt;tb_nycBrackets_lo*C46)*(AD46-tb_nycBrackets_lo*C46)*tb_nycBrackets_dr))</f>
        <v/>
      </c>
      <c r="AF46" s="7">
        <f>AC46+AE46+X46+W46</f>
        <v/>
      </c>
      <c r="AG46" s="7">
        <f>D46+F46+R46+T46+H46</f>
        <v/>
      </c>
      <c r="AH46" s="7">
        <f>AG46-AF46-O46</f>
        <v/>
      </c>
      <c r="AI46" s="7">
        <f>D46+F46+G46+H46</f>
        <v/>
      </c>
      <c r="AJ46" s="7">
        <f>loc_gastosVida*C46*g_gastos</f>
        <v/>
      </c>
      <c r="AK46" s="7">
        <f>IF(13=0,personal_liquidoInicial,DR45)</f>
        <v/>
      </c>
      <c r="AL46" s="7">
        <f>IF(13=0,0,BB45)</f>
        <v/>
      </c>
      <c r="AM46" s="7">
        <f>CHOOSE(sel_cfgIdx,loc_precio_duplex,loc_precio_inlaw,loc_precio_dosCasas,loc_precio_casaAdu,loc_precio_multi)</f>
        <v/>
      </c>
      <c r="AN46" s="7">
        <f>AM46*(1+g_appr)^(A46-2026)</f>
        <v/>
      </c>
      <c r="AO46" s="7">
        <f>IF(AND(M46=1,vivienda_prestamoMedico=1),1,0)</f>
        <v/>
      </c>
      <c r="AP46" s="7">
        <f>IF(AO46=1,0.05,vivienda_enganchePct)</f>
        <v/>
      </c>
      <c r="AQ46" s="7">
        <f>AN46*(1-AP46)</f>
        <v/>
      </c>
      <c r="AR46" s="7">
        <f>PMT(g_mortRate/12,vivienda_plazoHipoteca*12,-AQ46)</f>
        <v/>
      </c>
      <c r="AS46" s="7">
        <f>INDEX(cfg_units,sel_cfgIdx)</f>
        <v/>
      </c>
      <c r="AT46" s="7">
        <f>AS46*loc_rentaUnidad*(1+g_inf)^(A46-2026)*(1-vivienda_vacancia)</f>
        <v/>
      </c>
      <c r="AU46" s="7">
        <f>AR46+AN46*loc_impuestoPropPct/12+AM46*loc_seguroPct*(1+vivienda_inflacionSeguro)^(A46-2026)/12+IF(AND(AO46=0,AP46&lt;0.2),AQ46*vivienda_pmiTasa/12,0)</f>
        <v/>
      </c>
      <c r="AV46" s="7">
        <f>AN46*AP46+AN46*vivienda_cierrePct+general_reservaMeses/12*AJ46</f>
        <v/>
      </c>
      <c r="AW46" s="7">
        <f>(IF(13=0,MIN(personal_irsSaldo,personal_irsPagoMensual*12),MIN(CD45,personal_irsPagoMensual*12))+IF(CE46&gt;0,PMT(CF46,MAX(1,prestamos_plazoAnios-CG46),-CE46),0)+IF(CR46&gt;0,PMT(CS46,MAX(1,prestamos_plazoAnios-CT46),-CR46),0))/12</f>
        <v/>
      </c>
      <c r="AX46" s="7">
        <f>IF(OR(sel_cfg="duplex",sel_cfg="multi",sel_cfg="dosCasas"),0.75*personal_aporteFamiliaMensual,0)</f>
        <v/>
      </c>
      <c r="AY46" s="7">
        <f>AU46-0.75*AT46-AX46+AW46</f>
        <v/>
      </c>
      <c r="AZ46" s="7">
        <f>(D46+G46+H46+0.5*F46)/12</f>
        <v/>
      </c>
      <c r="BA46" s="7">
        <f>IF(AND(AL46=0,A46&gt;=vivienda_anioMinCompra,J46&lt;0.5,AI46&gt;0,AK46&gt;=AV46,AY46&lt;=vivienda_dtiMax*AZ46),1,0)</f>
        <v/>
      </c>
      <c r="BB46" s="7">
        <f>MAX(AL46,BA46)</f>
        <v/>
      </c>
      <c r="BC46" s="7">
        <f>IF(BA46=1,A46,IF(13=0,"",BC45))</f>
        <v/>
      </c>
      <c r="BD46" s="7">
        <f>AK46-IF(BA46=1,AN46*AP46+AN46*vivienda_cierrePct,0)</f>
        <v/>
      </c>
      <c r="BE46" s="7">
        <f>IF(BA46=1,AN46,IF(13=0,0,BE45))</f>
        <v/>
      </c>
      <c r="BF46" s="7">
        <f>IF(BA46=1,AR46,IF(13=0,0,BF45))</f>
        <v/>
      </c>
      <c r="BG46" s="7">
        <f>IF(BA46=1,IF(AND(AO46=0,AP46&lt;0.2),1,0),IF(13=0,0,BY45))</f>
        <v/>
      </c>
      <c r="BH46" s="7">
        <f>IF(sel_cfg="casaAdu",1,0)</f>
        <v/>
      </c>
      <c r="BI46" s="7">
        <f>IF(AND(BB46=1,BH46=1,IF(13=0,0,BJ45)=0,A46&gt;=IF(BC46="",9999,BC46)+vivienda_aduRetrasoAnios),1,0)</f>
        <v/>
      </c>
      <c r="BJ46" s="7">
        <f>MAX(IF(13=0,0,BJ45),BI46)</f>
        <v/>
      </c>
      <c r="BK46" s="7">
        <f>IF(BI46=1,PMT((g_mortRate+0.005)/12,180,-loc_precio_aduCosto*C46),IF(13=0,0,BK45))</f>
        <v/>
      </c>
      <c r="BL46" s="7">
        <f>IF(BA46=1,AN46,IF(13=0,0,DT45))+IF(BI46=1,loc_precio_aduCosto*C46,0)</f>
        <v/>
      </c>
      <c r="BM46" s="7">
        <f>IF(BA46=1,AQ46,IF(13=0,0,DU45))</f>
        <v/>
      </c>
      <c r="BN46" s="7">
        <f>IF(BM46&lt;=0,0,FV(g_mortRate/12,12,BF46,-BM46))</f>
        <v/>
      </c>
      <c r="BO46" s="7">
        <f>IF(BM46&lt;=0,0,12*BF46+MIN(0,BN46))</f>
        <v/>
      </c>
      <c r="BP46" s="7">
        <f>MAX(0,BN46)</f>
        <v/>
      </c>
      <c r="BQ46" s="7">
        <f>IF(BI46=1,loc_precio_aduCosto*C46,IF(13=0,0,DV45))</f>
        <v/>
      </c>
      <c r="BR46" s="7">
        <f>IF(BQ46&lt;=0,0,FV((g_mortRate+0.005)/12,12,BK46,-BQ46))</f>
        <v/>
      </c>
      <c r="BS46" s="7">
        <f>IF(BQ46&lt;=0,0,12*BK46+MIN(0,BR46))</f>
        <v/>
      </c>
      <c r="BT46" s="7">
        <f>MAX(0,BR46)</f>
        <v/>
      </c>
      <c r="BU46" s="7">
        <f>IF(BB46=1,AM46*loc_seguroPct*(1+vivienda_inflacionSeguro)^(A46-2026)*IF(BJ46=1,1+loc_precio_aduCosto/AM46,1),0)</f>
        <v/>
      </c>
      <c r="BV46" s="7">
        <f>BL46*loc_impuestoPropPct</f>
        <v/>
      </c>
      <c r="BW46" s="7">
        <f>BL46*vivienda_mantenimientoPct</f>
        <v/>
      </c>
      <c r="BX46" s="7">
        <f>IF(AND(BG46=1,BP46&gt;0.8*BE46),BE46*(1-vivienda_enganchePct)*vivienda_pmiTasa,0)</f>
        <v/>
      </c>
      <c r="BY46" s="7">
        <f>IF(AND(BG46=1,BP46&gt;0.8*BE46),1,0)</f>
        <v/>
      </c>
      <c r="BZ46" s="7">
        <f>IF(BB46=1,AS46*loc_rentaUnidad*12*C46*(1-vivienda_vacancia)*(1-vivienda_gestionPct),0)</f>
        <v/>
      </c>
      <c r="CA46" s="7">
        <f>IF(BB46=1,BO46+BS46+BU46+BV46+BW46+BX46,loc_rentaMensual*12*C46)</f>
        <v/>
      </c>
      <c r="CB46" s="7">
        <f>IF(BB46=1,personal_aporteFamiliaMensual*12,0)</f>
        <v/>
      </c>
      <c r="CC46" s="7">
        <f>MIN(IF(13=0,personal_irsSaldo,CD45),personal_irsPagoMensual*12)</f>
        <v/>
      </c>
      <c r="CD46" s="7">
        <f>IF(13=0,personal_irsSaldo,CD45)-CC46</f>
        <v/>
      </c>
      <c r="CE46" s="7">
        <f>IF(13=0,IF(personal_deudaEsFederal=1,personal_deudaEstudiantil,0),DW45)</f>
        <v/>
      </c>
      <c r="CF46" s="7">
        <f>IF(13=0,personal_tasaDeudaEstudiantil,DX45)</f>
        <v/>
      </c>
      <c r="CG46" s="7">
        <f>IF(13=0,0,DY45)</f>
        <v/>
      </c>
      <c r="CH46" s="7">
        <f>IF(J46&gt;=0.5,1,0)</f>
        <v/>
      </c>
      <c r="CI46" s="7">
        <f>IF(AND(CH46=0,prestamos_pslfActivo=1,K46&gt;=0.5,CE46&gt;0),1,0)</f>
        <v/>
      </c>
      <c r="CJ46" s="7">
        <f>CE46*CF46</f>
        <v/>
      </c>
      <c r="CK46" s="7">
        <f>MAX(prestamos_rapPagoMinimoAnual,IF(Y46&lt;10000,0,MIN(0.1,INT(Y46/10000)/100))*Y46)</f>
        <v/>
      </c>
      <c r="CL46" s="7">
        <f>IF(CE46&lt;=0,0,IF(CH46=1,0,IF(CI46=1,MIN(CE46+CJ46,CK46),PMT(CF46,MAX(1,prestamos_plazoAnios-CG46),-CE46))))</f>
        <v/>
      </c>
      <c r="CM46" s="7">
        <f>IF(CE46&lt;=0,0,IF(CH46=1,CE46+CJ46,IF(CI46=1,MAX(0,CE46-MAX(CL46-CJ46,MIN(600,CL46))),MAX(0,CE46*(1+CF46)-CL46))))</f>
        <v/>
      </c>
      <c r="CN46" s="7">
        <f>IF(13=0,0,CN45)+IF(CI46=1,12*MIN(1,K46),0)</f>
        <v/>
      </c>
      <c r="CO46" s="7">
        <f>IF(AND(CI46=1,CN46&gt;=prestamos_pslfPagos,CM46&gt;0),CM46,0)</f>
        <v/>
      </c>
      <c r="CP46" s="7">
        <f>CM46-CO46</f>
        <v/>
      </c>
      <c r="CQ46" s="7">
        <f>IF(AND(CE46&gt;0,CH46=0,CI46=0),CG46+1,CG46)</f>
        <v/>
      </c>
      <c r="CR46" s="7">
        <f>IF(13=0,IF(personal_deudaEsFederal=1,0,personal_deudaEstudiantil),EA45)</f>
        <v/>
      </c>
      <c r="CS46" s="7">
        <f>IF(13=0,IF(personal_deudaEsFederal=1,prestamos_tasaPrivada,personal_tasaDeudaEstudiantil),EB45)</f>
        <v/>
      </c>
      <c r="CT46" s="7">
        <f>IF(13=0,0,EC45)</f>
        <v/>
      </c>
      <c r="CU46" s="7">
        <f>IF(OR(CR46&lt;=0,CH46=1),0,PMT(CS46,MAX(1,prestamos_plazoAnios-CT46),-CR46))</f>
        <v/>
      </c>
      <c r="CV46" s="7">
        <f>IF(CR46&lt;=0,0,IF(CH46=1,CR46*(1+CS46),MAX(0,CR46*(1+CS46)-CU46)))</f>
        <v/>
      </c>
      <c r="CW46" s="7">
        <f>IF(AND(CR46&gt;0,CH46=0),CT46+1,CT46)</f>
        <v/>
      </c>
      <c r="CX46" s="7">
        <f>IF(13=0,0,ED45)*(1+general_tasaDeudaConsumo)</f>
        <v/>
      </c>
      <c r="CY46" s="7">
        <f>L46*12*tiempos_travelGastoExtraMes*C46</f>
        <v/>
      </c>
      <c r="CZ46" s="7">
        <f>AJ46+CY46+CA46+CC46+CL46+CU46+I46+N46-BZ46-CB46</f>
        <v/>
      </c>
      <c r="DA46" s="7">
        <f>AH46-CZ46</f>
        <v/>
      </c>
      <c r="DB46" s="7">
        <f>IF(13=0,0,DB45)+DA46</f>
        <v/>
      </c>
      <c r="DC46" s="7">
        <f>AN46*vivienda_enganchePct+AN46*vivienda_cierrePct+general_reservaMeses/12*AJ46</f>
        <v/>
      </c>
      <c r="DD46" s="7">
        <f>IF(BB46=1,g_ret,IF(BD46&gt;0,MIN(1,DC46/BD46),1)*g_cash+(1-IF(BD46&gt;0,MIN(1,DC46/BD46),1))*g_ret)</f>
        <v/>
      </c>
      <c r="DE46" s="7">
        <f>IF(DA46&gt;=0,MIN(CX46,DA46),0)</f>
        <v/>
      </c>
      <c r="DF46" s="7">
        <f>IF(DA46&gt;=0,(1-general_tasaAhorro)*(DA46-DE46),0)</f>
        <v/>
      </c>
      <c r="DG46" s="7">
        <f>IF(DA46&gt;=0,DA46-DE46-DF46,0)</f>
        <v/>
      </c>
      <c r="DH46" s="7">
        <f>MIN(personal_rothAnual,DG46)</f>
        <v/>
      </c>
      <c r="DI46" s="7">
        <f>IF(AND(DA46&gt;=0,BB46=1,BP46+BT46&gt;0),MIN(vivienda_prepagoPct*(DG46-DH46),BP46+BT46),0)</f>
        <v/>
      </c>
      <c r="DJ46" s="7">
        <f>MIN(DI46,BP46)</f>
        <v/>
      </c>
      <c r="DK46" s="7">
        <f>IF(DA46&lt;0,MIN(MAX(0,BD46),-DA46),0)</f>
        <v/>
      </c>
      <c r="DL46" s="7">
        <f>IF(DA46&lt;0,-DA46-DK46,0)</f>
        <v/>
      </c>
      <c r="DM46" s="7">
        <f>IF(13=0,0,DZ45)</f>
        <v/>
      </c>
      <c r="DN46" s="7">
        <f>IF(AND(DL46&gt;0,J46&gt;0),MIN(DL46,MIN(prestamos_topeAnualPosgrado*MIN(1,J46),MAX(0,prestamos_topeTotalPosgrado-DM46))),0)</f>
        <v/>
      </c>
      <c r="DO46" s="7">
        <f>IF(AND(DL46&gt;0,J46&gt;0),DL46-DN46,0)</f>
        <v/>
      </c>
      <c r="DP46" s="7">
        <f>IF(AND(DL46&gt;0,J46&lt;=0),DL46,0)</f>
        <v/>
      </c>
      <c r="DQ46" s="7">
        <f>IF(DA46&gt;=0,DG46-DH46-DI46,-DK46)</f>
        <v/>
      </c>
      <c r="DR46" s="7">
        <f>BD46*(1+DD46)+DQ46*(1+DD46/2)</f>
        <v/>
      </c>
      <c r="DS46" s="7">
        <f>IF(13=0,personal_retiroInicial,DS45)*(1+g_ret)+(O46+P46+DH46)*(1+g_ret/2)</f>
        <v/>
      </c>
      <c r="DT46" s="7">
        <f>IF(BB46=1,BL46*(1+g_appr),0)</f>
        <v/>
      </c>
      <c r="DU46" s="7">
        <f>BP46-DJ46</f>
        <v/>
      </c>
      <c r="DV46" s="7">
        <f>BT46-(DI46-DJ46)</f>
        <v/>
      </c>
      <c r="DW46" s="7">
        <f>CP46+DN46</f>
        <v/>
      </c>
      <c r="DX46" s="7">
        <f>IF(DN46&gt;0,(CP46*CF46+DN46*prestamos_tasaFederalPosgrado)/(CP46+DN46),CF46)</f>
        <v/>
      </c>
      <c r="DY46" s="7">
        <f>IF(DN46&gt;0,0,CQ46)</f>
        <v/>
      </c>
      <c r="DZ46" s="7">
        <f>DM46+DN46</f>
        <v/>
      </c>
      <c r="EA46" s="7">
        <f>CV46+DO46</f>
        <v/>
      </c>
      <c r="EB46" s="7">
        <f>IF(DO46&gt;0,(CV46*CS46+DO46*prestamos_tasaPrivada)/(CV46+DO46),CS46)</f>
        <v/>
      </c>
      <c r="EC46" s="7">
        <f>IF(DO46&gt;0,0,CW46)</f>
        <v/>
      </c>
      <c r="ED46" s="7">
        <f>CX46-DE46+DP46</f>
        <v/>
      </c>
      <c r="EE46" s="7">
        <f>IF(IF(13=0,"",EE45)&lt;&gt;"",EE45,IF(AND(BB46=1,DU46&lt;=0.5,DV46&lt;=0.5,OR(BH46=0,BJ46=1)),A46,""))</f>
        <v/>
      </c>
      <c r="EF46" s="7">
        <f>DU46+DV46+DW46+EA46+ED46+CD46</f>
        <v/>
      </c>
      <c r="EG46" s="7">
        <f>DR46+DS46+DT46-EF46</f>
        <v/>
      </c>
      <c r="EH46" s="7">
        <f>EG46/(1+g_inf)^(A46+1-2026)</f>
        <v/>
      </c>
    </row>
    <row r="47">
      <c r="A47" t="n">
        <v>2041</v>
      </c>
      <c r="B47" t="n">
        <v>14</v>
      </c>
      <c r="C47" s="7">
        <f>(1+g_inf)^(A47-2026)</f>
        <v/>
      </c>
      <c r="D47" s="7">
        <f>SUMPRODUCT($AH$5:$AH$29,$E$5:$E$29*(1+$F$5:$F$29)^(A47-2026)*$G$5:$G$29*$H$5:$H$29*(1-$N$5:$N$29*$O$5:$O$29))*g_salMult+SUMPRODUCT(($B$5:$B$29&gt;=A47)*($B$5:$B$29&lt;A47+1)*$I$5:$I$29)*g_salMult</f>
        <v/>
      </c>
      <c r="E47" s="7">
        <f>SUMPRODUCT($AH$5:$AH$29,$E$5:$E$29*(1+$F$5:$F$29)^(A47-2026)*$G$5:$G$29*$H$5:$H$29*$M$5:$M$29)*g_salMult</f>
        <v/>
      </c>
      <c r="F47" s="7">
        <f>SUMPRODUCT($AH$5:$AH$29,$E$5:$E$29*(1+$F$5:$F$29)^(A47-2026)*$G$5:$G$29*$H$5:$H$29*$N$5:$N$29*$O$5:$O$29)*g_salMult</f>
        <v/>
      </c>
      <c r="G47" s="7">
        <f>SUMPRODUCT($AH$5:$AH$29,$P$5:$P$29*(1+$F$5:$F$29)^(A47-2026))</f>
        <v/>
      </c>
      <c r="H47" s="7">
        <f>SUMPRODUCT($AH$5:$AH$29,$Q$5:$Q$29*(1+$F$5:$F$29)^(A47-2026))+IF(personal_llcActivo=1,personal_llcNeto*(1+personal_llcCrecimiento)^14,0)</f>
        <v/>
      </c>
      <c r="I47" s="7">
        <f>SUMPRODUCT($AH$5:$AH$29,$J$5:$J$29/($C$5:$C$29-$B$5:$B$29+($C$5:$C$29=$B$5:$B$29)))*C47</f>
        <v/>
      </c>
      <c r="J47" s="7">
        <f>SUMPRODUCT($AH$5:$AH$29,$K$5:$K$29)</f>
        <v/>
      </c>
      <c r="K47" s="7">
        <f>SUMPRODUCT($AH$5:$AH$29,$L$5:$L$29)</f>
        <v/>
      </c>
      <c r="L47" s="7">
        <f>SUMPRODUCT($AH$5:$AH$29,$N$5:$N$29)</f>
        <v/>
      </c>
      <c r="M47" s="7">
        <f>IF(SUMPRODUCT($AH$5:$AH$29,$R$5:$R$29)&gt;0,1,0)</f>
        <v/>
      </c>
      <c r="N47" s="7">
        <f>SUMPRODUCT(($AO$5:$AO$24&gt;=A47)*($AO$5:$AO$24&lt;A47+1)*$AP$5:$AP$24)*C47+IF(14=0,IF(sel_loc&lt;&gt;"miami",personal_costoMudanzaInicial,0),0)</f>
        <v/>
      </c>
      <c r="O47" s="7">
        <f>MIN(personal_aporte403bPct*D47,retiro_limite403b*C47)</f>
        <v/>
      </c>
      <c r="P47" s="7">
        <f>MIN(personal_aporte403bPct,personal_match403bPct)*E47</f>
        <v/>
      </c>
      <c r="Q47" s="7">
        <f>IF(G47&gt;0,MAX(0,G47-impuestos_scorpCostoAnual*C47),0)</f>
        <v/>
      </c>
      <c r="R47" s="7">
        <f>Q47*impuestos_scorpSalarioPct/(1+impuestos_ssTasa+impuestos_medicareTasa)</f>
        <v/>
      </c>
      <c r="S47" s="7">
        <f>impuestos_ssTasa*MIN(R47,MAX(0,impuestos_ssTope*C47-D47))+impuestos_medicareTasa*R47</f>
        <v/>
      </c>
      <c r="T47" s="7">
        <f>Q47-R47-S47</f>
        <v/>
      </c>
      <c r="U47" s="7">
        <f>D47+R47</f>
        <v/>
      </c>
      <c r="V47" s="7">
        <f>H47*0.9235</f>
        <v/>
      </c>
      <c r="W47" s="7">
        <f>IF(H47&gt;0,2*impuestos_ssTasa*MIN(V47,MAX(0,impuestos_ssTope*C47-U47))+2*impuestos_medicareTasa*V47,0)</f>
        <v/>
      </c>
      <c r="X47" s="7">
        <f>impuestos_ssTasa*MIN(U47,impuestos_ssTope*C47)+impuestos_medicareTasa*U47+impuestos_medicareAdicional*MAX(0,U47+H47*0.9235-impuestos_medicareUmbral)</f>
        <v/>
      </c>
      <c r="Y47" s="7">
        <f>MAX(0,D47-O47+R47+T47+H47-W47/2)</f>
        <v/>
      </c>
      <c r="Z47" s="7">
        <f>MAX(0,Y47-impuestos_deduccionEstandar*C47)</f>
        <v/>
      </c>
      <c r="AA47" s="7">
        <f>MIN(0.2*MAX(0,T47+H47-W47/2)*MAX(0,MIN(1,1-(Z47-impuestos_qbiUmbral*C47)/(impuestos_qbiRango*C47))),0.2*Z47)</f>
        <v/>
      </c>
      <c r="AB47" s="7">
        <f>MAX(0,Z47-AA47)</f>
        <v/>
      </c>
      <c r="AC47" s="7">
        <f>SUMPRODUCT((AB47&gt;tb_federalBrackets_lo*C47)*(AB47-tb_federalBrackets_lo*C47)*tb_federalBrackets_dr)</f>
        <v/>
      </c>
      <c r="AD47" s="7">
        <f>MAX(0,Y47-impuestos_nyDeduccion*C47)</f>
        <v/>
      </c>
      <c r="AE47" s="7">
        <f>CHOOSE(loc_taxcode,0,impuestos_ohTasa*MAX(0,Y47-impuestos_ohExento*C47)+impuestos_ohMunicipal*U47,SUMPRODUCT((AD47&gt;tb_nyBrackets_lo*C47)*(AD47-tb_nyBrackets_lo*C47)*tb_nyBrackets_dr)+loc_nyc*SUMPRODUCT((AD47&gt;tb_nycBrackets_lo*C47)*(AD47-tb_nycBrackets_lo*C47)*tb_nycBrackets_dr))</f>
        <v/>
      </c>
      <c r="AF47" s="7">
        <f>AC47+AE47+X47+W47</f>
        <v/>
      </c>
      <c r="AG47" s="7">
        <f>D47+F47+R47+T47+H47</f>
        <v/>
      </c>
      <c r="AH47" s="7">
        <f>AG47-AF47-O47</f>
        <v/>
      </c>
      <c r="AI47" s="7">
        <f>D47+F47+G47+H47</f>
        <v/>
      </c>
      <c r="AJ47" s="7">
        <f>loc_gastosVida*C47*g_gastos</f>
        <v/>
      </c>
      <c r="AK47" s="7">
        <f>IF(14=0,personal_liquidoInicial,DR46)</f>
        <v/>
      </c>
      <c r="AL47" s="7">
        <f>IF(14=0,0,BB46)</f>
        <v/>
      </c>
      <c r="AM47" s="7">
        <f>CHOOSE(sel_cfgIdx,loc_precio_duplex,loc_precio_inlaw,loc_precio_dosCasas,loc_precio_casaAdu,loc_precio_multi)</f>
        <v/>
      </c>
      <c r="AN47" s="7">
        <f>AM47*(1+g_appr)^(A47-2026)</f>
        <v/>
      </c>
      <c r="AO47" s="7">
        <f>IF(AND(M47=1,vivienda_prestamoMedico=1),1,0)</f>
        <v/>
      </c>
      <c r="AP47" s="7">
        <f>IF(AO47=1,0.05,vivienda_enganchePct)</f>
        <v/>
      </c>
      <c r="AQ47" s="7">
        <f>AN47*(1-AP47)</f>
        <v/>
      </c>
      <c r="AR47" s="7">
        <f>PMT(g_mortRate/12,vivienda_plazoHipoteca*12,-AQ47)</f>
        <v/>
      </c>
      <c r="AS47" s="7">
        <f>INDEX(cfg_units,sel_cfgIdx)</f>
        <v/>
      </c>
      <c r="AT47" s="7">
        <f>AS47*loc_rentaUnidad*(1+g_inf)^(A47-2026)*(1-vivienda_vacancia)</f>
        <v/>
      </c>
      <c r="AU47" s="7">
        <f>AR47+AN47*loc_impuestoPropPct/12+AM47*loc_seguroPct*(1+vivienda_inflacionSeguro)^(A47-2026)/12+IF(AND(AO47=0,AP47&lt;0.2),AQ47*vivienda_pmiTasa/12,0)</f>
        <v/>
      </c>
      <c r="AV47" s="7">
        <f>AN47*AP47+AN47*vivienda_cierrePct+general_reservaMeses/12*AJ47</f>
        <v/>
      </c>
      <c r="AW47" s="7">
        <f>(IF(14=0,MIN(personal_irsSaldo,personal_irsPagoMensual*12),MIN(CD46,personal_irsPagoMensual*12))+IF(CE47&gt;0,PMT(CF47,MAX(1,prestamos_plazoAnios-CG47),-CE47),0)+IF(CR47&gt;0,PMT(CS47,MAX(1,prestamos_plazoAnios-CT47),-CR47),0))/12</f>
        <v/>
      </c>
      <c r="AX47" s="7">
        <f>IF(OR(sel_cfg="duplex",sel_cfg="multi",sel_cfg="dosCasas"),0.75*personal_aporteFamiliaMensual,0)</f>
        <v/>
      </c>
      <c r="AY47" s="7">
        <f>AU47-0.75*AT47-AX47+AW47</f>
        <v/>
      </c>
      <c r="AZ47" s="7">
        <f>(D47+G47+H47+0.5*F47)/12</f>
        <v/>
      </c>
      <c r="BA47" s="7">
        <f>IF(AND(AL47=0,A47&gt;=vivienda_anioMinCompra,J47&lt;0.5,AI47&gt;0,AK47&gt;=AV47,AY47&lt;=vivienda_dtiMax*AZ47),1,0)</f>
        <v/>
      </c>
      <c r="BB47" s="7">
        <f>MAX(AL47,BA47)</f>
        <v/>
      </c>
      <c r="BC47" s="7">
        <f>IF(BA47=1,A47,IF(14=0,"",BC46))</f>
        <v/>
      </c>
      <c r="BD47" s="7">
        <f>AK47-IF(BA47=1,AN47*AP47+AN47*vivienda_cierrePct,0)</f>
        <v/>
      </c>
      <c r="BE47" s="7">
        <f>IF(BA47=1,AN47,IF(14=0,0,BE46))</f>
        <v/>
      </c>
      <c r="BF47" s="7">
        <f>IF(BA47=1,AR47,IF(14=0,0,BF46))</f>
        <v/>
      </c>
      <c r="BG47" s="7">
        <f>IF(BA47=1,IF(AND(AO47=0,AP47&lt;0.2),1,0),IF(14=0,0,BY46))</f>
        <v/>
      </c>
      <c r="BH47" s="7">
        <f>IF(sel_cfg="casaAdu",1,0)</f>
        <v/>
      </c>
      <c r="BI47" s="7">
        <f>IF(AND(BB47=1,BH47=1,IF(14=0,0,BJ46)=0,A47&gt;=IF(BC47="",9999,BC47)+vivienda_aduRetrasoAnios),1,0)</f>
        <v/>
      </c>
      <c r="BJ47" s="7">
        <f>MAX(IF(14=0,0,BJ46),BI47)</f>
        <v/>
      </c>
      <c r="BK47" s="7">
        <f>IF(BI47=1,PMT((g_mortRate+0.005)/12,180,-loc_precio_aduCosto*C47),IF(14=0,0,BK46))</f>
        <v/>
      </c>
      <c r="BL47" s="7">
        <f>IF(BA47=1,AN47,IF(14=0,0,DT46))+IF(BI47=1,loc_precio_aduCosto*C47,0)</f>
        <v/>
      </c>
      <c r="BM47" s="7">
        <f>IF(BA47=1,AQ47,IF(14=0,0,DU46))</f>
        <v/>
      </c>
      <c r="BN47" s="7">
        <f>IF(BM47&lt;=0,0,FV(g_mortRate/12,12,BF47,-BM47))</f>
        <v/>
      </c>
      <c r="BO47" s="7">
        <f>IF(BM47&lt;=0,0,12*BF47+MIN(0,BN47))</f>
        <v/>
      </c>
      <c r="BP47" s="7">
        <f>MAX(0,BN47)</f>
        <v/>
      </c>
      <c r="BQ47" s="7">
        <f>IF(BI47=1,loc_precio_aduCosto*C47,IF(14=0,0,DV46))</f>
        <v/>
      </c>
      <c r="BR47" s="7">
        <f>IF(BQ47&lt;=0,0,FV((g_mortRate+0.005)/12,12,BK47,-BQ47))</f>
        <v/>
      </c>
      <c r="BS47" s="7">
        <f>IF(BQ47&lt;=0,0,12*BK47+MIN(0,BR47))</f>
        <v/>
      </c>
      <c r="BT47" s="7">
        <f>MAX(0,BR47)</f>
        <v/>
      </c>
      <c r="BU47" s="7">
        <f>IF(BB47=1,AM47*loc_seguroPct*(1+vivienda_inflacionSeguro)^(A47-2026)*IF(BJ47=1,1+loc_precio_aduCosto/AM47,1),0)</f>
        <v/>
      </c>
      <c r="BV47" s="7">
        <f>BL47*loc_impuestoPropPct</f>
        <v/>
      </c>
      <c r="BW47" s="7">
        <f>BL47*vivienda_mantenimientoPct</f>
        <v/>
      </c>
      <c r="BX47" s="7">
        <f>IF(AND(BG47=1,BP47&gt;0.8*BE47),BE47*(1-vivienda_enganchePct)*vivienda_pmiTasa,0)</f>
        <v/>
      </c>
      <c r="BY47" s="7">
        <f>IF(AND(BG47=1,BP47&gt;0.8*BE47),1,0)</f>
        <v/>
      </c>
      <c r="BZ47" s="7">
        <f>IF(BB47=1,AS47*loc_rentaUnidad*12*C47*(1-vivienda_vacancia)*(1-vivienda_gestionPct),0)</f>
        <v/>
      </c>
      <c r="CA47" s="7">
        <f>IF(BB47=1,BO47+BS47+BU47+BV47+BW47+BX47,loc_rentaMensual*12*C47)</f>
        <v/>
      </c>
      <c r="CB47" s="7">
        <f>IF(BB47=1,personal_aporteFamiliaMensual*12,0)</f>
        <v/>
      </c>
      <c r="CC47" s="7">
        <f>MIN(IF(14=0,personal_irsSaldo,CD46),personal_irsPagoMensual*12)</f>
        <v/>
      </c>
      <c r="CD47" s="7">
        <f>IF(14=0,personal_irsSaldo,CD46)-CC47</f>
        <v/>
      </c>
      <c r="CE47" s="7">
        <f>IF(14=0,IF(personal_deudaEsFederal=1,personal_deudaEstudiantil,0),DW46)</f>
        <v/>
      </c>
      <c r="CF47" s="7">
        <f>IF(14=0,personal_tasaDeudaEstudiantil,DX46)</f>
        <v/>
      </c>
      <c r="CG47" s="7">
        <f>IF(14=0,0,DY46)</f>
        <v/>
      </c>
      <c r="CH47" s="7">
        <f>IF(J47&gt;=0.5,1,0)</f>
        <v/>
      </c>
      <c r="CI47" s="7">
        <f>IF(AND(CH47=0,prestamos_pslfActivo=1,K47&gt;=0.5,CE47&gt;0),1,0)</f>
        <v/>
      </c>
      <c r="CJ47" s="7">
        <f>CE47*CF47</f>
        <v/>
      </c>
      <c r="CK47" s="7">
        <f>MAX(prestamos_rapPagoMinimoAnual,IF(Y47&lt;10000,0,MIN(0.1,INT(Y47/10000)/100))*Y47)</f>
        <v/>
      </c>
      <c r="CL47" s="7">
        <f>IF(CE47&lt;=0,0,IF(CH47=1,0,IF(CI47=1,MIN(CE47+CJ47,CK47),PMT(CF47,MAX(1,prestamos_plazoAnios-CG47),-CE47))))</f>
        <v/>
      </c>
      <c r="CM47" s="7">
        <f>IF(CE47&lt;=0,0,IF(CH47=1,CE47+CJ47,IF(CI47=1,MAX(0,CE47-MAX(CL47-CJ47,MIN(600,CL47))),MAX(0,CE47*(1+CF47)-CL47))))</f>
        <v/>
      </c>
      <c r="CN47" s="7">
        <f>IF(14=0,0,CN46)+IF(CI47=1,12*MIN(1,K47),0)</f>
        <v/>
      </c>
      <c r="CO47" s="7">
        <f>IF(AND(CI47=1,CN47&gt;=prestamos_pslfPagos,CM47&gt;0),CM47,0)</f>
        <v/>
      </c>
      <c r="CP47" s="7">
        <f>CM47-CO47</f>
        <v/>
      </c>
      <c r="CQ47" s="7">
        <f>IF(AND(CE47&gt;0,CH47=0,CI47=0),CG47+1,CG47)</f>
        <v/>
      </c>
      <c r="CR47" s="7">
        <f>IF(14=0,IF(personal_deudaEsFederal=1,0,personal_deudaEstudiantil),EA46)</f>
        <v/>
      </c>
      <c r="CS47" s="7">
        <f>IF(14=0,IF(personal_deudaEsFederal=1,prestamos_tasaPrivada,personal_tasaDeudaEstudiantil),EB46)</f>
        <v/>
      </c>
      <c r="CT47" s="7">
        <f>IF(14=0,0,EC46)</f>
        <v/>
      </c>
      <c r="CU47" s="7">
        <f>IF(OR(CR47&lt;=0,CH47=1),0,PMT(CS47,MAX(1,prestamos_plazoAnios-CT47),-CR47))</f>
        <v/>
      </c>
      <c r="CV47" s="7">
        <f>IF(CR47&lt;=0,0,IF(CH47=1,CR47*(1+CS47),MAX(0,CR47*(1+CS47)-CU47)))</f>
        <v/>
      </c>
      <c r="CW47" s="7">
        <f>IF(AND(CR47&gt;0,CH47=0),CT47+1,CT47)</f>
        <v/>
      </c>
      <c r="CX47" s="7">
        <f>IF(14=0,0,ED46)*(1+general_tasaDeudaConsumo)</f>
        <v/>
      </c>
      <c r="CY47" s="7">
        <f>L47*12*tiempos_travelGastoExtraMes*C47</f>
        <v/>
      </c>
      <c r="CZ47" s="7">
        <f>AJ47+CY47+CA47+CC47+CL47+CU47+I47+N47-BZ47-CB47</f>
        <v/>
      </c>
      <c r="DA47" s="7">
        <f>AH47-CZ47</f>
        <v/>
      </c>
      <c r="DB47" s="7">
        <f>IF(14=0,0,DB46)+DA47</f>
        <v/>
      </c>
      <c r="DC47" s="7">
        <f>AN47*vivienda_enganchePct+AN47*vivienda_cierrePct+general_reservaMeses/12*AJ47</f>
        <v/>
      </c>
      <c r="DD47" s="7">
        <f>IF(BB47=1,g_ret,IF(BD47&gt;0,MIN(1,DC47/BD47),1)*g_cash+(1-IF(BD47&gt;0,MIN(1,DC47/BD47),1))*g_ret)</f>
        <v/>
      </c>
      <c r="DE47" s="7">
        <f>IF(DA47&gt;=0,MIN(CX47,DA47),0)</f>
        <v/>
      </c>
      <c r="DF47" s="7">
        <f>IF(DA47&gt;=0,(1-general_tasaAhorro)*(DA47-DE47),0)</f>
        <v/>
      </c>
      <c r="DG47" s="7">
        <f>IF(DA47&gt;=0,DA47-DE47-DF47,0)</f>
        <v/>
      </c>
      <c r="DH47" s="7">
        <f>MIN(personal_rothAnual,DG47)</f>
        <v/>
      </c>
      <c r="DI47" s="7">
        <f>IF(AND(DA47&gt;=0,BB47=1,BP47+BT47&gt;0),MIN(vivienda_prepagoPct*(DG47-DH47),BP47+BT47),0)</f>
        <v/>
      </c>
      <c r="DJ47" s="7">
        <f>MIN(DI47,BP47)</f>
        <v/>
      </c>
      <c r="DK47" s="7">
        <f>IF(DA47&lt;0,MIN(MAX(0,BD47),-DA47),0)</f>
        <v/>
      </c>
      <c r="DL47" s="7">
        <f>IF(DA47&lt;0,-DA47-DK47,0)</f>
        <v/>
      </c>
      <c r="DM47" s="7">
        <f>IF(14=0,0,DZ46)</f>
        <v/>
      </c>
      <c r="DN47" s="7">
        <f>IF(AND(DL47&gt;0,J47&gt;0),MIN(DL47,MIN(prestamos_topeAnualPosgrado*MIN(1,J47),MAX(0,prestamos_topeTotalPosgrado-DM47))),0)</f>
        <v/>
      </c>
      <c r="DO47" s="7">
        <f>IF(AND(DL47&gt;0,J47&gt;0),DL47-DN47,0)</f>
        <v/>
      </c>
      <c r="DP47" s="7">
        <f>IF(AND(DL47&gt;0,J47&lt;=0),DL47,0)</f>
        <v/>
      </c>
      <c r="DQ47" s="7">
        <f>IF(DA47&gt;=0,DG47-DH47-DI47,-DK47)</f>
        <v/>
      </c>
      <c r="DR47" s="7">
        <f>BD47*(1+DD47)+DQ47*(1+DD47/2)</f>
        <v/>
      </c>
      <c r="DS47" s="7">
        <f>IF(14=0,personal_retiroInicial,DS46)*(1+g_ret)+(O47+P47+DH47)*(1+g_ret/2)</f>
        <v/>
      </c>
      <c r="DT47" s="7">
        <f>IF(BB47=1,BL47*(1+g_appr),0)</f>
        <v/>
      </c>
      <c r="DU47" s="7">
        <f>BP47-DJ47</f>
        <v/>
      </c>
      <c r="DV47" s="7">
        <f>BT47-(DI47-DJ47)</f>
        <v/>
      </c>
      <c r="DW47" s="7">
        <f>CP47+DN47</f>
        <v/>
      </c>
      <c r="DX47" s="7">
        <f>IF(DN47&gt;0,(CP47*CF47+DN47*prestamos_tasaFederalPosgrado)/(CP47+DN47),CF47)</f>
        <v/>
      </c>
      <c r="DY47" s="7">
        <f>IF(DN47&gt;0,0,CQ47)</f>
        <v/>
      </c>
      <c r="DZ47" s="7">
        <f>DM47+DN47</f>
        <v/>
      </c>
      <c r="EA47" s="7">
        <f>CV47+DO47</f>
        <v/>
      </c>
      <c r="EB47" s="7">
        <f>IF(DO47&gt;0,(CV47*CS47+DO47*prestamos_tasaPrivada)/(CV47+DO47),CS47)</f>
        <v/>
      </c>
      <c r="EC47" s="7">
        <f>IF(DO47&gt;0,0,CW47)</f>
        <v/>
      </c>
      <c r="ED47" s="7">
        <f>CX47-DE47+DP47</f>
        <v/>
      </c>
      <c r="EE47" s="7">
        <f>IF(IF(14=0,"",EE46)&lt;&gt;"",EE46,IF(AND(BB47=1,DU47&lt;=0.5,DV47&lt;=0.5,OR(BH47=0,BJ47=1)),A47,""))</f>
        <v/>
      </c>
      <c r="EF47" s="7">
        <f>DU47+DV47+DW47+EA47+ED47+CD47</f>
        <v/>
      </c>
      <c r="EG47" s="7">
        <f>DR47+DS47+DT47-EF47</f>
        <v/>
      </c>
      <c r="EH47" s="7">
        <f>EG47/(1+g_inf)^(A47+1-2026)</f>
        <v/>
      </c>
    </row>
    <row r="48">
      <c r="A48" t="n">
        <v>2042</v>
      </c>
      <c r="B48" t="n">
        <v>15</v>
      </c>
      <c r="C48" s="7">
        <f>(1+g_inf)^(A48-2026)</f>
        <v/>
      </c>
      <c r="D48" s="7">
        <f>SUMPRODUCT($AI$5:$AI$29,$E$5:$E$29*(1+$F$5:$F$29)^(A48-2026)*$G$5:$G$29*$H$5:$H$29*(1-$N$5:$N$29*$O$5:$O$29))*g_salMult+SUMPRODUCT(($B$5:$B$29&gt;=A48)*($B$5:$B$29&lt;A48+1)*$I$5:$I$29)*g_salMult</f>
        <v/>
      </c>
      <c r="E48" s="7">
        <f>SUMPRODUCT($AI$5:$AI$29,$E$5:$E$29*(1+$F$5:$F$29)^(A48-2026)*$G$5:$G$29*$H$5:$H$29*$M$5:$M$29)*g_salMult</f>
        <v/>
      </c>
      <c r="F48" s="7">
        <f>SUMPRODUCT($AI$5:$AI$29,$E$5:$E$29*(1+$F$5:$F$29)^(A48-2026)*$G$5:$G$29*$H$5:$H$29*$N$5:$N$29*$O$5:$O$29)*g_salMult</f>
        <v/>
      </c>
      <c r="G48" s="7">
        <f>SUMPRODUCT($AI$5:$AI$29,$P$5:$P$29*(1+$F$5:$F$29)^(A48-2026))</f>
        <v/>
      </c>
      <c r="H48" s="7">
        <f>SUMPRODUCT($AI$5:$AI$29,$Q$5:$Q$29*(1+$F$5:$F$29)^(A48-2026))+IF(personal_llcActivo=1,personal_llcNeto*(1+personal_llcCrecimiento)^15,0)</f>
        <v/>
      </c>
      <c r="I48" s="7">
        <f>SUMPRODUCT($AI$5:$AI$29,$J$5:$J$29/($C$5:$C$29-$B$5:$B$29+($C$5:$C$29=$B$5:$B$29)))*C48</f>
        <v/>
      </c>
      <c r="J48" s="7">
        <f>SUMPRODUCT($AI$5:$AI$29,$K$5:$K$29)</f>
        <v/>
      </c>
      <c r="K48" s="7">
        <f>SUMPRODUCT($AI$5:$AI$29,$L$5:$L$29)</f>
        <v/>
      </c>
      <c r="L48" s="7">
        <f>SUMPRODUCT($AI$5:$AI$29,$N$5:$N$29)</f>
        <v/>
      </c>
      <c r="M48" s="7">
        <f>IF(SUMPRODUCT($AI$5:$AI$29,$R$5:$R$29)&gt;0,1,0)</f>
        <v/>
      </c>
      <c r="N48" s="7">
        <f>SUMPRODUCT(($AO$5:$AO$24&gt;=A48)*($AO$5:$AO$24&lt;A48+1)*$AP$5:$AP$24)*C48+IF(15=0,IF(sel_loc&lt;&gt;"miami",personal_costoMudanzaInicial,0),0)</f>
        <v/>
      </c>
      <c r="O48" s="7">
        <f>MIN(personal_aporte403bPct*D48,retiro_limite403b*C48)</f>
        <v/>
      </c>
      <c r="P48" s="7">
        <f>MIN(personal_aporte403bPct,personal_match403bPct)*E48</f>
        <v/>
      </c>
      <c r="Q48" s="7">
        <f>IF(G48&gt;0,MAX(0,G48-impuestos_scorpCostoAnual*C48),0)</f>
        <v/>
      </c>
      <c r="R48" s="7">
        <f>Q48*impuestos_scorpSalarioPct/(1+impuestos_ssTasa+impuestos_medicareTasa)</f>
        <v/>
      </c>
      <c r="S48" s="7">
        <f>impuestos_ssTasa*MIN(R48,MAX(0,impuestos_ssTope*C48-D48))+impuestos_medicareTasa*R48</f>
        <v/>
      </c>
      <c r="T48" s="7">
        <f>Q48-R48-S48</f>
        <v/>
      </c>
      <c r="U48" s="7">
        <f>D48+R48</f>
        <v/>
      </c>
      <c r="V48" s="7">
        <f>H48*0.9235</f>
        <v/>
      </c>
      <c r="W48" s="7">
        <f>IF(H48&gt;0,2*impuestos_ssTasa*MIN(V48,MAX(0,impuestos_ssTope*C48-U48))+2*impuestos_medicareTasa*V48,0)</f>
        <v/>
      </c>
      <c r="X48" s="7">
        <f>impuestos_ssTasa*MIN(U48,impuestos_ssTope*C48)+impuestos_medicareTasa*U48+impuestos_medicareAdicional*MAX(0,U48+H48*0.9235-impuestos_medicareUmbral)</f>
        <v/>
      </c>
      <c r="Y48" s="7">
        <f>MAX(0,D48-O48+R48+T48+H48-W48/2)</f>
        <v/>
      </c>
      <c r="Z48" s="7">
        <f>MAX(0,Y48-impuestos_deduccionEstandar*C48)</f>
        <v/>
      </c>
      <c r="AA48" s="7">
        <f>MIN(0.2*MAX(0,T48+H48-W48/2)*MAX(0,MIN(1,1-(Z48-impuestos_qbiUmbral*C48)/(impuestos_qbiRango*C48))),0.2*Z48)</f>
        <v/>
      </c>
      <c r="AB48" s="7">
        <f>MAX(0,Z48-AA48)</f>
        <v/>
      </c>
      <c r="AC48" s="7">
        <f>SUMPRODUCT((AB48&gt;tb_federalBrackets_lo*C48)*(AB48-tb_federalBrackets_lo*C48)*tb_federalBrackets_dr)</f>
        <v/>
      </c>
      <c r="AD48" s="7">
        <f>MAX(0,Y48-impuestos_nyDeduccion*C48)</f>
        <v/>
      </c>
      <c r="AE48" s="7">
        <f>CHOOSE(loc_taxcode,0,impuestos_ohTasa*MAX(0,Y48-impuestos_ohExento*C48)+impuestos_ohMunicipal*U48,SUMPRODUCT((AD48&gt;tb_nyBrackets_lo*C48)*(AD48-tb_nyBrackets_lo*C48)*tb_nyBrackets_dr)+loc_nyc*SUMPRODUCT((AD48&gt;tb_nycBrackets_lo*C48)*(AD48-tb_nycBrackets_lo*C48)*tb_nycBrackets_dr))</f>
        <v/>
      </c>
      <c r="AF48" s="7">
        <f>AC48+AE48+X48+W48</f>
        <v/>
      </c>
      <c r="AG48" s="7">
        <f>D48+F48+R48+T48+H48</f>
        <v/>
      </c>
      <c r="AH48" s="7">
        <f>AG48-AF48-O48</f>
        <v/>
      </c>
      <c r="AI48" s="7">
        <f>D48+F48+G48+H48</f>
        <v/>
      </c>
      <c r="AJ48" s="7">
        <f>loc_gastosVida*C48*g_gastos</f>
        <v/>
      </c>
      <c r="AK48" s="7">
        <f>IF(15=0,personal_liquidoInicial,DR47)</f>
        <v/>
      </c>
      <c r="AL48" s="7">
        <f>IF(15=0,0,BB47)</f>
        <v/>
      </c>
      <c r="AM48" s="7">
        <f>CHOOSE(sel_cfgIdx,loc_precio_duplex,loc_precio_inlaw,loc_precio_dosCasas,loc_precio_casaAdu,loc_precio_multi)</f>
        <v/>
      </c>
      <c r="AN48" s="7">
        <f>AM48*(1+g_appr)^(A48-2026)</f>
        <v/>
      </c>
      <c r="AO48" s="7">
        <f>IF(AND(M48=1,vivienda_prestamoMedico=1),1,0)</f>
        <v/>
      </c>
      <c r="AP48" s="7">
        <f>IF(AO48=1,0.05,vivienda_enganchePct)</f>
        <v/>
      </c>
      <c r="AQ48" s="7">
        <f>AN48*(1-AP48)</f>
        <v/>
      </c>
      <c r="AR48" s="7">
        <f>PMT(g_mortRate/12,vivienda_plazoHipoteca*12,-AQ48)</f>
        <v/>
      </c>
      <c r="AS48" s="7">
        <f>INDEX(cfg_units,sel_cfgIdx)</f>
        <v/>
      </c>
      <c r="AT48" s="7">
        <f>AS48*loc_rentaUnidad*(1+g_inf)^(A48-2026)*(1-vivienda_vacancia)</f>
        <v/>
      </c>
      <c r="AU48" s="7">
        <f>AR48+AN48*loc_impuestoPropPct/12+AM48*loc_seguroPct*(1+vivienda_inflacionSeguro)^(A48-2026)/12+IF(AND(AO48=0,AP48&lt;0.2),AQ48*vivienda_pmiTasa/12,0)</f>
        <v/>
      </c>
      <c r="AV48" s="7">
        <f>AN48*AP48+AN48*vivienda_cierrePct+general_reservaMeses/12*AJ48</f>
        <v/>
      </c>
      <c r="AW48" s="7">
        <f>(IF(15=0,MIN(personal_irsSaldo,personal_irsPagoMensual*12),MIN(CD47,personal_irsPagoMensual*12))+IF(CE48&gt;0,PMT(CF48,MAX(1,prestamos_plazoAnios-CG48),-CE48),0)+IF(CR48&gt;0,PMT(CS48,MAX(1,prestamos_plazoAnios-CT48),-CR48),0))/12</f>
        <v/>
      </c>
      <c r="AX48" s="7">
        <f>IF(OR(sel_cfg="duplex",sel_cfg="multi",sel_cfg="dosCasas"),0.75*personal_aporteFamiliaMensual,0)</f>
        <v/>
      </c>
      <c r="AY48" s="7">
        <f>AU48-0.75*AT48-AX48+AW48</f>
        <v/>
      </c>
      <c r="AZ48" s="7">
        <f>(D48+G48+H48+0.5*F48)/12</f>
        <v/>
      </c>
      <c r="BA48" s="7">
        <f>IF(AND(AL48=0,A48&gt;=vivienda_anioMinCompra,J48&lt;0.5,AI48&gt;0,AK48&gt;=AV48,AY48&lt;=vivienda_dtiMax*AZ48),1,0)</f>
        <v/>
      </c>
      <c r="BB48" s="7">
        <f>MAX(AL48,BA48)</f>
        <v/>
      </c>
      <c r="BC48" s="7">
        <f>IF(BA48=1,A48,IF(15=0,"",BC47))</f>
        <v/>
      </c>
      <c r="BD48" s="7">
        <f>AK48-IF(BA48=1,AN48*AP48+AN48*vivienda_cierrePct,0)</f>
        <v/>
      </c>
      <c r="BE48" s="7">
        <f>IF(BA48=1,AN48,IF(15=0,0,BE47))</f>
        <v/>
      </c>
      <c r="BF48" s="7">
        <f>IF(BA48=1,AR48,IF(15=0,0,BF47))</f>
        <v/>
      </c>
      <c r="BG48" s="7">
        <f>IF(BA48=1,IF(AND(AO48=0,AP48&lt;0.2),1,0),IF(15=0,0,BY47))</f>
        <v/>
      </c>
      <c r="BH48" s="7">
        <f>IF(sel_cfg="casaAdu",1,0)</f>
        <v/>
      </c>
      <c r="BI48" s="7">
        <f>IF(AND(BB48=1,BH48=1,IF(15=0,0,BJ47)=0,A48&gt;=IF(BC48="",9999,BC48)+vivienda_aduRetrasoAnios),1,0)</f>
        <v/>
      </c>
      <c r="BJ48" s="7">
        <f>MAX(IF(15=0,0,BJ47),BI48)</f>
        <v/>
      </c>
      <c r="BK48" s="7">
        <f>IF(BI48=1,PMT((g_mortRate+0.005)/12,180,-loc_precio_aduCosto*C48),IF(15=0,0,BK47))</f>
        <v/>
      </c>
      <c r="BL48" s="7">
        <f>IF(BA48=1,AN48,IF(15=0,0,DT47))+IF(BI48=1,loc_precio_aduCosto*C48,0)</f>
        <v/>
      </c>
      <c r="BM48" s="7">
        <f>IF(BA48=1,AQ48,IF(15=0,0,DU47))</f>
        <v/>
      </c>
      <c r="BN48" s="7">
        <f>IF(BM48&lt;=0,0,FV(g_mortRate/12,12,BF48,-BM48))</f>
        <v/>
      </c>
      <c r="BO48" s="7">
        <f>IF(BM48&lt;=0,0,12*BF48+MIN(0,BN48))</f>
        <v/>
      </c>
      <c r="BP48" s="7">
        <f>MAX(0,BN48)</f>
        <v/>
      </c>
      <c r="BQ48" s="7">
        <f>IF(BI48=1,loc_precio_aduCosto*C48,IF(15=0,0,DV47))</f>
        <v/>
      </c>
      <c r="BR48" s="7">
        <f>IF(BQ48&lt;=0,0,FV((g_mortRate+0.005)/12,12,BK48,-BQ48))</f>
        <v/>
      </c>
      <c r="BS48" s="7">
        <f>IF(BQ48&lt;=0,0,12*BK48+MIN(0,BR48))</f>
        <v/>
      </c>
      <c r="BT48" s="7">
        <f>MAX(0,BR48)</f>
        <v/>
      </c>
      <c r="BU48" s="7">
        <f>IF(BB48=1,AM48*loc_seguroPct*(1+vivienda_inflacionSeguro)^(A48-2026)*IF(BJ48=1,1+loc_precio_aduCosto/AM48,1),0)</f>
        <v/>
      </c>
      <c r="BV48" s="7">
        <f>BL48*loc_impuestoPropPct</f>
        <v/>
      </c>
      <c r="BW48" s="7">
        <f>BL48*vivienda_mantenimientoPct</f>
        <v/>
      </c>
      <c r="BX48" s="7">
        <f>IF(AND(BG48=1,BP48&gt;0.8*BE48),BE48*(1-vivienda_enganchePct)*vivienda_pmiTasa,0)</f>
        <v/>
      </c>
      <c r="BY48" s="7">
        <f>IF(AND(BG48=1,BP48&gt;0.8*BE48),1,0)</f>
        <v/>
      </c>
      <c r="BZ48" s="7">
        <f>IF(BB48=1,AS48*loc_rentaUnidad*12*C48*(1-vivienda_vacancia)*(1-vivienda_gestionPct),0)</f>
        <v/>
      </c>
      <c r="CA48" s="7">
        <f>IF(BB48=1,BO48+BS48+BU48+BV48+BW48+BX48,loc_rentaMensual*12*C48)</f>
        <v/>
      </c>
      <c r="CB48" s="7">
        <f>IF(BB48=1,personal_aporteFamiliaMensual*12,0)</f>
        <v/>
      </c>
      <c r="CC48" s="7">
        <f>MIN(IF(15=0,personal_irsSaldo,CD47),personal_irsPagoMensual*12)</f>
        <v/>
      </c>
      <c r="CD48" s="7">
        <f>IF(15=0,personal_irsSaldo,CD47)-CC48</f>
        <v/>
      </c>
      <c r="CE48" s="7">
        <f>IF(15=0,IF(personal_deudaEsFederal=1,personal_deudaEstudiantil,0),DW47)</f>
        <v/>
      </c>
      <c r="CF48" s="7">
        <f>IF(15=0,personal_tasaDeudaEstudiantil,DX47)</f>
        <v/>
      </c>
      <c r="CG48" s="7">
        <f>IF(15=0,0,DY47)</f>
        <v/>
      </c>
      <c r="CH48" s="7">
        <f>IF(J48&gt;=0.5,1,0)</f>
        <v/>
      </c>
      <c r="CI48" s="7">
        <f>IF(AND(CH48=0,prestamos_pslfActivo=1,K48&gt;=0.5,CE48&gt;0),1,0)</f>
        <v/>
      </c>
      <c r="CJ48" s="7">
        <f>CE48*CF48</f>
        <v/>
      </c>
      <c r="CK48" s="7">
        <f>MAX(prestamos_rapPagoMinimoAnual,IF(Y48&lt;10000,0,MIN(0.1,INT(Y48/10000)/100))*Y48)</f>
        <v/>
      </c>
      <c r="CL48" s="7">
        <f>IF(CE48&lt;=0,0,IF(CH48=1,0,IF(CI48=1,MIN(CE48+CJ48,CK48),PMT(CF48,MAX(1,prestamos_plazoAnios-CG48),-CE48))))</f>
        <v/>
      </c>
      <c r="CM48" s="7">
        <f>IF(CE48&lt;=0,0,IF(CH48=1,CE48+CJ48,IF(CI48=1,MAX(0,CE48-MAX(CL48-CJ48,MIN(600,CL48))),MAX(0,CE48*(1+CF48)-CL48))))</f>
        <v/>
      </c>
      <c r="CN48" s="7">
        <f>IF(15=0,0,CN47)+IF(CI48=1,12*MIN(1,K48),0)</f>
        <v/>
      </c>
      <c r="CO48" s="7">
        <f>IF(AND(CI48=1,CN48&gt;=prestamos_pslfPagos,CM48&gt;0),CM48,0)</f>
        <v/>
      </c>
      <c r="CP48" s="7">
        <f>CM48-CO48</f>
        <v/>
      </c>
      <c r="CQ48" s="7">
        <f>IF(AND(CE48&gt;0,CH48=0,CI48=0),CG48+1,CG48)</f>
        <v/>
      </c>
      <c r="CR48" s="7">
        <f>IF(15=0,IF(personal_deudaEsFederal=1,0,personal_deudaEstudiantil),EA47)</f>
        <v/>
      </c>
      <c r="CS48" s="7">
        <f>IF(15=0,IF(personal_deudaEsFederal=1,prestamos_tasaPrivada,personal_tasaDeudaEstudiantil),EB47)</f>
        <v/>
      </c>
      <c r="CT48" s="7">
        <f>IF(15=0,0,EC47)</f>
        <v/>
      </c>
      <c r="CU48" s="7">
        <f>IF(OR(CR48&lt;=0,CH48=1),0,PMT(CS48,MAX(1,prestamos_plazoAnios-CT48),-CR48))</f>
        <v/>
      </c>
      <c r="CV48" s="7">
        <f>IF(CR48&lt;=0,0,IF(CH48=1,CR48*(1+CS48),MAX(0,CR48*(1+CS48)-CU48)))</f>
        <v/>
      </c>
      <c r="CW48" s="7">
        <f>IF(AND(CR48&gt;0,CH48=0),CT48+1,CT48)</f>
        <v/>
      </c>
      <c r="CX48" s="7">
        <f>IF(15=0,0,ED47)*(1+general_tasaDeudaConsumo)</f>
        <v/>
      </c>
      <c r="CY48" s="7">
        <f>L48*12*tiempos_travelGastoExtraMes*C48</f>
        <v/>
      </c>
      <c r="CZ48" s="7">
        <f>AJ48+CY48+CA48+CC48+CL48+CU48+I48+N48-BZ48-CB48</f>
        <v/>
      </c>
      <c r="DA48" s="7">
        <f>AH48-CZ48</f>
        <v/>
      </c>
      <c r="DB48" s="7">
        <f>IF(15=0,0,DB47)+DA48</f>
        <v/>
      </c>
      <c r="DC48" s="7">
        <f>AN48*vivienda_enganchePct+AN48*vivienda_cierrePct+general_reservaMeses/12*AJ48</f>
        <v/>
      </c>
      <c r="DD48" s="7">
        <f>IF(BB48=1,g_ret,IF(BD48&gt;0,MIN(1,DC48/BD48),1)*g_cash+(1-IF(BD48&gt;0,MIN(1,DC48/BD48),1))*g_ret)</f>
        <v/>
      </c>
      <c r="DE48" s="7">
        <f>IF(DA48&gt;=0,MIN(CX48,DA48),0)</f>
        <v/>
      </c>
      <c r="DF48" s="7">
        <f>IF(DA48&gt;=0,(1-general_tasaAhorro)*(DA48-DE48),0)</f>
        <v/>
      </c>
      <c r="DG48" s="7">
        <f>IF(DA48&gt;=0,DA48-DE48-DF48,0)</f>
        <v/>
      </c>
      <c r="DH48" s="7">
        <f>MIN(personal_rothAnual,DG48)</f>
        <v/>
      </c>
      <c r="DI48" s="7">
        <f>IF(AND(DA48&gt;=0,BB48=1,BP48+BT48&gt;0),MIN(vivienda_prepagoPct*(DG48-DH48),BP48+BT48),0)</f>
        <v/>
      </c>
      <c r="DJ48" s="7">
        <f>MIN(DI48,BP48)</f>
        <v/>
      </c>
      <c r="DK48" s="7">
        <f>IF(DA48&lt;0,MIN(MAX(0,BD48),-DA48),0)</f>
        <v/>
      </c>
      <c r="DL48" s="7">
        <f>IF(DA48&lt;0,-DA48-DK48,0)</f>
        <v/>
      </c>
      <c r="DM48" s="7">
        <f>IF(15=0,0,DZ47)</f>
        <v/>
      </c>
      <c r="DN48" s="7">
        <f>IF(AND(DL48&gt;0,J48&gt;0),MIN(DL48,MIN(prestamos_topeAnualPosgrado*MIN(1,J48),MAX(0,prestamos_topeTotalPosgrado-DM48))),0)</f>
        <v/>
      </c>
      <c r="DO48" s="7">
        <f>IF(AND(DL48&gt;0,J48&gt;0),DL48-DN48,0)</f>
        <v/>
      </c>
      <c r="DP48" s="7">
        <f>IF(AND(DL48&gt;0,J48&lt;=0),DL48,0)</f>
        <v/>
      </c>
      <c r="DQ48" s="7">
        <f>IF(DA48&gt;=0,DG48-DH48-DI48,-DK48)</f>
        <v/>
      </c>
      <c r="DR48" s="7">
        <f>BD48*(1+DD48)+DQ48*(1+DD48/2)</f>
        <v/>
      </c>
      <c r="DS48" s="7">
        <f>IF(15=0,personal_retiroInicial,DS47)*(1+g_ret)+(O48+P48+DH48)*(1+g_ret/2)</f>
        <v/>
      </c>
      <c r="DT48" s="7">
        <f>IF(BB48=1,BL48*(1+g_appr),0)</f>
        <v/>
      </c>
      <c r="DU48" s="7">
        <f>BP48-DJ48</f>
        <v/>
      </c>
      <c r="DV48" s="7">
        <f>BT48-(DI48-DJ48)</f>
        <v/>
      </c>
      <c r="DW48" s="7">
        <f>CP48+DN48</f>
        <v/>
      </c>
      <c r="DX48" s="7">
        <f>IF(DN48&gt;0,(CP48*CF48+DN48*prestamos_tasaFederalPosgrado)/(CP48+DN48),CF48)</f>
        <v/>
      </c>
      <c r="DY48" s="7">
        <f>IF(DN48&gt;0,0,CQ48)</f>
        <v/>
      </c>
      <c r="DZ48" s="7">
        <f>DM48+DN48</f>
        <v/>
      </c>
      <c r="EA48" s="7">
        <f>CV48+DO48</f>
        <v/>
      </c>
      <c r="EB48" s="7">
        <f>IF(DO48&gt;0,(CV48*CS48+DO48*prestamos_tasaPrivada)/(CV48+DO48),CS48)</f>
        <v/>
      </c>
      <c r="EC48" s="7">
        <f>IF(DO48&gt;0,0,CW48)</f>
        <v/>
      </c>
      <c r="ED48" s="7">
        <f>CX48-DE48+DP48</f>
        <v/>
      </c>
      <c r="EE48" s="7">
        <f>IF(IF(15=0,"",EE47)&lt;&gt;"",EE47,IF(AND(BB48=1,DU48&lt;=0.5,DV48&lt;=0.5,OR(BH48=0,BJ48=1)),A48,""))</f>
        <v/>
      </c>
      <c r="EF48" s="7">
        <f>DU48+DV48+DW48+EA48+ED48+CD48</f>
        <v/>
      </c>
      <c r="EG48" s="7">
        <f>DR48+DS48+DT48-EF48</f>
        <v/>
      </c>
      <c r="EH48" s="7">
        <f>EG48/(1+g_inf)^(A48+1-2026)</f>
        <v/>
      </c>
    </row>
    <row r="49">
      <c r="A49" t="n">
        <v>2043</v>
      </c>
      <c r="B49" t="n">
        <v>16</v>
      </c>
      <c r="C49" s="7">
        <f>(1+g_inf)^(A49-2026)</f>
        <v/>
      </c>
      <c r="D49" s="7">
        <f>SUMPRODUCT($AJ$5:$AJ$29,$E$5:$E$29*(1+$F$5:$F$29)^(A49-2026)*$G$5:$G$29*$H$5:$H$29*(1-$N$5:$N$29*$O$5:$O$29))*g_salMult+SUMPRODUCT(($B$5:$B$29&gt;=A49)*($B$5:$B$29&lt;A49+1)*$I$5:$I$29)*g_salMult</f>
        <v/>
      </c>
      <c r="E49" s="7">
        <f>SUMPRODUCT($AJ$5:$AJ$29,$E$5:$E$29*(1+$F$5:$F$29)^(A49-2026)*$G$5:$G$29*$H$5:$H$29*$M$5:$M$29)*g_salMult</f>
        <v/>
      </c>
      <c r="F49" s="7">
        <f>SUMPRODUCT($AJ$5:$AJ$29,$E$5:$E$29*(1+$F$5:$F$29)^(A49-2026)*$G$5:$G$29*$H$5:$H$29*$N$5:$N$29*$O$5:$O$29)*g_salMult</f>
        <v/>
      </c>
      <c r="G49" s="7">
        <f>SUMPRODUCT($AJ$5:$AJ$29,$P$5:$P$29*(1+$F$5:$F$29)^(A49-2026))</f>
        <v/>
      </c>
      <c r="H49" s="7">
        <f>SUMPRODUCT($AJ$5:$AJ$29,$Q$5:$Q$29*(1+$F$5:$F$29)^(A49-2026))+IF(personal_llcActivo=1,personal_llcNeto*(1+personal_llcCrecimiento)^16,0)</f>
        <v/>
      </c>
      <c r="I49" s="7">
        <f>SUMPRODUCT($AJ$5:$AJ$29,$J$5:$J$29/($C$5:$C$29-$B$5:$B$29+($C$5:$C$29=$B$5:$B$29)))*C49</f>
        <v/>
      </c>
      <c r="J49" s="7">
        <f>SUMPRODUCT($AJ$5:$AJ$29,$K$5:$K$29)</f>
        <v/>
      </c>
      <c r="K49" s="7">
        <f>SUMPRODUCT($AJ$5:$AJ$29,$L$5:$L$29)</f>
        <v/>
      </c>
      <c r="L49" s="7">
        <f>SUMPRODUCT($AJ$5:$AJ$29,$N$5:$N$29)</f>
        <v/>
      </c>
      <c r="M49" s="7">
        <f>IF(SUMPRODUCT($AJ$5:$AJ$29,$R$5:$R$29)&gt;0,1,0)</f>
        <v/>
      </c>
      <c r="N49" s="7">
        <f>SUMPRODUCT(($AO$5:$AO$24&gt;=A49)*($AO$5:$AO$24&lt;A49+1)*$AP$5:$AP$24)*C49+IF(16=0,IF(sel_loc&lt;&gt;"miami",personal_costoMudanzaInicial,0),0)</f>
        <v/>
      </c>
      <c r="O49" s="7">
        <f>MIN(personal_aporte403bPct*D49,retiro_limite403b*C49)</f>
        <v/>
      </c>
      <c r="P49" s="7">
        <f>MIN(personal_aporte403bPct,personal_match403bPct)*E49</f>
        <v/>
      </c>
      <c r="Q49" s="7">
        <f>IF(G49&gt;0,MAX(0,G49-impuestos_scorpCostoAnual*C49),0)</f>
        <v/>
      </c>
      <c r="R49" s="7">
        <f>Q49*impuestos_scorpSalarioPct/(1+impuestos_ssTasa+impuestos_medicareTasa)</f>
        <v/>
      </c>
      <c r="S49" s="7">
        <f>impuestos_ssTasa*MIN(R49,MAX(0,impuestos_ssTope*C49-D49))+impuestos_medicareTasa*R49</f>
        <v/>
      </c>
      <c r="T49" s="7">
        <f>Q49-R49-S49</f>
        <v/>
      </c>
      <c r="U49" s="7">
        <f>D49+R49</f>
        <v/>
      </c>
      <c r="V49" s="7">
        <f>H49*0.9235</f>
        <v/>
      </c>
      <c r="W49" s="7">
        <f>IF(H49&gt;0,2*impuestos_ssTasa*MIN(V49,MAX(0,impuestos_ssTope*C49-U49))+2*impuestos_medicareTasa*V49,0)</f>
        <v/>
      </c>
      <c r="X49" s="7">
        <f>impuestos_ssTasa*MIN(U49,impuestos_ssTope*C49)+impuestos_medicareTasa*U49+impuestos_medicareAdicional*MAX(0,U49+H49*0.9235-impuestos_medicareUmbral)</f>
        <v/>
      </c>
      <c r="Y49" s="7">
        <f>MAX(0,D49-O49+R49+T49+H49-W49/2)</f>
        <v/>
      </c>
      <c r="Z49" s="7">
        <f>MAX(0,Y49-impuestos_deduccionEstandar*C49)</f>
        <v/>
      </c>
      <c r="AA49" s="7">
        <f>MIN(0.2*MAX(0,T49+H49-W49/2)*MAX(0,MIN(1,1-(Z49-impuestos_qbiUmbral*C49)/(impuestos_qbiRango*C49))),0.2*Z49)</f>
        <v/>
      </c>
      <c r="AB49" s="7">
        <f>MAX(0,Z49-AA49)</f>
        <v/>
      </c>
      <c r="AC49" s="7">
        <f>SUMPRODUCT((AB49&gt;tb_federalBrackets_lo*C49)*(AB49-tb_federalBrackets_lo*C49)*tb_federalBrackets_dr)</f>
        <v/>
      </c>
      <c r="AD49" s="7">
        <f>MAX(0,Y49-impuestos_nyDeduccion*C49)</f>
        <v/>
      </c>
      <c r="AE49" s="7">
        <f>CHOOSE(loc_taxcode,0,impuestos_ohTasa*MAX(0,Y49-impuestos_ohExento*C49)+impuestos_ohMunicipal*U49,SUMPRODUCT((AD49&gt;tb_nyBrackets_lo*C49)*(AD49-tb_nyBrackets_lo*C49)*tb_nyBrackets_dr)+loc_nyc*SUMPRODUCT((AD49&gt;tb_nycBrackets_lo*C49)*(AD49-tb_nycBrackets_lo*C49)*tb_nycBrackets_dr))</f>
        <v/>
      </c>
      <c r="AF49" s="7">
        <f>AC49+AE49+X49+W49</f>
        <v/>
      </c>
      <c r="AG49" s="7">
        <f>D49+F49+R49+T49+H49</f>
        <v/>
      </c>
      <c r="AH49" s="7">
        <f>AG49-AF49-O49</f>
        <v/>
      </c>
      <c r="AI49" s="7">
        <f>D49+F49+G49+H49</f>
        <v/>
      </c>
      <c r="AJ49" s="7">
        <f>loc_gastosVida*C49*g_gastos</f>
        <v/>
      </c>
      <c r="AK49" s="7">
        <f>IF(16=0,personal_liquidoInicial,DR48)</f>
        <v/>
      </c>
      <c r="AL49" s="7">
        <f>IF(16=0,0,BB48)</f>
        <v/>
      </c>
      <c r="AM49" s="7">
        <f>CHOOSE(sel_cfgIdx,loc_precio_duplex,loc_precio_inlaw,loc_precio_dosCasas,loc_precio_casaAdu,loc_precio_multi)</f>
        <v/>
      </c>
      <c r="AN49" s="7">
        <f>AM49*(1+g_appr)^(A49-2026)</f>
        <v/>
      </c>
      <c r="AO49" s="7">
        <f>IF(AND(M49=1,vivienda_prestamoMedico=1),1,0)</f>
        <v/>
      </c>
      <c r="AP49" s="7">
        <f>IF(AO49=1,0.05,vivienda_enganchePct)</f>
        <v/>
      </c>
      <c r="AQ49" s="7">
        <f>AN49*(1-AP49)</f>
        <v/>
      </c>
      <c r="AR49" s="7">
        <f>PMT(g_mortRate/12,vivienda_plazoHipoteca*12,-AQ49)</f>
        <v/>
      </c>
      <c r="AS49" s="7">
        <f>INDEX(cfg_units,sel_cfgIdx)</f>
        <v/>
      </c>
      <c r="AT49" s="7">
        <f>AS49*loc_rentaUnidad*(1+g_inf)^(A49-2026)*(1-vivienda_vacancia)</f>
        <v/>
      </c>
      <c r="AU49" s="7">
        <f>AR49+AN49*loc_impuestoPropPct/12+AM49*loc_seguroPct*(1+vivienda_inflacionSeguro)^(A49-2026)/12+IF(AND(AO49=0,AP49&lt;0.2),AQ49*vivienda_pmiTasa/12,0)</f>
        <v/>
      </c>
      <c r="AV49" s="7">
        <f>AN49*AP49+AN49*vivienda_cierrePct+general_reservaMeses/12*AJ49</f>
        <v/>
      </c>
      <c r="AW49" s="7">
        <f>(IF(16=0,MIN(personal_irsSaldo,personal_irsPagoMensual*12),MIN(CD48,personal_irsPagoMensual*12))+IF(CE49&gt;0,PMT(CF49,MAX(1,prestamos_plazoAnios-CG49),-CE49),0)+IF(CR49&gt;0,PMT(CS49,MAX(1,prestamos_plazoAnios-CT49),-CR49),0))/12</f>
        <v/>
      </c>
      <c r="AX49" s="7">
        <f>IF(OR(sel_cfg="duplex",sel_cfg="multi",sel_cfg="dosCasas"),0.75*personal_aporteFamiliaMensual,0)</f>
        <v/>
      </c>
      <c r="AY49" s="7">
        <f>AU49-0.75*AT49-AX49+AW49</f>
        <v/>
      </c>
      <c r="AZ49" s="7">
        <f>(D49+G49+H49+0.5*F49)/12</f>
        <v/>
      </c>
      <c r="BA49" s="7">
        <f>IF(AND(AL49=0,A49&gt;=vivienda_anioMinCompra,J49&lt;0.5,AI49&gt;0,AK49&gt;=AV49,AY49&lt;=vivienda_dtiMax*AZ49),1,0)</f>
        <v/>
      </c>
      <c r="BB49" s="7">
        <f>MAX(AL49,BA49)</f>
        <v/>
      </c>
      <c r="BC49" s="7">
        <f>IF(BA49=1,A49,IF(16=0,"",BC48))</f>
        <v/>
      </c>
      <c r="BD49" s="7">
        <f>AK49-IF(BA49=1,AN49*AP49+AN49*vivienda_cierrePct,0)</f>
        <v/>
      </c>
      <c r="BE49" s="7">
        <f>IF(BA49=1,AN49,IF(16=0,0,BE48))</f>
        <v/>
      </c>
      <c r="BF49" s="7">
        <f>IF(BA49=1,AR49,IF(16=0,0,BF48))</f>
        <v/>
      </c>
      <c r="BG49" s="7">
        <f>IF(BA49=1,IF(AND(AO49=0,AP49&lt;0.2),1,0),IF(16=0,0,BY48))</f>
        <v/>
      </c>
      <c r="BH49" s="7">
        <f>IF(sel_cfg="casaAdu",1,0)</f>
        <v/>
      </c>
      <c r="BI49" s="7">
        <f>IF(AND(BB49=1,BH49=1,IF(16=0,0,BJ48)=0,A49&gt;=IF(BC49="",9999,BC49)+vivienda_aduRetrasoAnios),1,0)</f>
        <v/>
      </c>
      <c r="BJ49" s="7">
        <f>MAX(IF(16=0,0,BJ48),BI49)</f>
        <v/>
      </c>
      <c r="BK49" s="7">
        <f>IF(BI49=1,PMT((g_mortRate+0.005)/12,180,-loc_precio_aduCosto*C49),IF(16=0,0,BK48))</f>
        <v/>
      </c>
      <c r="BL49" s="7">
        <f>IF(BA49=1,AN49,IF(16=0,0,DT48))+IF(BI49=1,loc_precio_aduCosto*C49,0)</f>
        <v/>
      </c>
      <c r="BM49" s="7">
        <f>IF(BA49=1,AQ49,IF(16=0,0,DU48))</f>
        <v/>
      </c>
      <c r="BN49" s="7">
        <f>IF(BM49&lt;=0,0,FV(g_mortRate/12,12,BF49,-BM49))</f>
        <v/>
      </c>
      <c r="BO49" s="7">
        <f>IF(BM49&lt;=0,0,12*BF49+MIN(0,BN49))</f>
        <v/>
      </c>
      <c r="BP49" s="7">
        <f>MAX(0,BN49)</f>
        <v/>
      </c>
      <c r="BQ49" s="7">
        <f>IF(BI49=1,loc_precio_aduCosto*C49,IF(16=0,0,DV48))</f>
        <v/>
      </c>
      <c r="BR49" s="7">
        <f>IF(BQ49&lt;=0,0,FV((g_mortRate+0.005)/12,12,BK49,-BQ49))</f>
        <v/>
      </c>
      <c r="BS49" s="7">
        <f>IF(BQ49&lt;=0,0,12*BK49+MIN(0,BR49))</f>
        <v/>
      </c>
      <c r="BT49" s="7">
        <f>MAX(0,BR49)</f>
        <v/>
      </c>
      <c r="BU49" s="7">
        <f>IF(BB49=1,AM49*loc_seguroPct*(1+vivienda_inflacionSeguro)^(A49-2026)*IF(BJ49=1,1+loc_precio_aduCosto/AM49,1),0)</f>
        <v/>
      </c>
      <c r="BV49" s="7">
        <f>BL49*loc_impuestoPropPct</f>
        <v/>
      </c>
      <c r="BW49" s="7">
        <f>BL49*vivienda_mantenimientoPct</f>
        <v/>
      </c>
      <c r="BX49" s="7">
        <f>IF(AND(BG49=1,BP49&gt;0.8*BE49),BE49*(1-vivienda_enganchePct)*vivienda_pmiTasa,0)</f>
        <v/>
      </c>
      <c r="BY49" s="7">
        <f>IF(AND(BG49=1,BP49&gt;0.8*BE49),1,0)</f>
        <v/>
      </c>
      <c r="BZ49" s="7">
        <f>IF(BB49=1,AS49*loc_rentaUnidad*12*C49*(1-vivienda_vacancia)*(1-vivienda_gestionPct),0)</f>
        <v/>
      </c>
      <c r="CA49" s="7">
        <f>IF(BB49=1,BO49+BS49+BU49+BV49+BW49+BX49,loc_rentaMensual*12*C49)</f>
        <v/>
      </c>
      <c r="CB49" s="7">
        <f>IF(BB49=1,personal_aporteFamiliaMensual*12,0)</f>
        <v/>
      </c>
      <c r="CC49" s="7">
        <f>MIN(IF(16=0,personal_irsSaldo,CD48),personal_irsPagoMensual*12)</f>
        <v/>
      </c>
      <c r="CD49" s="7">
        <f>IF(16=0,personal_irsSaldo,CD48)-CC49</f>
        <v/>
      </c>
      <c r="CE49" s="7">
        <f>IF(16=0,IF(personal_deudaEsFederal=1,personal_deudaEstudiantil,0),DW48)</f>
        <v/>
      </c>
      <c r="CF49" s="7">
        <f>IF(16=0,personal_tasaDeudaEstudiantil,DX48)</f>
        <v/>
      </c>
      <c r="CG49" s="7">
        <f>IF(16=0,0,DY48)</f>
        <v/>
      </c>
      <c r="CH49" s="7">
        <f>IF(J49&gt;=0.5,1,0)</f>
        <v/>
      </c>
      <c r="CI49" s="7">
        <f>IF(AND(CH49=0,prestamos_pslfActivo=1,K49&gt;=0.5,CE49&gt;0),1,0)</f>
        <v/>
      </c>
      <c r="CJ49" s="7">
        <f>CE49*CF49</f>
        <v/>
      </c>
      <c r="CK49" s="7">
        <f>MAX(prestamos_rapPagoMinimoAnual,IF(Y49&lt;10000,0,MIN(0.1,INT(Y49/10000)/100))*Y49)</f>
        <v/>
      </c>
      <c r="CL49" s="7">
        <f>IF(CE49&lt;=0,0,IF(CH49=1,0,IF(CI49=1,MIN(CE49+CJ49,CK49),PMT(CF49,MAX(1,prestamos_plazoAnios-CG49),-CE49))))</f>
        <v/>
      </c>
      <c r="CM49" s="7">
        <f>IF(CE49&lt;=0,0,IF(CH49=1,CE49+CJ49,IF(CI49=1,MAX(0,CE49-MAX(CL49-CJ49,MIN(600,CL49))),MAX(0,CE49*(1+CF49)-CL49))))</f>
        <v/>
      </c>
      <c r="CN49" s="7">
        <f>IF(16=0,0,CN48)+IF(CI49=1,12*MIN(1,K49),0)</f>
        <v/>
      </c>
      <c r="CO49" s="7">
        <f>IF(AND(CI49=1,CN49&gt;=prestamos_pslfPagos,CM49&gt;0),CM49,0)</f>
        <v/>
      </c>
      <c r="CP49" s="7">
        <f>CM49-CO49</f>
        <v/>
      </c>
      <c r="CQ49" s="7">
        <f>IF(AND(CE49&gt;0,CH49=0,CI49=0),CG49+1,CG49)</f>
        <v/>
      </c>
      <c r="CR49" s="7">
        <f>IF(16=0,IF(personal_deudaEsFederal=1,0,personal_deudaEstudiantil),EA48)</f>
        <v/>
      </c>
      <c r="CS49" s="7">
        <f>IF(16=0,IF(personal_deudaEsFederal=1,prestamos_tasaPrivada,personal_tasaDeudaEstudiantil),EB48)</f>
        <v/>
      </c>
      <c r="CT49" s="7">
        <f>IF(16=0,0,EC48)</f>
        <v/>
      </c>
      <c r="CU49" s="7">
        <f>IF(OR(CR49&lt;=0,CH49=1),0,PMT(CS49,MAX(1,prestamos_plazoAnios-CT49),-CR49))</f>
        <v/>
      </c>
      <c r="CV49" s="7">
        <f>IF(CR49&lt;=0,0,IF(CH49=1,CR49*(1+CS49),MAX(0,CR49*(1+CS49)-CU49)))</f>
        <v/>
      </c>
      <c r="CW49" s="7">
        <f>IF(AND(CR49&gt;0,CH49=0),CT49+1,CT49)</f>
        <v/>
      </c>
      <c r="CX49" s="7">
        <f>IF(16=0,0,ED48)*(1+general_tasaDeudaConsumo)</f>
        <v/>
      </c>
      <c r="CY49" s="7">
        <f>L49*12*tiempos_travelGastoExtraMes*C49</f>
        <v/>
      </c>
      <c r="CZ49" s="7">
        <f>AJ49+CY49+CA49+CC49+CL49+CU49+I49+N49-BZ49-CB49</f>
        <v/>
      </c>
      <c r="DA49" s="7">
        <f>AH49-CZ49</f>
        <v/>
      </c>
      <c r="DB49" s="7">
        <f>IF(16=0,0,DB48)+DA49</f>
        <v/>
      </c>
      <c r="DC49" s="7">
        <f>AN49*vivienda_enganchePct+AN49*vivienda_cierrePct+general_reservaMeses/12*AJ49</f>
        <v/>
      </c>
      <c r="DD49" s="7">
        <f>IF(BB49=1,g_ret,IF(BD49&gt;0,MIN(1,DC49/BD49),1)*g_cash+(1-IF(BD49&gt;0,MIN(1,DC49/BD49),1))*g_ret)</f>
        <v/>
      </c>
      <c r="DE49" s="7">
        <f>IF(DA49&gt;=0,MIN(CX49,DA49),0)</f>
        <v/>
      </c>
      <c r="DF49" s="7">
        <f>IF(DA49&gt;=0,(1-general_tasaAhorro)*(DA49-DE49),0)</f>
        <v/>
      </c>
      <c r="DG49" s="7">
        <f>IF(DA49&gt;=0,DA49-DE49-DF49,0)</f>
        <v/>
      </c>
      <c r="DH49" s="7">
        <f>MIN(personal_rothAnual,DG49)</f>
        <v/>
      </c>
      <c r="DI49" s="7">
        <f>IF(AND(DA49&gt;=0,BB49=1,BP49+BT49&gt;0),MIN(vivienda_prepagoPct*(DG49-DH49),BP49+BT49),0)</f>
        <v/>
      </c>
      <c r="DJ49" s="7">
        <f>MIN(DI49,BP49)</f>
        <v/>
      </c>
      <c r="DK49" s="7">
        <f>IF(DA49&lt;0,MIN(MAX(0,BD49),-DA49),0)</f>
        <v/>
      </c>
      <c r="DL49" s="7">
        <f>IF(DA49&lt;0,-DA49-DK49,0)</f>
        <v/>
      </c>
      <c r="DM49" s="7">
        <f>IF(16=0,0,DZ48)</f>
        <v/>
      </c>
      <c r="DN49" s="7">
        <f>IF(AND(DL49&gt;0,J49&gt;0),MIN(DL49,MIN(prestamos_topeAnualPosgrado*MIN(1,J49),MAX(0,prestamos_topeTotalPosgrado-DM49))),0)</f>
        <v/>
      </c>
      <c r="DO49" s="7">
        <f>IF(AND(DL49&gt;0,J49&gt;0),DL49-DN49,0)</f>
        <v/>
      </c>
      <c r="DP49" s="7">
        <f>IF(AND(DL49&gt;0,J49&lt;=0),DL49,0)</f>
        <v/>
      </c>
      <c r="DQ49" s="7">
        <f>IF(DA49&gt;=0,DG49-DH49-DI49,-DK49)</f>
        <v/>
      </c>
      <c r="DR49" s="7">
        <f>BD49*(1+DD49)+DQ49*(1+DD49/2)</f>
        <v/>
      </c>
      <c r="DS49" s="7">
        <f>IF(16=0,personal_retiroInicial,DS48)*(1+g_ret)+(O49+P49+DH49)*(1+g_ret/2)</f>
        <v/>
      </c>
      <c r="DT49" s="7">
        <f>IF(BB49=1,BL49*(1+g_appr),0)</f>
        <v/>
      </c>
      <c r="DU49" s="7">
        <f>BP49-DJ49</f>
        <v/>
      </c>
      <c r="DV49" s="7">
        <f>BT49-(DI49-DJ49)</f>
        <v/>
      </c>
      <c r="DW49" s="7">
        <f>CP49+DN49</f>
        <v/>
      </c>
      <c r="DX49" s="7">
        <f>IF(DN49&gt;0,(CP49*CF49+DN49*prestamos_tasaFederalPosgrado)/(CP49+DN49),CF49)</f>
        <v/>
      </c>
      <c r="DY49" s="7">
        <f>IF(DN49&gt;0,0,CQ49)</f>
        <v/>
      </c>
      <c r="DZ49" s="7">
        <f>DM49+DN49</f>
        <v/>
      </c>
      <c r="EA49" s="7">
        <f>CV49+DO49</f>
        <v/>
      </c>
      <c r="EB49" s="7">
        <f>IF(DO49&gt;0,(CV49*CS49+DO49*prestamos_tasaPrivada)/(CV49+DO49),CS49)</f>
        <v/>
      </c>
      <c r="EC49" s="7">
        <f>IF(DO49&gt;0,0,CW49)</f>
        <v/>
      </c>
      <c r="ED49" s="7">
        <f>CX49-DE49+DP49</f>
        <v/>
      </c>
      <c r="EE49" s="7">
        <f>IF(IF(16=0,"",EE48)&lt;&gt;"",EE48,IF(AND(BB49=1,DU49&lt;=0.5,DV49&lt;=0.5,OR(BH49=0,BJ49=1)),A49,""))</f>
        <v/>
      </c>
      <c r="EF49" s="7">
        <f>DU49+DV49+DW49+EA49+ED49+CD49</f>
        <v/>
      </c>
      <c r="EG49" s="7">
        <f>DR49+DS49+DT49-EF49</f>
        <v/>
      </c>
      <c r="EH49" s="7">
        <f>EG49/(1+g_inf)^(A49+1-2026)</f>
        <v/>
      </c>
    </row>
    <row r="50">
      <c r="A50" t="n">
        <v>2044</v>
      </c>
      <c r="B50" t="n">
        <v>17</v>
      </c>
      <c r="C50" s="7">
        <f>(1+g_inf)^(A50-2026)</f>
        <v/>
      </c>
      <c r="D50" s="7">
        <f>SUMPRODUCT($AK$5:$AK$29,$E$5:$E$29*(1+$F$5:$F$29)^(A50-2026)*$G$5:$G$29*$H$5:$H$29*(1-$N$5:$N$29*$O$5:$O$29))*g_salMult+SUMPRODUCT(($B$5:$B$29&gt;=A50)*($B$5:$B$29&lt;A50+1)*$I$5:$I$29)*g_salMult</f>
        <v/>
      </c>
      <c r="E50" s="7">
        <f>SUMPRODUCT($AK$5:$AK$29,$E$5:$E$29*(1+$F$5:$F$29)^(A50-2026)*$G$5:$G$29*$H$5:$H$29*$M$5:$M$29)*g_salMult</f>
        <v/>
      </c>
      <c r="F50" s="7">
        <f>SUMPRODUCT($AK$5:$AK$29,$E$5:$E$29*(1+$F$5:$F$29)^(A50-2026)*$G$5:$G$29*$H$5:$H$29*$N$5:$N$29*$O$5:$O$29)*g_salMult</f>
        <v/>
      </c>
      <c r="G50" s="7">
        <f>SUMPRODUCT($AK$5:$AK$29,$P$5:$P$29*(1+$F$5:$F$29)^(A50-2026))</f>
        <v/>
      </c>
      <c r="H50" s="7">
        <f>SUMPRODUCT($AK$5:$AK$29,$Q$5:$Q$29*(1+$F$5:$F$29)^(A50-2026))+IF(personal_llcActivo=1,personal_llcNeto*(1+personal_llcCrecimiento)^17,0)</f>
        <v/>
      </c>
      <c r="I50" s="7">
        <f>SUMPRODUCT($AK$5:$AK$29,$J$5:$J$29/($C$5:$C$29-$B$5:$B$29+($C$5:$C$29=$B$5:$B$29)))*C50</f>
        <v/>
      </c>
      <c r="J50" s="7">
        <f>SUMPRODUCT($AK$5:$AK$29,$K$5:$K$29)</f>
        <v/>
      </c>
      <c r="K50" s="7">
        <f>SUMPRODUCT($AK$5:$AK$29,$L$5:$L$29)</f>
        <v/>
      </c>
      <c r="L50" s="7">
        <f>SUMPRODUCT($AK$5:$AK$29,$N$5:$N$29)</f>
        <v/>
      </c>
      <c r="M50" s="7">
        <f>IF(SUMPRODUCT($AK$5:$AK$29,$R$5:$R$29)&gt;0,1,0)</f>
        <v/>
      </c>
      <c r="N50" s="7">
        <f>SUMPRODUCT(($AO$5:$AO$24&gt;=A50)*($AO$5:$AO$24&lt;A50+1)*$AP$5:$AP$24)*C50+IF(17=0,IF(sel_loc&lt;&gt;"miami",personal_costoMudanzaInicial,0),0)</f>
        <v/>
      </c>
      <c r="O50" s="7">
        <f>MIN(personal_aporte403bPct*D50,retiro_limite403b*C50)</f>
        <v/>
      </c>
      <c r="P50" s="7">
        <f>MIN(personal_aporte403bPct,personal_match403bPct)*E50</f>
        <v/>
      </c>
      <c r="Q50" s="7">
        <f>IF(G50&gt;0,MAX(0,G50-impuestos_scorpCostoAnual*C50),0)</f>
        <v/>
      </c>
      <c r="R50" s="7">
        <f>Q50*impuestos_scorpSalarioPct/(1+impuestos_ssTasa+impuestos_medicareTasa)</f>
        <v/>
      </c>
      <c r="S50" s="7">
        <f>impuestos_ssTasa*MIN(R50,MAX(0,impuestos_ssTope*C50-D50))+impuestos_medicareTasa*R50</f>
        <v/>
      </c>
      <c r="T50" s="7">
        <f>Q50-R50-S50</f>
        <v/>
      </c>
      <c r="U50" s="7">
        <f>D50+R50</f>
        <v/>
      </c>
      <c r="V50" s="7">
        <f>H50*0.9235</f>
        <v/>
      </c>
      <c r="W50" s="7">
        <f>IF(H50&gt;0,2*impuestos_ssTasa*MIN(V50,MAX(0,impuestos_ssTope*C50-U50))+2*impuestos_medicareTasa*V50,0)</f>
        <v/>
      </c>
      <c r="X50" s="7">
        <f>impuestos_ssTasa*MIN(U50,impuestos_ssTope*C50)+impuestos_medicareTasa*U50+impuestos_medicareAdicional*MAX(0,U50+H50*0.9235-impuestos_medicareUmbral)</f>
        <v/>
      </c>
      <c r="Y50" s="7">
        <f>MAX(0,D50-O50+R50+T50+H50-W50/2)</f>
        <v/>
      </c>
      <c r="Z50" s="7">
        <f>MAX(0,Y50-impuestos_deduccionEstandar*C50)</f>
        <v/>
      </c>
      <c r="AA50" s="7">
        <f>MIN(0.2*MAX(0,T50+H50-W50/2)*MAX(0,MIN(1,1-(Z50-impuestos_qbiUmbral*C50)/(impuestos_qbiRango*C50))),0.2*Z50)</f>
        <v/>
      </c>
      <c r="AB50" s="7">
        <f>MAX(0,Z50-AA50)</f>
        <v/>
      </c>
      <c r="AC50" s="7">
        <f>SUMPRODUCT((AB50&gt;tb_federalBrackets_lo*C50)*(AB50-tb_federalBrackets_lo*C50)*tb_federalBrackets_dr)</f>
        <v/>
      </c>
      <c r="AD50" s="7">
        <f>MAX(0,Y50-impuestos_nyDeduccion*C50)</f>
        <v/>
      </c>
      <c r="AE50" s="7">
        <f>CHOOSE(loc_taxcode,0,impuestos_ohTasa*MAX(0,Y50-impuestos_ohExento*C50)+impuestos_ohMunicipal*U50,SUMPRODUCT((AD50&gt;tb_nyBrackets_lo*C50)*(AD50-tb_nyBrackets_lo*C50)*tb_nyBrackets_dr)+loc_nyc*SUMPRODUCT((AD50&gt;tb_nycBrackets_lo*C50)*(AD50-tb_nycBrackets_lo*C50)*tb_nycBrackets_dr))</f>
        <v/>
      </c>
      <c r="AF50" s="7">
        <f>AC50+AE50+X50+W50</f>
        <v/>
      </c>
      <c r="AG50" s="7">
        <f>D50+F50+R50+T50+H50</f>
        <v/>
      </c>
      <c r="AH50" s="7">
        <f>AG50-AF50-O50</f>
        <v/>
      </c>
      <c r="AI50" s="7">
        <f>D50+F50+G50+H50</f>
        <v/>
      </c>
      <c r="AJ50" s="7">
        <f>loc_gastosVida*C50*g_gastos</f>
        <v/>
      </c>
      <c r="AK50" s="7">
        <f>IF(17=0,personal_liquidoInicial,DR49)</f>
        <v/>
      </c>
      <c r="AL50" s="7">
        <f>IF(17=0,0,BB49)</f>
        <v/>
      </c>
      <c r="AM50" s="7">
        <f>CHOOSE(sel_cfgIdx,loc_precio_duplex,loc_precio_inlaw,loc_precio_dosCasas,loc_precio_casaAdu,loc_precio_multi)</f>
        <v/>
      </c>
      <c r="AN50" s="7">
        <f>AM50*(1+g_appr)^(A50-2026)</f>
        <v/>
      </c>
      <c r="AO50" s="7">
        <f>IF(AND(M50=1,vivienda_prestamoMedico=1),1,0)</f>
        <v/>
      </c>
      <c r="AP50" s="7">
        <f>IF(AO50=1,0.05,vivienda_enganchePct)</f>
        <v/>
      </c>
      <c r="AQ50" s="7">
        <f>AN50*(1-AP50)</f>
        <v/>
      </c>
      <c r="AR50" s="7">
        <f>PMT(g_mortRate/12,vivienda_plazoHipoteca*12,-AQ50)</f>
        <v/>
      </c>
      <c r="AS50" s="7">
        <f>INDEX(cfg_units,sel_cfgIdx)</f>
        <v/>
      </c>
      <c r="AT50" s="7">
        <f>AS50*loc_rentaUnidad*(1+g_inf)^(A50-2026)*(1-vivienda_vacancia)</f>
        <v/>
      </c>
      <c r="AU50" s="7">
        <f>AR50+AN50*loc_impuestoPropPct/12+AM50*loc_seguroPct*(1+vivienda_inflacionSeguro)^(A50-2026)/12+IF(AND(AO50=0,AP50&lt;0.2),AQ50*vivienda_pmiTasa/12,0)</f>
        <v/>
      </c>
      <c r="AV50" s="7">
        <f>AN50*AP50+AN50*vivienda_cierrePct+general_reservaMeses/12*AJ50</f>
        <v/>
      </c>
      <c r="AW50" s="7">
        <f>(IF(17=0,MIN(personal_irsSaldo,personal_irsPagoMensual*12),MIN(CD49,personal_irsPagoMensual*12))+IF(CE50&gt;0,PMT(CF50,MAX(1,prestamos_plazoAnios-CG50),-CE50),0)+IF(CR50&gt;0,PMT(CS50,MAX(1,prestamos_plazoAnios-CT50),-CR50),0))/12</f>
        <v/>
      </c>
      <c r="AX50" s="7">
        <f>IF(OR(sel_cfg="duplex",sel_cfg="multi",sel_cfg="dosCasas"),0.75*personal_aporteFamiliaMensual,0)</f>
        <v/>
      </c>
      <c r="AY50" s="7">
        <f>AU50-0.75*AT50-AX50+AW50</f>
        <v/>
      </c>
      <c r="AZ50" s="7">
        <f>(D50+G50+H50+0.5*F50)/12</f>
        <v/>
      </c>
      <c r="BA50" s="7">
        <f>IF(AND(AL50=0,A50&gt;=vivienda_anioMinCompra,J50&lt;0.5,AI50&gt;0,AK50&gt;=AV50,AY50&lt;=vivienda_dtiMax*AZ50),1,0)</f>
        <v/>
      </c>
      <c r="BB50" s="7">
        <f>MAX(AL50,BA50)</f>
        <v/>
      </c>
      <c r="BC50" s="7">
        <f>IF(BA50=1,A50,IF(17=0,"",BC49))</f>
        <v/>
      </c>
      <c r="BD50" s="7">
        <f>AK50-IF(BA50=1,AN50*AP50+AN50*vivienda_cierrePct,0)</f>
        <v/>
      </c>
      <c r="BE50" s="7">
        <f>IF(BA50=1,AN50,IF(17=0,0,BE49))</f>
        <v/>
      </c>
      <c r="BF50" s="7">
        <f>IF(BA50=1,AR50,IF(17=0,0,BF49))</f>
        <v/>
      </c>
      <c r="BG50" s="7">
        <f>IF(BA50=1,IF(AND(AO50=0,AP50&lt;0.2),1,0),IF(17=0,0,BY49))</f>
        <v/>
      </c>
      <c r="BH50" s="7">
        <f>IF(sel_cfg="casaAdu",1,0)</f>
        <v/>
      </c>
      <c r="BI50" s="7">
        <f>IF(AND(BB50=1,BH50=1,IF(17=0,0,BJ49)=0,A50&gt;=IF(BC50="",9999,BC50)+vivienda_aduRetrasoAnios),1,0)</f>
        <v/>
      </c>
      <c r="BJ50" s="7">
        <f>MAX(IF(17=0,0,BJ49),BI50)</f>
        <v/>
      </c>
      <c r="BK50" s="7">
        <f>IF(BI50=1,PMT((g_mortRate+0.005)/12,180,-loc_precio_aduCosto*C50),IF(17=0,0,BK49))</f>
        <v/>
      </c>
      <c r="BL50" s="7">
        <f>IF(BA50=1,AN50,IF(17=0,0,DT49))+IF(BI50=1,loc_precio_aduCosto*C50,0)</f>
        <v/>
      </c>
      <c r="BM50" s="7">
        <f>IF(BA50=1,AQ50,IF(17=0,0,DU49))</f>
        <v/>
      </c>
      <c r="BN50" s="7">
        <f>IF(BM50&lt;=0,0,FV(g_mortRate/12,12,BF50,-BM50))</f>
        <v/>
      </c>
      <c r="BO50" s="7">
        <f>IF(BM50&lt;=0,0,12*BF50+MIN(0,BN50))</f>
        <v/>
      </c>
      <c r="BP50" s="7">
        <f>MAX(0,BN50)</f>
        <v/>
      </c>
      <c r="BQ50" s="7">
        <f>IF(BI50=1,loc_precio_aduCosto*C50,IF(17=0,0,DV49))</f>
        <v/>
      </c>
      <c r="BR50" s="7">
        <f>IF(BQ50&lt;=0,0,FV((g_mortRate+0.005)/12,12,BK50,-BQ50))</f>
        <v/>
      </c>
      <c r="BS50" s="7">
        <f>IF(BQ50&lt;=0,0,12*BK50+MIN(0,BR50))</f>
        <v/>
      </c>
      <c r="BT50" s="7">
        <f>MAX(0,BR50)</f>
        <v/>
      </c>
      <c r="BU50" s="7">
        <f>IF(BB50=1,AM50*loc_seguroPct*(1+vivienda_inflacionSeguro)^(A50-2026)*IF(BJ50=1,1+loc_precio_aduCosto/AM50,1),0)</f>
        <v/>
      </c>
      <c r="BV50" s="7">
        <f>BL50*loc_impuestoPropPct</f>
        <v/>
      </c>
      <c r="BW50" s="7">
        <f>BL50*vivienda_mantenimientoPct</f>
        <v/>
      </c>
      <c r="BX50" s="7">
        <f>IF(AND(BG50=1,BP50&gt;0.8*BE50),BE50*(1-vivienda_enganchePct)*vivienda_pmiTasa,0)</f>
        <v/>
      </c>
      <c r="BY50" s="7">
        <f>IF(AND(BG50=1,BP50&gt;0.8*BE50),1,0)</f>
        <v/>
      </c>
      <c r="BZ50" s="7">
        <f>IF(BB50=1,AS50*loc_rentaUnidad*12*C50*(1-vivienda_vacancia)*(1-vivienda_gestionPct),0)</f>
        <v/>
      </c>
      <c r="CA50" s="7">
        <f>IF(BB50=1,BO50+BS50+BU50+BV50+BW50+BX50,loc_rentaMensual*12*C50)</f>
        <v/>
      </c>
      <c r="CB50" s="7">
        <f>IF(BB50=1,personal_aporteFamiliaMensual*12,0)</f>
        <v/>
      </c>
      <c r="CC50" s="7">
        <f>MIN(IF(17=0,personal_irsSaldo,CD49),personal_irsPagoMensual*12)</f>
        <v/>
      </c>
      <c r="CD50" s="7">
        <f>IF(17=0,personal_irsSaldo,CD49)-CC50</f>
        <v/>
      </c>
      <c r="CE50" s="7">
        <f>IF(17=0,IF(personal_deudaEsFederal=1,personal_deudaEstudiantil,0),DW49)</f>
        <v/>
      </c>
      <c r="CF50" s="7">
        <f>IF(17=0,personal_tasaDeudaEstudiantil,DX49)</f>
        <v/>
      </c>
      <c r="CG50" s="7">
        <f>IF(17=0,0,DY49)</f>
        <v/>
      </c>
      <c r="CH50" s="7">
        <f>IF(J50&gt;=0.5,1,0)</f>
        <v/>
      </c>
      <c r="CI50" s="7">
        <f>IF(AND(CH50=0,prestamos_pslfActivo=1,K50&gt;=0.5,CE50&gt;0),1,0)</f>
        <v/>
      </c>
      <c r="CJ50" s="7">
        <f>CE50*CF50</f>
        <v/>
      </c>
      <c r="CK50" s="7">
        <f>MAX(prestamos_rapPagoMinimoAnual,IF(Y50&lt;10000,0,MIN(0.1,INT(Y50/10000)/100))*Y50)</f>
        <v/>
      </c>
      <c r="CL50" s="7">
        <f>IF(CE50&lt;=0,0,IF(CH50=1,0,IF(CI50=1,MIN(CE50+CJ50,CK50),PMT(CF50,MAX(1,prestamos_plazoAnios-CG50),-CE50))))</f>
        <v/>
      </c>
      <c r="CM50" s="7">
        <f>IF(CE50&lt;=0,0,IF(CH50=1,CE50+CJ50,IF(CI50=1,MAX(0,CE50-MAX(CL50-CJ50,MIN(600,CL50))),MAX(0,CE50*(1+CF50)-CL50))))</f>
        <v/>
      </c>
      <c r="CN50" s="7">
        <f>IF(17=0,0,CN49)+IF(CI50=1,12*MIN(1,K50),0)</f>
        <v/>
      </c>
      <c r="CO50" s="7">
        <f>IF(AND(CI50=1,CN50&gt;=prestamos_pslfPagos,CM50&gt;0),CM50,0)</f>
        <v/>
      </c>
      <c r="CP50" s="7">
        <f>CM50-CO50</f>
        <v/>
      </c>
      <c r="CQ50" s="7">
        <f>IF(AND(CE50&gt;0,CH50=0,CI50=0),CG50+1,CG50)</f>
        <v/>
      </c>
      <c r="CR50" s="7">
        <f>IF(17=0,IF(personal_deudaEsFederal=1,0,personal_deudaEstudiantil),EA49)</f>
        <v/>
      </c>
      <c r="CS50" s="7">
        <f>IF(17=0,IF(personal_deudaEsFederal=1,prestamos_tasaPrivada,personal_tasaDeudaEstudiantil),EB49)</f>
        <v/>
      </c>
      <c r="CT50" s="7">
        <f>IF(17=0,0,EC49)</f>
        <v/>
      </c>
      <c r="CU50" s="7">
        <f>IF(OR(CR50&lt;=0,CH50=1),0,PMT(CS50,MAX(1,prestamos_plazoAnios-CT50),-CR50))</f>
        <v/>
      </c>
      <c r="CV50" s="7">
        <f>IF(CR50&lt;=0,0,IF(CH50=1,CR50*(1+CS50),MAX(0,CR50*(1+CS50)-CU50)))</f>
        <v/>
      </c>
      <c r="CW50" s="7">
        <f>IF(AND(CR50&gt;0,CH50=0),CT50+1,CT50)</f>
        <v/>
      </c>
      <c r="CX50" s="7">
        <f>IF(17=0,0,ED49)*(1+general_tasaDeudaConsumo)</f>
        <v/>
      </c>
      <c r="CY50" s="7">
        <f>L50*12*tiempos_travelGastoExtraMes*C50</f>
        <v/>
      </c>
      <c r="CZ50" s="7">
        <f>AJ50+CY50+CA50+CC50+CL50+CU50+I50+N50-BZ50-CB50</f>
        <v/>
      </c>
      <c r="DA50" s="7">
        <f>AH50-CZ50</f>
        <v/>
      </c>
      <c r="DB50" s="7">
        <f>IF(17=0,0,DB49)+DA50</f>
        <v/>
      </c>
      <c r="DC50" s="7">
        <f>AN50*vivienda_enganchePct+AN50*vivienda_cierrePct+general_reservaMeses/12*AJ50</f>
        <v/>
      </c>
      <c r="DD50" s="7">
        <f>IF(BB50=1,g_ret,IF(BD50&gt;0,MIN(1,DC50/BD50),1)*g_cash+(1-IF(BD50&gt;0,MIN(1,DC50/BD50),1))*g_ret)</f>
        <v/>
      </c>
      <c r="DE50" s="7">
        <f>IF(DA50&gt;=0,MIN(CX50,DA50),0)</f>
        <v/>
      </c>
      <c r="DF50" s="7">
        <f>IF(DA50&gt;=0,(1-general_tasaAhorro)*(DA50-DE50),0)</f>
        <v/>
      </c>
      <c r="DG50" s="7">
        <f>IF(DA50&gt;=0,DA50-DE50-DF50,0)</f>
        <v/>
      </c>
      <c r="DH50" s="7">
        <f>MIN(personal_rothAnual,DG50)</f>
        <v/>
      </c>
      <c r="DI50" s="7">
        <f>IF(AND(DA50&gt;=0,BB50=1,BP50+BT50&gt;0),MIN(vivienda_prepagoPct*(DG50-DH50),BP50+BT50),0)</f>
        <v/>
      </c>
      <c r="DJ50" s="7">
        <f>MIN(DI50,BP50)</f>
        <v/>
      </c>
      <c r="DK50" s="7">
        <f>IF(DA50&lt;0,MIN(MAX(0,BD50),-DA50),0)</f>
        <v/>
      </c>
      <c r="DL50" s="7">
        <f>IF(DA50&lt;0,-DA50-DK50,0)</f>
        <v/>
      </c>
      <c r="DM50" s="7">
        <f>IF(17=0,0,DZ49)</f>
        <v/>
      </c>
      <c r="DN50" s="7">
        <f>IF(AND(DL50&gt;0,J50&gt;0),MIN(DL50,MIN(prestamos_topeAnualPosgrado*MIN(1,J50),MAX(0,prestamos_topeTotalPosgrado-DM50))),0)</f>
        <v/>
      </c>
      <c r="DO50" s="7">
        <f>IF(AND(DL50&gt;0,J50&gt;0),DL50-DN50,0)</f>
        <v/>
      </c>
      <c r="DP50" s="7">
        <f>IF(AND(DL50&gt;0,J50&lt;=0),DL50,0)</f>
        <v/>
      </c>
      <c r="DQ50" s="7">
        <f>IF(DA50&gt;=0,DG50-DH50-DI50,-DK50)</f>
        <v/>
      </c>
      <c r="DR50" s="7">
        <f>BD50*(1+DD50)+DQ50*(1+DD50/2)</f>
        <v/>
      </c>
      <c r="DS50" s="7">
        <f>IF(17=0,personal_retiroInicial,DS49)*(1+g_ret)+(O50+P50+DH50)*(1+g_ret/2)</f>
        <v/>
      </c>
      <c r="DT50" s="7">
        <f>IF(BB50=1,BL50*(1+g_appr),0)</f>
        <v/>
      </c>
      <c r="DU50" s="7">
        <f>BP50-DJ50</f>
        <v/>
      </c>
      <c r="DV50" s="7">
        <f>BT50-(DI50-DJ50)</f>
        <v/>
      </c>
      <c r="DW50" s="7">
        <f>CP50+DN50</f>
        <v/>
      </c>
      <c r="DX50" s="7">
        <f>IF(DN50&gt;0,(CP50*CF50+DN50*prestamos_tasaFederalPosgrado)/(CP50+DN50),CF50)</f>
        <v/>
      </c>
      <c r="DY50" s="7">
        <f>IF(DN50&gt;0,0,CQ50)</f>
        <v/>
      </c>
      <c r="DZ50" s="7">
        <f>DM50+DN50</f>
        <v/>
      </c>
      <c r="EA50" s="7">
        <f>CV50+DO50</f>
        <v/>
      </c>
      <c r="EB50" s="7">
        <f>IF(DO50&gt;0,(CV50*CS50+DO50*prestamos_tasaPrivada)/(CV50+DO50),CS50)</f>
        <v/>
      </c>
      <c r="EC50" s="7">
        <f>IF(DO50&gt;0,0,CW50)</f>
        <v/>
      </c>
      <c r="ED50" s="7">
        <f>CX50-DE50+DP50</f>
        <v/>
      </c>
      <c r="EE50" s="7">
        <f>IF(IF(17=0,"",EE49)&lt;&gt;"",EE49,IF(AND(BB50=1,DU50&lt;=0.5,DV50&lt;=0.5,OR(BH50=0,BJ50=1)),A50,""))</f>
        <v/>
      </c>
      <c r="EF50" s="7">
        <f>DU50+DV50+DW50+EA50+ED50+CD50</f>
        <v/>
      </c>
      <c r="EG50" s="7">
        <f>DR50+DS50+DT50-EF50</f>
        <v/>
      </c>
      <c r="EH50" s="7">
        <f>EG50/(1+g_inf)^(A50+1-2026)</f>
        <v/>
      </c>
    </row>
    <row r="51">
      <c r="A51" t="n">
        <v>2045</v>
      </c>
      <c r="B51" t="n">
        <v>18</v>
      </c>
      <c r="C51" s="7">
        <f>(1+g_inf)^(A51-2026)</f>
        <v/>
      </c>
      <c r="D51" s="7">
        <f>SUMPRODUCT($AL$5:$AL$29,$E$5:$E$29*(1+$F$5:$F$29)^(A51-2026)*$G$5:$G$29*$H$5:$H$29*(1-$N$5:$N$29*$O$5:$O$29))*g_salMult+SUMPRODUCT(($B$5:$B$29&gt;=A51)*($B$5:$B$29&lt;A51+1)*$I$5:$I$29)*g_salMult</f>
        <v/>
      </c>
      <c r="E51" s="7">
        <f>SUMPRODUCT($AL$5:$AL$29,$E$5:$E$29*(1+$F$5:$F$29)^(A51-2026)*$G$5:$G$29*$H$5:$H$29*$M$5:$M$29)*g_salMult</f>
        <v/>
      </c>
      <c r="F51" s="7">
        <f>SUMPRODUCT($AL$5:$AL$29,$E$5:$E$29*(1+$F$5:$F$29)^(A51-2026)*$G$5:$G$29*$H$5:$H$29*$N$5:$N$29*$O$5:$O$29)*g_salMult</f>
        <v/>
      </c>
      <c r="G51" s="7">
        <f>SUMPRODUCT($AL$5:$AL$29,$P$5:$P$29*(1+$F$5:$F$29)^(A51-2026))</f>
        <v/>
      </c>
      <c r="H51" s="7">
        <f>SUMPRODUCT($AL$5:$AL$29,$Q$5:$Q$29*(1+$F$5:$F$29)^(A51-2026))+IF(personal_llcActivo=1,personal_llcNeto*(1+personal_llcCrecimiento)^18,0)</f>
        <v/>
      </c>
      <c r="I51" s="7">
        <f>SUMPRODUCT($AL$5:$AL$29,$J$5:$J$29/($C$5:$C$29-$B$5:$B$29+($C$5:$C$29=$B$5:$B$29)))*C51</f>
        <v/>
      </c>
      <c r="J51" s="7">
        <f>SUMPRODUCT($AL$5:$AL$29,$K$5:$K$29)</f>
        <v/>
      </c>
      <c r="K51" s="7">
        <f>SUMPRODUCT($AL$5:$AL$29,$L$5:$L$29)</f>
        <v/>
      </c>
      <c r="L51" s="7">
        <f>SUMPRODUCT($AL$5:$AL$29,$N$5:$N$29)</f>
        <v/>
      </c>
      <c r="M51" s="7">
        <f>IF(SUMPRODUCT($AL$5:$AL$29,$R$5:$R$29)&gt;0,1,0)</f>
        <v/>
      </c>
      <c r="N51" s="7">
        <f>SUMPRODUCT(($AO$5:$AO$24&gt;=A51)*($AO$5:$AO$24&lt;A51+1)*$AP$5:$AP$24)*C51+IF(18=0,IF(sel_loc&lt;&gt;"miami",personal_costoMudanzaInicial,0),0)</f>
        <v/>
      </c>
      <c r="O51" s="7">
        <f>MIN(personal_aporte403bPct*D51,retiro_limite403b*C51)</f>
        <v/>
      </c>
      <c r="P51" s="7">
        <f>MIN(personal_aporte403bPct,personal_match403bPct)*E51</f>
        <v/>
      </c>
      <c r="Q51" s="7">
        <f>IF(G51&gt;0,MAX(0,G51-impuestos_scorpCostoAnual*C51),0)</f>
        <v/>
      </c>
      <c r="R51" s="7">
        <f>Q51*impuestos_scorpSalarioPct/(1+impuestos_ssTasa+impuestos_medicareTasa)</f>
        <v/>
      </c>
      <c r="S51" s="7">
        <f>impuestos_ssTasa*MIN(R51,MAX(0,impuestos_ssTope*C51-D51))+impuestos_medicareTasa*R51</f>
        <v/>
      </c>
      <c r="T51" s="7">
        <f>Q51-R51-S51</f>
        <v/>
      </c>
      <c r="U51" s="7">
        <f>D51+R51</f>
        <v/>
      </c>
      <c r="V51" s="7">
        <f>H51*0.9235</f>
        <v/>
      </c>
      <c r="W51" s="7">
        <f>IF(H51&gt;0,2*impuestos_ssTasa*MIN(V51,MAX(0,impuestos_ssTope*C51-U51))+2*impuestos_medicareTasa*V51,0)</f>
        <v/>
      </c>
      <c r="X51" s="7">
        <f>impuestos_ssTasa*MIN(U51,impuestos_ssTope*C51)+impuestos_medicareTasa*U51+impuestos_medicareAdicional*MAX(0,U51+H51*0.9235-impuestos_medicareUmbral)</f>
        <v/>
      </c>
      <c r="Y51" s="7">
        <f>MAX(0,D51-O51+R51+T51+H51-W51/2)</f>
        <v/>
      </c>
      <c r="Z51" s="7">
        <f>MAX(0,Y51-impuestos_deduccionEstandar*C51)</f>
        <v/>
      </c>
      <c r="AA51" s="7">
        <f>MIN(0.2*MAX(0,T51+H51-W51/2)*MAX(0,MIN(1,1-(Z51-impuestos_qbiUmbral*C51)/(impuestos_qbiRango*C51))),0.2*Z51)</f>
        <v/>
      </c>
      <c r="AB51" s="7">
        <f>MAX(0,Z51-AA51)</f>
        <v/>
      </c>
      <c r="AC51" s="7">
        <f>SUMPRODUCT((AB51&gt;tb_federalBrackets_lo*C51)*(AB51-tb_federalBrackets_lo*C51)*tb_federalBrackets_dr)</f>
        <v/>
      </c>
      <c r="AD51" s="7">
        <f>MAX(0,Y51-impuestos_nyDeduccion*C51)</f>
        <v/>
      </c>
      <c r="AE51" s="7">
        <f>CHOOSE(loc_taxcode,0,impuestos_ohTasa*MAX(0,Y51-impuestos_ohExento*C51)+impuestos_ohMunicipal*U51,SUMPRODUCT((AD51&gt;tb_nyBrackets_lo*C51)*(AD51-tb_nyBrackets_lo*C51)*tb_nyBrackets_dr)+loc_nyc*SUMPRODUCT((AD51&gt;tb_nycBrackets_lo*C51)*(AD51-tb_nycBrackets_lo*C51)*tb_nycBrackets_dr))</f>
        <v/>
      </c>
      <c r="AF51" s="7">
        <f>AC51+AE51+X51+W51</f>
        <v/>
      </c>
      <c r="AG51" s="7">
        <f>D51+F51+R51+T51+H51</f>
        <v/>
      </c>
      <c r="AH51" s="7">
        <f>AG51-AF51-O51</f>
        <v/>
      </c>
      <c r="AI51" s="7">
        <f>D51+F51+G51+H51</f>
        <v/>
      </c>
      <c r="AJ51" s="7">
        <f>loc_gastosVida*C51*g_gastos</f>
        <v/>
      </c>
      <c r="AK51" s="7">
        <f>IF(18=0,personal_liquidoInicial,DR50)</f>
        <v/>
      </c>
      <c r="AL51" s="7">
        <f>IF(18=0,0,BB50)</f>
        <v/>
      </c>
      <c r="AM51" s="7">
        <f>CHOOSE(sel_cfgIdx,loc_precio_duplex,loc_precio_inlaw,loc_precio_dosCasas,loc_precio_casaAdu,loc_precio_multi)</f>
        <v/>
      </c>
      <c r="AN51" s="7">
        <f>AM51*(1+g_appr)^(A51-2026)</f>
        <v/>
      </c>
      <c r="AO51" s="7">
        <f>IF(AND(M51=1,vivienda_prestamoMedico=1),1,0)</f>
        <v/>
      </c>
      <c r="AP51" s="7">
        <f>IF(AO51=1,0.05,vivienda_enganchePct)</f>
        <v/>
      </c>
      <c r="AQ51" s="7">
        <f>AN51*(1-AP51)</f>
        <v/>
      </c>
      <c r="AR51" s="7">
        <f>PMT(g_mortRate/12,vivienda_plazoHipoteca*12,-AQ51)</f>
        <v/>
      </c>
      <c r="AS51" s="7">
        <f>INDEX(cfg_units,sel_cfgIdx)</f>
        <v/>
      </c>
      <c r="AT51" s="7">
        <f>AS51*loc_rentaUnidad*(1+g_inf)^(A51-2026)*(1-vivienda_vacancia)</f>
        <v/>
      </c>
      <c r="AU51" s="7">
        <f>AR51+AN51*loc_impuestoPropPct/12+AM51*loc_seguroPct*(1+vivienda_inflacionSeguro)^(A51-2026)/12+IF(AND(AO51=0,AP51&lt;0.2),AQ51*vivienda_pmiTasa/12,0)</f>
        <v/>
      </c>
      <c r="AV51" s="7">
        <f>AN51*AP51+AN51*vivienda_cierrePct+general_reservaMeses/12*AJ51</f>
        <v/>
      </c>
      <c r="AW51" s="7">
        <f>(IF(18=0,MIN(personal_irsSaldo,personal_irsPagoMensual*12),MIN(CD50,personal_irsPagoMensual*12))+IF(CE51&gt;0,PMT(CF51,MAX(1,prestamos_plazoAnios-CG51),-CE51),0)+IF(CR51&gt;0,PMT(CS51,MAX(1,prestamos_plazoAnios-CT51),-CR51),0))/12</f>
        <v/>
      </c>
      <c r="AX51" s="7">
        <f>IF(OR(sel_cfg="duplex",sel_cfg="multi",sel_cfg="dosCasas"),0.75*personal_aporteFamiliaMensual,0)</f>
        <v/>
      </c>
      <c r="AY51" s="7">
        <f>AU51-0.75*AT51-AX51+AW51</f>
        <v/>
      </c>
      <c r="AZ51" s="7">
        <f>(D51+G51+H51+0.5*F51)/12</f>
        <v/>
      </c>
      <c r="BA51" s="7">
        <f>IF(AND(AL51=0,A51&gt;=vivienda_anioMinCompra,J51&lt;0.5,AI51&gt;0,AK51&gt;=AV51,AY51&lt;=vivienda_dtiMax*AZ51),1,0)</f>
        <v/>
      </c>
      <c r="BB51" s="7">
        <f>MAX(AL51,BA51)</f>
        <v/>
      </c>
      <c r="BC51" s="7">
        <f>IF(BA51=1,A51,IF(18=0,"",BC50))</f>
        <v/>
      </c>
      <c r="BD51" s="7">
        <f>AK51-IF(BA51=1,AN51*AP51+AN51*vivienda_cierrePct,0)</f>
        <v/>
      </c>
      <c r="BE51" s="7">
        <f>IF(BA51=1,AN51,IF(18=0,0,BE50))</f>
        <v/>
      </c>
      <c r="BF51" s="7">
        <f>IF(BA51=1,AR51,IF(18=0,0,BF50))</f>
        <v/>
      </c>
      <c r="BG51" s="7">
        <f>IF(BA51=1,IF(AND(AO51=0,AP51&lt;0.2),1,0),IF(18=0,0,BY50))</f>
        <v/>
      </c>
      <c r="BH51" s="7">
        <f>IF(sel_cfg="casaAdu",1,0)</f>
        <v/>
      </c>
      <c r="BI51" s="7">
        <f>IF(AND(BB51=1,BH51=1,IF(18=0,0,BJ50)=0,A51&gt;=IF(BC51="",9999,BC51)+vivienda_aduRetrasoAnios),1,0)</f>
        <v/>
      </c>
      <c r="BJ51" s="7">
        <f>MAX(IF(18=0,0,BJ50),BI51)</f>
        <v/>
      </c>
      <c r="BK51" s="7">
        <f>IF(BI51=1,PMT((g_mortRate+0.005)/12,180,-loc_precio_aduCosto*C51),IF(18=0,0,BK50))</f>
        <v/>
      </c>
      <c r="BL51" s="7">
        <f>IF(BA51=1,AN51,IF(18=0,0,DT50))+IF(BI51=1,loc_precio_aduCosto*C51,0)</f>
        <v/>
      </c>
      <c r="BM51" s="7">
        <f>IF(BA51=1,AQ51,IF(18=0,0,DU50))</f>
        <v/>
      </c>
      <c r="BN51" s="7">
        <f>IF(BM51&lt;=0,0,FV(g_mortRate/12,12,BF51,-BM51))</f>
        <v/>
      </c>
      <c r="BO51" s="7">
        <f>IF(BM51&lt;=0,0,12*BF51+MIN(0,BN51))</f>
        <v/>
      </c>
      <c r="BP51" s="7">
        <f>MAX(0,BN51)</f>
        <v/>
      </c>
      <c r="BQ51" s="7">
        <f>IF(BI51=1,loc_precio_aduCosto*C51,IF(18=0,0,DV50))</f>
        <v/>
      </c>
      <c r="BR51" s="7">
        <f>IF(BQ51&lt;=0,0,FV((g_mortRate+0.005)/12,12,BK51,-BQ51))</f>
        <v/>
      </c>
      <c r="BS51" s="7">
        <f>IF(BQ51&lt;=0,0,12*BK51+MIN(0,BR51))</f>
        <v/>
      </c>
      <c r="BT51" s="7">
        <f>MAX(0,BR51)</f>
        <v/>
      </c>
      <c r="BU51" s="7">
        <f>IF(BB51=1,AM51*loc_seguroPct*(1+vivienda_inflacionSeguro)^(A51-2026)*IF(BJ51=1,1+loc_precio_aduCosto/AM51,1),0)</f>
        <v/>
      </c>
      <c r="BV51" s="7">
        <f>BL51*loc_impuestoPropPct</f>
        <v/>
      </c>
      <c r="BW51" s="7">
        <f>BL51*vivienda_mantenimientoPct</f>
        <v/>
      </c>
      <c r="BX51" s="7">
        <f>IF(AND(BG51=1,BP51&gt;0.8*BE51),BE51*(1-vivienda_enganchePct)*vivienda_pmiTasa,0)</f>
        <v/>
      </c>
      <c r="BY51" s="7">
        <f>IF(AND(BG51=1,BP51&gt;0.8*BE51),1,0)</f>
        <v/>
      </c>
      <c r="BZ51" s="7">
        <f>IF(BB51=1,AS51*loc_rentaUnidad*12*C51*(1-vivienda_vacancia)*(1-vivienda_gestionPct),0)</f>
        <v/>
      </c>
      <c r="CA51" s="7">
        <f>IF(BB51=1,BO51+BS51+BU51+BV51+BW51+BX51,loc_rentaMensual*12*C51)</f>
        <v/>
      </c>
      <c r="CB51" s="7">
        <f>IF(BB51=1,personal_aporteFamiliaMensual*12,0)</f>
        <v/>
      </c>
      <c r="CC51" s="7">
        <f>MIN(IF(18=0,personal_irsSaldo,CD50),personal_irsPagoMensual*12)</f>
        <v/>
      </c>
      <c r="CD51" s="7">
        <f>IF(18=0,personal_irsSaldo,CD50)-CC51</f>
        <v/>
      </c>
      <c r="CE51" s="7">
        <f>IF(18=0,IF(personal_deudaEsFederal=1,personal_deudaEstudiantil,0),DW50)</f>
        <v/>
      </c>
      <c r="CF51" s="7">
        <f>IF(18=0,personal_tasaDeudaEstudiantil,DX50)</f>
        <v/>
      </c>
      <c r="CG51" s="7">
        <f>IF(18=0,0,DY50)</f>
        <v/>
      </c>
      <c r="CH51" s="7">
        <f>IF(J51&gt;=0.5,1,0)</f>
        <v/>
      </c>
      <c r="CI51" s="7">
        <f>IF(AND(CH51=0,prestamos_pslfActivo=1,K51&gt;=0.5,CE51&gt;0),1,0)</f>
        <v/>
      </c>
      <c r="CJ51" s="7">
        <f>CE51*CF51</f>
        <v/>
      </c>
      <c r="CK51" s="7">
        <f>MAX(prestamos_rapPagoMinimoAnual,IF(Y51&lt;10000,0,MIN(0.1,INT(Y51/10000)/100))*Y51)</f>
        <v/>
      </c>
      <c r="CL51" s="7">
        <f>IF(CE51&lt;=0,0,IF(CH51=1,0,IF(CI51=1,MIN(CE51+CJ51,CK51),PMT(CF51,MAX(1,prestamos_plazoAnios-CG51),-CE51))))</f>
        <v/>
      </c>
      <c r="CM51" s="7">
        <f>IF(CE51&lt;=0,0,IF(CH51=1,CE51+CJ51,IF(CI51=1,MAX(0,CE51-MAX(CL51-CJ51,MIN(600,CL51))),MAX(0,CE51*(1+CF51)-CL51))))</f>
        <v/>
      </c>
      <c r="CN51" s="7">
        <f>IF(18=0,0,CN50)+IF(CI51=1,12*MIN(1,K51),0)</f>
        <v/>
      </c>
      <c r="CO51" s="7">
        <f>IF(AND(CI51=1,CN51&gt;=prestamos_pslfPagos,CM51&gt;0),CM51,0)</f>
        <v/>
      </c>
      <c r="CP51" s="7">
        <f>CM51-CO51</f>
        <v/>
      </c>
      <c r="CQ51" s="7">
        <f>IF(AND(CE51&gt;0,CH51=0,CI51=0),CG51+1,CG51)</f>
        <v/>
      </c>
      <c r="CR51" s="7">
        <f>IF(18=0,IF(personal_deudaEsFederal=1,0,personal_deudaEstudiantil),EA50)</f>
        <v/>
      </c>
      <c r="CS51" s="7">
        <f>IF(18=0,IF(personal_deudaEsFederal=1,prestamos_tasaPrivada,personal_tasaDeudaEstudiantil),EB50)</f>
        <v/>
      </c>
      <c r="CT51" s="7">
        <f>IF(18=0,0,EC50)</f>
        <v/>
      </c>
      <c r="CU51" s="7">
        <f>IF(OR(CR51&lt;=0,CH51=1),0,PMT(CS51,MAX(1,prestamos_plazoAnios-CT51),-CR51))</f>
        <v/>
      </c>
      <c r="CV51" s="7">
        <f>IF(CR51&lt;=0,0,IF(CH51=1,CR51*(1+CS51),MAX(0,CR51*(1+CS51)-CU51)))</f>
        <v/>
      </c>
      <c r="CW51" s="7">
        <f>IF(AND(CR51&gt;0,CH51=0),CT51+1,CT51)</f>
        <v/>
      </c>
      <c r="CX51" s="7">
        <f>IF(18=0,0,ED50)*(1+general_tasaDeudaConsumo)</f>
        <v/>
      </c>
      <c r="CY51" s="7">
        <f>L51*12*tiempos_travelGastoExtraMes*C51</f>
        <v/>
      </c>
      <c r="CZ51" s="7">
        <f>AJ51+CY51+CA51+CC51+CL51+CU51+I51+N51-BZ51-CB51</f>
        <v/>
      </c>
      <c r="DA51" s="7">
        <f>AH51-CZ51</f>
        <v/>
      </c>
      <c r="DB51" s="7">
        <f>IF(18=0,0,DB50)+DA51</f>
        <v/>
      </c>
      <c r="DC51" s="7">
        <f>AN51*vivienda_enganchePct+AN51*vivienda_cierrePct+general_reservaMeses/12*AJ51</f>
        <v/>
      </c>
      <c r="DD51" s="7">
        <f>IF(BB51=1,g_ret,IF(BD51&gt;0,MIN(1,DC51/BD51),1)*g_cash+(1-IF(BD51&gt;0,MIN(1,DC51/BD51),1))*g_ret)</f>
        <v/>
      </c>
      <c r="DE51" s="7">
        <f>IF(DA51&gt;=0,MIN(CX51,DA51),0)</f>
        <v/>
      </c>
      <c r="DF51" s="7">
        <f>IF(DA51&gt;=0,(1-general_tasaAhorro)*(DA51-DE51),0)</f>
        <v/>
      </c>
      <c r="DG51" s="7">
        <f>IF(DA51&gt;=0,DA51-DE51-DF51,0)</f>
        <v/>
      </c>
      <c r="DH51" s="7">
        <f>MIN(personal_rothAnual,DG51)</f>
        <v/>
      </c>
      <c r="DI51" s="7">
        <f>IF(AND(DA51&gt;=0,BB51=1,BP51+BT51&gt;0),MIN(vivienda_prepagoPct*(DG51-DH51),BP51+BT51),0)</f>
        <v/>
      </c>
      <c r="DJ51" s="7">
        <f>MIN(DI51,BP51)</f>
        <v/>
      </c>
      <c r="DK51" s="7">
        <f>IF(DA51&lt;0,MIN(MAX(0,BD51),-DA51),0)</f>
        <v/>
      </c>
      <c r="DL51" s="7">
        <f>IF(DA51&lt;0,-DA51-DK51,0)</f>
        <v/>
      </c>
      <c r="DM51" s="7">
        <f>IF(18=0,0,DZ50)</f>
        <v/>
      </c>
      <c r="DN51" s="7">
        <f>IF(AND(DL51&gt;0,J51&gt;0),MIN(DL51,MIN(prestamos_topeAnualPosgrado*MIN(1,J51),MAX(0,prestamos_topeTotalPosgrado-DM51))),0)</f>
        <v/>
      </c>
      <c r="DO51" s="7">
        <f>IF(AND(DL51&gt;0,J51&gt;0),DL51-DN51,0)</f>
        <v/>
      </c>
      <c r="DP51" s="7">
        <f>IF(AND(DL51&gt;0,J51&lt;=0),DL51,0)</f>
        <v/>
      </c>
      <c r="DQ51" s="7">
        <f>IF(DA51&gt;=0,DG51-DH51-DI51,-DK51)</f>
        <v/>
      </c>
      <c r="DR51" s="7">
        <f>BD51*(1+DD51)+DQ51*(1+DD51/2)</f>
        <v/>
      </c>
      <c r="DS51" s="7">
        <f>IF(18=0,personal_retiroInicial,DS50)*(1+g_ret)+(O51+P51+DH51)*(1+g_ret/2)</f>
        <v/>
      </c>
      <c r="DT51" s="7">
        <f>IF(BB51=1,BL51*(1+g_appr),0)</f>
        <v/>
      </c>
      <c r="DU51" s="7">
        <f>BP51-DJ51</f>
        <v/>
      </c>
      <c r="DV51" s="7">
        <f>BT51-(DI51-DJ51)</f>
        <v/>
      </c>
      <c r="DW51" s="7">
        <f>CP51+DN51</f>
        <v/>
      </c>
      <c r="DX51" s="7">
        <f>IF(DN51&gt;0,(CP51*CF51+DN51*prestamos_tasaFederalPosgrado)/(CP51+DN51),CF51)</f>
        <v/>
      </c>
      <c r="DY51" s="7">
        <f>IF(DN51&gt;0,0,CQ51)</f>
        <v/>
      </c>
      <c r="DZ51" s="7">
        <f>DM51+DN51</f>
        <v/>
      </c>
      <c r="EA51" s="7">
        <f>CV51+DO51</f>
        <v/>
      </c>
      <c r="EB51" s="7">
        <f>IF(DO51&gt;0,(CV51*CS51+DO51*prestamos_tasaPrivada)/(CV51+DO51),CS51)</f>
        <v/>
      </c>
      <c r="EC51" s="7">
        <f>IF(DO51&gt;0,0,CW51)</f>
        <v/>
      </c>
      <c r="ED51" s="7">
        <f>CX51-DE51+DP51</f>
        <v/>
      </c>
      <c r="EE51" s="7">
        <f>IF(IF(18=0,"",EE50)&lt;&gt;"",EE50,IF(AND(BB51=1,DU51&lt;=0.5,DV51&lt;=0.5,OR(BH51=0,BJ51=1)),A51,""))</f>
        <v/>
      </c>
      <c r="EF51" s="7">
        <f>DU51+DV51+DW51+EA51+ED51+CD51</f>
        <v/>
      </c>
      <c r="EG51" s="7">
        <f>DR51+DS51+DT51-EF51</f>
        <v/>
      </c>
      <c r="EH51" s="7">
        <f>EG51/(1+g_inf)^(A51+1-2026)</f>
        <v/>
      </c>
    </row>
    <row r="52">
      <c r="A52" t="n">
        <v>2046</v>
      </c>
      <c r="B52" t="n">
        <v>19</v>
      </c>
      <c r="C52" s="7">
        <f>(1+g_inf)^(A52-2026)</f>
        <v/>
      </c>
      <c r="D52" s="7">
        <f>SUMPRODUCT($AM$5:$AM$29,$E$5:$E$29*(1+$F$5:$F$29)^(A52-2026)*$G$5:$G$29*$H$5:$H$29*(1-$N$5:$N$29*$O$5:$O$29))*g_salMult+SUMPRODUCT(($B$5:$B$29&gt;=A52)*($B$5:$B$29&lt;A52+1)*$I$5:$I$29)*g_salMult</f>
        <v/>
      </c>
      <c r="E52" s="7">
        <f>SUMPRODUCT($AM$5:$AM$29,$E$5:$E$29*(1+$F$5:$F$29)^(A52-2026)*$G$5:$G$29*$H$5:$H$29*$M$5:$M$29)*g_salMult</f>
        <v/>
      </c>
      <c r="F52" s="7">
        <f>SUMPRODUCT($AM$5:$AM$29,$E$5:$E$29*(1+$F$5:$F$29)^(A52-2026)*$G$5:$G$29*$H$5:$H$29*$N$5:$N$29*$O$5:$O$29)*g_salMult</f>
        <v/>
      </c>
      <c r="G52" s="7">
        <f>SUMPRODUCT($AM$5:$AM$29,$P$5:$P$29*(1+$F$5:$F$29)^(A52-2026))</f>
        <v/>
      </c>
      <c r="H52" s="7">
        <f>SUMPRODUCT($AM$5:$AM$29,$Q$5:$Q$29*(1+$F$5:$F$29)^(A52-2026))+IF(personal_llcActivo=1,personal_llcNeto*(1+personal_llcCrecimiento)^19,0)</f>
        <v/>
      </c>
      <c r="I52" s="7">
        <f>SUMPRODUCT($AM$5:$AM$29,$J$5:$J$29/($C$5:$C$29-$B$5:$B$29+($C$5:$C$29=$B$5:$B$29)))*C52</f>
        <v/>
      </c>
      <c r="J52" s="7">
        <f>SUMPRODUCT($AM$5:$AM$29,$K$5:$K$29)</f>
        <v/>
      </c>
      <c r="K52" s="7">
        <f>SUMPRODUCT($AM$5:$AM$29,$L$5:$L$29)</f>
        <v/>
      </c>
      <c r="L52" s="7">
        <f>SUMPRODUCT($AM$5:$AM$29,$N$5:$N$29)</f>
        <v/>
      </c>
      <c r="M52" s="7">
        <f>IF(SUMPRODUCT($AM$5:$AM$29,$R$5:$R$29)&gt;0,1,0)</f>
        <v/>
      </c>
      <c r="N52" s="7">
        <f>SUMPRODUCT(($AO$5:$AO$24&gt;=A52)*($AO$5:$AO$24&lt;A52+1)*$AP$5:$AP$24)*C52+IF(19=0,IF(sel_loc&lt;&gt;"miami",personal_costoMudanzaInicial,0),0)</f>
        <v/>
      </c>
      <c r="O52" s="7">
        <f>MIN(personal_aporte403bPct*D52,retiro_limite403b*C52)</f>
        <v/>
      </c>
      <c r="P52" s="7">
        <f>MIN(personal_aporte403bPct,personal_match403bPct)*E52</f>
        <v/>
      </c>
      <c r="Q52" s="7">
        <f>IF(G52&gt;0,MAX(0,G52-impuestos_scorpCostoAnual*C52),0)</f>
        <v/>
      </c>
      <c r="R52" s="7">
        <f>Q52*impuestos_scorpSalarioPct/(1+impuestos_ssTasa+impuestos_medicareTasa)</f>
        <v/>
      </c>
      <c r="S52" s="7">
        <f>impuestos_ssTasa*MIN(R52,MAX(0,impuestos_ssTope*C52-D52))+impuestos_medicareTasa*R52</f>
        <v/>
      </c>
      <c r="T52" s="7">
        <f>Q52-R52-S52</f>
        <v/>
      </c>
      <c r="U52" s="7">
        <f>D52+R52</f>
        <v/>
      </c>
      <c r="V52" s="7">
        <f>H52*0.9235</f>
        <v/>
      </c>
      <c r="W52" s="7">
        <f>IF(H52&gt;0,2*impuestos_ssTasa*MIN(V52,MAX(0,impuestos_ssTope*C52-U52))+2*impuestos_medicareTasa*V52,0)</f>
        <v/>
      </c>
      <c r="X52" s="7">
        <f>impuestos_ssTasa*MIN(U52,impuestos_ssTope*C52)+impuestos_medicareTasa*U52+impuestos_medicareAdicional*MAX(0,U52+H52*0.9235-impuestos_medicareUmbral)</f>
        <v/>
      </c>
      <c r="Y52" s="7">
        <f>MAX(0,D52-O52+R52+T52+H52-W52/2)</f>
        <v/>
      </c>
      <c r="Z52" s="7">
        <f>MAX(0,Y52-impuestos_deduccionEstandar*C52)</f>
        <v/>
      </c>
      <c r="AA52" s="7">
        <f>MIN(0.2*MAX(0,T52+H52-W52/2)*MAX(0,MIN(1,1-(Z52-impuestos_qbiUmbral*C52)/(impuestos_qbiRango*C52))),0.2*Z52)</f>
        <v/>
      </c>
      <c r="AB52" s="7">
        <f>MAX(0,Z52-AA52)</f>
        <v/>
      </c>
      <c r="AC52" s="7">
        <f>SUMPRODUCT((AB52&gt;tb_federalBrackets_lo*C52)*(AB52-tb_federalBrackets_lo*C52)*tb_federalBrackets_dr)</f>
        <v/>
      </c>
      <c r="AD52" s="7">
        <f>MAX(0,Y52-impuestos_nyDeduccion*C52)</f>
        <v/>
      </c>
      <c r="AE52" s="7">
        <f>CHOOSE(loc_taxcode,0,impuestos_ohTasa*MAX(0,Y52-impuestos_ohExento*C52)+impuestos_ohMunicipal*U52,SUMPRODUCT((AD52&gt;tb_nyBrackets_lo*C52)*(AD52-tb_nyBrackets_lo*C52)*tb_nyBrackets_dr)+loc_nyc*SUMPRODUCT((AD52&gt;tb_nycBrackets_lo*C52)*(AD52-tb_nycBrackets_lo*C52)*tb_nycBrackets_dr))</f>
        <v/>
      </c>
      <c r="AF52" s="7">
        <f>AC52+AE52+X52+W52</f>
        <v/>
      </c>
      <c r="AG52" s="7">
        <f>D52+F52+R52+T52+H52</f>
        <v/>
      </c>
      <c r="AH52" s="7">
        <f>AG52-AF52-O52</f>
        <v/>
      </c>
      <c r="AI52" s="7">
        <f>D52+F52+G52+H52</f>
        <v/>
      </c>
      <c r="AJ52" s="7">
        <f>loc_gastosVida*C52*g_gastos</f>
        <v/>
      </c>
      <c r="AK52" s="7">
        <f>IF(19=0,personal_liquidoInicial,DR51)</f>
        <v/>
      </c>
      <c r="AL52" s="7">
        <f>IF(19=0,0,BB51)</f>
        <v/>
      </c>
      <c r="AM52" s="7">
        <f>CHOOSE(sel_cfgIdx,loc_precio_duplex,loc_precio_inlaw,loc_precio_dosCasas,loc_precio_casaAdu,loc_precio_multi)</f>
        <v/>
      </c>
      <c r="AN52" s="7">
        <f>AM52*(1+g_appr)^(A52-2026)</f>
        <v/>
      </c>
      <c r="AO52" s="7">
        <f>IF(AND(M52=1,vivienda_prestamoMedico=1),1,0)</f>
        <v/>
      </c>
      <c r="AP52" s="7">
        <f>IF(AO52=1,0.05,vivienda_enganchePct)</f>
        <v/>
      </c>
      <c r="AQ52" s="7">
        <f>AN52*(1-AP52)</f>
        <v/>
      </c>
      <c r="AR52" s="7">
        <f>PMT(g_mortRate/12,vivienda_plazoHipoteca*12,-AQ52)</f>
        <v/>
      </c>
      <c r="AS52" s="7">
        <f>INDEX(cfg_units,sel_cfgIdx)</f>
        <v/>
      </c>
      <c r="AT52" s="7">
        <f>AS52*loc_rentaUnidad*(1+g_inf)^(A52-2026)*(1-vivienda_vacancia)</f>
        <v/>
      </c>
      <c r="AU52" s="7">
        <f>AR52+AN52*loc_impuestoPropPct/12+AM52*loc_seguroPct*(1+vivienda_inflacionSeguro)^(A52-2026)/12+IF(AND(AO52=0,AP52&lt;0.2),AQ52*vivienda_pmiTasa/12,0)</f>
        <v/>
      </c>
      <c r="AV52" s="7">
        <f>AN52*AP52+AN52*vivienda_cierrePct+general_reservaMeses/12*AJ52</f>
        <v/>
      </c>
      <c r="AW52" s="7">
        <f>(IF(19=0,MIN(personal_irsSaldo,personal_irsPagoMensual*12),MIN(CD51,personal_irsPagoMensual*12))+IF(CE52&gt;0,PMT(CF52,MAX(1,prestamos_plazoAnios-CG52),-CE52),0)+IF(CR52&gt;0,PMT(CS52,MAX(1,prestamos_plazoAnios-CT52),-CR52),0))/12</f>
        <v/>
      </c>
      <c r="AX52" s="7">
        <f>IF(OR(sel_cfg="duplex",sel_cfg="multi",sel_cfg="dosCasas"),0.75*personal_aporteFamiliaMensual,0)</f>
        <v/>
      </c>
      <c r="AY52" s="7">
        <f>AU52-0.75*AT52-AX52+AW52</f>
        <v/>
      </c>
      <c r="AZ52" s="7">
        <f>(D52+G52+H52+0.5*F52)/12</f>
        <v/>
      </c>
      <c r="BA52" s="7">
        <f>IF(AND(AL52=0,A52&gt;=vivienda_anioMinCompra,J52&lt;0.5,AI52&gt;0,AK52&gt;=AV52,AY52&lt;=vivienda_dtiMax*AZ52),1,0)</f>
        <v/>
      </c>
      <c r="BB52" s="7">
        <f>MAX(AL52,BA52)</f>
        <v/>
      </c>
      <c r="BC52" s="7">
        <f>IF(BA52=1,A52,IF(19=0,"",BC51))</f>
        <v/>
      </c>
      <c r="BD52" s="7">
        <f>AK52-IF(BA52=1,AN52*AP52+AN52*vivienda_cierrePct,0)</f>
        <v/>
      </c>
      <c r="BE52" s="7">
        <f>IF(BA52=1,AN52,IF(19=0,0,BE51))</f>
        <v/>
      </c>
      <c r="BF52" s="7">
        <f>IF(BA52=1,AR52,IF(19=0,0,BF51))</f>
        <v/>
      </c>
      <c r="BG52" s="7">
        <f>IF(BA52=1,IF(AND(AO52=0,AP52&lt;0.2),1,0),IF(19=0,0,BY51))</f>
        <v/>
      </c>
      <c r="BH52" s="7">
        <f>IF(sel_cfg="casaAdu",1,0)</f>
        <v/>
      </c>
      <c r="BI52" s="7">
        <f>IF(AND(BB52=1,BH52=1,IF(19=0,0,BJ51)=0,A52&gt;=IF(BC52="",9999,BC52)+vivienda_aduRetrasoAnios),1,0)</f>
        <v/>
      </c>
      <c r="BJ52" s="7">
        <f>MAX(IF(19=0,0,BJ51),BI52)</f>
        <v/>
      </c>
      <c r="BK52" s="7">
        <f>IF(BI52=1,PMT((g_mortRate+0.005)/12,180,-loc_precio_aduCosto*C52),IF(19=0,0,BK51))</f>
        <v/>
      </c>
      <c r="BL52" s="7">
        <f>IF(BA52=1,AN52,IF(19=0,0,DT51))+IF(BI52=1,loc_precio_aduCosto*C52,0)</f>
        <v/>
      </c>
      <c r="BM52" s="7">
        <f>IF(BA52=1,AQ52,IF(19=0,0,DU51))</f>
        <v/>
      </c>
      <c r="BN52" s="7">
        <f>IF(BM52&lt;=0,0,FV(g_mortRate/12,12,BF52,-BM52))</f>
        <v/>
      </c>
      <c r="BO52" s="7">
        <f>IF(BM52&lt;=0,0,12*BF52+MIN(0,BN52))</f>
        <v/>
      </c>
      <c r="BP52" s="7">
        <f>MAX(0,BN52)</f>
        <v/>
      </c>
      <c r="BQ52" s="7">
        <f>IF(BI52=1,loc_precio_aduCosto*C52,IF(19=0,0,DV51))</f>
        <v/>
      </c>
      <c r="BR52" s="7">
        <f>IF(BQ52&lt;=0,0,FV((g_mortRate+0.005)/12,12,BK52,-BQ52))</f>
        <v/>
      </c>
      <c r="BS52" s="7">
        <f>IF(BQ52&lt;=0,0,12*BK52+MIN(0,BR52))</f>
        <v/>
      </c>
      <c r="BT52" s="7">
        <f>MAX(0,BR52)</f>
        <v/>
      </c>
      <c r="BU52" s="7">
        <f>IF(BB52=1,AM52*loc_seguroPct*(1+vivienda_inflacionSeguro)^(A52-2026)*IF(BJ52=1,1+loc_precio_aduCosto/AM52,1),0)</f>
        <v/>
      </c>
      <c r="BV52" s="7">
        <f>BL52*loc_impuestoPropPct</f>
        <v/>
      </c>
      <c r="BW52" s="7">
        <f>BL52*vivienda_mantenimientoPct</f>
        <v/>
      </c>
      <c r="BX52" s="7">
        <f>IF(AND(BG52=1,BP52&gt;0.8*BE52),BE52*(1-vivienda_enganchePct)*vivienda_pmiTasa,0)</f>
        <v/>
      </c>
      <c r="BY52" s="7">
        <f>IF(AND(BG52=1,BP52&gt;0.8*BE52),1,0)</f>
        <v/>
      </c>
      <c r="BZ52" s="7">
        <f>IF(BB52=1,AS52*loc_rentaUnidad*12*C52*(1-vivienda_vacancia)*(1-vivienda_gestionPct),0)</f>
        <v/>
      </c>
      <c r="CA52" s="7">
        <f>IF(BB52=1,BO52+BS52+BU52+BV52+BW52+BX52,loc_rentaMensual*12*C52)</f>
        <v/>
      </c>
      <c r="CB52" s="7">
        <f>IF(BB52=1,personal_aporteFamiliaMensual*12,0)</f>
        <v/>
      </c>
      <c r="CC52" s="7">
        <f>MIN(IF(19=0,personal_irsSaldo,CD51),personal_irsPagoMensual*12)</f>
        <v/>
      </c>
      <c r="CD52" s="7">
        <f>IF(19=0,personal_irsSaldo,CD51)-CC52</f>
        <v/>
      </c>
      <c r="CE52" s="7">
        <f>IF(19=0,IF(personal_deudaEsFederal=1,personal_deudaEstudiantil,0),DW51)</f>
        <v/>
      </c>
      <c r="CF52" s="7">
        <f>IF(19=0,personal_tasaDeudaEstudiantil,DX51)</f>
        <v/>
      </c>
      <c r="CG52" s="7">
        <f>IF(19=0,0,DY51)</f>
        <v/>
      </c>
      <c r="CH52" s="7">
        <f>IF(J52&gt;=0.5,1,0)</f>
        <v/>
      </c>
      <c r="CI52" s="7">
        <f>IF(AND(CH52=0,prestamos_pslfActivo=1,K52&gt;=0.5,CE52&gt;0),1,0)</f>
        <v/>
      </c>
      <c r="CJ52" s="7">
        <f>CE52*CF52</f>
        <v/>
      </c>
      <c r="CK52" s="7">
        <f>MAX(prestamos_rapPagoMinimoAnual,IF(Y52&lt;10000,0,MIN(0.1,INT(Y52/10000)/100))*Y52)</f>
        <v/>
      </c>
      <c r="CL52" s="7">
        <f>IF(CE52&lt;=0,0,IF(CH52=1,0,IF(CI52=1,MIN(CE52+CJ52,CK52),PMT(CF52,MAX(1,prestamos_plazoAnios-CG52),-CE52))))</f>
        <v/>
      </c>
      <c r="CM52" s="7">
        <f>IF(CE52&lt;=0,0,IF(CH52=1,CE52+CJ52,IF(CI52=1,MAX(0,CE52-MAX(CL52-CJ52,MIN(600,CL52))),MAX(0,CE52*(1+CF52)-CL52))))</f>
        <v/>
      </c>
      <c r="CN52" s="7">
        <f>IF(19=0,0,CN51)+IF(CI52=1,12*MIN(1,K52),0)</f>
        <v/>
      </c>
      <c r="CO52" s="7">
        <f>IF(AND(CI52=1,CN52&gt;=prestamos_pslfPagos,CM52&gt;0),CM52,0)</f>
        <v/>
      </c>
      <c r="CP52" s="7">
        <f>CM52-CO52</f>
        <v/>
      </c>
      <c r="CQ52" s="7">
        <f>IF(AND(CE52&gt;0,CH52=0,CI52=0),CG52+1,CG52)</f>
        <v/>
      </c>
      <c r="CR52" s="7">
        <f>IF(19=0,IF(personal_deudaEsFederal=1,0,personal_deudaEstudiantil),EA51)</f>
        <v/>
      </c>
      <c r="CS52" s="7">
        <f>IF(19=0,IF(personal_deudaEsFederal=1,prestamos_tasaPrivada,personal_tasaDeudaEstudiantil),EB51)</f>
        <v/>
      </c>
      <c r="CT52" s="7">
        <f>IF(19=0,0,EC51)</f>
        <v/>
      </c>
      <c r="CU52" s="7">
        <f>IF(OR(CR52&lt;=0,CH52=1),0,PMT(CS52,MAX(1,prestamos_plazoAnios-CT52),-CR52))</f>
        <v/>
      </c>
      <c r="CV52" s="7">
        <f>IF(CR52&lt;=0,0,IF(CH52=1,CR52*(1+CS52),MAX(0,CR52*(1+CS52)-CU52)))</f>
        <v/>
      </c>
      <c r="CW52" s="7">
        <f>IF(AND(CR52&gt;0,CH52=0),CT52+1,CT52)</f>
        <v/>
      </c>
      <c r="CX52" s="7">
        <f>IF(19=0,0,ED51)*(1+general_tasaDeudaConsumo)</f>
        <v/>
      </c>
      <c r="CY52" s="7">
        <f>L52*12*tiempos_travelGastoExtraMes*C52</f>
        <v/>
      </c>
      <c r="CZ52" s="7">
        <f>AJ52+CY52+CA52+CC52+CL52+CU52+I52+N52-BZ52-CB52</f>
        <v/>
      </c>
      <c r="DA52" s="7">
        <f>AH52-CZ52</f>
        <v/>
      </c>
      <c r="DB52" s="7">
        <f>IF(19=0,0,DB51)+DA52</f>
        <v/>
      </c>
      <c r="DC52" s="7">
        <f>AN52*vivienda_enganchePct+AN52*vivienda_cierrePct+general_reservaMeses/12*AJ52</f>
        <v/>
      </c>
      <c r="DD52" s="7">
        <f>IF(BB52=1,g_ret,IF(BD52&gt;0,MIN(1,DC52/BD52),1)*g_cash+(1-IF(BD52&gt;0,MIN(1,DC52/BD52),1))*g_ret)</f>
        <v/>
      </c>
      <c r="DE52" s="7">
        <f>IF(DA52&gt;=0,MIN(CX52,DA52),0)</f>
        <v/>
      </c>
      <c r="DF52" s="7">
        <f>IF(DA52&gt;=0,(1-general_tasaAhorro)*(DA52-DE52),0)</f>
        <v/>
      </c>
      <c r="DG52" s="7">
        <f>IF(DA52&gt;=0,DA52-DE52-DF52,0)</f>
        <v/>
      </c>
      <c r="DH52" s="7">
        <f>MIN(personal_rothAnual,DG52)</f>
        <v/>
      </c>
      <c r="DI52" s="7">
        <f>IF(AND(DA52&gt;=0,BB52=1,BP52+BT52&gt;0),MIN(vivienda_prepagoPct*(DG52-DH52),BP52+BT52),0)</f>
        <v/>
      </c>
      <c r="DJ52" s="7">
        <f>MIN(DI52,BP52)</f>
        <v/>
      </c>
      <c r="DK52" s="7">
        <f>IF(DA52&lt;0,MIN(MAX(0,BD52),-DA52),0)</f>
        <v/>
      </c>
      <c r="DL52" s="7">
        <f>IF(DA52&lt;0,-DA52-DK52,0)</f>
        <v/>
      </c>
      <c r="DM52" s="7">
        <f>IF(19=0,0,DZ51)</f>
        <v/>
      </c>
      <c r="DN52" s="7">
        <f>IF(AND(DL52&gt;0,J52&gt;0),MIN(DL52,MIN(prestamos_topeAnualPosgrado*MIN(1,J52),MAX(0,prestamos_topeTotalPosgrado-DM52))),0)</f>
        <v/>
      </c>
      <c r="DO52" s="7">
        <f>IF(AND(DL52&gt;0,J52&gt;0),DL52-DN52,0)</f>
        <v/>
      </c>
      <c r="DP52" s="7">
        <f>IF(AND(DL52&gt;0,J52&lt;=0),DL52,0)</f>
        <v/>
      </c>
      <c r="DQ52" s="7">
        <f>IF(DA52&gt;=0,DG52-DH52-DI52,-DK52)</f>
        <v/>
      </c>
      <c r="DR52" s="7">
        <f>BD52*(1+DD52)+DQ52*(1+DD52/2)</f>
        <v/>
      </c>
      <c r="DS52" s="7">
        <f>IF(19=0,personal_retiroInicial,DS51)*(1+g_ret)+(O52+P52+DH52)*(1+g_ret/2)</f>
        <v/>
      </c>
      <c r="DT52" s="7">
        <f>IF(BB52=1,BL52*(1+g_appr),0)</f>
        <v/>
      </c>
      <c r="DU52" s="7">
        <f>BP52-DJ52</f>
        <v/>
      </c>
      <c r="DV52" s="7">
        <f>BT52-(DI52-DJ52)</f>
        <v/>
      </c>
      <c r="DW52" s="7">
        <f>CP52+DN52</f>
        <v/>
      </c>
      <c r="DX52" s="7">
        <f>IF(DN52&gt;0,(CP52*CF52+DN52*prestamos_tasaFederalPosgrado)/(CP52+DN52),CF52)</f>
        <v/>
      </c>
      <c r="DY52" s="7">
        <f>IF(DN52&gt;0,0,CQ52)</f>
        <v/>
      </c>
      <c r="DZ52" s="7">
        <f>DM52+DN52</f>
        <v/>
      </c>
      <c r="EA52" s="7">
        <f>CV52+DO52</f>
        <v/>
      </c>
      <c r="EB52" s="7">
        <f>IF(DO52&gt;0,(CV52*CS52+DO52*prestamos_tasaPrivada)/(CV52+DO52),CS52)</f>
        <v/>
      </c>
      <c r="EC52" s="7">
        <f>IF(DO52&gt;0,0,CW52)</f>
        <v/>
      </c>
      <c r="ED52" s="7">
        <f>CX52-DE52+DP52</f>
        <v/>
      </c>
      <c r="EE52" s="7">
        <f>IF(IF(19=0,"",EE51)&lt;&gt;"",EE51,IF(AND(BB52=1,DU52&lt;=0.5,DV52&lt;=0.5,OR(BH52=0,BJ52=1)),A52,""))</f>
        <v/>
      </c>
      <c r="EF52" s="7">
        <f>DU52+DV52+DW52+EA52+ED52+CD52</f>
        <v/>
      </c>
      <c r="EG52" s="7">
        <f>DR52+DS52+DT52-EF52</f>
        <v/>
      </c>
      <c r="EH52" s="7">
        <f>EG52/(1+g_inf)^(A52+1-2026)</f>
        <v/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H52"/>
  <sheetViews>
    <sheetView workbookViewId="0">
      <pane xSplit="1" ySplit="32" topLeftCell="B3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0" customWidth="1" min="1" max="1"/>
  </cols>
  <sheetData>
    <row r="1">
      <c r="A1" s="1" t="inlineStr">
        <is>
          <t>A6 · Nurse injector / estética</t>
        </is>
      </c>
    </row>
    <row r="2">
      <c r="A2" s="2" t="inlineStr">
        <is>
          <t>Etapas (celdas azules editables; fechas decimales: 2027.67 = sep-2027). Traslape por año en columnas T→AM. Hitos con costo en AN→AP.</t>
        </is>
      </c>
    </row>
    <row r="4">
      <c r="A4" s="5" t="inlineStr">
        <is>
          <t>Etapa</t>
        </is>
      </c>
      <c r="B4" s="5" t="inlineStr">
        <is>
          <t>Inicio</t>
        </is>
      </c>
      <c r="C4" s="5" t="inlineStr">
        <is>
          <t>Fin</t>
        </is>
      </c>
      <c r="D4" s="5" t="inlineStr">
        <is>
          <t>Rol</t>
        </is>
      </c>
      <c r="E4" s="5" t="inlineStr">
        <is>
          <t>Salario base FT 2026 ($)</t>
        </is>
      </c>
      <c r="F4" s="5" t="inlineStr">
        <is>
          <t>Aumento anual</t>
        </is>
      </c>
      <c r="G4" s="5" t="inlineStr">
        <is>
          <t>Horas (FTE)</t>
        </is>
      </c>
      <c r="H4" s="5" t="inlineStr">
        <is>
          <t>Multiplicador</t>
        </is>
      </c>
      <c r="I4" s="5" t="inlineStr">
        <is>
          <t>Bono al inicio</t>
        </is>
      </c>
      <c r="J4" s="5" t="inlineStr">
        <is>
          <t>Matrícula total (2026$)</t>
        </is>
      </c>
      <c r="K4" s="5" t="inlineStr">
        <is>
          <t>Estudio (1/0)</t>
        </is>
      </c>
      <c r="L4" s="5" t="inlineStr">
        <is>
          <t>PSLF (1/0)</t>
        </is>
      </c>
      <c r="M4" s="5" t="inlineStr">
        <is>
          <t>Match 403b (1/0)</t>
        </is>
      </c>
      <c r="N4" s="5" t="inlineStr">
        <is>
          <t>Travel (1/0)</t>
        </is>
      </c>
      <c r="O4" s="5" t="inlineStr">
        <is>
          <t>% stipend libre</t>
        </is>
      </c>
      <c r="P4" s="5" t="inlineStr">
        <is>
          <t>S-corp anual base</t>
        </is>
      </c>
      <c r="Q4" s="5" t="inlineStr">
        <is>
          <t>Autoempleo anual base</t>
        </is>
      </c>
      <c r="R4" s="5" t="inlineStr">
        <is>
          <t>Attending (1/0)</t>
        </is>
      </c>
      <c r="T4" s="8" t="n">
        <v>2027</v>
      </c>
      <c r="U4" s="8" t="n">
        <v>2028</v>
      </c>
      <c r="V4" s="8" t="n">
        <v>2029</v>
      </c>
      <c r="W4" s="8" t="n">
        <v>2030</v>
      </c>
      <c r="X4" s="8" t="n">
        <v>2031</v>
      </c>
      <c r="Y4" s="8" t="n">
        <v>2032</v>
      </c>
      <c r="Z4" s="8" t="n">
        <v>2033</v>
      </c>
      <c r="AA4" s="8" t="n">
        <v>2034</v>
      </c>
      <c r="AB4" s="8" t="n">
        <v>2035</v>
      </c>
      <c r="AC4" s="8" t="n">
        <v>2036</v>
      </c>
      <c r="AD4" s="8" t="n">
        <v>2037</v>
      </c>
      <c r="AE4" s="8" t="n">
        <v>2038</v>
      </c>
      <c r="AF4" s="8" t="n">
        <v>2039</v>
      </c>
      <c r="AG4" s="8" t="n">
        <v>2040</v>
      </c>
      <c r="AH4" s="8" t="n">
        <v>2041</v>
      </c>
      <c r="AI4" s="8" t="n">
        <v>2042</v>
      </c>
      <c r="AJ4" s="8" t="n">
        <v>2043</v>
      </c>
      <c r="AK4" s="8" t="n">
        <v>2044</v>
      </c>
      <c r="AL4" s="8" t="n">
        <v>2045</v>
      </c>
      <c r="AM4" s="8" t="n">
        <v>2046</v>
      </c>
      <c r="AN4" s="5" t="inlineStr">
        <is>
          <t>Hito</t>
        </is>
      </c>
      <c r="AO4" s="5" t="inlineStr">
        <is>
          <t>Fecha</t>
        </is>
      </c>
      <c r="AP4" s="5" t="inlineStr">
        <is>
          <t>Costo (2026$)</t>
        </is>
      </c>
    </row>
    <row r="5">
      <c r="A5" t="inlineStr">
        <is>
          <t>Case manager RN (cursando BSN)</t>
        </is>
      </c>
      <c r="B5" s="3" t="n">
        <v>2027</v>
      </c>
      <c r="C5" s="3" t="n">
        <v>2027.5</v>
      </c>
      <c r="D5" t="inlineStr">
        <is>
          <t>cm</t>
        </is>
      </c>
      <c r="E5">
        <f>personal_tarifaHora*2080*loc_factorRN/ubic_miami_factorRN</f>
        <v/>
      </c>
      <c r="F5">
        <f>roles_cm_aumento</f>
        <v/>
      </c>
      <c r="G5">
        <f>personal_horasSemana/40</f>
        <v/>
      </c>
      <c r="H5" s="3" t="n">
        <v>1</v>
      </c>
      <c r="I5" s="3" t="n">
        <v>0</v>
      </c>
      <c r="J5" s="3" t="n">
        <v>0</v>
      </c>
      <c r="K5" s="3" t="n">
        <v>0</v>
      </c>
      <c r="L5" s="3" t="n">
        <v>1</v>
      </c>
      <c r="M5" s="3" t="n">
        <v>1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T5">
        <f>MAX(0,MIN($C5,T$4+1)-MAX($B5,T$4))</f>
        <v/>
      </c>
      <c r="U5">
        <f>MAX(0,MIN($C5,U$4+1)-MAX($B5,U$4))</f>
        <v/>
      </c>
      <c r="V5">
        <f>MAX(0,MIN($C5,V$4+1)-MAX($B5,V$4))</f>
        <v/>
      </c>
      <c r="W5">
        <f>MAX(0,MIN($C5,W$4+1)-MAX($B5,W$4))</f>
        <v/>
      </c>
      <c r="X5">
        <f>MAX(0,MIN($C5,X$4+1)-MAX($B5,X$4))</f>
        <v/>
      </c>
      <c r="Y5">
        <f>MAX(0,MIN($C5,Y$4+1)-MAX($B5,Y$4))</f>
        <v/>
      </c>
      <c r="Z5">
        <f>MAX(0,MIN($C5,Z$4+1)-MAX($B5,Z$4))</f>
        <v/>
      </c>
      <c r="AA5">
        <f>MAX(0,MIN($C5,AA$4+1)-MAX($B5,AA$4))</f>
        <v/>
      </c>
      <c r="AB5">
        <f>MAX(0,MIN($C5,AB$4+1)-MAX($B5,AB$4))</f>
        <v/>
      </c>
      <c r="AC5">
        <f>MAX(0,MIN($C5,AC$4+1)-MAX($B5,AC$4))</f>
        <v/>
      </c>
      <c r="AD5">
        <f>MAX(0,MIN($C5,AD$4+1)-MAX($B5,AD$4))</f>
        <v/>
      </c>
      <c r="AE5">
        <f>MAX(0,MIN($C5,AE$4+1)-MAX($B5,AE$4))</f>
        <v/>
      </c>
      <c r="AF5">
        <f>MAX(0,MIN($C5,AF$4+1)-MAX($B5,AF$4))</f>
        <v/>
      </c>
      <c r="AG5">
        <f>MAX(0,MIN($C5,AG$4+1)-MAX($B5,AG$4))</f>
        <v/>
      </c>
      <c r="AH5">
        <f>MAX(0,MIN($C5,AH$4+1)-MAX($B5,AH$4))</f>
        <v/>
      </c>
      <c r="AI5">
        <f>MAX(0,MIN($C5,AI$4+1)-MAX($B5,AI$4))</f>
        <v/>
      </c>
      <c r="AJ5">
        <f>MAX(0,MIN($C5,AJ$4+1)-MAX($B5,AJ$4))</f>
        <v/>
      </c>
      <c r="AK5">
        <f>MAX(0,MIN($C5,AK$4+1)-MAX($B5,AK$4))</f>
        <v/>
      </c>
      <c r="AL5">
        <f>MAX(0,MIN($C5,AL$4+1)-MAX($B5,AL$4))</f>
        <v/>
      </c>
      <c r="AM5">
        <f>MAX(0,MIN($C5,AM$4+1)-MAX($B5,AM$4))</f>
        <v/>
      </c>
      <c r="AN5" t="inlineStr">
        <is>
          <t>Graduación RN-BSN</t>
        </is>
      </c>
      <c r="AO5" s="3" t="n">
        <v>2027.5</v>
      </c>
      <c r="AP5" s="3" t="n">
        <v>0</v>
      </c>
    </row>
    <row r="6">
      <c r="A6" t="inlineStr">
        <is>
          <t>Case manager RN (BSN)</t>
        </is>
      </c>
      <c r="B6" s="3" t="n">
        <v>2027.5</v>
      </c>
      <c r="C6" s="3" t="n">
        <v>2027.75</v>
      </c>
      <c r="D6" t="inlineStr">
        <is>
          <t>cm</t>
        </is>
      </c>
      <c r="E6">
        <f>personal_tarifaHora*2080*loc_factorRN/ubic_miami_factorRN</f>
        <v/>
      </c>
      <c r="F6">
        <f>roles_cm_aumento</f>
        <v/>
      </c>
      <c r="G6">
        <f>personal_horasSemana/40</f>
        <v/>
      </c>
      <c r="H6">
        <f>1+personal_bsnAumento</f>
        <v/>
      </c>
      <c r="I6" s="3" t="n">
        <v>0</v>
      </c>
      <c r="J6" s="3" t="n">
        <v>0</v>
      </c>
      <c r="K6" s="3" t="n">
        <v>0</v>
      </c>
      <c r="L6" s="3" t="n">
        <v>1</v>
      </c>
      <c r="M6" s="3" t="n">
        <v>1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  <c r="T6">
        <f>MAX(0,MIN($C6,T$4+1)-MAX($B6,T$4))</f>
        <v/>
      </c>
      <c r="U6">
        <f>MAX(0,MIN($C6,U$4+1)-MAX($B6,U$4))</f>
        <v/>
      </c>
      <c r="V6">
        <f>MAX(0,MIN($C6,V$4+1)-MAX($B6,V$4))</f>
        <v/>
      </c>
      <c r="W6">
        <f>MAX(0,MIN($C6,W$4+1)-MAX($B6,W$4))</f>
        <v/>
      </c>
      <c r="X6">
        <f>MAX(0,MIN($C6,X$4+1)-MAX($B6,X$4))</f>
        <v/>
      </c>
      <c r="Y6">
        <f>MAX(0,MIN($C6,Y$4+1)-MAX($B6,Y$4))</f>
        <v/>
      </c>
      <c r="Z6">
        <f>MAX(0,MIN($C6,Z$4+1)-MAX($B6,Z$4))</f>
        <v/>
      </c>
      <c r="AA6">
        <f>MAX(0,MIN($C6,AA$4+1)-MAX($B6,AA$4))</f>
        <v/>
      </c>
      <c r="AB6">
        <f>MAX(0,MIN($C6,AB$4+1)-MAX($B6,AB$4))</f>
        <v/>
      </c>
      <c r="AC6">
        <f>MAX(0,MIN($C6,AC$4+1)-MAX($B6,AC$4))</f>
        <v/>
      </c>
      <c r="AD6">
        <f>MAX(0,MIN($C6,AD$4+1)-MAX($B6,AD$4))</f>
        <v/>
      </c>
      <c r="AE6">
        <f>MAX(0,MIN($C6,AE$4+1)-MAX($B6,AE$4))</f>
        <v/>
      </c>
      <c r="AF6">
        <f>MAX(0,MIN($C6,AF$4+1)-MAX($B6,AF$4))</f>
        <v/>
      </c>
      <c r="AG6">
        <f>MAX(0,MIN($C6,AG$4+1)-MAX($B6,AG$4))</f>
        <v/>
      </c>
      <c r="AH6">
        <f>MAX(0,MIN($C6,AH$4+1)-MAX($B6,AH$4))</f>
        <v/>
      </c>
      <c r="AI6">
        <f>MAX(0,MIN($C6,AI$4+1)-MAX($B6,AI$4))</f>
        <v/>
      </c>
      <c r="AJ6">
        <f>MAX(0,MIN($C6,AJ$4+1)-MAX($B6,AJ$4))</f>
        <v/>
      </c>
      <c r="AK6">
        <f>MAX(0,MIN($C6,AK$4+1)-MAX($B6,AK$4))</f>
        <v/>
      </c>
      <c r="AL6">
        <f>MAX(0,MIN($C6,AL$4+1)-MAX($B6,AL$4))</f>
        <v/>
      </c>
      <c r="AM6">
        <f>MAX(0,MIN($C6,AM$4+1)-MAX($B6,AM$4))</f>
        <v/>
      </c>
      <c r="AN6" t="inlineStr">
        <is>
          <t>Matrícula restante BSN</t>
        </is>
      </c>
      <c r="AO6" s="3" t="n">
        <v>2027</v>
      </c>
      <c r="AP6" s="3">
        <f>personal_bsnCostoRestante</f>
        <v/>
      </c>
    </row>
    <row r="7">
      <c r="A7" t="inlineStr">
        <is>
          <t>Injector (año 1, construyendo clientela)</t>
        </is>
      </c>
      <c r="B7" s="3" t="n">
        <v>2027.75</v>
      </c>
      <c r="C7" s="3" t="n">
        <v>2028.75</v>
      </c>
      <c r="D7" t="inlineStr">
        <is>
          <t>injector</t>
        </is>
      </c>
      <c r="E7">
        <f>roles_injector_base*loc_factorRN</f>
        <v/>
      </c>
      <c r="F7">
        <f>roles_injector_aumento</f>
        <v/>
      </c>
      <c r="G7" s="3" t="n">
        <v>1</v>
      </c>
      <c r="H7" s="3" t="n">
        <v>0.7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T7">
        <f>MAX(0,MIN($C7,T$4+1)-MAX($B7,T$4))</f>
        <v/>
      </c>
      <c r="U7">
        <f>MAX(0,MIN($C7,U$4+1)-MAX($B7,U$4))</f>
        <v/>
      </c>
      <c r="V7">
        <f>MAX(0,MIN($C7,V$4+1)-MAX($B7,V$4))</f>
        <v/>
      </c>
      <c r="W7">
        <f>MAX(0,MIN($C7,W$4+1)-MAX($B7,W$4))</f>
        <v/>
      </c>
      <c r="X7">
        <f>MAX(0,MIN($C7,X$4+1)-MAX($B7,X$4))</f>
        <v/>
      </c>
      <c r="Y7">
        <f>MAX(0,MIN($C7,Y$4+1)-MAX($B7,Y$4))</f>
        <v/>
      </c>
      <c r="Z7">
        <f>MAX(0,MIN($C7,Z$4+1)-MAX($B7,Z$4))</f>
        <v/>
      </c>
      <c r="AA7">
        <f>MAX(0,MIN($C7,AA$4+1)-MAX($B7,AA$4))</f>
        <v/>
      </c>
      <c r="AB7">
        <f>MAX(0,MIN($C7,AB$4+1)-MAX($B7,AB$4))</f>
        <v/>
      </c>
      <c r="AC7">
        <f>MAX(0,MIN($C7,AC$4+1)-MAX($B7,AC$4))</f>
        <v/>
      </c>
      <c r="AD7">
        <f>MAX(0,MIN($C7,AD$4+1)-MAX($B7,AD$4))</f>
        <v/>
      </c>
      <c r="AE7">
        <f>MAX(0,MIN($C7,AE$4+1)-MAX($B7,AE$4))</f>
        <v/>
      </c>
      <c r="AF7">
        <f>MAX(0,MIN($C7,AF$4+1)-MAX($B7,AF$4))</f>
        <v/>
      </c>
      <c r="AG7">
        <f>MAX(0,MIN($C7,AG$4+1)-MAX($B7,AG$4))</f>
        <v/>
      </c>
      <c r="AH7">
        <f>MAX(0,MIN($C7,AH$4+1)-MAX($B7,AH$4))</f>
        <v/>
      </c>
      <c r="AI7">
        <f>MAX(0,MIN($C7,AI$4+1)-MAX($B7,AI$4))</f>
        <v/>
      </c>
      <c r="AJ7">
        <f>MAX(0,MIN($C7,AJ$4+1)-MAX($B7,AJ$4))</f>
        <v/>
      </c>
      <c r="AK7">
        <f>MAX(0,MIN($C7,AK$4+1)-MAX($B7,AK$4))</f>
        <v/>
      </c>
      <c r="AL7">
        <f>MAX(0,MIN($C7,AL$4+1)-MAX($B7,AL$4))</f>
        <v/>
      </c>
      <c r="AM7">
        <f>MAX(0,MIN($C7,AM$4+1)-MAX($B7,AM$4))</f>
        <v/>
      </c>
      <c r="AN7" t="inlineStr">
        <is>
          <t>Curso de inyecciones</t>
        </is>
      </c>
      <c r="AO7" s="3" t="n">
        <v>2027.65</v>
      </c>
      <c r="AP7" s="3">
        <f>tiempos_injectorCurso</f>
        <v/>
      </c>
    </row>
    <row r="8">
      <c r="A8" t="inlineStr">
        <is>
          <t>Injector (año 2)</t>
        </is>
      </c>
      <c r="B8" s="3" t="n">
        <v>2028.75</v>
      </c>
      <c r="C8" s="3" t="n">
        <v>2029.75</v>
      </c>
      <c r="D8" t="inlineStr">
        <is>
          <t>injector</t>
        </is>
      </c>
      <c r="E8">
        <f>roles_injector_base*loc_factorRN</f>
        <v/>
      </c>
      <c r="F8">
        <f>roles_injector_aumento</f>
        <v/>
      </c>
      <c r="G8" s="3" t="n">
        <v>1</v>
      </c>
      <c r="H8" s="3" t="n">
        <v>0.85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T8">
        <f>MAX(0,MIN($C8,T$4+1)-MAX($B8,T$4))</f>
        <v/>
      </c>
      <c r="U8">
        <f>MAX(0,MIN($C8,U$4+1)-MAX($B8,U$4))</f>
        <v/>
      </c>
      <c r="V8">
        <f>MAX(0,MIN($C8,V$4+1)-MAX($B8,V$4))</f>
        <v/>
      </c>
      <c r="W8">
        <f>MAX(0,MIN($C8,W$4+1)-MAX($B8,W$4))</f>
        <v/>
      </c>
      <c r="X8">
        <f>MAX(0,MIN($C8,X$4+1)-MAX($B8,X$4))</f>
        <v/>
      </c>
      <c r="Y8">
        <f>MAX(0,MIN($C8,Y$4+1)-MAX($B8,Y$4))</f>
        <v/>
      </c>
      <c r="Z8">
        <f>MAX(0,MIN($C8,Z$4+1)-MAX($B8,Z$4))</f>
        <v/>
      </c>
      <c r="AA8">
        <f>MAX(0,MIN($C8,AA$4+1)-MAX($B8,AA$4))</f>
        <v/>
      </c>
      <c r="AB8">
        <f>MAX(0,MIN($C8,AB$4+1)-MAX($B8,AB$4))</f>
        <v/>
      </c>
      <c r="AC8">
        <f>MAX(0,MIN($C8,AC$4+1)-MAX($B8,AC$4))</f>
        <v/>
      </c>
      <c r="AD8">
        <f>MAX(0,MIN($C8,AD$4+1)-MAX($B8,AD$4))</f>
        <v/>
      </c>
      <c r="AE8">
        <f>MAX(0,MIN($C8,AE$4+1)-MAX($B8,AE$4))</f>
        <v/>
      </c>
      <c r="AF8">
        <f>MAX(0,MIN($C8,AF$4+1)-MAX($B8,AF$4))</f>
        <v/>
      </c>
      <c r="AG8">
        <f>MAX(0,MIN($C8,AG$4+1)-MAX($B8,AG$4))</f>
        <v/>
      </c>
      <c r="AH8">
        <f>MAX(0,MIN($C8,AH$4+1)-MAX($B8,AH$4))</f>
        <v/>
      </c>
      <c r="AI8">
        <f>MAX(0,MIN($C8,AI$4+1)-MAX($B8,AI$4))</f>
        <v/>
      </c>
      <c r="AJ8">
        <f>MAX(0,MIN($C8,AJ$4+1)-MAX($B8,AJ$4))</f>
        <v/>
      </c>
      <c r="AK8">
        <f>MAX(0,MIN($C8,AK$4+1)-MAX($B8,AK$4))</f>
        <v/>
      </c>
      <c r="AL8">
        <f>MAX(0,MIN($C8,AL$4+1)-MAX($B8,AL$4))</f>
        <v/>
      </c>
      <c r="AM8">
        <f>MAX(0,MIN($C8,AM$4+1)-MAX($B8,AM$4))</f>
        <v/>
      </c>
      <c r="AO8" t="n">
        <v>0</v>
      </c>
      <c r="AP8" t="n">
        <v>0</v>
      </c>
    </row>
    <row r="9">
      <c r="A9" t="inlineStr">
        <is>
          <t>Injector establecido</t>
        </is>
      </c>
      <c r="B9" s="3" t="n">
        <v>2029.75</v>
      </c>
      <c r="C9" s="3" t="n">
        <v>2048</v>
      </c>
      <c r="D9" t="inlineStr">
        <is>
          <t>injector</t>
        </is>
      </c>
      <c r="E9">
        <f>roles_injector_base*loc_factorRN</f>
        <v/>
      </c>
      <c r="F9">
        <f>roles_injector_aumento</f>
        <v/>
      </c>
      <c r="G9" s="3" t="n">
        <v>1</v>
      </c>
      <c r="H9" s="3" t="n">
        <v>1</v>
      </c>
      <c r="I9" s="3" t="n">
        <v>0</v>
      </c>
      <c r="J9" s="3" t="n">
        <v>0</v>
      </c>
      <c r="K9" s="3" t="n">
        <v>0</v>
      </c>
      <c r="L9" s="3" t="n">
        <v>0</v>
      </c>
      <c r="M9" s="3" t="n">
        <v>0</v>
      </c>
      <c r="N9" s="3" t="n">
        <v>0</v>
      </c>
      <c r="O9" s="3" t="n">
        <v>0</v>
      </c>
      <c r="P9" s="3" t="n">
        <v>0</v>
      </c>
      <c r="Q9" s="3" t="n">
        <v>0</v>
      </c>
      <c r="R9" s="3" t="n">
        <v>0</v>
      </c>
      <c r="T9">
        <f>MAX(0,MIN($C9,T$4+1)-MAX($B9,T$4))</f>
        <v/>
      </c>
      <c r="U9">
        <f>MAX(0,MIN($C9,U$4+1)-MAX($B9,U$4))</f>
        <v/>
      </c>
      <c r="V9">
        <f>MAX(0,MIN($C9,V$4+1)-MAX($B9,V$4))</f>
        <v/>
      </c>
      <c r="W9">
        <f>MAX(0,MIN($C9,W$4+1)-MAX($B9,W$4))</f>
        <v/>
      </c>
      <c r="X9">
        <f>MAX(0,MIN($C9,X$4+1)-MAX($B9,X$4))</f>
        <v/>
      </c>
      <c r="Y9">
        <f>MAX(0,MIN($C9,Y$4+1)-MAX($B9,Y$4))</f>
        <v/>
      </c>
      <c r="Z9">
        <f>MAX(0,MIN($C9,Z$4+1)-MAX($B9,Z$4))</f>
        <v/>
      </c>
      <c r="AA9">
        <f>MAX(0,MIN($C9,AA$4+1)-MAX($B9,AA$4))</f>
        <v/>
      </c>
      <c r="AB9">
        <f>MAX(0,MIN($C9,AB$4+1)-MAX($B9,AB$4))</f>
        <v/>
      </c>
      <c r="AC9">
        <f>MAX(0,MIN($C9,AC$4+1)-MAX($B9,AC$4))</f>
        <v/>
      </c>
      <c r="AD9">
        <f>MAX(0,MIN($C9,AD$4+1)-MAX($B9,AD$4))</f>
        <v/>
      </c>
      <c r="AE9">
        <f>MAX(0,MIN($C9,AE$4+1)-MAX($B9,AE$4))</f>
        <v/>
      </c>
      <c r="AF9">
        <f>MAX(0,MIN($C9,AF$4+1)-MAX($B9,AF$4))</f>
        <v/>
      </c>
      <c r="AG9">
        <f>MAX(0,MIN($C9,AG$4+1)-MAX($B9,AG$4))</f>
        <v/>
      </c>
      <c r="AH9">
        <f>MAX(0,MIN($C9,AH$4+1)-MAX($B9,AH$4))</f>
        <v/>
      </c>
      <c r="AI9">
        <f>MAX(0,MIN($C9,AI$4+1)-MAX($B9,AI$4))</f>
        <v/>
      </c>
      <c r="AJ9">
        <f>MAX(0,MIN($C9,AJ$4+1)-MAX($B9,AJ$4))</f>
        <v/>
      </c>
      <c r="AK9">
        <f>MAX(0,MIN($C9,AK$4+1)-MAX($B9,AK$4))</f>
        <v/>
      </c>
      <c r="AL9">
        <f>MAX(0,MIN($C9,AL$4+1)-MAX($B9,AL$4))</f>
        <v/>
      </c>
      <c r="AM9">
        <f>MAX(0,MIN($C9,AM$4+1)-MAX($B9,AM$4))</f>
        <v/>
      </c>
      <c r="AO9" t="n">
        <v>0</v>
      </c>
      <c r="AP9" t="n">
        <v>0</v>
      </c>
    </row>
    <row r="10">
      <c r="A10" t="inlineStr"/>
      <c r="B10" s="3" t="n">
        <v>0</v>
      </c>
      <c r="C10" s="3" t="n">
        <v>0</v>
      </c>
      <c r="D10" t="inlineStr"/>
      <c r="E10" t="n">
        <v>0</v>
      </c>
      <c r="F10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T10">
        <f>MAX(0,MIN($C10,T$4+1)-MAX($B10,T$4))</f>
        <v/>
      </c>
      <c r="U10">
        <f>MAX(0,MIN($C10,U$4+1)-MAX($B10,U$4))</f>
        <v/>
      </c>
      <c r="V10">
        <f>MAX(0,MIN($C10,V$4+1)-MAX($B10,V$4))</f>
        <v/>
      </c>
      <c r="W10">
        <f>MAX(0,MIN($C10,W$4+1)-MAX($B10,W$4))</f>
        <v/>
      </c>
      <c r="X10">
        <f>MAX(0,MIN($C10,X$4+1)-MAX($B10,X$4))</f>
        <v/>
      </c>
      <c r="Y10">
        <f>MAX(0,MIN($C10,Y$4+1)-MAX($B10,Y$4))</f>
        <v/>
      </c>
      <c r="Z10">
        <f>MAX(0,MIN($C10,Z$4+1)-MAX($B10,Z$4))</f>
        <v/>
      </c>
      <c r="AA10">
        <f>MAX(0,MIN($C10,AA$4+1)-MAX($B10,AA$4))</f>
        <v/>
      </c>
      <c r="AB10">
        <f>MAX(0,MIN($C10,AB$4+1)-MAX($B10,AB$4))</f>
        <v/>
      </c>
      <c r="AC10">
        <f>MAX(0,MIN($C10,AC$4+1)-MAX($B10,AC$4))</f>
        <v/>
      </c>
      <c r="AD10">
        <f>MAX(0,MIN($C10,AD$4+1)-MAX($B10,AD$4))</f>
        <v/>
      </c>
      <c r="AE10">
        <f>MAX(0,MIN($C10,AE$4+1)-MAX($B10,AE$4))</f>
        <v/>
      </c>
      <c r="AF10">
        <f>MAX(0,MIN($C10,AF$4+1)-MAX($B10,AF$4))</f>
        <v/>
      </c>
      <c r="AG10">
        <f>MAX(0,MIN($C10,AG$4+1)-MAX($B10,AG$4))</f>
        <v/>
      </c>
      <c r="AH10">
        <f>MAX(0,MIN($C10,AH$4+1)-MAX($B10,AH$4))</f>
        <v/>
      </c>
      <c r="AI10">
        <f>MAX(0,MIN($C10,AI$4+1)-MAX($B10,AI$4))</f>
        <v/>
      </c>
      <c r="AJ10">
        <f>MAX(0,MIN($C10,AJ$4+1)-MAX($B10,AJ$4))</f>
        <v/>
      </c>
      <c r="AK10">
        <f>MAX(0,MIN($C10,AK$4+1)-MAX($B10,AK$4))</f>
        <v/>
      </c>
      <c r="AL10">
        <f>MAX(0,MIN($C10,AL$4+1)-MAX($B10,AL$4))</f>
        <v/>
      </c>
      <c r="AM10">
        <f>MAX(0,MIN($C10,AM$4+1)-MAX($B10,AM$4))</f>
        <v/>
      </c>
      <c r="AO10" t="n">
        <v>0</v>
      </c>
      <c r="AP10" t="n">
        <v>0</v>
      </c>
    </row>
    <row r="11">
      <c r="A11" t="inlineStr"/>
      <c r="B11" s="3" t="n">
        <v>0</v>
      </c>
      <c r="C11" s="3" t="n">
        <v>0</v>
      </c>
      <c r="D11" t="inlineStr"/>
      <c r="E11" t="n">
        <v>0</v>
      </c>
      <c r="F11" t="n">
        <v>0</v>
      </c>
      <c r="G11" s="3" t="n">
        <v>0</v>
      </c>
      <c r="H11" s="3" t="n">
        <v>0</v>
      </c>
      <c r="I11" s="3" t="n">
        <v>0</v>
      </c>
      <c r="J11" s="3" t="n">
        <v>0</v>
      </c>
      <c r="K11" s="3" t="n">
        <v>0</v>
      </c>
      <c r="L11" s="3" t="n">
        <v>0</v>
      </c>
      <c r="M11" s="3" t="n">
        <v>0</v>
      </c>
      <c r="N11" s="3" t="n">
        <v>0</v>
      </c>
      <c r="O11" s="3" t="n">
        <v>0</v>
      </c>
      <c r="P11" s="3" t="n">
        <v>0</v>
      </c>
      <c r="Q11" s="3" t="n">
        <v>0</v>
      </c>
      <c r="R11" s="3" t="n">
        <v>0</v>
      </c>
      <c r="T11">
        <f>MAX(0,MIN($C11,T$4+1)-MAX($B11,T$4))</f>
        <v/>
      </c>
      <c r="U11">
        <f>MAX(0,MIN($C11,U$4+1)-MAX($B11,U$4))</f>
        <v/>
      </c>
      <c r="V11">
        <f>MAX(0,MIN($C11,V$4+1)-MAX($B11,V$4))</f>
        <v/>
      </c>
      <c r="W11">
        <f>MAX(0,MIN($C11,W$4+1)-MAX($B11,W$4))</f>
        <v/>
      </c>
      <c r="X11">
        <f>MAX(0,MIN($C11,X$4+1)-MAX($B11,X$4))</f>
        <v/>
      </c>
      <c r="Y11">
        <f>MAX(0,MIN($C11,Y$4+1)-MAX($B11,Y$4))</f>
        <v/>
      </c>
      <c r="Z11">
        <f>MAX(0,MIN($C11,Z$4+1)-MAX($B11,Z$4))</f>
        <v/>
      </c>
      <c r="AA11">
        <f>MAX(0,MIN($C11,AA$4+1)-MAX($B11,AA$4))</f>
        <v/>
      </c>
      <c r="AB11">
        <f>MAX(0,MIN($C11,AB$4+1)-MAX($B11,AB$4))</f>
        <v/>
      </c>
      <c r="AC11">
        <f>MAX(0,MIN($C11,AC$4+1)-MAX($B11,AC$4))</f>
        <v/>
      </c>
      <c r="AD11">
        <f>MAX(0,MIN($C11,AD$4+1)-MAX($B11,AD$4))</f>
        <v/>
      </c>
      <c r="AE11">
        <f>MAX(0,MIN($C11,AE$4+1)-MAX($B11,AE$4))</f>
        <v/>
      </c>
      <c r="AF11">
        <f>MAX(0,MIN($C11,AF$4+1)-MAX($B11,AF$4))</f>
        <v/>
      </c>
      <c r="AG11">
        <f>MAX(0,MIN($C11,AG$4+1)-MAX($B11,AG$4))</f>
        <v/>
      </c>
      <c r="AH11">
        <f>MAX(0,MIN($C11,AH$4+1)-MAX($B11,AH$4))</f>
        <v/>
      </c>
      <c r="AI11">
        <f>MAX(0,MIN($C11,AI$4+1)-MAX($B11,AI$4))</f>
        <v/>
      </c>
      <c r="AJ11">
        <f>MAX(0,MIN($C11,AJ$4+1)-MAX($B11,AJ$4))</f>
        <v/>
      </c>
      <c r="AK11">
        <f>MAX(0,MIN($C11,AK$4+1)-MAX($B11,AK$4))</f>
        <v/>
      </c>
      <c r="AL11">
        <f>MAX(0,MIN($C11,AL$4+1)-MAX($B11,AL$4))</f>
        <v/>
      </c>
      <c r="AM11">
        <f>MAX(0,MIN($C11,AM$4+1)-MAX($B11,AM$4))</f>
        <v/>
      </c>
      <c r="AO11" t="n">
        <v>0</v>
      </c>
      <c r="AP11" t="n">
        <v>0</v>
      </c>
    </row>
    <row r="12">
      <c r="A12" t="inlineStr"/>
      <c r="B12" s="3" t="n">
        <v>0</v>
      </c>
      <c r="C12" s="3" t="n">
        <v>0</v>
      </c>
      <c r="D12" t="inlineStr"/>
      <c r="E12" t="n">
        <v>0</v>
      </c>
      <c r="F12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T12">
        <f>MAX(0,MIN($C12,T$4+1)-MAX($B12,T$4))</f>
        <v/>
      </c>
      <c r="U12">
        <f>MAX(0,MIN($C12,U$4+1)-MAX($B12,U$4))</f>
        <v/>
      </c>
      <c r="V12">
        <f>MAX(0,MIN($C12,V$4+1)-MAX($B12,V$4))</f>
        <v/>
      </c>
      <c r="W12">
        <f>MAX(0,MIN($C12,W$4+1)-MAX($B12,W$4))</f>
        <v/>
      </c>
      <c r="X12">
        <f>MAX(0,MIN($C12,X$4+1)-MAX($B12,X$4))</f>
        <v/>
      </c>
      <c r="Y12">
        <f>MAX(0,MIN($C12,Y$4+1)-MAX($B12,Y$4))</f>
        <v/>
      </c>
      <c r="Z12">
        <f>MAX(0,MIN($C12,Z$4+1)-MAX($B12,Z$4))</f>
        <v/>
      </c>
      <c r="AA12">
        <f>MAX(0,MIN($C12,AA$4+1)-MAX($B12,AA$4))</f>
        <v/>
      </c>
      <c r="AB12">
        <f>MAX(0,MIN($C12,AB$4+1)-MAX($B12,AB$4))</f>
        <v/>
      </c>
      <c r="AC12">
        <f>MAX(0,MIN($C12,AC$4+1)-MAX($B12,AC$4))</f>
        <v/>
      </c>
      <c r="AD12">
        <f>MAX(0,MIN($C12,AD$4+1)-MAX($B12,AD$4))</f>
        <v/>
      </c>
      <c r="AE12">
        <f>MAX(0,MIN($C12,AE$4+1)-MAX($B12,AE$4))</f>
        <v/>
      </c>
      <c r="AF12">
        <f>MAX(0,MIN($C12,AF$4+1)-MAX($B12,AF$4))</f>
        <v/>
      </c>
      <c r="AG12">
        <f>MAX(0,MIN($C12,AG$4+1)-MAX($B12,AG$4))</f>
        <v/>
      </c>
      <c r="AH12">
        <f>MAX(0,MIN($C12,AH$4+1)-MAX($B12,AH$4))</f>
        <v/>
      </c>
      <c r="AI12">
        <f>MAX(0,MIN($C12,AI$4+1)-MAX($B12,AI$4))</f>
        <v/>
      </c>
      <c r="AJ12">
        <f>MAX(0,MIN($C12,AJ$4+1)-MAX($B12,AJ$4))</f>
        <v/>
      </c>
      <c r="AK12">
        <f>MAX(0,MIN($C12,AK$4+1)-MAX($B12,AK$4))</f>
        <v/>
      </c>
      <c r="AL12">
        <f>MAX(0,MIN($C12,AL$4+1)-MAX($B12,AL$4))</f>
        <v/>
      </c>
      <c r="AM12">
        <f>MAX(0,MIN($C12,AM$4+1)-MAX($B12,AM$4))</f>
        <v/>
      </c>
      <c r="AO12" t="n">
        <v>0</v>
      </c>
      <c r="AP12" t="n">
        <v>0</v>
      </c>
    </row>
    <row r="13">
      <c r="A13" t="inlineStr"/>
      <c r="B13" s="3" t="n">
        <v>0</v>
      </c>
      <c r="C13" s="3" t="n">
        <v>0</v>
      </c>
      <c r="D13" t="inlineStr"/>
      <c r="E13" t="n">
        <v>0</v>
      </c>
      <c r="F1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T13">
        <f>MAX(0,MIN($C13,T$4+1)-MAX($B13,T$4))</f>
        <v/>
      </c>
      <c r="U13">
        <f>MAX(0,MIN($C13,U$4+1)-MAX($B13,U$4))</f>
        <v/>
      </c>
      <c r="V13">
        <f>MAX(0,MIN($C13,V$4+1)-MAX($B13,V$4))</f>
        <v/>
      </c>
      <c r="W13">
        <f>MAX(0,MIN($C13,W$4+1)-MAX($B13,W$4))</f>
        <v/>
      </c>
      <c r="X13">
        <f>MAX(0,MIN($C13,X$4+1)-MAX($B13,X$4))</f>
        <v/>
      </c>
      <c r="Y13">
        <f>MAX(0,MIN($C13,Y$4+1)-MAX($B13,Y$4))</f>
        <v/>
      </c>
      <c r="Z13">
        <f>MAX(0,MIN($C13,Z$4+1)-MAX($B13,Z$4))</f>
        <v/>
      </c>
      <c r="AA13">
        <f>MAX(0,MIN($C13,AA$4+1)-MAX($B13,AA$4))</f>
        <v/>
      </c>
      <c r="AB13">
        <f>MAX(0,MIN($C13,AB$4+1)-MAX($B13,AB$4))</f>
        <v/>
      </c>
      <c r="AC13">
        <f>MAX(0,MIN($C13,AC$4+1)-MAX($B13,AC$4))</f>
        <v/>
      </c>
      <c r="AD13">
        <f>MAX(0,MIN($C13,AD$4+1)-MAX($B13,AD$4))</f>
        <v/>
      </c>
      <c r="AE13">
        <f>MAX(0,MIN($C13,AE$4+1)-MAX($B13,AE$4))</f>
        <v/>
      </c>
      <c r="AF13">
        <f>MAX(0,MIN($C13,AF$4+1)-MAX($B13,AF$4))</f>
        <v/>
      </c>
      <c r="AG13">
        <f>MAX(0,MIN($C13,AG$4+1)-MAX($B13,AG$4))</f>
        <v/>
      </c>
      <c r="AH13">
        <f>MAX(0,MIN($C13,AH$4+1)-MAX($B13,AH$4))</f>
        <v/>
      </c>
      <c r="AI13">
        <f>MAX(0,MIN($C13,AI$4+1)-MAX($B13,AI$4))</f>
        <v/>
      </c>
      <c r="AJ13">
        <f>MAX(0,MIN($C13,AJ$4+1)-MAX($B13,AJ$4))</f>
        <v/>
      </c>
      <c r="AK13">
        <f>MAX(0,MIN($C13,AK$4+1)-MAX($B13,AK$4))</f>
        <v/>
      </c>
      <c r="AL13">
        <f>MAX(0,MIN($C13,AL$4+1)-MAX($B13,AL$4))</f>
        <v/>
      </c>
      <c r="AM13">
        <f>MAX(0,MIN($C13,AM$4+1)-MAX($B13,AM$4))</f>
        <v/>
      </c>
      <c r="AO13" t="n">
        <v>0</v>
      </c>
      <c r="AP13" t="n">
        <v>0</v>
      </c>
    </row>
    <row r="14">
      <c r="A14" t="inlineStr"/>
      <c r="B14" s="3" t="n">
        <v>0</v>
      </c>
      <c r="C14" s="3" t="n">
        <v>0</v>
      </c>
      <c r="D14" t="inlineStr"/>
      <c r="E14" t="n">
        <v>0</v>
      </c>
      <c r="F14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T14">
        <f>MAX(0,MIN($C14,T$4+1)-MAX($B14,T$4))</f>
        <v/>
      </c>
      <c r="U14">
        <f>MAX(0,MIN($C14,U$4+1)-MAX($B14,U$4))</f>
        <v/>
      </c>
      <c r="V14">
        <f>MAX(0,MIN($C14,V$4+1)-MAX($B14,V$4))</f>
        <v/>
      </c>
      <c r="W14">
        <f>MAX(0,MIN($C14,W$4+1)-MAX($B14,W$4))</f>
        <v/>
      </c>
      <c r="X14">
        <f>MAX(0,MIN($C14,X$4+1)-MAX($B14,X$4))</f>
        <v/>
      </c>
      <c r="Y14">
        <f>MAX(0,MIN($C14,Y$4+1)-MAX($B14,Y$4))</f>
        <v/>
      </c>
      <c r="Z14">
        <f>MAX(0,MIN($C14,Z$4+1)-MAX($B14,Z$4))</f>
        <v/>
      </c>
      <c r="AA14">
        <f>MAX(0,MIN($C14,AA$4+1)-MAX($B14,AA$4))</f>
        <v/>
      </c>
      <c r="AB14">
        <f>MAX(0,MIN($C14,AB$4+1)-MAX($B14,AB$4))</f>
        <v/>
      </c>
      <c r="AC14">
        <f>MAX(0,MIN($C14,AC$4+1)-MAX($B14,AC$4))</f>
        <v/>
      </c>
      <c r="AD14">
        <f>MAX(0,MIN($C14,AD$4+1)-MAX($B14,AD$4))</f>
        <v/>
      </c>
      <c r="AE14">
        <f>MAX(0,MIN($C14,AE$4+1)-MAX($B14,AE$4))</f>
        <v/>
      </c>
      <c r="AF14">
        <f>MAX(0,MIN($C14,AF$4+1)-MAX($B14,AF$4))</f>
        <v/>
      </c>
      <c r="AG14">
        <f>MAX(0,MIN($C14,AG$4+1)-MAX($B14,AG$4))</f>
        <v/>
      </c>
      <c r="AH14">
        <f>MAX(0,MIN($C14,AH$4+1)-MAX($B14,AH$4))</f>
        <v/>
      </c>
      <c r="AI14">
        <f>MAX(0,MIN($C14,AI$4+1)-MAX($B14,AI$4))</f>
        <v/>
      </c>
      <c r="AJ14">
        <f>MAX(0,MIN($C14,AJ$4+1)-MAX($B14,AJ$4))</f>
        <v/>
      </c>
      <c r="AK14">
        <f>MAX(0,MIN($C14,AK$4+1)-MAX($B14,AK$4))</f>
        <v/>
      </c>
      <c r="AL14">
        <f>MAX(0,MIN($C14,AL$4+1)-MAX($B14,AL$4))</f>
        <v/>
      </c>
      <c r="AM14">
        <f>MAX(0,MIN($C14,AM$4+1)-MAX($B14,AM$4))</f>
        <v/>
      </c>
      <c r="AO14" t="n">
        <v>0</v>
      </c>
      <c r="AP14" t="n">
        <v>0</v>
      </c>
    </row>
    <row r="15">
      <c r="A15" t="inlineStr"/>
      <c r="B15" s="3" t="n">
        <v>0</v>
      </c>
      <c r="C15" s="3" t="n">
        <v>0</v>
      </c>
      <c r="D15" t="inlineStr"/>
      <c r="E15" t="n">
        <v>0</v>
      </c>
      <c r="F15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T15">
        <f>MAX(0,MIN($C15,T$4+1)-MAX($B15,T$4))</f>
        <v/>
      </c>
      <c r="U15">
        <f>MAX(0,MIN($C15,U$4+1)-MAX($B15,U$4))</f>
        <v/>
      </c>
      <c r="V15">
        <f>MAX(0,MIN($C15,V$4+1)-MAX($B15,V$4))</f>
        <v/>
      </c>
      <c r="W15">
        <f>MAX(0,MIN($C15,W$4+1)-MAX($B15,W$4))</f>
        <v/>
      </c>
      <c r="X15">
        <f>MAX(0,MIN($C15,X$4+1)-MAX($B15,X$4))</f>
        <v/>
      </c>
      <c r="Y15">
        <f>MAX(0,MIN($C15,Y$4+1)-MAX($B15,Y$4))</f>
        <v/>
      </c>
      <c r="Z15">
        <f>MAX(0,MIN($C15,Z$4+1)-MAX($B15,Z$4))</f>
        <v/>
      </c>
      <c r="AA15">
        <f>MAX(0,MIN($C15,AA$4+1)-MAX($B15,AA$4))</f>
        <v/>
      </c>
      <c r="AB15">
        <f>MAX(0,MIN($C15,AB$4+1)-MAX($B15,AB$4))</f>
        <v/>
      </c>
      <c r="AC15">
        <f>MAX(0,MIN($C15,AC$4+1)-MAX($B15,AC$4))</f>
        <v/>
      </c>
      <c r="AD15">
        <f>MAX(0,MIN($C15,AD$4+1)-MAX($B15,AD$4))</f>
        <v/>
      </c>
      <c r="AE15">
        <f>MAX(0,MIN($C15,AE$4+1)-MAX($B15,AE$4))</f>
        <v/>
      </c>
      <c r="AF15">
        <f>MAX(0,MIN($C15,AF$4+1)-MAX($B15,AF$4))</f>
        <v/>
      </c>
      <c r="AG15">
        <f>MAX(0,MIN($C15,AG$4+1)-MAX($B15,AG$4))</f>
        <v/>
      </c>
      <c r="AH15">
        <f>MAX(0,MIN($C15,AH$4+1)-MAX($B15,AH$4))</f>
        <v/>
      </c>
      <c r="AI15">
        <f>MAX(0,MIN($C15,AI$4+1)-MAX($B15,AI$4))</f>
        <v/>
      </c>
      <c r="AJ15">
        <f>MAX(0,MIN($C15,AJ$4+1)-MAX($B15,AJ$4))</f>
        <v/>
      </c>
      <c r="AK15">
        <f>MAX(0,MIN($C15,AK$4+1)-MAX($B15,AK$4))</f>
        <v/>
      </c>
      <c r="AL15">
        <f>MAX(0,MIN($C15,AL$4+1)-MAX($B15,AL$4))</f>
        <v/>
      </c>
      <c r="AM15">
        <f>MAX(0,MIN($C15,AM$4+1)-MAX($B15,AM$4))</f>
        <v/>
      </c>
      <c r="AO15" t="n">
        <v>0</v>
      </c>
      <c r="AP15" t="n">
        <v>0</v>
      </c>
    </row>
    <row r="16">
      <c r="A16" t="inlineStr"/>
      <c r="B16" s="3" t="n">
        <v>0</v>
      </c>
      <c r="C16" s="3" t="n">
        <v>0</v>
      </c>
      <c r="D16" t="inlineStr"/>
      <c r="E16" t="n">
        <v>0</v>
      </c>
      <c r="F16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0</v>
      </c>
      <c r="T16">
        <f>MAX(0,MIN($C16,T$4+1)-MAX($B16,T$4))</f>
        <v/>
      </c>
      <c r="U16">
        <f>MAX(0,MIN($C16,U$4+1)-MAX($B16,U$4))</f>
        <v/>
      </c>
      <c r="V16">
        <f>MAX(0,MIN($C16,V$4+1)-MAX($B16,V$4))</f>
        <v/>
      </c>
      <c r="W16">
        <f>MAX(0,MIN($C16,W$4+1)-MAX($B16,W$4))</f>
        <v/>
      </c>
      <c r="X16">
        <f>MAX(0,MIN($C16,X$4+1)-MAX($B16,X$4))</f>
        <v/>
      </c>
      <c r="Y16">
        <f>MAX(0,MIN($C16,Y$4+1)-MAX($B16,Y$4))</f>
        <v/>
      </c>
      <c r="Z16">
        <f>MAX(0,MIN($C16,Z$4+1)-MAX($B16,Z$4))</f>
        <v/>
      </c>
      <c r="AA16">
        <f>MAX(0,MIN($C16,AA$4+1)-MAX($B16,AA$4))</f>
        <v/>
      </c>
      <c r="AB16">
        <f>MAX(0,MIN($C16,AB$4+1)-MAX($B16,AB$4))</f>
        <v/>
      </c>
      <c r="AC16">
        <f>MAX(0,MIN($C16,AC$4+1)-MAX($B16,AC$4))</f>
        <v/>
      </c>
      <c r="AD16">
        <f>MAX(0,MIN($C16,AD$4+1)-MAX($B16,AD$4))</f>
        <v/>
      </c>
      <c r="AE16">
        <f>MAX(0,MIN($C16,AE$4+1)-MAX($B16,AE$4))</f>
        <v/>
      </c>
      <c r="AF16">
        <f>MAX(0,MIN($C16,AF$4+1)-MAX($B16,AF$4))</f>
        <v/>
      </c>
      <c r="AG16">
        <f>MAX(0,MIN($C16,AG$4+1)-MAX($B16,AG$4))</f>
        <v/>
      </c>
      <c r="AH16">
        <f>MAX(0,MIN($C16,AH$4+1)-MAX($B16,AH$4))</f>
        <v/>
      </c>
      <c r="AI16">
        <f>MAX(0,MIN($C16,AI$4+1)-MAX($B16,AI$4))</f>
        <v/>
      </c>
      <c r="AJ16">
        <f>MAX(0,MIN($C16,AJ$4+1)-MAX($B16,AJ$4))</f>
        <v/>
      </c>
      <c r="AK16">
        <f>MAX(0,MIN($C16,AK$4+1)-MAX($B16,AK$4))</f>
        <v/>
      </c>
      <c r="AL16">
        <f>MAX(0,MIN($C16,AL$4+1)-MAX($B16,AL$4))</f>
        <v/>
      </c>
      <c r="AM16">
        <f>MAX(0,MIN($C16,AM$4+1)-MAX($B16,AM$4))</f>
        <v/>
      </c>
      <c r="AO16" t="n">
        <v>0</v>
      </c>
      <c r="AP16" t="n">
        <v>0</v>
      </c>
    </row>
    <row r="17">
      <c r="A17" t="inlineStr"/>
      <c r="B17" s="3" t="n">
        <v>0</v>
      </c>
      <c r="C17" s="3" t="n">
        <v>0</v>
      </c>
      <c r="D17" t="inlineStr"/>
      <c r="E17" t="n">
        <v>0</v>
      </c>
      <c r="F17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T17">
        <f>MAX(0,MIN($C17,T$4+1)-MAX($B17,T$4))</f>
        <v/>
      </c>
      <c r="U17">
        <f>MAX(0,MIN($C17,U$4+1)-MAX($B17,U$4))</f>
        <v/>
      </c>
      <c r="V17">
        <f>MAX(0,MIN($C17,V$4+1)-MAX($B17,V$4))</f>
        <v/>
      </c>
      <c r="W17">
        <f>MAX(0,MIN($C17,W$4+1)-MAX($B17,W$4))</f>
        <v/>
      </c>
      <c r="X17">
        <f>MAX(0,MIN($C17,X$4+1)-MAX($B17,X$4))</f>
        <v/>
      </c>
      <c r="Y17">
        <f>MAX(0,MIN($C17,Y$4+1)-MAX($B17,Y$4))</f>
        <v/>
      </c>
      <c r="Z17">
        <f>MAX(0,MIN($C17,Z$4+1)-MAX($B17,Z$4))</f>
        <v/>
      </c>
      <c r="AA17">
        <f>MAX(0,MIN($C17,AA$4+1)-MAX($B17,AA$4))</f>
        <v/>
      </c>
      <c r="AB17">
        <f>MAX(0,MIN($C17,AB$4+1)-MAX($B17,AB$4))</f>
        <v/>
      </c>
      <c r="AC17">
        <f>MAX(0,MIN($C17,AC$4+1)-MAX($B17,AC$4))</f>
        <v/>
      </c>
      <c r="AD17">
        <f>MAX(0,MIN($C17,AD$4+1)-MAX($B17,AD$4))</f>
        <v/>
      </c>
      <c r="AE17">
        <f>MAX(0,MIN($C17,AE$4+1)-MAX($B17,AE$4))</f>
        <v/>
      </c>
      <c r="AF17">
        <f>MAX(0,MIN($C17,AF$4+1)-MAX($B17,AF$4))</f>
        <v/>
      </c>
      <c r="AG17">
        <f>MAX(0,MIN($C17,AG$4+1)-MAX($B17,AG$4))</f>
        <v/>
      </c>
      <c r="AH17">
        <f>MAX(0,MIN($C17,AH$4+1)-MAX($B17,AH$4))</f>
        <v/>
      </c>
      <c r="AI17">
        <f>MAX(0,MIN($C17,AI$4+1)-MAX($B17,AI$4))</f>
        <v/>
      </c>
      <c r="AJ17">
        <f>MAX(0,MIN($C17,AJ$4+1)-MAX($B17,AJ$4))</f>
        <v/>
      </c>
      <c r="AK17">
        <f>MAX(0,MIN($C17,AK$4+1)-MAX($B17,AK$4))</f>
        <v/>
      </c>
      <c r="AL17">
        <f>MAX(0,MIN($C17,AL$4+1)-MAX($B17,AL$4))</f>
        <v/>
      </c>
      <c r="AM17">
        <f>MAX(0,MIN($C17,AM$4+1)-MAX($B17,AM$4))</f>
        <v/>
      </c>
      <c r="AO17" t="n">
        <v>0</v>
      </c>
      <c r="AP17" t="n">
        <v>0</v>
      </c>
    </row>
    <row r="18">
      <c r="A18" t="inlineStr"/>
      <c r="B18" s="3" t="n">
        <v>0</v>
      </c>
      <c r="C18" s="3" t="n">
        <v>0</v>
      </c>
      <c r="D18" t="inlineStr"/>
      <c r="E18" t="n">
        <v>0</v>
      </c>
      <c r="F18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T18">
        <f>MAX(0,MIN($C18,T$4+1)-MAX($B18,T$4))</f>
        <v/>
      </c>
      <c r="U18">
        <f>MAX(0,MIN($C18,U$4+1)-MAX($B18,U$4))</f>
        <v/>
      </c>
      <c r="V18">
        <f>MAX(0,MIN($C18,V$4+1)-MAX($B18,V$4))</f>
        <v/>
      </c>
      <c r="W18">
        <f>MAX(0,MIN($C18,W$4+1)-MAX($B18,W$4))</f>
        <v/>
      </c>
      <c r="X18">
        <f>MAX(0,MIN($C18,X$4+1)-MAX($B18,X$4))</f>
        <v/>
      </c>
      <c r="Y18">
        <f>MAX(0,MIN($C18,Y$4+1)-MAX($B18,Y$4))</f>
        <v/>
      </c>
      <c r="Z18">
        <f>MAX(0,MIN($C18,Z$4+1)-MAX($B18,Z$4))</f>
        <v/>
      </c>
      <c r="AA18">
        <f>MAX(0,MIN($C18,AA$4+1)-MAX($B18,AA$4))</f>
        <v/>
      </c>
      <c r="AB18">
        <f>MAX(0,MIN($C18,AB$4+1)-MAX($B18,AB$4))</f>
        <v/>
      </c>
      <c r="AC18">
        <f>MAX(0,MIN($C18,AC$4+1)-MAX($B18,AC$4))</f>
        <v/>
      </c>
      <c r="AD18">
        <f>MAX(0,MIN($C18,AD$4+1)-MAX($B18,AD$4))</f>
        <v/>
      </c>
      <c r="AE18">
        <f>MAX(0,MIN($C18,AE$4+1)-MAX($B18,AE$4))</f>
        <v/>
      </c>
      <c r="AF18">
        <f>MAX(0,MIN($C18,AF$4+1)-MAX($B18,AF$4))</f>
        <v/>
      </c>
      <c r="AG18">
        <f>MAX(0,MIN($C18,AG$4+1)-MAX($B18,AG$4))</f>
        <v/>
      </c>
      <c r="AH18">
        <f>MAX(0,MIN($C18,AH$4+1)-MAX($B18,AH$4))</f>
        <v/>
      </c>
      <c r="AI18">
        <f>MAX(0,MIN($C18,AI$4+1)-MAX($B18,AI$4))</f>
        <v/>
      </c>
      <c r="AJ18">
        <f>MAX(0,MIN($C18,AJ$4+1)-MAX($B18,AJ$4))</f>
        <v/>
      </c>
      <c r="AK18">
        <f>MAX(0,MIN($C18,AK$4+1)-MAX($B18,AK$4))</f>
        <v/>
      </c>
      <c r="AL18">
        <f>MAX(0,MIN($C18,AL$4+1)-MAX($B18,AL$4))</f>
        <v/>
      </c>
      <c r="AM18">
        <f>MAX(0,MIN($C18,AM$4+1)-MAX($B18,AM$4))</f>
        <v/>
      </c>
      <c r="AO18" t="n">
        <v>0</v>
      </c>
      <c r="AP18" t="n">
        <v>0</v>
      </c>
    </row>
    <row r="19">
      <c r="A19" t="inlineStr"/>
      <c r="B19" s="3" t="n">
        <v>0</v>
      </c>
      <c r="C19" s="3" t="n">
        <v>0</v>
      </c>
      <c r="D19" t="inlineStr"/>
      <c r="E19" t="n">
        <v>0</v>
      </c>
      <c r="F19" t="n">
        <v>0</v>
      </c>
      <c r="G19" s="3" t="n">
        <v>0</v>
      </c>
      <c r="H19" s="3" t="n">
        <v>0</v>
      </c>
      <c r="I19" s="3" t="n">
        <v>0</v>
      </c>
      <c r="J19" s="3" t="n">
        <v>0</v>
      </c>
      <c r="K19" s="3" t="n">
        <v>0</v>
      </c>
      <c r="L19" s="3" t="n">
        <v>0</v>
      </c>
      <c r="M19" s="3" t="n">
        <v>0</v>
      </c>
      <c r="N19" s="3" t="n">
        <v>0</v>
      </c>
      <c r="O19" s="3" t="n">
        <v>0</v>
      </c>
      <c r="P19" s="3" t="n">
        <v>0</v>
      </c>
      <c r="Q19" s="3" t="n">
        <v>0</v>
      </c>
      <c r="R19" s="3" t="n">
        <v>0</v>
      </c>
      <c r="T19">
        <f>MAX(0,MIN($C19,T$4+1)-MAX($B19,T$4))</f>
        <v/>
      </c>
      <c r="U19">
        <f>MAX(0,MIN($C19,U$4+1)-MAX($B19,U$4))</f>
        <v/>
      </c>
      <c r="V19">
        <f>MAX(0,MIN($C19,V$4+1)-MAX($B19,V$4))</f>
        <v/>
      </c>
      <c r="W19">
        <f>MAX(0,MIN($C19,W$4+1)-MAX($B19,W$4))</f>
        <v/>
      </c>
      <c r="X19">
        <f>MAX(0,MIN($C19,X$4+1)-MAX($B19,X$4))</f>
        <v/>
      </c>
      <c r="Y19">
        <f>MAX(0,MIN($C19,Y$4+1)-MAX($B19,Y$4))</f>
        <v/>
      </c>
      <c r="Z19">
        <f>MAX(0,MIN($C19,Z$4+1)-MAX($B19,Z$4))</f>
        <v/>
      </c>
      <c r="AA19">
        <f>MAX(0,MIN($C19,AA$4+1)-MAX($B19,AA$4))</f>
        <v/>
      </c>
      <c r="AB19">
        <f>MAX(0,MIN($C19,AB$4+1)-MAX($B19,AB$4))</f>
        <v/>
      </c>
      <c r="AC19">
        <f>MAX(0,MIN($C19,AC$4+1)-MAX($B19,AC$4))</f>
        <v/>
      </c>
      <c r="AD19">
        <f>MAX(0,MIN($C19,AD$4+1)-MAX($B19,AD$4))</f>
        <v/>
      </c>
      <c r="AE19">
        <f>MAX(0,MIN($C19,AE$4+1)-MAX($B19,AE$4))</f>
        <v/>
      </c>
      <c r="AF19">
        <f>MAX(0,MIN($C19,AF$4+1)-MAX($B19,AF$4))</f>
        <v/>
      </c>
      <c r="AG19">
        <f>MAX(0,MIN($C19,AG$4+1)-MAX($B19,AG$4))</f>
        <v/>
      </c>
      <c r="AH19">
        <f>MAX(0,MIN($C19,AH$4+1)-MAX($B19,AH$4))</f>
        <v/>
      </c>
      <c r="AI19">
        <f>MAX(0,MIN($C19,AI$4+1)-MAX($B19,AI$4))</f>
        <v/>
      </c>
      <c r="AJ19">
        <f>MAX(0,MIN($C19,AJ$4+1)-MAX($B19,AJ$4))</f>
        <v/>
      </c>
      <c r="AK19">
        <f>MAX(0,MIN($C19,AK$4+1)-MAX($B19,AK$4))</f>
        <v/>
      </c>
      <c r="AL19">
        <f>MAX(0,MIN($C19,AL$4+1)-MAX($B19,AL$4))</f>
        <v/>
      </c>
      <c r="AM19">
        <f>MAX(0,MIN($C19,AM$4+1)-MAX($B19,AM$4))</f>
        <v/>
      </c>
      <c r="AO19" t="n">
        <v>0</v>
      </c>
      <c r="AP19" t="n">
        <v>0</v>
      </c>
    </row>
    <row r="20">
      <c r="A20" t="inlineStr"/>
      <c r="B20" s="3" t="n">
        <v>0</v>
      </c>
      <c r="C20" s="3" t="n">
        <v>0</v>
      </c>
      <c r="D20" t="inlineStr"/>
      <c r="E20" t="n">
        <v>0</v>
      </c>
      <c r="F20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T20">
        <f>MAX(0,MIN($C20,T$4+1)-MAX($B20,T$4))</f>
        <v/>
      </c>
      <c r="U20">
        <f>MAX(0,MIN($C20,U$4+1)-MAX($B20,U$4))</f>
        <v/>
      </c>
      <c r="V20">
        <f>MAX(0,MIN($C20,V$4+1)-MAX($B20,V$4))</f>
        <v/>
      </c>
      <c r="W20">
        <f>MAX(0,MIN($C20,W$4+1)-MAX($B20,W$4))</f>
        <v/>
      </c>
      <c r="X20">
        <f>MAX(0,MIN($C20,X$4+1)-MAX($B20,X$4))</f>
        <v/>
      </c>
      <c r="Y20">
        <f>MAX(0,MIN($C20,Y$4+1)-MAX($B20,Y$4))</f>
        <v/>
      </c>
      <c r="Z20">
        <f>MAX(0,MIN($C20,Z$4+1)-MAX($B20,Z$4))</f>
        <v/>
      </c>
      <c r="AA20">
        <f>MAX(0,MIN($C20,AA$4+1)-MAX($B20,AA$4))</f>
        <v/>
      </c>
      <c r="AB20">
        <f>MAX(0,MIN($C20,AB$4+1)-MAX($B20,AB$4))</f>
        <v/>
      </c>
      <c r="AC20">
        <f>MAX(0,MIN($C20,AC$4+1)-MAX($B20,AC$4))</f>
        <v/>
      </c>
      <c r="AD20">
        <f>MAX(0,MIN($C20,AD$4+1)-MAX($B20,AD$4))</f>
        <v/>
      </c>
      <c r="AE20">
        <f>MAX(0,MIN($C20,AE$4+1)-MAX($B20,AE$4))</f>
        <v/>
      </c>
      <c r="AF20">
        <f>MAX(0,MIN($C20,AF$4+1)-MAX($B20,AF$4))</f>
        <v/>
      </c>
      <c r="AG20">
        <f>MAX(0,MIN($C20,AG$4+1)-MAX($B20,AG$4))</f>
        <v/>
      </c>
      <c r="AH20">
        <f>MAX(0,MIN($C20,AH$4+1)-MAX($B20,AH$4))</f>
        <v/>
      </c>
      <c r="AI20">
        <f>MAX(0,MIN($C20,AI$4+1)-MAX($B20,AI$4))</f>
        <v/>
      </c>
      <c r="AJ20">
        <f>MAX(0,MIN($C20,AJ$4+1)-MAX($B20,AJ$4))</f>
        <v/>
      </c>
      <c r="AK20">
        <f>MAX(0,MIN($C20,AK$4+1)-MAX($B20,AK$4))</f>
        <v/>
      </c>
      <c r="AL20">
        <f>MAX(0,MIN($C20,AL$4+1)-MAX($B20,AL$4))</f>
        <v/>
      </c>
      <c r="AM20">
        <f>MAX(0,MIN($C20,AM$4+1)-MAX($B20,AM$4))</f>
        <v/>
      </c>
      <c r="AO20" t="n">
        <v>0</v>
      </c>
      <c r="AP20" t="n">
        <v>0</v>
      </c>
    </row>
    <row r="21">
      <c r="A21" t="inlineStr"/>
      <c r="B21" s="3" t="n">
        <v>0</v>
      </c>
      <c r="C21" s="3" t="n">
        <v>0</v>
      </c>
      <c r="D21" t="inlineStr"/>
      <c r="E21" t="n">
        <v>0</v>
      </c>
      <c r="F21" t="n">
        <v>0</v>
      </c>
      <c r="G21" s="3" t="n">
        <v>0</v>
      </c>
      <c r="H21" s="3" t="n">
        <v>0</v>
      </c>
      <c r="I21" s="3" t="n">
        <v>0</v>
      </c>
      <c r="J21" s="3" t="n">
        <v>0</v>
      </c>
      <c r="K21" s="3" t="n">
        <v>0</v>
      </c>
      <c r="L21" s="3" t="n">
        <v>0</v>
      </c>
      <c r="M21" s="3" t="n">
        <v>0</v>
      </c>
      <c r="N21" s="3" t="n">
        <v>0</v>
      </c>
      <c r="O21" s="3" t="n">
        <v>0</v>
      </c>
      <c r="P21" s="3" t="n">
        <v>0</v>
      </c>
      <c r="Q21" s="3" t="n">
        <v>0</v>
      </c>
      <c r="R21" s="3" t="n">
        <v>0</v>
      </c>
      <c r="T21">
        <f>MAX(0,MIN($C21,T$4+1)-MAX($B21,T$4))</f>
        <v/>
      </c>
      <c r="U21">
        <f>MAX(0,MIN($C21,U$4+1)-MAX($B21,U$4))</f>
        <v/>
      </c>
      <c r="V21">
        <f>MAX(0,MIN($C21,V$4+1)-MAX($B21,V$4))</f>
        <v/>
      </c>
      <c r="W21">
        <f>MAX(0,MIN($C21,W$4+1)-MAX($B21,W$4))</f>
        <v/>
      </c>
      <c r="X21">
        <f>MAX(0,MIN($C21,X$4+1)-MAX($B21,X$4))</f>
        <v/>
      </c>
      <c r="Y21">
        <f>MAX(0,MIN($C21,Y$4+1)-MAX($B21,Y$4))</f>
        <v/>
      </c>
      <c r="Z21">
        <f>MAX(0,MIN($C21,Z$4+1)-MAX($B21,Z$4))</f>
        <v/>
      </c>
      <c r="AA21">
        <f>MAX(0,MIN($C21,AA$4+1)-MAX($B21,AA$4))</f>
        <v/>
      </c>
      <c r="AB21">
        <f>MAX(0,MIN($C21,AB$4+1)-MAX($B21,AB$4))</f>
        <v/>
      </c>
      <c r="AC21">
        <f>MAX(0,MIN($C21,AC$4+1)-MAX($B21,AC$4))</f>
        <v/>
      </c>
      <c r="AD21">
        <f>MAX(0,MIN($C21,AD$4+1)-MAX($B21,AD$4))</f>
        <v/>
      </c>
      <c r="AE21">
        <f>MAX(0,MIN($C21,AE$4+1)-MAX($B21,AE$4))</f>
        <v/>
      </c>
      <c r="AF21">
        <f>MAX(0,MIN($C21,AF$4+1)-MAX($B21,AF$4))</f>
        <v/>
      </c>
      <c r="AG21">
        <f>MAX(0,MIN($C21,AG$4+1)-MAX($B21,AG$4))</f>
        <v/>
      </c>
      <c r="AH21">
        <f>MAX(0,MIN($C21,AH$4+1)-MAX($B21,AH$4))</f>
        <v/>
      </c>
      <c r="AI21">
        <f>MAX(0,MIN($C21,AI$4+1)-MAX($B21,AI$4))</f>
        <v/>
      </c>
      <c r="AJ21">
        <f>MAX(0,MIN($C21,AJ$4+1)-MAX($B21,AJ$4))</f>
        <v/>
      </c>
      <c r="AK21">
        <f>MAX(0,MIN($C21,AK$4+1)-MAX($B21,AK$4))</f>
        <v/>
      </c>
      <c r="AL21">
        <f>MAX(0,MIN($C21,AL$4+1)-MAX($B21,AL$4))</f>
        <v/>
      </c>
      <c r="AM21">
        <f>MAX(0,MIN($C21,AM$4+1)-MAX($B21,AM$4))</f>
        <v/>
      </c>
      <c r="AO21" t="n">
        <v>0</v>
      </c>
      <c r="AP21" t="n">
        <v>0</v>
      </c>
    </row>
    <row r="22">
      <c r="A22" t="inlineStr"/>
      <c r="B22" s="3" t="n">
        <v>0</v>
      </c>
      <c r="C22" s="3" t="n">
        <v>0</v>
      </c>
      <c r="D22" t="inlineStr"/>
      <c r="E22" t="n">
        <v>0</v>
      </c>
      <c r="F22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T22">
        <f>MAX(0,MIN($C22,T$4+1)-MAX($B22,T$4))</f>
        <v/>
      </c>
      <c r="U22">
        <f>MAX(0,MIN($C22,U$4+1)-MAX($B22,U$4))</f>
        <v/>
      </c>
      <c r="V22">
        <f>MAX(0,MIN($C22,V$4+1)-MAX($B22,V$4))</f>
        <v/>
      </c>
      <c r="W22">
        <f>MAX(0,MIN($C22,W$4+1)-MAX($B22,W$4))</f>
        <v/>
      </c>
      <c r="X22">
        <f>MAX(0,MIN($C22,X$4+1)-MAX($B22,X$4))</f>
        <v/>
      </c>
      <c r="Y22">
        <f>MAX(0,MIN($C22,Y$4+1)-MAX($B22,Y$4))</f>
        <v/>
      </c>
      <c r="Z22">
        <f>MAX(0,MIN($C22,Z$4+1)-MAX($B22,Z$4))</f>
        <v/>
      </c>
      <c r="AA22">
        <f>MAX(0,MIN($C22,AA$4+1)-MAX($B22,AA$4))</f>
        <v/>
      </c>
      <c r="AB22">
        <f>MAX(0,MIN($C22,AB$4+1)-MAX($B22,AB$4))</f>
        <v/>
      </c>
      <c r="AC22">
        <f>MAX(0,MIN($C22,AC$4+1)-MAX($B22,AC$4))</f>
        <v/>
      </c>
      <c r="AD22">
        <f>MAX(0,MIN($C22,AD$4+1)-MAX($B22,AD$4))</f>
        <v/>
      </c>
      <c r="AE22">
        <f>MAX(0,MIN($C22,AE$4+1)-MAX($B22,AE$4))</f>
        <v/>
      </c>
      <c r="AF22">
        <f>MAX(0,MIN($C22,AF$4+1)-MAX($B22,AF$4))</f>
        <v/>
      </c>
      <c r="AG22">
        <f>MAX(0,MIN($C22,AG$4+1)-MAX($B22,AG$4))</f>
        <v/>
      </c>
      <c r="AH22">
        <f>MAX(0,MIN($C22,AH$4+1)-MAX($B22,AH$4))</f>
        <v/>
      </c>
      <c r="AI22">
        <f>MAX(0,MIN($C22,AI$4+1)-MAX($B22,AI$4))</f>
        <v/>
      </c>
      <c r="AJ22">
        <f>MAX(0,MIN($C22,AJ$4+1)-MAX($B22,AJ$4))</f>
        <v/>
      </c>
      <c r="AK22">
        <f>MAX(0,MIN($C22,AK$4+1)-MAX($B22,AK$4))</f>
        <v/>
      </c>
      <c r="AL22">
        <f>MAX(0,MIN($C22,AL$4+1)-MAX($B22,AL$4))</f>
        <v/>
      </c>
      <c r="AM22">
        <f>MAX(0,MIN($C22,AM$4+1)-MAX($B22,AM$4))</f>
        <v/>
      </c>
      <c r="AO22" t="n">
        <v>0</v>
      </c>
      <c r="AP22" t="n">
        <v>0</v>
      </c>
    </row>
    <row r="23">
      <c r="A23" t="inlineStr"/>
      <c r="B23" s="3" t="n">
        <v>0</v>
      </c>
      <c r="C23" s="3" t="n">
        <v>0</v>
      </c>
      <c r="D23" t="inlineStr"/>
      <c r="E23" t="n">
        <v>0</v>
      </c>
      <c r="F2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T23">
        <f>MAX(0,MIN($C23,T$4+1)-MAX($B23,T$4))</f>
        <v/>
      </c>
      <c r="U23">
        <f>MAX(0,MIN($C23,U$4+1)-MAX($B23,U$4))</f>
        <v/>
      </c>
      <c r="V23">
        <f>MAX(0,MIN($C23,V$4+1)-MAX($B23,V$4))</f>
        <v/>
      </c>
      <c r="W23">
        <f>MAX(0,MIN($C23,W$4+1)-MAX($B23,W$4))</f>
        <v/>
      </c>
      <c r="X23">
        <f>MAX(0,MIN($C23,X$4+1)-MAX($B23,X$4))</f>
        <v/>
      </c>
      <c r="Y23">
        <f>MAX(0,MIN($C23,Y$4+1)-MAX($B23,Y$4))</f>
        <v/>
      </c>
      <c r="Z23">
        <f>MAX(0,MIN($C23,Z$4+1)-MAX($B23,Z$4))</f>
        <v/>
      </c>
      <c r="AA23">
        <f>MAX(0,MIN($C23,AA$4+1)-MAX($B23,AA$4))</f>
        <v/>
      </c>
      <c r="AB23">
        <f>MAX(0,MIN($C23,AB$4+1)-MAX($B23,AB$4))</f>
        <v/>
      </c>
      <c r="AC23">
        <f>MAX(0,MIN($C23,AC$4+1)-MAX($B23,AC$4))</f>
        <v/>
      </c>
      <c r="AD23">
        <f>MAX(0,MIN($C23,AD$4+1)-MAX($B23,AD$4))</f>
        <v/>
      </c>
      <c r="AE23">
        <f>MAX(0,MIN($C23,AE$4+1)-MAX($B23,AE$4))</f>
        <v/>
      </c>
      <c r="AF23">
        <f>MAX(0,MIN($C23,AF$4+1)-MAX($B23,AF$4))</f>
        <v/>
      </c>
      <c r="AG23">
        <f>MAX(0,MIN($C23,AG$4+1)-MAX($B23,AG$4))</f>
        <v/>
      </c>
      <c r="AH23">
        <f>MAX(0,MIN($C23,AH$4+1)-MAX($B23,AH$4))</f>
        <v/>
      </c>
      <c r="AI23">
        <f>MAX(0,MIN($C23,AI$4+1)-MAX($B23,AI$4))</f>
        <v/>
      </c>
      <c r="AJ23">
        <f>MAX(0,MIN($C23,AJ$4+1)-MAX($B23,AJ$4))</f>
        <v/>
      </c>
      <c r="AK23">
        <f>MAX(0,MIN($C23,AK$4+1)-MAX($B23,AK$4))</f>
        <v/>
      </c>
      <c r="AL23">
        <f>MAX(0,MIN($C23,AL$4+1)-MAX($B23,AL$4))</f>
        <v/>
      </c>
      <c r="AM23">
        <f>MAX(0,MIN($C23,AM$4+1)-MAX($B23,AM$4))</f>
        <v/>
      </c>
      <c r="AO23" t="n">
        <v>0</v>
      </c>
      <c r="AP23" t="n">
        <v>0</v>
      </c>
    </row>
    <row r="24">
      <c r="A24" t="inlineStr"/>
      <c r="B24" s="3" t="n">
        <v>0</v>
      </c>
      <c r="C24" s="3" t="n">
        <v>0</v>
      </c>
      <c r="D24" t="inlineStr"/>
      <c r="E24" t="n">
        <v>0</v>
      </c>
      <c r="F24" t="n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  <c r="P24" s="3" t="n">
        <v>0</v>
      </c>
      <c r="Q24" s="3" t="n">
        <v>0</v>
      </c>
      <c r="R24" s="3" t="n">
        <v>0</v>
      </c>
      <c r="T24">
        <f>MAX(0,MIN($C24,T$4+1)-MAX($B24,T$4))</f>
        <v/>
      </c>
      <c r="U24">
        <f>MAX(0,MIN($C24,U$4+1)-MAX($B24,U$4))</f>
        <v/>
      </c>
      <c r="V24">
        <f>MAX(0,MIN($C24,V$4+1)-MAX($B24,V$4))</f>
        <v/>
      </c>
      <c r="W24">
        <f>MAX(0,MIN($C24,W$4+1)-MAX($B24,W$4))</f>
        <v/>
      </c>
      <c r="X24">
        <f>MAX(0,MIN($C24,X$4+1)-MAX($B24,X$4))</f>
        <v/>
      </c>
      <c r="Y24">
        <f>MAX(0,MIN($C24,Y$4+1)-MAX($B24,Y$4))</f>
        <v/>
      </c>
      <c r="Z24">
        <f>MAX(0,MIN($C24,Z$4+1)-MAX($B24,Z$4))</f>
        <v/>
      </c>
      <c r="AA24">
        <f>MAX(0,MIN($C24,AA$4+1)-MAX($B24,AA$4))</f>
        <v/>
      </c>
      <c r="AB24">
        <f>MAX(0,MIN($C24,AB$4+1)-MAX($B24,AB$4))</f>
        <v/>
      </c>
      <c r="AC24">
        <f>MAX(0,MIN($C24,AC$4+1)-MAX($B24,AC$4))</f>
        <v/>
      </c>
      <c r="AD24">
        <f>MAX(0,MIN($C24,AD$4+1)-MAX($B24,AD$4))</f>
        <v/>
      </c>
      <c r="AE24">
        <f>MAX(0,MIN($C24,AE$4+1)-MAX($B24,AE$4))</f>
        <v/>
      </c>
      <c r="AF24">
        <f>MAX(0,MIN($C24,AF$4+1)-MAX($B24,AF$4))</f>
        <v/>
      </c>
      <c r="AG24">
        <f>MAX(0,MIN($C24,AG$4+1)-MAX($B24,AG$4))</f>
        <v/>
      </c>
      <c r="AH24">
        <f>MAX(0,MIN($C24,AH$4+1)-MAX($B24,AH$4))</f>
        <v/>
      </c>
      <c r="AI24">
        <f>MAX(0,MIN($C24,AI$4+1)-MAX($B24,AI$4))</f>
        <v/>
      </c>
      <c r="AJ24">
        <f>MAX(0,MIN($C24,AJ$4+1)-MAX($B24,AJ$4))</f>
        <v/>
      </c>
      <c r="AK24">
        <f>MAX(0,MIN($C24,AK$4+1)-MAX($B24,AK$4))</f>
        <v/>
      </c>
      <c r="AL24">
        <f>MAX(0,MIN($C24,AL$4+1)-MAX($B24,AL$4))</f>
        <v/>
      </c>
      <c r="AM24">
        <f>MAX(0,MIN($C24,AM$4+1)-MAX($B24,AM$4))</f>
        <v/>
      </c>
      <c r="AO24" t="n">
        <v>0</v>
      </c>
      <c r="AP24" t="n">
        <v>0</v>
      </c>
    </row>
    <row r="25">
      <c r="A25" t="inlineStr"/>
      <c r="B25" s="3" t="n">
        <v>0</v>
      </c>
      <c r="C25" s="3" t="n">
        <v>0</v>
      </c>
      <c r="D25" t="inlineStr"/>
      <c r="E25" t="n">
        <v>0</v>
      </c>
      <c r="F25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T25">
        <f>MAX(0,MIN($C25,T$4+1)-MAX($B25,T$4))</f>
        <v/>
      </c>
      <c r="U25">
        <f>MAX(0,MIN($C25,U$4+1)-MAX($B25,U$4))</f>
        <v/>
      </c>
      <c r="V25">
        <f>MAX(0,MIN($C25,V$4+1)-MAX($B25,V$4))</f>
        <v/>
      </c>
      <c r="W25">
        <f>MAX(0,MIN($C25,W$4+1)-MAX($B25,W$4))</f>
        <v/>
      </c>
      <c r="X25">
        <f>MAX(0,MIN($C25,X$4+1)-MAX($B25,X$4))</f>
        <v/>
      </c>
      <c r="Y25">
        <f>MAX(0,MIN($C25,Y$4+1)-MAX($B25,Y$4))</f>
        <v/>
      </c>
      <c r="Z25">
        <f>MAX(0,MIN($C25,Z$4+1)-MAX($B25,Z$4))</f>
        <v/>
      </c>
      <c r="AA25">
        <f>MAX(0,MIN($C25,AA$4+1)-MAX($B25,AA$4))</f>
        <v/>
      </c>
      <c r="AB25">
        <f>MAX(0,MIN($C25,AB$4+1)-MAX($B25,AB$4))</f>
        <v/>
      </c>
      <c r="AC25">
        <f>MAX(0,MIN($C25,AC$4+1)-MAX($B25,AC$4))</f>
        <v/>
      </c>
      <c r="AD25">
        <f>MAX(0,MIN($C25,AD$4+1)-MAX($B25,AD$4))</f>
        <v/>
      </c>
      <c r="AE25">
        <f>MAX(0,MIN($C25,AE$4+1)-MAX($B25,AE$4))</f>
        <v/>
      </c>
      <c r="AF25">
        <f>MAX(0,MIN($C25,AF$4+1)-MAX($B25,AF$4))</f>
        <v/>
      </c>
      <c r="AG25">
        <f>MAX(0,MIN($C25,AG$4+1)-MAX($B25,AG$4))</f>
        <v/>
      </c>
      <c r="AH25">
        <f>MAX(0,MIN($C25,AH$4+1)-MAX($B25,AH$4))</f>
        <v/>
      </c>
      <c r="AI25">
        <f>MAX(0,MIN($C25,AI$4+1)-MAX($B25,AI$4))</f>
        <v/>
      </c>
      <c r="AJ25">
        <f>MAX(0,MIN($C25,AJ$4+1)-MAX($B25,AJ$4))</f>
        <v/>
      </c>
      <c r="AK25">
        <f>MAX(0,MIN($C25,AK$4+1)-MAX($B25,AK$4))</f>
        <v/>
      </c>
      <c r="AL25">
        <f>MAX(0,MIN($C25,AL$4+1)-MAX($B25,AL$4))</f>
        <v/>
      </c>
      <c r="AM25">
        <f>MAX(0,MIN($C25,AM$4+1)-MAX($B25,AM$4))</f>
        <v/>
      </c>
    </row>
    <row r="26">
      <c r="A26" t="inlineStr"/>
      <c r="B26" s="3" t="n">
        <v>0</v>
      </c>
      <c r="C26" s="3" t="n">
        <v>0</v>
      </c>
      <c r="D26" t="inlineStr"/>
      <c r="E26" t="n">
        <v>0</v>
      </c>
      <c r="F26" t="n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  <c r="T26">
        <f>MAX(0,MIN($C26,T$4+1)-MAX($B26,T$4))</f>
        <v/>
      </c>
      <c r="U26">
        <f>MAX(0,MIN($C26,U$4+1)-MAX($B26,U$4))</f>
        <v/>
      </c>
      <c r="V26">
        <f>MAX(0,MIN($C26,V$4+1)-MAX($B26,V$4))</f>
        <v/>
      </c>
      <c r="W26">
        <f>MAX(0,MIN($C26,W$4+1)-MAX($B26,W$4))</f>
        <v/>
      </c>
      <c r="X26">
        <f>MAX(0,MIN($C26,X$4+1)-MAX($B26,X$4))</f>
        <v/>
      </c>
      <c r="Y26">
        <f>MAX(0,MIN($C26,Y$4+1)-MAX($B26,Y$4))</f>
        <v/>
      </c>
      <c r="Z26">
        <f>MAX(0,MIN($C26,Z$4+1)-MAX($B26,Z$4))</f>
        <v/>
      </c>
      <c r="AA26">
        <f>MAX(0,MIN($C26,AA$4+1)-MAX($B26,AA$4))</f>
        <v/>
      </c>
      <c r="AB26">
        <f>MAX(0,MIN($C26,AB$4+1)-MAX($B26,AB$4))</f>
        <v/>
      </c>
      <c r="AC26">
        <f>MAX(0,MIN($C26,AC$4+1)-MAX($B26,AC$4))</f>
        <v/>
      </c>
      <c r="AD26">
        <f>MAX(0,MIN($C26,AD$4+1)-MAX($B26,AD$4))</f>
        <v/>
      </c>
      <c r="AE26">
        <f>MAX(0,MIN($C26,AE$4+1)-MAX($B26,AE$4))</f>
        <v/>
      </c>
      <c r="AF26">
        <f>MAX(0,MIN($C26,AF$4+1)-MAX($B26,AF$4))</f>
        <v/>
      </c>
      <c r="AG26">
        <f>MAX(0,MIN($C26,AG$4+1)-MAX($B26,AG$4))</f>
        <v/>
      </c>
      <c r="AH26">
        <f>MAX(0,MIN($C26,AH$4+1)-MAX($B26,AH$4))</f>
        <v/>
      </c>
      <c r="AI26">
        <f>MAX(0,MIN($C26,AI$4+1)-MAX($B26,AI$4))</f>
        <v/>
      </c>
      <c r="AJ26">
        <f>MAX(0,MIN($C26,AJ$4+1)-MAX($B26,AJ$4))</f>
        <v/>
      </c>
      <c r="AK26">
        <f>MAX(0,MIN($C26,AK$4+1)-MAX($B26,AK$4))</f>
        <v/>
      </c>
      <c r="AL26">
        <f>MAX(0,MIN($C26,AL$4+1)-MAX($B26,AL$4))</f>
        <v/>
      </c>
      <c r="AM26">
        <f>MAX(0,MIN($C26,AM$4+1)-MAX($B26,AM$4))</f>
        <v/>
      </c>
    </row>
    <row r="27">
      <c r="A27" t="inlineStr"/>
      <c r="B27" s="3" t="n">
        <v>0</v>
      </c>
      <c r="C27" s="3" t="n">
        <v>0</v>
      </c>
      <c r="D27" t="inlineStr"/>
      <c r="E27" t="n">
        <v>0</v>
      </c>
      <c r="F27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T27">
        <f>MAX(0,MIN($C27,T$4+1)-MAX($B27,T$4))</f>
        <v/>
      </c>
      <c r="U27">
        <f>MAX(0,MIN($C27,U$4+1)-MAX($B27,U$4))</f>
        <v/>
      </c>
      <c r="V27">
        <f>MAX(0,MIN($C27,V$4+1)-MAX($B27,V$4))</f>
        <v/>
      </c>
      <c r="W27">
        <f>MAX(0,MIN($C27,W$4+1)-MAX($B27,W$4))</f>
        <v/>
      </c>
      <c r="X27">
        <f>MAX(0,MIN($C27,X$4+1)-MAX($B27,X$4))</f>
        <v/>
      </c>
      <c r="Y27">
        <f>MAX(0,MIN($C27,Y$4+1)-MAX($B27,Y$4))</f>
        <v/>
      </c>
      <c r="Z27">
        <f>MAX(0,MIN($C27,Z$4+1)-MAX($B27,Z$4))</f>
        <v/>
      </c>
      <c r="AA27">
        <f>MAX(0,MIN($C27,AA$4+1)-MAX($B27,AA$4))</f>
        <v/>
      </c>
      <c r="AB27">
        <f>MAX(0,MIN($C27,AB$4+1)-MAX($B27,AB$4))</f>
        <v/>
      </c>
      <c r="AC27">
        <f>MAX(0,MIN($C27,AC$4+1)-MAX($B27,AC$4))</f>
        <v/>
      </c>
      <c r="AD27">
        <f>MAX(0,MIN($C27,AD$4+1)-MAX($B27,AD$4))</f>
        <v/>
      </c>
      <c r="AE27">
        <f>MAX(0,MIN($C27,AE$4+1)-MAX($B27,AE$4))</f>
        <v/>
      </c>
      <c r="AF27">
        <f>MAX(0,MIN($C27,AF$4+1)-MAX($B27,AF$4))</f>
        <v/>
      </c>
      <c r="AG27">
        <f>MAX(0,MIN($C27,AG$4+1)-MAX($B27,AG$4))</f>
        <v/>
      </c>
      <c r="AH27">
        <f>MAX(0,MIN($C27,AH$4+1)-MAX($B27,AH$4))</f>
        <v/>
      </c>
      <c r="AI27">
        <f>MAX(0,MIN($C27,AI$4+1)-MAX($B27,AI$4))</f>
        <v/>
      </c>
      <c r="AJ27">
        <f>MAX(0,MIN($C27,AJ$4+1)-MAX($B27,AJ$4))</f>
        <v/>
      </c>
      <c r="AK27">
        <f>MAX(0,MIN($C27,AK$4+1)-MAX($B27,AK$4))</f>
        <v/>
      </c>
      <c r="AL27">
        <f>MAX(0,MIN($C27,AL$4+1)-MAX($B27,AL$4))</f>
        <v/>
      </c>
      <c r="AM27">
        <f>MAX(0,MIN($C27,AM$4+1)-MAX($B27,AM$4))</f>
        <v/>
      </c>
    </row>
    <row r="28">
      <c r="A28" t="inlineStr"/>
      <c r="B28" s="3" t="n">
        <v>0</v>
      </c>
      <c r="C28" s="3" t="n">
        <v>0</v>
      </c>
      <c r="D28" t="inlineStr"/>
      <c r="E28" t="n">
        <v>0</v>
      </c>
      <c r="F28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T28">
        <f>MAX(0,MIN($C28,T$4+1)-MAX($B28,T$4))</f>
        <v/>
      </c>
      <c r="U28">
        <f>MAX(0,MIN($C28,U$4+1)-MAX($B28,U$4))</f>
        <v/>
      </c>
      <c r="V28">
        <f>MAX(0,MIN($C28,V$4+1)-MAX($B28,V$4))</f>
        <v/>
      </c>
      <c r="W28">
        <f>MAX(0,MIN($C28,W$4+1)-MAX($B28,W$4))</f>
        <v/>
      </c>
      <c r="X28">
        <f>MAX(0,MIN($C28,X$4+1)-MAX($B28,X$4))</f>
        <v/>
      </c>
      <c r="Y28">
        <f>MAX(0,MIN($C28,Y$4+1)-MAX($B28,Y$4))</f>
        <v/>
      </c>
      <c r="Z28">
        <f>MAX(0,MIN($C28,Z$4+1)-MAX($B28,Z$4))</f>
        <v/>
      </c>
      <c r="AA28">
        <f>MAX(0,MIN($C28,AA$4+1)-MAX($B28,AA$4))</f>
        <v/>
      </c>
      <c r="AB28">
        <f>MAX(0,MIN($C28,AB$4+1)-MAX($B28,AB$4))</f>
        <v/>
      </c>
      <c r="AC28">
        <f>MAX(0,MIN($C28,AC$4+1)-MAX($B28,AC$4))</f>
        <v/>
      </c>
      <c r="AD28">
        <f>MAX(0,MIN($C28,AD$4+1)-MAX($B28,AD$4))</f>
        <v/>
      </c>
      <c r="AE28">
        <f>MAX(0,MIN($C28,AE$4+1)-MAX($B28,AE$4))</f>
        <v/>
      </c>
      <c r="AF28">
        <f>MAX(0,MIN($C28,AF$4+1)-MAX($B28,AF$4))</f>
        <v/>
      </c>
      <c r="AG28">
        <f>MAX(0,MIN($C28,AG$4+1)-MAX($B28,AG$4))</f>
        <v/>
      </c>
      <c r="AH28">
        <f>MAX(0,MIN($C28,AH$4+1)-MAX($B28,AH$4))</f>
        <v/>
      </c>
      <c r="AI28">
        <f>MAX(0,MIN($C28,AI$4+1)-MAX($B28,AI$4))</f>
        <v/>
      </c>
      <c r="AJ28">
        <f>MAX(0,MIN($C28,AJ$4+1)-MAX($B28,AJ$4))</f>
        <v/>
      </c>
      <c r="AK28">
        <f>MAX(0,MIN($C28,AK$4+1)-MAX($B28,AK$4))</f>
        <v/>
      </c>
      <c r="AL28">
        <f>MAX(0,MIN($C28,AL$4+1)-MAX($B28,AL$4))</f>
        <v/>
      </c>
      <c r="AM28">
        <f>MAX(0,MIN($C28,AM$4+1)-MAX($B28,AM$4))</f>
        <v/>
      </c>
    </row>
    <row r="29">
      <c r="A29" t="inlineStr"/>
      <c r="B29" s="3" t="n">
        <v>0</v>
      </c>
      <c r="C29" s="3" t="n">
        <v>0</v>
      </c>
      <c r="D29" t="inlineStr"/>
      <c r="E29" t="n">
        <v>0</v>
      </c>
      <c r="F29" t="n">
        <v>0</v>
      </c>
      <c r="G29" s="3" t="n">
        <v>0</v>
      </c>
      <c r="H29" s="3" t="n">
        <v>0</v>
      </c>
      <c r="I29" s="3" t="n">
        <v>0</v>
      </c>
      <c r="J29" s="3" t="n">
        <v>0</v>
      </c>
      <c r="K29" s="3" t="n">
        <v>0</v>
      </c>
      <c r="L29" s="3" t="n">
        <v>0</v>
      </c>
      <c r="M29" s="3" t="n">
        <v>0</v>
      </c>
      <c r="N29" s="3" t="n">
        <v>0</v>
      </c>
      <c r="O29" s="3" t="n">
        <v>0</v>
      </c>
      <c r="P29" s="3" t="n">
        <v>0</v>
      </c>
      <c r="Q29" s="3" t="n">
        <v>0</v>
      </c>
      <c r="R29" s="3" t="n">
        <v>0</v>
      </c>
      <c r="T29">
        <f>MAX(0,MIN($C29,T$4+1)-MAX($B29,T$4))</f>
        <v/>
      </c>
      <c r="U29">
        <f>MAX(0,MIN($C29,U$4+1)-MAX($B29,U$4))</f>
        <v/>
      </c>
      <c r="V29">
        <f>MAX(0,MIN($C29,V$4+1)-MAX($B29,V$4))</f>
        <v/>
      </c>
      <c r="W29">
        <f>MAX(0,MIN($C29,W$4+1)-MAX($B29,W$4))</f>
        <v/>
      </c>
      <c r="X29">
        <f>MAX(0,MIN($C29,X$4+1)-MAX($B29,X$4))</f>
        <v/>
      </c>
      <c r="Y29">
        <f>MAX(0,MIN($C29,Y$4+1)-MAX($B29,Y$4))</f>
        <v/>
      </c>
      <c r="Z29">
        <f>MAX(0,MIN($C29,Z$4+1)-MAX($B29,Z$4))</f>
        <v/>
      </c>
      <c r="AA29">
        <f>MAX(0,MIN($C29,AA$4+1)-MAX($B29,AA$4))</f>
        <v/>
      </c>
      <c r="AB29">
        <f>MAX(0,MIN($C29,AB$4+1)-MAX($B29,AB$4))</f>
        <v/>
      </c>
      <c r="AC29">
        <f>MAX(0,MIN($C29,AC$4+1)-MAX($B29,AC$4))</f>
        <v/>
      </c>
      <c r="AD29">
        <f>MAX(0,MIN($C29,AD$4+1)-MAX($B29,AD$4))</f>
        <v/>
      </c>
      <c r="AE29">
        <f>MAX(0,MIN($C29,AE$4+1)-MAX($B29,AE$4))</f>
        <v/>
      </c>
      <c r="AF29">
        <f>MAX(0,MIN($C29,AF$4+1)-MAX($B29,AF$4))</f>
        <v/>
      </c>
      <c r="AG29">
        <f>MAX(0,MIN($C29,AG$4+1)-MAX($B29,AG$4))</f>
        <v/>
      </c>
      <c r="AH29">
        <f>MAX(0,MIN($C29,AH$4+1)-MAX($B29,AH$4))</f>
        <v/>
      </c>
      <c r="AI29">
        <f>MAX(0,MIN($C29,AI$4+1)-MAX($B29,AI$4))</f>
        <v/>
      </c>
      <c r="AJ29">
        <f>MAX(0,MIN($C29,AJ$4+1)-MAX($B29,AJ$4))</f>
        <v/>
      </c>
      <c r="AK29">
        <f>MAX(0,MIN($C29,AK$4+1)-MAX($B29,AK$4))</f>
        <v/>
      </c>
      <c r="AL29">
        <f>MAX(0,MIN($C29,AL$4+1)-MAX($B29,AL$4))</f>
        <v/>
      </c>
      <c r="AM29">
        <f>MAX(0,MIN($C29,AM$4+1)-MAX($B29,AM$4))</f>
        <v/>
      </c>
    </row>
    <row r="31">
      <c r="A31" s="1" t="inlineStr">
        <is>
          <t>Simulación anual (todas las celdas son fórmulas)</t>
        </is>
      </c>
    </row>
    <row r="32">
      <c r="A32" s="5" t="inlineStr">
        <is>
          <t>Año</t>
        </is>
      </c>
      <c r="B32" s="5" t="inlineStr">
        <is>
          <t>k</t>
        </is>
      </c>
      <c r="C32" s="5" t="inlineStr">
        <is>
          <t>Índice inflación</t>
        </is>
      </c>
      <c r="D32" s="5" t="inlineStr">
        <is>
          <t>Salarios W-2</t>
        </is>
      </c>
      <c r="E32" s="5" t="inlineStr">
        <is>
          <t>W-2 con match</t>
        </is>
      </c>
      <c r="F32" s="5" t="inlineStr">
        <is>
          <t>Stipends libres</t>
        </is>
      </c>
      <c r="G32" s="5" t="inlineStr">
        <is>
          <t>Ingreso S-corp</t>
        </is>
      </c>
      <c r="H32" s="5" t="inlineStr">
        <is>
          <t>Autoempleo (LLC/tutoría)</t>
        </is>
      </c>
      <c r="I32" s="5" t="inlineStr">
        <is>
          <t>Matrícula</t>
        </is>
      </c>
      <c r="J32" s="5" t="inlineStr">
        <is>
          <t>Fracción estudio</t>
        </is>
      </c>
      <c r="K32" s="5" t="inlineStr">
        <is>
          <t>Fracción PSLF</t>
        </is>
      </c>
      <c r="L32" s="5" t="inlineStr">
        <is>
          <t>Fracción travel</t>
        </is>
      </c>
      <c r="M32" s="5" t="inlineStr">
        <is>
          <t>Attending</t>
        </is>
      </c>
      <c r="N32" s="5" t="inlineStr">
        <is>
          <t>Hitos (costos)</t>
        </is>
      </c>
      <c r="O32" s="5" t="inlineStr">
        <is>
          <t>Aporte 403b</t>
        </is>
      </c>
      <c r="P32" s="5" t="inlineStr">
        <is>
          <t>Match empleador</t>
        </is>
      </c>
      <c r="Q32" s="5" t="inlineStr">
        <is>
          <t>S-corp neto</t>
        </is>
      </c>
      <c r="R32" s="5" t="inlineStr">
        <is>
          <t>Salario S-corp</t>
        </is>
      </c>
      <c r="S32" s="5" t="inlineStr">
        <is>
          <t>FICA patronal S-corp</t>
        </is>
      </c>
      <c r="T32" s="5" t="inlineStr">
        <is>
          <t>Distribución S-corp</t>
        </is>
      </c>
      <c r="U32" s="5" t="inlineStr">
        <is>
          <t>Salarios totales</t>
        </is>
      </c>
      <c r="V32" s="5" t="inlineStr">
        <is>
          <t>Base autoempleo</t>
        </is>
      </c>
      <c r="W32" s="5" t="inlineStr">
        <is>
          <t>Impuesto autoempleo</t>
        </is>
      </c>
      <c r="X32" s="5" t="inlineStr">
        <is>
          <t>FICA empleado</t>
        </is>
      </c>
      <c r="Y32" s="5" t="inlineStr">
        <is>
          <t>AGI</t>
        </is>
      </c>
      <c r="Z32" s="5" t="inlineStr">
        <is>
          <t>Ingreso gravable antes QBI</t>
        </is>
      </c>
      <c r="AA32" s="5" t="inlineStr">
        <is>
          <t>Deducción QBI</t>
        </is>
      </c>
      <c r="AB32" s="5" t="inlineStr">
        <is>
          <t>Ingreso gravable</t>
        </is>
      </c>
      <c r="AC32" s="5" t="inlineStr">
        <is>
          <t>Impuesto federal</t>
        </is>
      </c>
      <c r="AD32" s="5" t="inlineStr">
        <is>
          <t>Gravable NY</t>
        </is>
      </c>
      <c r="AE32" s="5" t="inlineStr">
        <is>
          <t>Impuesto estatal/local</t>
        </is>
      </c>
      <c r="AF32" s="5" t="inlineStr">
        <is>
          <t>Impuestos totales</t>
        </is>
      </c>
      <c r="AG32" s="5" t="inlineStr">
        <is>
          <t>Ingreso personal bruto en efectivo</t>
        </is>
      </c>
      <c r="AH32" s="5" t="inlineStr">
        <is>
          <t>Efectivo neto (tras impuestos y 403b)</t>
        </is>
      </c>
      <c r="AI32" s="5" t="inlineStr">
        <is>
          <t>Ingreso bruto</t>
        </is>
      </c>
      <c r="AJ32" s="5" t="inlineStr">
        <is>
          <t>Gastos de vida</t>
        </is>
      </c>
      <c r="AK32" s="5" t="inlineStr">
        <is>
          <t>Ahorro líquido inicio</t>
        </is>
      </c>
      <c r="AL32" s="5" t="inlineStr">
        <is>
          <t>Ya era dueño</t>
        </is>
      </c>
      <c r="AM32" s="5" t="inlineStr">
        <is>
          <t>Precio base 2026</t>
        </is>
      </c>
      <c r="AN32" s="5" t="inlineStr">
        <is>
          <t>Precio en el año</t>
        </is>
      </c>
      <c r="AO32" s="5" t="inlineStr">
        <is>
          <t>Physician loan</t>
        </is>
      </c>
      <c r="AP32" s="5" t="inlineStr">
        <is>
          <t>% enganche</t>
        </is>
      </c>
      <c r="AQ32" s="5" t="inlineStr">
        <is>
          <t>Préstamo</t>
        </is>
      </c>
      <c r="AR32" s="5" t="inlineStr">
        <is>
          <t>Cuota P&amp;I mensual</t>
        </is>
      </c>
      <c r="AS32" s="5" t="inlineStr">
        <is>
          <t>Unidades rentadas</t>
        </is>
      </c>
      <c r="AT32" s="5" t="inlineStr">
        <is>
          <t>Renta mensual (cotización)</t>
        </is>
      </c>
      <c r="AU32" s="5" t="inlineStr">
        <is>
          <t>PITI mensual</t>
        </is>
      </c>
      <c r="AV32" s="5" t="inlineStr">
        <is>
          <t>Efectivo requerido</t>
        </is>
      </c>
      <c r="AW32" s="5" t="inlineStr">
        <is>
          <t>Otras deudas mensuales</t>
        </is>
      </c>
      <c r="AX32" s="5" t="inlineStr">
        <is>
          <t>Crédito aporte familiar</t>
        </is>
      </c>
      <c r="AY32" s="5" t="inlineStr">
        <is>
          <t>Carga mensual para DTI</t>
        </is>
      </c>
      <c r="AZ32" s="5" t="inlineStr">
        <is>
          <t>Ingreso mensual para DTI</t>
        </is>
      </c>
      <c r="BA32" s="5" t="inlineStr">
        <is>
          <t>Compra este año</t>
        </is>
      </c>
      <c r="BB32" s="5" t="inlineStr">
        <is>
          <t>Dueño</t>
        </is>
      </c>
      <c r="BC32" s="5" t="inlineStr">
        <is>
          <t>Año de compra</t>
        </is>
      </c>
      <c r="BD32" s="5" t="inlineStr">
        <is>
          <t>Ahorro tras enganche</t>
        </is>
      </c>
      <c r="BE32" s="5" t="inlineStr">
        <is>
          <t>Precio de compra</t>
        </is>
      </c>
      <c r="BF32" s="5" t="inlineStr">
        <is>
          <t>Cuota hipoteca</t>
        </is>
      </c>
      <c r="BG32" s="5" t="inlineStr">
        <is>
          <t>PMI activo (antes)</t>
        </is>
      </c>
      <c r="BH32" s="5" t="inlineStr">
        <is>
          <t>Config. con ADU</t>
        </is>
      </c>
      <c r="BI32" s="5" t="inlineStr">
        <is>
          <t>Construye ADU</t>
        </is>
      </c>
      <c r="BJ32" s="5" t="inlineStr">
        <is>
          <t>ADU construido</t>
        </is>
      </c>
      <c r="BK32" s="5" t="inlineStr">
        <is>
          <t>Cuota ADU</t>
        </is>
      </c>
      <c r="BL32" s="5" t="inlineStr">
        <is>
          <t>Valor vivienda inicio</t>
        </is>
      </c>
      <c r="BM32" s="5" t="inlineStr">
        <is>
          <t>Hipoteca inicio</t>
        </is>
      </c>
      <c r="BN32" s="5" t="inlineStr">
        <is>
          <t>Hipoteca tras 12 pagos</t>
        </is>
      </c>
      <c r="BO32" s="5" t="inlineStr">
        <is>
          <t>Pagado hipoteca</t>
        </is>
      </c>
      <c r="BP32" s="5" t="inlineStr">
        <is>
          <t>Hipoteca tras pagos</t>
        </is>
      </c>
      <c r="BQ32" s="5" t="inlineStr">
        <is>
          <t>ADU inicio</t>
        </is>
      </c>
      <c r="BR32" s="5" t="inlineStr">
        <is>
          <t>ADU tras 12 pagos</t>
        </is>
      </c>
      <c r="BS32" s="5" t="inlineStr">
        <is>
          <t>Pagado ADU</t>
        </is>
      </c>
      <c r="BT32" s="5" t="inlineStr">
        <is>
          <t>ADU tras pagos</t>
        </is>
      </c>
      <c r="BU32" s="5" t="inlineStr">
        <is>
          <t>Seguro</t>
        </is>
      </c>
      <c r="BV32" s="5" t="inlineStr">
        <is>
          <t>Impuesto predial</t>
        </is>
      </c>
      <c r="BW32" s="5" t="inlineStr">
        <is>
          <t>Mantenimiento</t>
        </is>
      </c>
      <c r="BX32" s="5" t="inlineStr">
        <is>
          <t>PMI</t>
        </is>
      </c>
      <c r="BY32" s="5" t="inlineStr">
        <is>
          <t>PMI activo (después)</t>
        </is>
      </c>
      <c r="BZ32" s="5" t="inlineStr">
        <is>
          <t>Renta recibida</t>
        </is>
      </c>
      <c r="CA32" s="5" t="inlineStr">
        <is>
          <t>Costo de vivienda</t>
        </is>
      </c>
      <c r="CB32" s="5" t="inlineStr">
        <is>
          <t>Aporte familiar</t>
        </is>
      </c>
      <c r="CC32" s="5" t="inlineStr">
        <is>
          <t>IRS pagado</t>
        </is>
      </c>
      <c r="CD32" s="5" t="inlineStr">
        <is>
          <t>IRS saldo</t>
        </is>
      </c>
      <c r="CE32" s="5" t="inlineStr">
        <is>
          <t>Federal inicio</t>
        </is>
      </c>
      <c r="CF32" s="5" t="inlineStr">
        <is>
          <t>Tasa federal</t>
        </is>
      </c>
      <c r="CG32" s="5" t="inlineStr">
        <is>
          <t>Años repago fed.</t>
        </is>
      </c>
      <c r="CH32" s="5" t="inlineStr">
        <is>
          <t>En estudios (≥50%)</t>
        </is>
      </c>
      <c r="CI32" s="5" t="inlineStr">
        <is>
          <t>Usa RAP/PSLF</t>
        </is>
      </c>
      <c r="CJ32" s="5" t="inlineStr">
        <is>
          <t>Interés federal</t>
        </is>
      </c>
      <c r="CK32" s="5" t="inlineStr">
        <is>
          <t>Pago RAP</t>
        </is>
      </c>
      <c r="CL32" s="5" t="inlineStr">
        <is>
          <t>Pago federal</t>
        </is>
      </c>
      <c r="CM32" s="5" t="inlineStr">
        <is>
          <t>Federal tras pago</t>
        </is>
      </c>
      <c r="CN32" s="5" t="inlineStr">
        <is>
          <t>Meses PSLF</t>
        </is>
      </c>
      <c r="CO32" s="5" t="inlineStr">
        <is>
          <t>Condonado PSLF</t>
        </is>
      </c>
      <c r="CP32" s="5" t="inlineStr">
        <is>
          <t>Federal tras PSLF</t>
        </is>
      </c>
      <c r="CQ32" s="5" t="inlineStr">
        <is>
          <t>Años repago (tras pago)</t>
        </is>
      </c>
      <c r="CR32" s="5" t="inlineStr">
        <is>
          <t>Privado inicio</t>
        </is>
      </c>
      <c r="CS32" s="5" t="inlineStr">
        <is>
          <t>Tasa privada</t>
        </is>
      </c>
      <c r="CT32" s="5" t="inlineStr">
        <is>
          <t>Años repago priv.</t>
        </is>
      </c>
      <c r="CU32" s="5" t="inlineStr">
        <is>
          <t>Pago privado</t>
        </is>
      </c>
      <c r="CV32" s="5" t="inlineStr">
        <is>
          <t>Privado tras pago</t>
        </is>
      </c>
      <c r="CW32" s="5" t="inlineStr">
        <is>
          <t>Años repago priv. (tras)</t>
        </is>
      </c>
      <c r="CX32" s="5" t="inlineStr">
        <is>
          <t>Consumo tras interés</t>
        </is>
      </c>
      <c r="CY32" s="5" t="inlineStr">
        <is>
          <t>Gasto extra travel</t>
        </is>
      </c>
      <c r="CZ32" s="5" t="inlineStr">
        <is>
          <t>Salidas</t>
        </is>
      </c>
      <c r="DA32" s="5" t="inlineStr">
        <is>
          <t>Excedente (déficit)</t>
        </is>
      </c>
      <c r="DB32" s="5" t="inlineStr">
        <is>
          <t>Flujo acumulado</t>
        </is>
      </c>
      <c r="DC32" s="5" t="inlineStr">
        <is>
          <t>Meta enganche</t>
        </is>
      </c>
      <c r="DD32" s="5" t="inlineStr">
        <is>
          <t>Retorno del ahorro líquido</t>
        </is>
      </c>
      <c r="DE32" s="5" t="inlineStr">
        <is>
          <t>Pago deuda consumo</t>
        </is>
      </c>
      <c r="DF32" s="5" t="inlineStr">
        <is>
          <t>Gasto discrecional</t>
        </is>
      </c>
      <c r="DG32" s="5" t="inlineStr">
        <is>
          <t>Ahorro</t>
        </is>
      </c>
      <c r="DH32" s="5" t="inlineStr">
        <is>
          <t>Roth</t>
        </is>
      </c>
      <c r="DI32" s="5" t="inlineStr">
        <is>
          <t>Prepago</t>
        </is>
      </c>
      <c r="DJ32" s="5" t="inlineStr">
        <is>
          <t>Prepago a hipoteca</t>
        </is>
      </c>
      <c r="DK32" s="5" t="inlineStr">
        <is>
          <t>Retiro del ahorro</t>
        </is>
      </c>
      <c r="DL32" s="5" t="inlineStr">
        <is>
          <t>Déficit por financiar</t>
        </is>
      </c>
      <c r="DM32" s="5" t="inlineStr">
        <is>
          <t>Federal acumulado (antes)</t>
        </is>
      </c>
      <c r="DN32" s="5" t="inlineStr">
        <is>
          <t>Nuevo préstamo federal</t>
        </is>
      </c>
      <c r="DO32" s="5" t="inlineStr">
        <is>
          <t>Nuevo préstamo privado</t>
        </is>
      </c>
      <c r="DP32" s="5" t="inlineStr">
        <is>
          <t>Nueva deuda consumo</t>
        </is>
      </c>
      <c r="DQ32" s="5" t="inlineStr">
        <is>
          <t>Flujo al ahorro líquido</t>
        </is>
      </c>
      <c r="DR32" s="5" t="inlineStr">
        <is>
          <t>Ahorro líquido fin</t>
        </is>
      </c>
      <c r="DS32" s="5" t="inlineStr">
        <is>
          <t>Retiro fin</t>
        </is>
      </c>
      <c r="DT32" s="5" t="inlineStr">
        <is>
          <t>Valor vivienda fin</t>
        </is>
      </c>
      <c r="DU32" s="5" t="inlineStr">
        <is>
          <t>Hipoteca fin</t>
        </is>
      </c>
      <c r="DV32" s="5" t="inlineStr">
        <is>
          <t>ADU fin</t>
        </is>
      </c>
      <c r="DW32" s="5" t="inlineStr">
        <is>
          <t>Federal fin</t>
        </is>
      </c>
      <c r="DX32" s="5" t="inlineStr">
        <is>
          <t>Tasa federal fin</t>
        </is>
      </c>
      <c r="DY32" s="5" t="inlineStr">
        <is>
          <t>Años repago fed. fin</t>
        </is>
      </c>
      <c r="DZ32" s="5" t="inlineStr">
        <is>
          <t>Federal acumulado</t>
        </is>
      </c>
      <c r="EA32" s="5" t="inlineStr">
        <is>
          <t>Privado fin</t>
        </is>
      </c>
      <c r="EB32" s="5" t="inlineStr">
        <is>
          <t>Tasa privada fin</t>
        </is>
      </c>
      <c r="EC32" s="5" t="inlineStr">
        <is>
          <t>Años repago priv. fin</t>
        </is>
      </c>
      <c r="ED32" s="5" t="inlineStr">
        <is>
          <t>Deuda consumo fin</t>
        </is>
      </c>
      <c r="EE32" s="5" t="inlineStr">
        <is>
          <t>Año vivienda pagada</t>
        </is>
      </c>
      <c r="EF32" s="5" t="inlineStr">
        <is>
          <t>Deuda total</t>
        </is>
      </c>
      <c r="EG32" s="9" t="inlineStr">
        <is>
          <t>PATRIMONIO NETO</t>
        </is>
      </c>
      <c r="EH32" s="5" t="inlineStr">
        <is>
          <t>Patrimonio (dólares 2026)</t>
        </is>
      </c>
    </row>
    <row r="33">
      <c r="A33" t="n">
        <v>2027</v>
      </c>
      <c r="B33" t="n">
        <v>0</v>
      </c>
      <c r="C33" s="7">
        <f>(1+g_inf)^(A33-2026)</f>
        <v/>
      </c>
      <c r="D33" s="7">
        <f>SUMPRODUCT($T$5:$T$29,$E$5:$E$29*(1+$F$5:$F$29)^(A33-2026)*$G$5:$G$29*$H$5:$H$29*(1-$N$5:$N$29*$O$5:$O$29))*g_salMult+SUMPRODUCT(($B$5:$B$29&gt;=A33)*($B$5:$B$29&lt;A33+1)*$I$5:$I$29)*g_salMult</f>
        <v/>
      </c>
      <c r="E33" s="7">
        <f>SUMPRODUCT($T$5:$T$29,$E$5:$E$29*(1+$F$5:$F$29)^(A33-2026)*$G$5:$G$29*$H$5:$H$29*$M$5:$M$29)*g_salMult</f>
        <v/>
      </c>
      <c r="F33" s="7">
        <f>SUMPRODUCT($T$5:$T$29,$E$5:$E$29*(1+$F$5:$F$29)^(A33-2026)*$G$5:$G$29*$H$5:$H$29*$N$5:$N$29*$O$5:$O$29)*g_salMult</f>
        <v/>
      </c>
      <c r="G33" s="7">
        <f>SUMPRODUCT($T$5:$T$29,$P$5:$P$29*(1+$F$5:$F$29)^(A33-2026))</f>
        <v/>
      </c>
      <c r="H33" s="7">
        <f>SUMPRODUCT($T$5:$T$29,$Q$5:$Q$29*(1+$F$5:$F$29)^(A33-2026))+IF(personal_llcActivo=1,personal_llcNeto*(1+personal_llcCrecimiento)^0,0)</f>
        <v/>
      </c>
      <c r="I33" s="7">
        <f>SUMPRODUCT($T$5:$T$29,$J$5:$J$29/($C$5:$C$29-$B$5:$B$29+($C$5:$C$29=$B$5:$B$29)))*C33</f>
        <v/>
      </c>
      <c r="J33" s="7">
        <f>SUMPRODUCT($T$5:$T$29,$K$5:$K$29)</f>
        <v/>
      </c>
      <c r="K33" s="7">
        <f>SUMPRODUCT($T$5:$T$29,$L$5:$L$29)</f>
        <v/>
      </c>
      <c r="L33" s="7">
        <f>SUMPRODUCT($T$5:$T$29,$N$5:$N$29)</f>
        <v/>
      </c>
      <c r="M33" s="7">
        <f>IF(SUMPRODUCT($T$5:$T$29,$R$5:$R$29)&gt;0,1,0)</f>
        <v/>
      </c>
      <c r="N33" s="7">
        <f>SUMPRODUCT(($AO$5:$AO$24&gt;=A33)*($AO$5:$AO$24&lt;A33+1)*$AP$5:$AP$24)*C33+IF(0=0,IF(sel_loc&lt;&gt;"miami",personal_costoMudanzaInicial,0),0)</f>
        <v/>
      </c>
      <c r="O33" s="7">
        <f>MIN(personal_aporte403bPct*D33,retiro_limite403b*C33)</f>
        <v/>
      </c>
      <c r="P33" s="7">
        <f>MIN(personal_aporte403bPct,personal_match403bPct)*E33</f>
        <v/>
      </c>
      <c r="Q33" s="7">
        <f>IF(G33&gt;0,MAX(0,G33-impuestos_scorpCostoAnual*C33),0)</f>
        <v/>
      </c>
      <c r="R33" s="7">
        <f>Q33*impuestos_scorpSalarioPct/(1+impuestos_ssTasa+impuestos_medicareTasa)</f>
        <v/>
      </c>
      <c r="S33" s="7">
        <f>impuestos_ssTasa*MIN(R33,MAX(0,impuestos_ssTope*C33-D33))+impuestos_medicareTasa*R33</f>
        <v/>
      </c>
      <c r="T33" s="7">
        <f>Q33-R33-S33</f>
        <v/>
      </c>
      <c r="U33" s="7">
        <f>D33+R33</f>
        <v/>
      </c>
      <c r="V33" s="7">
        <f>H33*0.9235</f>
        <v/>
      </c>
      <c r="W33" s="7">
        <f>IF(H33&gt;0,2*impuestos_ssTasa*MIN(V33,MAX(0,impuestos_ssTope*C33-U33))+2*impuestos_medicareTasa*V33,0)</f>
        <v/>
      </c>
      <c r="X33" s="7">
        <f>impuestos_ssTasa*MIN(U33,impuestos_ssTope*C33)+impuestos_medicareTasa*U33+impuestos_medicareAdicional*MAX(0,U33+H33*0.9235-impuestos_medicareUmbral)</f>
        <v/>
      </c>
      <c r="Y33" s="7">
        <f>MAX(0,D33-O33+R33+T33+H33-W33/2)</f>
        <v/>
      </c>
      <c r="Z33" s="7">
        <f>MAX(0,Y33-impuestos_deduccionEstandar*C33)</f>
        <v/>
      </c>
      <c r="AA33" s="7">
        <f>MIN(0.2*MAX(0,T33+H33-W33/2)*MAX(0,MIN(1,1-(Z33-impuestos_qbiUmbral*C33)/(impuestos_qbiRango*C33))),0.2*Z33)</f>
        <v/>
      </c>
      <c r="AB33" s="7">
        <f>MAX(0,Z33-AA33)</f>
        <v/>
      </c>
      <c r="AC33" s="7">
        <f>SUMPRODUCT((AB33&gt;tb_federalBrackets_lo*C33)*(AB33-tb_federalBrackets_lo*C33)*tb_federalBrackets_dr)</f>
        <v/>
      </c>
      <c r="AD33" s="7">
        <f>MAX(0,Y33-impuestos_nyDeduccion*C33)</f>
        <v/>
      </c>
      <c r="AE33" s="7">
        <f>CHOOSE(loc_taxcode,0,impuestos_ohTasa*MAX(0,Y33-impuestos_ohExento*C33)+impuestos_ohMunicipal*U33,SUMPRODUCT((AD33&gt;tb_nyBrackets_lo*C33)*(AD33-tb_nyBrackets_lo*C33)*tb_nyBrackets_dr)+loc_nyc*SUMPRODUCT((AD33&gt;tb_nycBrackets_lo*C33)*(AD33-tb_nycBrackets_lo*C33)*tb_nycBrackets_dr))</f>
        <v/>
      </c>
      <c r="AF33" s="7">
        <f>AC33+AE33+X33+W33</f>
        <v/>
      </c>
      <c r="AG33" s="7">
        <f>D33+F33+R33+T33+H33</f>
        <v/>
      </c>
      <c r="AH33" s="7">
        <f>AG33-AF33-O33</f>
        <v/>
      </c>
      <c r="AI33" s="7">
        <f>D33+F33+G33+H33</f>
        <v/>
      </c>
      <c r="AJ33" s="7">
        <f>loc_gastosVida*C33*g_gastos</f>
        <v/>
      </c>
      <c r="AK33" s="7">
        <f>IF(0=0,personal_liquidoInicial,DR32)</f>
        <v/>
      </c>
      <c r="AL33" s="7">
        <f>IF(0=0,0,BB32)</f>
        <v/>
      </c>
      <c r="AM33" s="7">
        <f>CHOOSE(sel_cfgIdx,loc_precio_duplex,loc_precio_inlaw,loc_precio_dosCasas,loc_precio_casaAdu,loc_precio_multi)</f>
        <v/>
      </c>
      <c r="AN33" s="7">
        <f>AM33*(1+g_appr)^(A33-2026)</f>
        <v/>
      </c>
      <c r="AO33" s="7">
        <f>IF(AND(M33=1,vivienda_prestamoMedico=1),1,0)</f>
        <v/>
      </c>
      <c r="AP33" s="7">
        <f>IF(AO33=1,0.05,vivienda_enganchePct)</f>
        <v/>
      </c>
      <c r="AQ33" s="7">
        <f>AN33*(1-AP33)</f>
        <v/>
      </c>
      <c r="AR33" s="7">
        <f>PMT(g_mortRate/12,vivienda_plazoHipoteca*12,-AQ33)</f>
        <v/>
      </c>
      <c r="AS33" s="7">
        <f>INDEX(cfg_units,sel_cfgIdx)</f>
        <v/>
      </c>
      <c r="AT33" s="7">
        <f>AS33*loc_rentaUnidad*(1+g_inf)^(A33-2026)*(1-vivienda_vacancia)</f>
        <v/>
      </c>
      <c r="AU33" s="7">
        <f>AR33+AN33*loc_impuestoPropPct/12+AM33*loc_seguroPct*(1+vivienda_inflacionSeguro)^(A33-2026)/12+IF(AND(AO33=0,AP33&lt;0.2),AQ33*vivienda_pmiTasa/12,0)</f>
        <v/>
      </c>
      <c r="AV33" s="7">
        <f>AN33*AP33+AN33*vivienda_cierrePct+general_reservaMeses/12*AJ33</f>
        <v/>
      </c>
      <c r="AW33" s="7">
        <f>(IF(0=0,MIN(personal_irsSaldo,personal_irsPagoMensual*12),MIN(CD32,personal_irsPagoMensual*12))+IF(CE33&gt;0,PMT(CF33,MAX(1,prestamos_plazoAnios-CG33),-CE33),0)+IF(CR33&gt;0,PMT(CS33,MAX(1,prestamos_plazoAnios-CT33),-CR33),0))/12</f>
        <v/>
      </c>
      <c r="AX33" s="7">
        <f>IF(OR(sel_cfg="duplex",sel_cfg="multi",sel_cfg="dosCasas"),0.75*personal_aporteFamiliaMensual,0)</f>
        <v/>
      </c>
      <c r="AY33" s="7">
        <f>AU33-0.75*AT33-AX33+AW33</f>
        <v/>
      </c>
      <c r="AZ33" s="7">
        <f>(D33+G33+H33+0.5*F33)/12</f>
        <v/>
      </c>
      <c r="BA33" s="7">
        <f>IF(AND(AL33=0,A33&gt;=vivienda_anioMinCompra,J33&lt;0.5,AI33&gt;0,AK33&gt;=AV33,AY33&lt;=vivienda_dtiMax*AZ33),1,0)</f>
        <v/>
      </c>
      <c r="BB33" s="7">
        <f>MAX(AL33,BA33)</f>
        <v/>
      </c>
      <c r="BC33" s="7">
        <f>IF(BA33=1,A33,IF(0=0,"",BC32))</f>
        <v/>
      </c>
      <c r="BD33" s="7">
        <f>AK33-IF(BA33=1,AN33*AP33+AN33*vivienda_cierrePct,0)</f>
        <v/>
      </c>
      <c r="BE33" s="7">
        <f>IF(BA33=1,AN33,IF(0=0,0,BE32))</f>
        <v/>
      </c>
      <c r="BF33" s="7">
        <f>IF(BA33=1,AR33,IF(0=0,0,BF32))</f>
        <v/>
      </c>
      <c r="BG33" s="7">
        <f>IF(BA33=1,IF(AND(AO33=0,AP33&lt;0.2),1,0),IF(0=0,0,BY32))</f>
        <v/>
      </c>
      <c r="BH33" s="7">
        <f>IF(sel_cfg="casaAdu",1,0)</f>
        <v/>
      </c>
      <c r="BI33" s="7">
        <f>IF(AND(BB33=1,BH33=1,IF(0=0,0,BJ32)=0,A33&gt;=IF(BC33="",9999,BC33)+vivienda_aduRetrasoAnios),1,0)</f>
        <v/>
      </c>
      <c r="BJ33" s="7">
        <f>MAX(IF(0=0,0,BJ32),BI33)</f>
        <v/>
      </c>
      <c r="BK33" s="7">
        <f>IF(BI33=1,PMT((g_mortRate+0.005)/12,180,-loc_precio_aduCosto*C33),IF(0=0,0,BK32))</f>
        <v/>
      </c>
      <c r="BL33" s="7">
        <f>IF(BA33=1,AN33,IF(0=0,0,DT32))+IF(BI33=1,loc_precio_aduCosto*C33,0)</f>
        <v/>
      </c>
      <c r="BM33" s="7">
        <f>IF(BA33=1,AQ33,IF(0=0,0,DU32))</f>
        <v/>
      </c>
      <c r="BN33" s="7">
        <f>IF(BM33&lt;=0,0,FV(g_mortRate/12,12,BF33,-BM33))</f>
        <v/>
      </c>
      <c r="BO33" s="7">
        <f>IF(BM33&lt;=0,0,12*BF33+MIN(0,BN33))</f>
        <v/>
      </c>
      <c r="BP33" s="7">
        <f>MAX(0,BN33)</f>
        <v/>
      </c>
      <c r="BQ33" s="7">
        <f>IF(BI33=1,loc_precio_aduCosto*C33,IF(0=0,0,DV32))</f>
        <v/>
      </c>
      <c r="BR33" s="7">
        <f>IF(BQ33&lt;=0,0,FV((g_mortRate+0.005)/12,12,BK33,-BQ33))</f>
        <v/>
      </c>
      <c r="BS33" s="7">
        <f>IF(BQ33&lt;=0,0,12*BK33+MIN(0,BR33))</f>
        <v/>
      </c>
      <c r="BT33" s="7">
        <f>MAX(0,BR33)</f>
        <v/>
      </c>
      <c r="BU33" s="7">
        <f>IF(BB33=1,AM33*loc_seguroPct*(1+vivienda_inflacionSeguro)^(A33-2026)*IF(BJ33=1,1+loc_precio_aduCosto/AM33,1),0)</f>
        <v/>
      </c>
      <c r="BV33" s="7">
        <f>BL33*loc_impuestoPropPct</f>
        <v/>
      </c>
      <c r="BW33" s="7">
        <f>BL33*vivienda_mantenimientoPct</f>
        <v/>
      </c>
      <c r="BX33" s="7">
        <f>IF(AND(BG33=1,BP33&gt;0.8*BE33),BE33*(1-vivienda_enganchePct)*vivienda_pmiTasa,0)</f>
        <v/>
      </c>
      <c r="BY33" s="7">
        <f>IF(AND(BG33=1,BP33&gt;0.8*BE33),1,0)</f>
        <v/>
      </c>
      <c r="BZ33" s="7">
        <f>IF(BB33=1,AS33*loc_rentaUnidad*12*C33*(1-vivienda_vacancia)*(1-vivienda_gestionPct),0)</f>
        <v/>
      </c>
      <c r="CA33" s="7">
        <f>IF(BB33=1,BO33+BS33+BU33+BV33+BW33+BX33,loc_rentaMensual*12*C33)</f>
        <v/>
      </c>
      <c r="CB33" s="7">
        <f>IF(BB33=1,personal_aporteFamiliaMensual*12,0)</f>
        <v/>
      </c>
      <c r="CC33" s="7">
        <f>MIN(IF(0=0,personal_irsSaldo,CD32),personal_irsPagoMensual*12)</f>
        <v/>
      </c>
      <c r="CD33" s="7">
        <f>IF(0=0,personal_irsSaldo,CD32)-CC33</f>
        <v/>
      </c>
      <c r="CE33" s="7">
        <f>IF(0=0,IF(personal_deudaEsFederal=1,personal_deudaEstudiantil,0),DW32)</f>
        <v/>
      </c>
      <c r="CF33" s="7">
        <f>IF(0=0,personal_tasaDeudaEstudiantil,DX32)</f>
        <v/>
      </c>
      <c r="CG33" s="7">
        <f>IF(0=0,0,DY32)</f>
        <v/>
      </c>
      <c r="CH33" s="7">
        <f>IF(J33&gt;=0.5,1,0)</f>
        <v/>
      </c>
      <c r="CI33" s="7">
        <f>IF(AND(CH33=0,prestamos_pslfActivo=1,K33&gt;=0.5,CE33&gt;0),1,0)</f>
        <v/>
      </c>
      <c r="CJ33" s="7">
        <f>CE33*CF33</f>
        <v/>
      </c>
      <c r="CK33" s="7">
        <f>MAX(prestamos_rapPagoMinimoAnual,IF(Y33&lt;10000,0,MIN(0.1,INT(Y33/10000)/100))*Y33)</f>
        <v/>
      </c>
      <c r="CL33" s="7">
        <f>IF(CE33&lt;=0,0,IF(CH33=1,0,IF(CI33=1,MIN(CE33+CJ33,CK33),PMT(CF33,MAX(1,prestamos_plazoAnios-CG33),-CE33))))</f>
        <v/>
      </c>
      <c r="CM33" s="7">
        <f>IF(CE33&lt;=0,0,IF(CH33=1,CE33+CJ33,IF(CI33=1,MAX(0,CE33-MAX(CL33-CJ33,MIN(600,CL33))),MAX(0,CE33*(1+CF33)-CL33))))</f>
        <v/>
      </c>
      <c r="CN33" s="7">
        <f>IF(0=0,0,CN32)+IF(CI33=1,12*MIN(1,K33),0)</f>
        <v/>
      </c>
      <c r="CO33" s="7">
        <f>IF(AND(CI33=1,CN33&gt;=prestamos_pslfPagos,CM33&gt;0),CM33,0)</f>
        <v/>
      </c>
      <c r="CP33" s="7">
        <f>CM33-CO33</f>
        <v/>
      </c>
      <c r="CQ33" s="7">
        <f>IF(AND(CE33&gt;0,CH33=0,CI33=0),CG33+1,CG33)</f>
        <v/>
      </c>
      <c r="CR33" s="7">
        <f>IF(0=0,IF(personal_deudaEsFederal=1,0,personal_deudaEstudiantil),EA32)</f>
        <v/>
      </c>
      <c r="CS33" s="7">
        <f>IF(0=0,IF(personal_deudaEsFederal=1,prestamos_tasaPrivada,personal_tasaDeudaEstudiantil),EB32)</f>
        <v/>
      </c>
      <c r="CT33" s="7">
        <f>IF(0=0,0,EC32)</f>
        <v/>
      </c>
      <c r="CU33" s="7">
        <f>IF(OR(CR33&lt;=0,CH33=1),0,PMT(CS33,MAX(1,prestamos_plazoAnios-CT33),-CR33))</f>
        <v/>
      </c>
      <c r="CV33" s="7">
        <f>IF(CR33&lt;=0,0,IF(CH33=1,CR33*(1+CS33),MAX(0,CR33*(1+CS33)-CU33)))</f>
        <v/>
      </c>
      <c r="CW33" s="7">
        <f>IF(AND(CR33&gt;0,CH33=0),CT33+1,CT33)</f>
        <v/>
      </c>
      <c r="CX33" s="7">
        <f>IF(0=0,0,ED32)*(1+general_tasaDeudaConsumo)</f>
        <v/>
      </c>
      <c r="CY33" s="7">
        <f>L33*12*tiempos_travelGastoExtraMes*C33</f>
        <v/>
      </c>
      <c r="CZ33" s="7">
        <f>AJ33+CY33+CA33+CC33+CL33+CU33+I33+N33-BZ33-CB33</f>
        <v/>
      </c>
      <c r="DA33" s="7">
        <f>AH33-CZ33</f>
        <v/>
      </c>
      <c r="DB33" s="7">
        <f>IF(0=0,0,DB32)+DA33</f>
        <v/>
      </c>
      <c r="DC33" s="7">
        <f>AN33*vivienda_enganchePct+AN33*vivienda_cierrePct+general_reservaMeses/12*AJ33</f>
        <v/>
      </c>
      <c r="DD33" s="7">
        <f>IF(BB33=1,g_ret,IF(BD33&gt;0,MIN(1,DC33/BD33),1)*g_cash+(1-IF(BD33&gt;0,MIN(1,DC33/BD33),1))*g_ret)</f>
        <v/>
      </c>
      <c r="DE33" s="7">
        <f>IF(DA33&gt;=0,MIN(CX33,DA33),0)</f>
        <v/>
      </c>
      <c r="DF33" s="7">
        <f>IF(DA33&gt;=0,(1-general_tasaAhorro)*(DA33-DE33),0)</f>
        <v/>
      </c>
      <c r="DG33" s="7">
        <f>IF(DA33&gt;=0,DA33-DE33-DF33,0)</f>
        <v/>
      </c>
      <c r="DH33" s="7">
        <f>MIN(personal_rothAnual,DG33)</f>
        <v/>
      </c>
      <c r="DI33" s="7">
        <f>IF(AND(DA33&gt;=0,BB33=1,BP33+BT33&gt;0),MIN(vivienda_prepagoPct*(DG33-DH33),BP33+BT33),0)</f>
        <v/>
      </c>
      <c r="DJ33" s="7">
        <f>MIN(DI33,BP33)</f>
        <v/>
      </c>
      <c r="DK33" s="7">
        <f>IF(DA33&lt;0,MIN(MAX(0,BD33),-DA33),0)</f>
        <v/>
      </c>
      <c r="DL33" s="7">
        <f>IF(DA33&lt;0,-DA33-DK33,0)</f>
        <v/>
      </c>
      <c r="DM33" s="7">
        <f>IF(0=0,0,DZ32)</f>
        <v/>
      </c>
      <c r="DN33" s="7">
        <f>IF(AND(DL33&gt;0,J33&gt;0),MIN(DL33,MIN(prestamos_topeAnualPosgrado*MIN(1,J33),MAX(0,prestamos_topeTotalPosgrado-DM33))),0)</f>
        <v/>
      </c>
      <c r="DO33" s="7">
        <f>IF(AND(DL33&gt;0,J33&gt;0),DL33-DN33,0)</f>
        <v/>
      </c>
      <c r="DP33" s="7">
        <f>IF(AND(DL33&gt;0,J33&lt;=0),DL33,0)</f>
        <v/>
      </c>
      <c r="DQ33" s="7">
        <f>IF(DA33&gt;=0,DG33-DH33-DI33,-DK33)</f>
        <v/>
      </c>
      <c r="DR33" s="7">
        <f>BD33*(1+DD33)+DQ33*(1+DD33/2)</f>
        <v/>
      </c>
      <c r="DS33" s="7">
        <f>IF(0=0,personal_retiroInicial,DS32)*(1+g_ret)+(O33+P33+DH33)*(1+g_ret/2)</f>
        <v/>
      </c>
      <c r="DT33" s="7">
        <f>IF(BB33=1,BL33*(1+g_appr),0)</f>
        <v/>
      </c>
      <c r="DU33" s="7">
        <f>BP33-DJ33</f>
        <v/>
      </c>
      <c r="DV33" s="7">
        <f>BT33-(DI33-DJ33)</f>
        <v/>
      </c>
      <c r="DW33" s="7">
        <f>CP33+DN33</f>
        <v/>
      </c>
      <c r="DX33" s="7">
        <f>IF(DN33&gt;0,(CP33*CF33+DN33*prestamos_tasaFederalPosgrado)/(CP33+DN33),CF33)</f>
        <v/>
      </c>
      <c r="DY33" s="7">
        <f>IF(DN33&gt;0,0,CQ33)</f>
        <v/>
      </c>
      <c r="DZ33" s="7">
        <f>DM33+DN33</f>
        <v/>
      </c>
      <c r="EA33" s="7">
        <f>CV33+DO33</f>
        <v/>
      </c>
      <c r="EB33" s="7">
        <f>IF(DO33&gt;0,(CV33*CS33+DO33*prestamos_tasaPrivada)/(CV33+DO33),CS33)</f>
        <v/>
      </c>
      <c r="EC33" s="7">
        <f>IF(DO33&gt;0,0,CW33)</f>
        <v/>
      </c>
      <c r="ED33" s="7">
        <f>CX33-DE33+DP33</f>
        <v/>
      </c>
      <c r="EE33" s="7">
        <f>IF(IF(0=0,"",EE32)&lt;&gt;"",EE32,IF(AND(BB33=1,DU33&lt;=0.5,DV33&lt;=0.5,OR(BH33=0,BJ33=1)),A33,""))</f>
        <v/>
      </c>
      <c r="EF33" s="7">
        <f>DU33+DV33+DW33+EA33+ED33+CD33</f>
        <v/>
      </c>
      <c r="EG33" s="7">
        <f>DR33+DS33+DT33-EF33</f>
        <v/>
      </c>
      <c r="EH33" s="7">
        <f>EG33/(1+g_inf)^(A33+1-2026)</f>
        <v/>
      </c>
    </row>
    <row r="34">
      <c r="A34" t="n">
        <v>2028</v>
      </c>
      <c r="B34" t="n">
        <v>1</v>
      </c>
      <c r="C34" s="7">
        <f>(1+g_inf)^(A34-2026)</f>
        <v/>
      </c>
      <c r="D34" s="7">
        <f>SUMPRODUCT($U$5:$U$29,$E$5:$E$29*(1+$F$5:$F$29)^(A34-2026)*$G$5:$G$29*$H$5:$H$29*(1-$N$5:$N$29*$O$5:$O$29))*g_salMult+SUMPRODUCT(($B$5:$B$29&gt;=A34)*($B$5:$B$29&lt;A34+1)*$I$5:$I$29)*g_salMult</f>
        <v/>
      </c>
      <c r="E34" s="7">
        <f>SUMPRODUCT($U$5:$U$29,$E$5:$E$29*(1+$F$5:$F$29)^(A34-2026)*$G$5:$G$29*$H$5:$H$29*$M$5:$M$29)*g_salMult</f>
        <v/>
      </c>
      <c r="F34" s="7">
        <f>SUMPRODUCT($U$5:$U$29,$E$5:$E$29*(1+$F$5:$F$29)^(A34-2026)*$G$5:$G$29*$H$5:$H$29*$N$5:$N$29*$O$5:$O$29)*g_salMult</f>
        <v/>
      </c>
      <c r="G34" s="7">
        <f>SUMPRODUCT($U$5:$U$29,$P$5:$P$29*(1+$F$5:$F$29)^(A34-2026))</f>
        <v/>
      </c>
      <c r="H34" s="7">
        <f>SUMPRODUCT($U$5:$U$29,$Q$5:$Q$29*(1+$F$5:$F$29)^(A34-2026))+IF(personal_llcActivo=1,personal_llcNeto*(1+personal_llcCrecimiento)^1,0)</f>
        <v/>
      </c>
      <c r="I34" s="7">
        <f>SUMPRODUCT($U$5:$U$29,$J$5:$J$29/($C$5:$C$29-$B$5:$B$29+($C$5:$C$29=$B$5:$B$29)))*C34</f>
        <v/>
      </c>
      <c r="J34" s="7">
        <f>SUMPRODUCT($U$5:$U$29,$K$5:$K$29)</f>
        <v/>
      </c>
      <c r="K34" s="7">
        <f>SUMPRODUCT($U$5:$U$29,$L$5:$L$29)</f>
        <v/>
      </c>
      <c r="L34" s="7">
        <f>SUMPRODUCT($U$5:$U$29,$N$5:$N$29)</f>
        <v/>
      </c>
      <c r="M34" s="7">
        <f>IF(SUMPRODUCT($U$5:$U$29,$R$5:$R$29)&gt;0,1,0)</f>
        <v/>
      </c>
      <c r="N34" s="7">
        <f>SUMPRODUCT(($AO$5:$AO$24&gt;=A34)*($AO$5:$AO$24&lt;A34+1)*$AP$5:$AP$24)*C34+IF(1=0,IF(sel_loc&lt;&gt;"miami",personal_costoMudanzaInicial,0),0)</f>
        <v/>
      </c>
      <c r="O34" s="7">
        <f>MIN(personal_aporte403bPct*D34,retiro_limite403b*C34)</f>
        <v/>
      </c>
      <c r="P34" s="7">
        <f>MIN(personal_aporte403bPct,personal_match403bPct)*E34</f>
        <v/>
      </c>
      <c r="Q34" s="7">
        <f>IF(G34&gt;0,MAX(0,G34-impuestos_scorpCostoAnual*C34),0)</f>
        <v/>
      </c>
      <c r="R34" s="7">
        <f>Q34*impuestos_scorpSalarioPct/(1+impuestos_ssTasa+impuestos_medicareTasa)</f>
        <v/>
      </c>
      <c r="S34" s="7">
        <f>impuestos_ssTasa*MIN(R34,MAX(0,impuestos_ssTope*C34-D34))+impuestos_medicareTasa*R34</f>
        <v/>
      </c>
      <c r="T34" s="7">
        <f>Q34-R34-S34</f>
        <v/>
      </c>
      <c r="U34" s="7">
        <f>D34+R34</f>
        <v/>
      </c>
      <c r="V34" s="7">
        <f>H34*0.9235</f>
        <v/>
      </c>
      <c r="W34" s="7">
        <f>IF(H34&gt;0,2*impuestos_ssTasa*MIN(V34,MAX(0,impuestos_ssTope*C34-U34))+2*impuestos_medicareTasa*V34,0)</f>
        <v/>
      </c>
      <c r="X34" s="7">
        <f>impuestos_ssTasa*MIN(U34,impuestos_ssTope*C34)+impuestos_medicareTasa*U34+impuestos_medicareAdicional*MAX(0,U34+H34*0.9235-impuestos_medicareUmbral)</f>
        <v/>
      </c>
      <c r="Y34" s="7">
        <f>MAX(0,D34-O34+R34+T34+H34-W34/2)</f>
        <v/>
      </c>
      <c r="Z34" s="7">
        <f>MAX(0,Y34-impuestos_deduccionEstandar*C34)</f>
        <v/>
      </c>
      <c r="AA34" s="7">
        <f>MIN(0.2*MAX(0,T34+H34-W34/2)*MAX(0,MIN(1,1-(Z34-impuestos_qbiUmbral*C34)/(impuestos_qbiRango*C34))),0.2*Z34)</f>
        <v/>
      </c>
      <c r="AB34" s="7">
        <f>MAX(0,Z34-AA34)</f>
        <v/>
      </c>
      <c r="AC34" s="7">
        <f>SUMPRODUCT((AB34&gt;tb_federalBrackets_lo*C34)*(AB34-tb_federalBrackets_lo*C34)*tb_federalBrackets_dr)</f>
        <v/>
      </c>
      <c r="AD34" s="7">
        <f>MAX(0,Y34-impuestos_nyDeduccion*C34)</f>
        <v/>
      </c>
      <c r="AE34" s="7">
        <f>CHOOSE(loc_taxcode,0,impuestos_ohTasa*MAX(0,Y34-impuestos_ohExento*C34)+impuestos_ohMunicipal*U34,SUMPRODUCT((AD34&gt;tb_nyBrackets_lo*C34)*(AD34-tb_nyBrackets_lo*C34)*tb_nyBrackets_dr)+loc_nyc*SUMPRODUCT((AD34&gt;tb_nycBrackets_lo*C34)*(AD34-tb_nycBrackets_lo*C34)*tb_nycBrackets_dr))</f>
        <v/>
      </c>
      <c r="AF34" s="7">
        <f>AC34+AE34+X34+W34</f>
        <v/>
      </c>
      <c r="AG34" s="7">
        <f>D34+F34+R34+T34+H34</f>
        <v/>
      </c>
      <c r="AH34" s="7">
        <f>AG34-AF34-O34</f>
        <v/>
      </c>
      <c r="AI34" s="7">
        <f>D34+F34+G34+H34</f>
        <v/>
      </c>
      <c r="AJ34" s="7">
        <f>loc_gastosVida*C34*g_gastos</f>
        <v/>
      </c>
      <c r="AK34" s="7">
        <f>IF(1=0,personal_liquidoInicial,DR33)</f>
        <v/>
      </c>
      <c r="AL34" s="7">
        <f>IF(1=0,0,BB33)</f>
        <v/>
      </c>
      <c r="AM34" s="7">
        <f>CHOOSE(sel_cfgIdx,loc_precio_duplex,loc_precio_inlaw,loc_precio_dosCasas,loc_precio_casaAdu,loc_precio_multi)</f>
        <v/>
      </c>
      <c r="AN34" s="7">
        <f>AM34*(1+g_appr)^(A34-2026)</f>
        <v/>
      </c>
      <c r="AO34" s="7">
        <f>IF(AND(M34=1,vivienda_prestamoMedico=1),1,0)</f>
        <v/>
      </c>
      <c r="AP34" s="7">
        <f>IF(AO34=1,0.05,vivienda_enganchePct)</f>
        <v/>
      </c>
      <c r="AQ34" s="7">
        <f>AN34*(1-AP34)</f>
        <v/>
      </c>
      <c r="AR34" s="7">
        <f>PMT(g_mortRate/12,vivienda_plazoHipoteca*12,-AQ34)</f>
        <v/>
      </c>
      <c r="AS34" s="7">
        <f>INDEX(cfg_units,sel_cfgIdx)</f>
        <v/>
      </c>
      <c r="AT34" s="7">
        <f>AS34*loc_rentaUnidad*(1+g_inf)^(A34-2026)*(1-vivienda_vacancia)</f>
        <v/>
      </c>
      <c r="AU34" s="7">
        <f>AR34+AN34*loc_impuestoPropPct/12+AM34*loc_seguroPct*(1+vivienda_inflacionSeguro)^(A34-2026)/12+IF(AND(AO34=0,AP34&lt;0.2),AQ34*vivienda_pmiTasa/12,0)</f>
        <v/>
      </c>
      <c r="AV34" s="7">
        <f>AN34*AP34+AN34*vivienda_cierrePct+general_reservaMeses/12*AJ34</f>
        <v/>
      </c>
      <c r="AW34" s="7">
        <f>(IF(1=0,MIN(personal_irsSaldo,personal_irsPagoMensual*12),MIN(CD33,personal_irsPagoMensual*12))+IF(CE34&gt;0,PMT(CF34,MAX(1,prestamos_plazoAnios-CG34),-CE34),0)+IF(CR34&gt;0,PMT(CS34,MAX(1,prestamos_plazoAnios-CT34),-CR34),0))/12</f>
        <v/>
      </c>
      <c r="AX34" s="7">
        <f>IF(OR(sel_cfg="duplex",sel_cfg="multi",sel_cfg="dosCasas"),0.75*personal_aporteFamiliaMensual,0)</f>
        <v/>
      </c>
      <c r="AY34" s="7">
        <f>AU34-0.75*AT34-AX34+AW34</f>
        <v/>
      </c>
      <c r="AZ34" s="7">
        <f>(D34+G34+H34+0.5*F34)/12</f>
        <v/>
      </c>
      <c r="BA34" s="7">
        <f>IF(AND(AL34=0,A34&gt;=vivienda_anioMinCompra,J34&lt;0.5,AI34&gt;0,AK34&gt;=AV34,AY34&lt;=vivienda_dtiMax*AZ34),1,0)</f>
        <v/>
      </c>
      <c r="BB34" s="7">
        <f>MAX(AL34,BA34)</f>
        <v/>
      </c>
      <c r="BC34" s="7">
        <f>IF(BA34=1,A34,IF(1=0,"",BC33))</f>
        <v/>
      </c>
      <c r="BD34" s="7">
        <f>AK34-IF(BA34=1,AN34*AP34+AN34*vivienda_cierrePct,0)</f>
        <v/>
      </c>
      <c r="BE34" s="7">
        <f>IF(BA34=1,AN34,IF(1=0,0,BE33))</f>
        <v/>
      </c>
      <c r="BF34" s="7">
        <f>IF(BA34=1,AR34,IF(1=0,0,BF33))</f>
        <v/>
      </c>
      <c r="BG34" s="7">
        <f>IF(BA34=1,IF(AND(AO34=0,AP34&lt;0.2),1,0),IF(1=0,0,BY33))</f>
        <v/>
      </c>
      <c r="BH34" s="7">
        <f>IF(sel_cfg="casaAdu",1,0)</f>
        <v/>
      </c>
      <c r="BI34" s="7">
        <f>IF(AND(BB34=1,BH34=1,IF(1=0,0,BJ33)=0,A34&gt;=IF(BC34="",9999,BC34)+vivienda_aduRetrasoAnios),1,0)</f>
        <v/>
      </c>
      <c r="BJ34" s="7">
        <f>MAX(IF(1=0,0,BJ33),BI34)</f>
        <v/>
      </c>
      <c r="BK34" s="7">
        <f>IF(BI34=1,PMT((g_mortRate+0.005)/12,180,-loc_precio_aduCosto*C34),IF(1=0,0,BK33))</f>
        <v/>
      </c>
      <c r="BL34" s="7">
        <f>IF(BA34=1,AN34,IF(1=0,0,DT33))+IF(BI34=1,loc_precio_aduCosto*C34,0)</f>
        <v/>
      </c>
      <c r="BM34" s="7">
        <f>IF(BA34=1,AQ34,IF(1=0,0,DU33))</f>
        <v/>
      </c>
      <c r="BN34" s="7">
        <f>IF(BM34&lt;=0,0,FV(g_mortRate/12,12,BF34,-BM34))</f>
        <v/>
      </c>
      <c r="BO34" s="7">
        <f>IF(BM34&lt;=0,0,12*BF34+MIN(0,BN34))</f>
        <v/>
      </c>
      <c r="BP34" s="7">
        <f>MAX(0,BN34)</f>
        <v/>
      </c>
      <c r="BQ34" s="7">
        <f>IF(BI34=1,loc_precio_aduCosto*C34,IF(1=0,0,DV33))</f>
        <v/>
      </c>
      <c r="BR34" s="7">
        <f>IF(BQ34&lt;=0,0,FV((g_mortRate+0.005)/12,12,BK34,-BQ34))</f>
        <v/>
      </c>
      <c r="BS34" s="7">
        <f>IF(BQ34&lt;=0,0,12*BK34+MIN(0,BR34))</f>
        <v/>
      </c>
      <c r="BT34" s="7">
        <f>MAX(0,BR34)</f>
        <v/>
      </c>
      <c r="BU34" s="7">
        <f>IF(BB34=1,AM34*loc_seguroPct*(1+vivienda_inflacionSeguro)^(A34-2026)*IF(BJ34=1,1+loc_precio_aduCosto/AM34,1),0)</f>
        <v/>
      </c>
      <c r="BV34" s="7">
        <f>BL34*loc_impuestoPropPct</f>
        <v/>
      </c>
      <c r="BW34" s="7">
        <f>BL34*vivienda_mantenimientoPct</f>
        <v/>
      </c>
      <c r="BX34" s="7">
        <f>IF(AND(BG34=1,BP34&gt;0.8*BE34),BE34*(1-vivienda_enganchePct)*vivienda_pmiTasa,0)</f>
        <v/>
      </c>
      <c r="BY34" s="7">
        <f>IF(AND(BG34=1,BP34&gt;0.8*BE34),1,0)</f>
        <v/>
      </c>
      <c r="BZ34" s="7">
        <f>IF(BB34=1,AS34*loc_rentaUnidad*12*C34*(1-vivienda_vacancia)*(1-vivienda_gestionPct),0)</f>
        <v/>
      </c>
      <c r="CA34" s="7">
        <f>IF(BB34=1,BO34+BS34+BU34+BV34+BW34+BX34,loc_rentaMensual*12*C34)</f>
        <v/>
      </c>
      <c r="CB34" s="7">
        <f>IF(BB34=1,personal_aporteFamiliaMensual*12,0)</f>
        <v/>
      </c>
      <c r="CC34" s="7">
        <f>MIN(IF(1=0,personal_irsSaldo,CD33),personal_irsPagoMensual*12)</f>
        <v/>
      </c>
      <c r="CD34" s="7">
        <f>IF(1=0,personal_irsSaldo,CD33)-CC34</f>
        <v/>
      </c>
      <c r="CE34" s="7">
        <f>IF(1=0,IF(personal_deudaEsFederal=1,personal_deudaEstudiantil,0),DW33)</f>
        <v/>
      </c>
      <c r="CF34" s="7">
        <f>IF(1=0,personal_tasaDeudaEstudiantil,DX33)</f>
        <v/>
      </c>
      <c r="CG34" s="7">
        <f>IF(1=0,0,DY33)</f>
        <v/>
      </c>
      <c r="CH34" s="7">
        <f>IF(J34&gt;=0.5,1,0)</f>
        <v/>
      </c>
      <c r="CI34" s="7">
        <f>IF(AND(CH34=0,prestamos_pslfActivo=1,K34&gt;=0.5,CE34&gt;0),1,0)</f>
        <v/>
      </c>
      <c r="CJ34" s="7">
        <f>CE34*CF34</f>
        <v/>
      </c>
      <c r="CK34" s="7">
        <f>MAX(prestamos_rapPagoMinimoAnual,IF(Y34&lt;10000,0,MIN(0.1,INT(Y34/10000)/100))*Y34)</f>
        <v/>
      </c>
      <c r="CL34" s="7">
        <f>IF(CE34&lt;=0,0,IF(CH34=1,0,IF(CI34=1,MIN(CE34+CJ34,CK34),PMT(CF34,MAX(1,prestamos_plazoAnios-CG34),-CE34))))</f>
        <v/>
      </c>
      <c r="CM34" s="7">
        <f>IF(CE34&lt;=0,0,IF(CH34=1,CE34+CJ34,IF(CI34=1,MAX(0,CE34-MAX(CL34-CJ34,MIN(600,CL34))),MAX(0,CE34*(1+CF34)-CL34))))</f>
        <v/>
      </c>
      <c r="CN34" s="7">
        <f>IF(1=0,0,CN33)+IF(CI34=1,12*MIN(1,K34),0)</f>
        <v/>
      </c>
      <c r="CO34" s="7">
        <f>IF(AND(CI34=1,CN34&gt;=prestamos_pslfPagos,CM34&gt;0),CM34,0)</f>
        <v/>
      </c>
      <c r="CP34" s="7">
        <f>CM34-CO34</f>
        <v/>
      </c>
      <c r="CQ34" s="7">
        <f>IF(AND(CE34&gt;0,CH34=0,CI34=0),CG34+1,CG34)</f>
        <v/>
      </c>
      <c r="CR34" s="7">
        <f>IF(1=0,IF(personal_deudaEsFederal=1,0,personal_deudaEstudiantil),EA33)</f>
        <v/>
      </c>
      <c r="CS34" s="7">
        <f>IF(1=0,IF(personal_deudaEsFederal=1,prestamos_tasaPrivada,personal_tasaDeudaEstudiantil),EB33)</f>
        <v/>
      </c>
      <c r="CT34" s="7">
        <f>IF(1=0,0,EC33)</f>
        <v/>
      </c>
      <c r="CU34" s="7">
        <f>IF(OR(CR34&lt;=0,CH34=1),0,PMT(CS34,MAX(1,prestamos_plazoAnios-CT34),-CR34))</f>
        <v/>
      </c>
      <c r="CV34" s="7">
        <f>IF(CR34&lt;=0,0,IF(CH34=1,CR34*(1+CS34),MAX(0,CR34*(1+CS34)-CU34)))</f>
        <v/>
      </c>
      <c r="CW34" s="7">
        <f>IF(AND(CR34&gt;0,CH34=0),CT34+1,CT34)</f>
        <v/>
      </c>
      <c r="CX34" s="7">
        <f>IF(1=0,0,ED33)*(1+general_tasaDeudaConsumo)</f>
        <v/>
      </c>
      <c r="CY34" s="7">
        <f>L34*12*tiempos_travelGastoExtraMes*C34</f>
        <v/>
      </c>
      <c r="CZ34" s="7">
        <f>AJ34+CY34+CA34+CC34+CL34+CU34+I34+N34-BZ34-CB34</f>
        <v/>
      </c>
      <c r="DA34" s="7">
        <f>AH34-CZ34</f>
        <v/>
      </c>
      <c r="DB34" s="7">
        <f>IF(1=0,0,DB33)+DA34</f>
        <v/>
      </c>
      <c r="DC34" s="7">
        <f>AN34*vivienda_enganchePct+AN34*vivienda_cierrePct+general_reservaMeses/12*AJ34</f>
        <v/>
      </c>
      <c r="DD34" s="7">
        <f>IF(BB34=1,g_ret,IF(BD34&gt;0,MIN(1,DC34/BD34),1)*g_cash+(1-IF(BD34&gt;0,MIN(1,DC34/BD34),1))*g_ret)</f>
        <v/>
      </c>
      <c r="DE34" s="7">
        <f>IF(DA34&gt;=0,MIN(CX34,DA34),0)</f>
        <v/>
      </c>
      <c r="DF34" s="7">
        <f>IF(DA34&gt;=0,(1-general_tasaAhorro)*(DA34-DE34),0)</f>
        <v/>
      </c>
      <c r="DG34" s="7">
        <f>IF(DA34&gt;=0,DA34-DE34-DF34,0)</f>
        <v/>
      </c>
      <c r="DH34" s="7">
        <f>MIN(personal_rothAnual,DG34)</f>
        <v/>
      </c>
      <c r="DI34" s="7">
        <f>IF(AND(DA34&gt;=0,BB34=1,BP34+BT34&gt;0),MIN(vivienda_prepagoPct*(DG34-DH34),BP34+BT34),0)</f>
        <v/>
      </c>
      <c r="DJ34" s="7">
        <f>MIN(DI34,BP34)</f>
        <v/>
      </c>
      <c r="DK34" s="7">
        <f>IF(DA34&lt;0,MIN(MAX(0,BD34),-DA34),0)</f>
        <v/>
      </c>
      <c r="DL34" s="7">
        <f>IF(DA34&lt;0,-DA34-DK34,0)</f>
        <v/>
      </c>
      <c r="DM34" s="7">
        <f>IF(1=0,0,DZ33)</f>
        <v/>
      </c>
      <c r="DN34" s="7">
        <f>IF(AND(DL34&gt;0,J34&gt;0),MIN(DL34,MIN(prestamos_topeAnualPosgrado*MIN(1,J34),MAX(0,prestamos_topeTotalPosgrado-DM34))),0)</f>
        <v/>
      </c>
      <c r="DO34" s="7">
        <f>IF(AND(DL34&gt;0,J34&gt;0),DL34-DN34,0)</f>
        <v/>
      </c>
      <c r="DP34" s="7">
        <f>IF(AND(DL34&gt;0,J34&lt;=0),DL34,0)</f>
        <v/>
      </c>
      <c r="DQ34" s="7">
        <f>IF(DA34&gt;=0,DG34-DH34-DI34,-DK34)</f>
        <v/>
      </c>
      <c r="DR34" s="7">
        <f>BD34*(1+DD34)+DQ34*(1+DD34/2)</f>
        <v/>
      </c>
      <c r="DS34" s="7">
        <f>IF(1=0,personal_retiroInicial,DS33)*(1+g_ret)+(O34+P34+DH34)*(1+g_ret/2)</f>
        <v/>
      </c>
      <c r="DT34" s="7">
        <f>IF(BB34=1,BL34*(1+g_appr),0)</f>
        <v/>
      </c>
      <c r="DU34" s="7">
        <f>BP34-DJ34</f>
        <v/>
      </c>
      <c r="DV34" s="7">
        <f>BT34-(DI34-DJ34)</f>
        <v/>
      </c>
      <c r="DW34" s="7">
        <f>CP34+DN34</f>
        <v/>
      </c>
      <c r="DX34" s="7">
        <f>IF(DN34&gt;0,(CP34*CF34+DN34*prestamos_tasaFederalPosgrado)/(CP34+DN34),CF34)</f>
        <v/>
      </c>
      <c r="DY34" s="7">
        <f>IF(DN34&gt;0,0,CQ34)</f>
        <v/>
      </c>
      <c r="DZ34" s="7">
        <f>DM34+DN34</f>
        <v/>
      </c>
      <c r="EA34" s="7">
        <f>CV34+DO34</f>
        <v/>
      </c>
      <c r="EB34" s="7">
        <f>IF(DO34&gt;0,(CV34*CS34+DO34*prestamos_tasaPrivada)/(CV34+DO34),CS34)</f>
        <v/>
      </c>
      <c r="EC34" s="7">
        <f>IF(DO34&gt;0,0,CW34)</f>
        <v/>
      </c>
      <c r="ED34" s="7">
        <f>CX34-DE34+DP34</f>
        <v/>
      </c>
      <c r="EE34" s="7">
        <f>IF(IF(1=0,"",EE33)&lt;&gt;"",EE33,IF(AND(BB34=1,DU34&lt;=0.5,DV34&lt;=0.5,OR(BH34=0,BJ34=1)),A34,""))</f>
        <v/>
      </c>
      <c r="EF34" s="7">
        <f>DU34+DV34+DW34+EA34+ED34+CD34</f>
        <v/>
      </c>
      <c r="EG34" s="7">
        <f>DR34+DS34+DT34-EF34</f>
        <v/>
      </c>
      <c r="EH34" s="7">
        <f>EG34/(1+g_inf)^(A34+1-2026)</f>
        <v/>
      </c>
    </row>
    <row r="35">
      <c r="A35" t="n">
        <v>2029</v>
      </c>
      <c r="B35" t="n">
        <v>2</v>
      </c>
      <c r="C35" s="7">
        <f>(1+g_inf)^(A35-2026)</f>
        <v/>
      </c>
      <c r="D35" s="7">
        <f>SUMPRODUCT($V$5:$V$29,$E$5:$E$29*(1+$F$5:$F$29)^(A35-2026)*$G$5:$G$29*$H$5:$H$29*(1-$N$5:$N$29*$O$5:$O$29))*g_salMult+SUMPRODUCT(($B$5:$B$29&gt;=A35)*($B$5:$B$29&lt;A35+1)*$I$5:$I$29)*g_salMult</f>
        <v/>
      </c>
      <c r="E35" s="7">
        <f>SUMPRODUCT($V$5:$V$29,$E$5:$E$29*(1+$F$5:$F$29)^(A35-2026)*$G$5:$G$29*$H$5:$H$29*$M$5:$M$29)*g_salMult</f>
        <v/>
      </c>
      <c r="F35" s="7">
        <f>SUMPRODUCT($V$5:$V$29,$E$5:$E$29*(1+$F$5:$F$29)^(A35-2026)*$G$5:$G$29*$H$5:$H$29*$N$5:$N$29*$O$5:$O$29)*g_salMult</f>
        <v/>
      </c>
      <c r="G35" s="7">
        <f>SUMPRODUCT($V$5:$V$29,$P$5:$P$29*(1+$F$5:$F$29)^(A35-2026))</f>
        <v/>
      </c>
      <c r="H35" s="7">
        <f>SUMPRODUCT($V$5:$V$29,$Q$5:$Q$29*(1+$F$5:$F$29)^(A35-2026))+IF(personal_llcActivo=1,personal_llcNeto*(1+personal_llcCrecimiento)^2,0)</f>
        <v/>
      </c>
      <c r="I35" s="7">
        <f>SUMPRODUCT($V$5:$V$29,$J$5:$J$29/($C$5:$C$29-$B$5:$B$29+($C$5:$C$29=$B$5:$B$29)))*C35</f>
        <v/>
      </c>
      <c r="J35" s="7">
        <f>SUMPRODUCT($V$5:$V$29,$K$5:$K$29)</f>
        <v/>
      </c>
      <c r="K35" s="7">
        <f>SUMPRODUCT($V$5:$V$29,$L$5:$L$29)</f>
        <v/>
      </c>
      <c r="L35" s="7">
        <f>SUMPRODUCT($V$5:$V$29,$N$5:$N$29)</f>
        <v/>
      </c>
      <c r="M35" s="7">
        <f>IF(SUMPRODUCT($V$5:$V$29,$R$5:$R$29)&gt;0,1,0)</f>
        <v/>
      </c>
      <c r="N35" s="7">
        <f>SUMPRODUCT(($AO$5:$AO$24&gt;=A35)*($AO$5:$AO$24&lt;A35+1)*$AP$5:$AP$24)*C35+IF(2=0,IF(sel_loc&lt;&gt;"miami",personal_costoMudanzaInicial,0),0)</f>
        <v/>
      </c>
      <c r="O35" s="7">
        <f>MIN(personal_aporte403bPct*D35,retiro_limite403b*C35)</f>
        <v/>
      </c>
      <c r="P35" s="7">
        <f>MIN(personal_aporte403bPct,personal_match403bPct)*E35</f>
        <v/>
      </c>
      <c r="Q35" s="7">
        <f>IF(G35&gt;0,MAX(0,G35-impuestos_scorpCostoAnual*C35),0)</f>
        <v/>
      </c>
      <c r="R35" s="7">
        <f>Q35*impuestos_scorpSalarioPct/(1+impuestos_ssTasa+impuestos_medicareTasa)</f>
        <v/>
      </c>
      <c r="S35" s="7">
        <f>impuestos_ssTasa*MIN(R35,MAX(0,impuestos_ssTope*C35-D35))+impuestos_medicareTasa*R35</f>
        <v/>
      </c>
      <c r="T35" s="7">
        <f>Q35-R35-S35</f>
        <v/>
      </c>
      <c r="U35" s="7">
        <f>D35+R35</f>
        <v/>
      </c>
      <c r="V35" s="7">
        <f>H35*0.9235</f>
        <v/>
      </c>
      <c r="W35" s="7">
        <f>IF(H35&gt;0,2*impuestos_ssTasa*MIN(V35,MAX(0,impuestos_ssTope*C35-U35))+2*impuestos_medicareTasa*V35,0)</f>
        <v/>
      </c>
      <c r="X35" s="7">
        <f>impuestos_ssTasa*MIN(U35,impuestos_ssTope*C35)+impuestos_medicareTasa*U35+impuestos_medicareAdicional*MAX(0,U35+H35*0.9235-impuestos_medicareUmbral)</f>
        <v/>
      </c>
      <c r="Y35" s="7">
        <f>MAX(0,D35-O35+R35+T35+H35-W35/2)</f>
        <v/>
      </c>
      <c r="Z35" s="7">
        <f>MAX(0,Y35-impuestos_deduccionEstandar*C35)</f>
        <v/>
      </c>
      <c r="AA35" s="7">
        <f>MIN(0.2*MAX(0,T35+H35-W35/2)*MAX(0,MIN(1,1-(Z35-impuestos_qbiUmbral*C35)/(impuestos_qbiRango*C35))),0.2*Z35)</f>
        <v/>
      </c>
      <c r="AB35" s="7">
        <f>MAX(0,Z35-AA35)</f>
        <v/>
      </c>
      <c r="AC35" s="7">
        <f>SUMPRODUCT((AB35&gt;tb_federalBrackets_lo*C35)*(AB35-tb_federalBrackets_lo*C35)*tb_federalBrackets_dr)</f>
        <v/>
      </c>
      <c r="AD35" s="7">
        <f>MAX(0,Y35-impuestos_nyDeduccion*C35)</f>
        <v/>
      </c>
      <c r="AE35" s="7">
        <f>CHOOSE(loc_taxcode,0,impuestos_ohTasa*MAX(0,Y35-impuestos_ohExento*C35)+impuestos_ohMunicipal*U35,SUMPRODUCT((AD35&gt;tb_nyBrackets_lo*C35)*(AD35-tb_nyBrackets_lo*C35)*tb_nyBrackets_dr)+loc_nyc*SUMPRODUCT((AD35&gt;tb_nycBrackets_lo*C35)*(AD35-tb_nycBrackets_lo*C35)*tb_nycBrackets_dr))</f>
        <v/>
      </c>
      <c r="AF35" s="7">
        <f>AC35+AE35+X35+W35</f>
        <v/>
      </c>
      <c r="AG35" s="7">
        <f>D35+F35+R35+T35+H35</f>
        <v/>
      </c>
      <c r="AH35" s="7">
        <f>AG35-AF35-O35</f>
        <v/>
      </c>
      <c r="AI35" s="7">
        <f>D35+F35+G35+H35</f>
        <v/>
      </c>
      <c r="AJ35" s="7">
        <f>loc_gastosVida*C35*g_gastos</f>
        <v/>
      </c>
      <c r="AK35" s="7">
        <f>IF(2=0,personal_liquidoInicial,DR34)</f>
        <v/>
      </c>
      <c r="AL35" s="7">
        <f>IF(2=0,0,BB34)</f>
        <v/>
      </c>
      <c r="AM35" s="7">
        <f>CHOOSE(sel_cfgIdx,loc_precio_duplex,loc_precio_inlaw,loc_precio_dosCasas,loc_precio_casaAdu,loc_precio_multi)</f>
        <v/>
      </c>
      <c r="AN35" s="7">
        <f>AM35*(1+g_appr)^(A35-2026)</f>
        <v/>
      </c>
      <c r="AO35" s="7">
        <f>IF(AND(M35=1,vivienda_prestamoMedico=1),1,0)</f>
        <v/>
      </c>
      <c r="AP35" s="7">
        <f>IF(AO35=1,0.05,vivienda_enganchePct)</f>
        <v/>
      </c>
      <c r="AQ35" s="7">
        <f>AN35*(1-AP35)</f>
        <v/>
      </c>
      <c r="AR35" s="7">
        <f>PMT(g_mortRate/12,vivienda_plazoHipoteca*12,-AQ35)</f>
        <v/>
      </c>
      <c r="AS35" s="7">
        <f>INDEX(cfg_units,sel_cfgIdx)</f>
        <v/>
      </c>
      <c r="AT35" s="7">
        <f>AS35*loc_rentaUnidad*(1+g_inf)^(A35-2026)*(1-vivienda_vacancia)</f>
        <v/>
      </c>
      <c r="AU35" s="7">
        <f>AR35+AN35*loc_impuestoPropPct/12+AM35*loc_seguroPct*(1+vivienda_inflacionSeguro)^(A35-2026)/12+IF(AND(AO35=0,AP35&lt;0.2),AQ35*vivienda_pmiTasa/12,0)</f>
        <v/>
      </c>
      <c r="AV35" s="7">
        <f>AN35*AP35+AN35*vivienda_cierrePct+general_reservaMeses/12*AJ35</f>
        <v/>
      </c>
      <c r="AW35" s="7">
        <f>(IF(2=0,MIN(personal_irsSaldo,personal_irsPagoMensual*12),MIN(CD34,personal_irsPagoMensual*12))+IF(CE35&gt;0,PMT(CF35,MAX(1,prestamos_plazoAnios-CG35),-CE35),0)+IF(CR35&gt;0,PMT(CS35,MAX(1,prestamos_plazoAnios-CT35),-CR35),0))/12</f>
        <v/>
      </c>
      <c r="AX35" s="7">
        <f>IF(OR(sel_cfg="duplex",sel_cfg="multi",sel_cfg="dosCasas"),0.75*personal_aporteFamiliaMensual,0)</f>
        <v/>
      </c>
      <c r="AY35" s="7">
        <f>AU35-0.75*AT35-AX35+AW35</f>
        <v/>
      </c>
      <c r="AZ35" s="7">
        <f>(D35+G35+H35+0.5*F35)/12</f>
        <v/>
      </c>
      <c r="BA35" s="7">
        <f>IF(AND(AL35=0,A35&gt;=vivienda_anioMinCompra,J35&lt;0.5,AI35&gt;0,AK35&gt;=AV35,AY35&lt;=vivienda_dtiMax*AZ35),1,0)</f>
        <v/>
      </c>
      <c r="BB35" s="7">
        <f>MAX(AL35,BA35)</f>
        <v/>
      </c>
      <c r="BC35" s="7">
        <f>IF(BA35=1,A35,IF(2=0,"",BC34))</f>
        <v/>
      </c>
      <c r="BD35" s="7">
        <f>AK35-IF(BA35=1,AN35*AP35+AN35*vivienda_cierrePct,0)</f>
        <v/>
      </c>
      <c r="BE35" s="7">
        <f>IF(BA35=1,AN35,IF(2=0,0,BE34))</f>
        <v/>
      </c>
      <c r="BF35" s="7">
        <f>IF(BA35=1,AR35,IF(2=0,0,BF34))</f>
        <v/>
      </c>
      <c r="BG35" s="7">
        <f>IF(BA35=1,IF(AND(AO35=0,AP35&lt;0.2),1,0),IF(2=0,0,BY34))</f>
        <v/>
      </c>
      <c r="BH35" s="7">
        <f>IF(sel_cfg="casaAdu",1,0)</f>
        <v/>
      </c>
      <c r="BI35" s="7">
        <f>IF(AND(BB35=1,BH35=1,IF(2=0,0,BJ34)=0,A35&gt;=IF(BC35="",9999,BC35)+vivienda_aduRetrasoAnios),1,0)</f>
        <v/>
      </c>
      <c r="BJ35" s="7">
        <f>MAX(IF(2=0,0,BJ34),BI35)</f>
        <v/>
      </c>
      <c r="BK35" s="7">
        <f>IF(BI35=1,PMT((g_mortRate+0.005)/12,180,-loc_precio_aduCosto*C35),IF(2=0,0,BK34))</f>
        <v/>
      </c>
      <c r="BL35" s="7">
        <f>IF(BA35=1,AN35,IF(2=0,0,DT34))+IF(BI35=1,loc_precio_aduCosto*C35,0)</f>
        <v/>
      </c>
      <c r="BM35" s="7">
        <f>IF(BA35=1,AQ35,IF(2=0,0,DU34))</f>
        <v/>
      </c>
      <c r="BN35" s="7">
        <f>IF(BM35&lt;=0,0,FV(g_mortRate/12,12,BF35,-BM35))</f>
        <v/>
      </c>
      <c r="BO35" s="7">
        <f>IF(BM35&lt;=0,0,12*BF35+MIN(0,BN35))</f>
        <v/>
      </c>
      <c r="BP35" s="7">
        <f>MAX(0,BN35)</f>
        <v/>
      </c>
      <c r="BQ35" s="7">
        <f>IF(BI35=1,loc_precio_aduCosto*C35,IF(2=0,0,DV34))</f>
        <v/>
      </c>
      <c r="BR35" s="7">
        <f>IF(BQ35&lt;=0,0,FV((g_mortRate+0.005)/12,12,BK35,-BQ35))</f>
        <v/>
      </c>
      <c r="BS35" s="7">
        <f>IF(BQ35&lt;=0,0,12*BK35+MIN(0,BR35))</f>
        <v/>
      </c>
      <c r="BT35" s="7">
        <f>MAX(0,BR35)</f>
        <v/>
      </c>
      <c r="BU35" s="7">
        <f>IF(BB35=1,AM35*loc_seguroPct*(1+vivienda_inflacionSeguro)^(A35-2026)*IF(BJ35=1,1+loc_precio_aduCosto/AM35,1),0)</f>
        <v/>
      </c>
      <c r="BV35" s="7">
        <f>BL35*loc_impuestoPropPct</f>
        <v/>
      </c>
      <c r="BW35" s="7">
        <f>BL35*vivienda_mantenimientoPct</f>
        <v/>
      </c>
      <c r="BX35" s="7">
        <f>IF(AND(BG35=1,BP35&gt;0.8*BE35),BE35*(1-vivienda_enganchePct)*vivienda_pmiTasa,0)</f>
        <v/>
      </c>
      <c r="BY35" s="7">
        <f>IF(AND(BG35=1,BP35&gt;0.8*BE35),1,0)</f>
        <v/>
      </c>
      <c r="BZ35" s="7">
        <f>IF(BB35=1,AS35*loc_rentaUnidad*12*C35*(1-vivienda_vacancia)*(1-vivienda_gestionPct),0)</f>
        <v/>
      </c>
      <c r="CA35" s="7">
        <f>IF(BB35=1,BO35+BS35+BU35+BV35+BW35+BX35,loc_rentaMensual*12*C35)</f>
        <v/>
      </c>
      <c r="CB35" s="7">
        <f>IF(BB35=1,personal_aporteFamiliaMensual*12,0)</f>
        <v/>
      </c>
      <c r="CC35" s="7">
        <f>MIN(IF(2=0,personal_irsSaldo,CD34),personal_irsPagoMensual*12)</f>
        <v/>
      </c>
      <c r="CD35" s="7">
        <f>IF(2=0,personal_irsSaldo,CD34)-CC35</f>
        <v/>
      </c>
      <c r="CE35" s="7">
        <f>IF(2=0,IF(personal_deudaEsFederal=1,personal_deudaEstudiantil,0),DW34)</f>
        <v/>
      </c>
      <c r="CF35" s="7">
        <f>IF(2=0,personal_tasaDeudaEstudiantil,DX34)</f>
        <v/>
      </c>
      <c r="CG35" s="7">
        <f>IF(2=0,0,DY34)</f>
        <v/>
      </c>
      <c r="CH35" s="7">
        <f>IF(J35&gt;=0.5,1,0)</f>
        <v/>
      </c>
      <c r="CI35" s="7">
        <f>IF(AND(CH35=0,prestamos_pslfActivo=1,K35&gt;=0.5,CE35&gt;0),1,0)</f>
        <v/>
      </c>
      <c r="CJ35" s="7">
        <f>CE35*CF35</f>
        <v/>
      </c>
      <c r="CK35" s="7">
        <f>MAX(prestamos_rapPagoMinimoAnual,IF(Y35&lt;10000,0,MIN(0.1,INT(Y35/10000)/100))*Y35)</f>
        <v/>
      </c>
      <c r="CL35" s="7">
        <f>IF(CE35&lt;=0,0,IF(CH35=1,0,IF(CI35=1,MIN(CE35+CJ35,CK35),PMT(CF35,MAX(1,prestamos_plazoAnios-CG35),-CE35))))</f>
        <v/>
      </c>
      <c r="CM35" s="7">
        <f>IF(CE35&lt;=0,0,IF(CH35=1,CE35+CJ35,IF(CI35=1,MAX(0,CE35-MAX(CL35-CJ35,MIN(600,CL35))),MAX(0,CE35*(1+CF35)-CL35))))</f>
        <v/>
      </c>
      <c r="CN35" s="7">
        <f>IF(2=0,0,CN34)+IF(CI35=1,12*MIN(1,K35),0)</f>
        <v/>
      </c>
      <c r="CO35" s="7">
        <f>IF(AND(CI35=1,CN35&gt;=prestamos_pslfPagos,CM35&gt;0),CM35,0)</f>
        <v/>
      </c>
      <c r="CP35" s="7">
        <f>CM35-CO35</f>
        <v/>
      </c>
      <c r="CQ35" s="7">
        <f>IF(AND(CE35&gt;0,CH35=0,CI35=0),CG35+1,CG35)</f>
        <v/>
      </c>
      <c r="CR35" s="7">
        <f>IF(2=0,IF(personal_deudaEsFederal=1,0,personal_deudaEstudiantil),EA34)</f>
        <v/>
      </c>
      <c r="CS35" s="7">
        <f>IF(2=0,IF(personal_deudaEsFederal=1,prestamos_tasaPrivada,personal_tasaDeudaEstudiantil),EB34)</f>
        <v/>
      </c>
      <c r="CT35" s="7">
        <f>IF(2=0,0,EC34)</f>
        <v/>
      </c>
      <c r="CU35" s="7">
        <f>IF(OR(CR35&lt;=0,CH35=1),0,PMT(CS35,MAX(1,prestamos_plazoAnios-CT35),-CR35))</f>
        <v/>
      </c>
      <c r="CV35" s="7">
        <f>IF(CR35&lt;=0,0,IF(CH35=1,CR35*(1+CS35),MAX(0,CR35*(1+CS35)-CU35)))</f>
        <v/>
      </c>
      <c r="CW35" s="7">
        <f>IF(AND(CR35&gt;0,CH35=0),CT35+1,CT35)</f>
        <v/>
      </c>
      <c r="CX35" s="7">
        <f>IF(2=0,0,ED34)*(1+general_tasaDeudaConsumo)</f>
        <v/>
      </c>
      <c r="CY35" s="7">
        <f>L35*12*tiempos_travelGastoExtraMes*C35</f>
        <v/>
      </c>
      <c r="CZ35" s="7">
        <f>AJ35+CY35+CA35+CC35+CL35+CU35+I35+N35-BZ35-CB35</f>
        <v/>
      </c>
      <c r="DA35" s="7">
        <f>AH35-CZ35</f>
        <v/>
      </c>
      <c r="DB35" s="7">
        <f>IF(2=0,0,DB34)+DA35</f>
        <v/>
      </c>
      <c r="DC35" s="7">
        <f>AN35*vivienda_enganchePct+AN35*vivienda_cierrePct+general_reservaMeses/12*AJ35</f>
        <v/>
      </c>
      <c r="DD35" s="7">
        <f>IF(BB35=1,g_ret,IF(BD35&gt;0,MIN(1,DC35/BD35),1)*g_cash+(1-IF(BD35&gt;0,MIN(1,DC35/BD35),1))*g_ret)</f>
        <v/>
      </c>
      <c r="DE35" s="7">
        <f>IF(DA35&gt;=0,MIN(CX35,DA35),0)</f>
        <v/>
      </c>
      <c r="DF35" s="7">
        <f>IF(DA35&gt;=0,(1-general_tasaAhorro)*(DA35-DE35),0)</f>
        <v/>
      </c>
      <c r="DG35" s="7">
        <f>IF(DA35&gt;=0,DA35-DE35-DF35,0)</f>
        <v/>
      </c>
      <c r="DH35" s="7">
        <f>MIN(personal_rothAnual,DG35)</f>
        <v/>
      </c>
      <c r="DI35" s="7">
        <f>IF(AND(DA35&gt;=0,BB35=1,BP35+BT35&gt;0),MIN(vivienda_prepagoPct*(DG35-DH35),BP35+BT35),0)</f>
        <v/>
      </c>
      <c r="DJ35" s="7">
        <f>MIN(DI35,BP35)</f>
        <v/>
      </c>
      <c r="DK35" s="7">
        <f>IF(DA35&lt;0,MIN(MAX(0,BD35),-DA35),0)</f>
        <v/>
      </c>
      <c r="DL35" s="7">
        <f>IF(DA35&lt;0,-DA35-DK35,0)</f>
        <v/>
      </c>
      <c r="DM35" s="7">
        <f>IF(2=0,0,DZ34)</f>
        <v/>
      </c>
      <c r="DN35" s="7">
        <f>IF(AND(DL35&gt;0,J35&gt;0),MIN(DL35,MIN(prestamos_topeAnualPosgrado*MIN(1,J35),MAX(0,prestamos_topeTotalPosgrado-DM35))),0)</f>
        <v/>
      </c>
      <c r="DO35" s="7">
        <f>IF(AND(DL35&gt;0,J35&gt;0),DL35-DN35,0)</f>
        <v/>
      </c>
      <c r="DP35" s="7">
        <f>IF(AND(DL35&gt;0,J35&lt;=0),DL35,0)</f>
        <v/>
      </c>
      <c r="DQ35" s="7">
        <f>IF(DA35&gt;=0,DG35-DH35-DI35,-DK35)</f>
        <v/>
      </c>
      <c r="DR35" s="7">
        <f>BD35*(1+DD35)+DQ35*(1+DD35/2)</f>
        <v/>
      </c>
      <c r="DS35" s="7">
        <f>IF(2=0,personal_retiroInicial,DS34)*(1+g_ret)+(O35+P35+DH35)*(1+g_ret/2)</f>
        <v/>
      </c>
      <c r="DT35" s="7">
        <f>IF(BB35=1,BL35*(1+g_appr),0)</f>
        <v/>
      </c>
      <c r="DU35" s="7">
        <f>BP35-DJ35</f>
        <v/>
      </c>
      <c r="DV35" s="7">
        <f>BT35-(DI35-DJ35)</f>
        <v/>
      </c>
      <c r="DW35" s="7">
        <f>CP35+DN35</f>
        <v/>
      </c>
      <c r="DX35" s="7">
        <f>IF(DN35&gt;0,(CP35*CF35+DN35*prestamos_tasaFederalPosgrado)/(CP35+DN35),CF35)</f>
        <v/>
      </c>
      <c r="DY35" s="7">
        <f>IF(DN35&gt;0,0,CQ35)</f>
        <v/>
      </c>
      <c r="DZ35" s="7">
        <f>DM35+DN35</f>
        <v/>
      </c>
      <c r="EA35" s="7">
        <f>CV35+DO35</f>
        <v/>
      </c>
      <c r="EB35" s="7">
        <f>IF(DO35&gt;0,(CV35*CS35+DO35*prestamos_tasaPrivada)/(CV35+DO35),CS35)</f>
        <v/>
      </c>
      <c r="EC35" s="7">
        <f>IF(DO35&gt;0,0,CW35)</f>
        <v/>
      </c>
      <c r="ED35" s="7">
        <f>CX35-DE35+DP35</f>
        <v/>
      </c>
      <c r="EE35" s="7">
        <f>IF(IF(2=0,"",EE34)&lt;&gt;"",EE34,IF(AND(BB35=1,DU35&lt;=0.5,DV35&lt;=0.5,OR(BH35=0,BJ35=1)),A35,""))</f>
        <v/>
      </c>
      <c r="EF35" s="7">
        <f>DU35+DV35+DW35+EA35+ED35+CD35</f>
        <v/>
      </c>
      <c r="EG35" s="7">
        <f>DR35+DS35+DT35-EF35</f>
        <v/>
      </c>
      <c r="EH35" s="7">
        <f>EG35/(1+g_inf)^(A35+1-2026)</f>
        <v/>
      </c>
    </row>
    <row r="36">
      <c r="A36" t="n">
        <v>2030</v>
      </c>
      <c r="B36" t="n">
        <v>3</v>
      </c>
      <c r="C36" s="7">
        <f>(1+g_inf)^(A36-2026)</f>
        <v/>
      </c>
      <c r="D36" s="7">
        <f>SUMPRODUCT($W$5:$W$29,$E$5:$E$29*(1+$F$5:$F$29)^(A36-2026)*$G$5:$G$29*$H$5:$H$29*(1-$N$5:$N$29*$O$5:$O$29))*g_salMult+SUMPRODUCT(($B$5:$B$29&gt;=A36)*($B$5:$B$29&lt;A36+1)*$I$5:$I$29)*g_salMult</f>
        <v/>
      </c>
      <c r="E36" s="7">
        <f>SUMPRODUCT($W$5:$W$29,$E$5:$E$29*(1+$F$5:$F$29)^(A36-2026)*$G$5:$G$29*$H$5:$H$29*$M$5:$M$29)*g_salMult</f>
        <v/>
      </c>
      <c r="F36" s="7">
        <f>SUMPRODUCT($W$5:$W$29,$E$5:$E$29*(1+$F$5:$F$29)^(A36-2026)*$G$5:$G$29*$H$5:$H$29*$N$5:$N$29*$O$5:$O$29)*g_salMult</f>
        <v/>
      </c>
      <c r="G36" s="7">
        <f>SUMPRODUCT($W$5:$W$29,$P$5:$P$29*(1+$F$5:$F$29)^(A36-2026))</f>
        <v/>
      </c>
      <c r="H36" s="7">
        <f>SUMPRODUCT($W$5:$W$29,$Q$5:$Q$29*(1+$F$5:$F$29)^(A36-2026))+IF(personal_llcActivo=1,personal_llcNeto*(1+personal_llcCrecimiento)^3,0)</f>
        <v/>
      </c>
      <c r="I36" s="7">
        <f>SUMPRODUCT($W$5:$W$29,$J$5:$J$29/($C$5:$C$29-$B$5:$B$29+($C$5:$C$29=$B$5:$B$29)))*C36</f>
        <v/>
      </c>
      <c r="J36" s="7">
        <f>SUMPRODUCT($W$5:$W$29,$K$5:$K$29)</f>
        <v/>
      </c>
      <c r="K36" s="7">
        <f>SUMPRODUCT($W$5:$W$29,$L$5:$L$29)</f>
        <v/>
      </c>
      <c r="L36" s="7">
        <f>SUMPRODUCT($W$5:$W$29,$N$5:$N$29)</f>
        <v/>
      </c>
      <c r="M36" s="7">
        <f>IF(SUMPRODUCT($W$5:$W$29,$R$5:$R$29)&gt;0,1,0)</f>
        <v/>
      </c>
      <c r="N36" s="7">
        <f>SUMPRODUCT(($AO$5:$AO$24&gt;=A36)*($AO$5:$AO$24&lt;A36+1)*$AP$5:$AP$24)*C36+IF(3=0,IF(sel_loc&lt;&gt;"miami",personal_costoMudanzaInicial,0),0)</f>
        <v/>
      </c>
      <c r="O36" s="7">
        <f>MIN(personal_aporte403bPct*D36,retiro_limite403b*C36)</f>
        <v/>
      </c>
      <c r="P36" s="7">
        <f>MIN(personal_aporte403bPct,personal_match403bPct)*E36</f>
        <v/>
      </c>
      <c r="Q36" s="7">
        <f>IF(G36&gt;0,MAX(0,G36-impuestos_scorpCostoAnual*C36),0)</f>
        <v/>
      </c>
      <c r="R36" s="7">
        <f>Q36*impuestos_scorpSalarioPct/(1+impuestos_ssTasa+impuestos_medicareTasa)</f>
        <v/>
      </c>
      <c r="S36" s="7">
        <f>impuestos_ssTasa*MIN(R36,MAX(0,impuestos_ssTope*C36-D36))+impuestos_medicareTasa*R36</f>
        <v/>
      </c>
      <c r="T36" s="7">
        <f>Q36-R36-S36</f>
        <v/>
      </c>
      <c r="U36" s="7">
        <f>D36+R36</f>
        <v/>
      </c>
      <c r="V36" s="7">
        <f>H36*0.9235</f>
        <v/>
      </c>
      <c r="W36" s="7">
        <f>IF(H36&gt;0,2*impuestos_ssTasa*MIN(V36,MAX(0,impuestos_ssTope*C36-U36))+2*impuestos_medicareTasa*V36,0)</f>
        <v/>
      </c>
      <c r="X36" s="7">
        <f>impuestos_ssTasa*MIN(U36,impuestos_ssTope*C36)+impuestos_medicareTasa*U36+impuestos_medicareAdicional*MAX(0,U36+H36*0.9235-impuestos_medicareUmbral)</f>
        <v/>
      </c>
      <c r="Y36" s="7">
        <f>MAX(0,D36-O36+R36+T36+H36-W36/2)</f>
        <v/>
      </c>
      <c r="Z36" s="7">
        <f>MAX(0,Y36-impuestos_deduccionEstandar*C36)</f>
        <v/>
      </c>
      <c r="AA36" s="7">
        <f>MIN(0.2*MAX(0,T36+H36-W36/2)*MAX(0,MIN(1,1-(Z36-impuestos_qbiUmbral*C36)/(impuestos_qbiRango*C36))),0.2*Z36)</f>
        <v/>
      </c>
      <c r="AB36" s="7">
        <f>MAX(0,Z36-AA36)</f>
        <v/>
      </c>
      <c r="AC36" s="7">
        <f>SUMPRODUCT((AB36&gt;tb_federalBrackets_lo*C36)*(AB36-tb_federalBrackets_lo*C36)*tb_federalBrackets_dr)</f>
        <v/>
      </c>
      <c r="AD36" s="7">
        <f>MAX(0,Y36-impuestos_nyDeduccion*C36)</f>
        <v/>
      </c>
      <c r="AE36" s="7">
        <f>CHOOSE(loc_taxcode,0,impuestos_ohTasa*MAX(0,Y36-impuestos_ohExento*C36)+impuestos_ohMunicipal*U36,SUMPRODUCT((AD36&gt;tb_nyBrackets_lo*C36)*(AD36-tb_nyBrackets_lo*C36)*tb_nyBrackets_dr)+loc_nyc*SUMPRODUCT((AD36&gt;tb_nycBrackets_lo*C36)*(AD36-tb_nycBrackets_lo*C36)*tb_nycBrackets_dr))</f>
        <v/>
      </c>
      <c r="AF36" s="7">
        <f>AC36+AE36+X36+W36</f>
        <v/>
      </c>
      <c r="AG36" s="7">
        <f>D36+F36+R36+T36+H36</f>
        <v/>
      </c>
      <c r="AH36" s="7">
        <f>AG36-AF36-O36</f>
        <v/>
      </c>
      <c r="AI36" s="7">
        <f>D36+F36+G36+H36</f>
        <v/>
      </c>
      <c r="AJ36" s="7">
        <f>loc_gastosVida*C36*g_gastos</f>
        <v/>
      </c>
      <c r="AK36" s="7">
        <f>IF(3=0,personal_liquidoInicial,DR35)</f>
        <v/>
      </c>
      <c r="AL36" s="7">
        <f>IF(3=0,0,BB35)</f>
        <v/>
      </c>
      <c r="AM36" s="7">
        <f>CHOOSE(sel_cfgIdx,loc_precio_duplex,loc_precio_inlaw,loc_precio_dosCasas,loc_precio_casaAdu,loc_precio_multi)</f>
        <v/>
      </c>
      <c r="AN36" s="7">
        <f>AM36*(1+g_appr)^(A36-2026)</f>
        <v/>
      </c>
      <c r="AO36" s="7">
        <f>IF(AND(M36=1,vivienda_prestamoMedico=1),1,0)</f>
        <v/>
      </c>
      <c r="AP36" s="7">
        <f>IF(AO36=1,0.05,vivienda_enganchePct)</f>
        <v/>
      </c>
      <c r="AQ36" s="7">
        <f>AN36*(1-AP36)</f>
        <v/>
      </c>
      <c r="AR36" s="7">
        <f>PMT(g_mortRate/12,vivienda_plazoHipoteca*12,-AQ36)</f>
        <v/>
      </c>
      <c r="AS36" s="7">
        <f>INDEX(cfg_units,sel_cfgIdx)</f>
        <v/>
      </c>
      <c r="AT36" s="7">
        <f>AS36*loc_rentaUnidad*(1+g_inf)^(A36-2026)*(1-vivienda_vacancia)</f>
        <v/>
      </c>
      <c r="AU36" s="7">
        <f>AR36+AN36*loc_impuestoPropPct/12+AM36*loc_seguroPct*(1+vivienda_inflacionSeguro)^(A36-2026)/12+IF(AND(AO36=0,AP36&lt;0.2),AQ36*vivienda_pmiTasa/12,0)</f>
        <v/>
      </c>
      <c r="AV36" s="7">
        <f>AN36*AP36+AN36*vivienda_cierrePct+general_reservaMeses/12*AJ36</f>
        <v/>
      </c>
      <c r="AW36" s="7">
        <f>(IF(3=0,MIN(personal_irsSaldo,personal_irsPagoMensual*12),MIN(CD35,personal_irsPagoMensual*12))+IF(CE36&gt;0,PMT(CF36,MAX(1,prestamos_plazoAnios-CG36),-CE36),0)+IF(CR36&gt;0,PMT(CS36,MAX(1,prestamos_plazoAnios-CT36),-CR36),0))/12</f>
        <v/>
      </c>
      <c r="AX36" s="7">
        <f>IF(OR(sel_cfg="duplex",sel_cfg="multi",sel_cfg="dosCasas"),0.75*personal_aporteFamiliaMensual,0)</f>
        <v/>
      </c>
      <c r="AY36" s="7">
        <f>AU36-0.75*AT36-AX36+AW36</f>
        <v/>
      </c>
      <c r="AZ36" s="7">
        <f>(D36+G36+H36+0.5*F36)/12</f>
        <v/>
      </c>
      <c r="BA36" s="7">
        <f>IF(AND(AL36=0,A36&gt;=vivienda_anioMinCompra,J36&lt;0.5,AI36&gt;0,AK36&gt;=AV36,AY36&lt;=vivienda_dtiMax*AZ36),1,0)</f>
        <v/>
      </c>
      <c r="BB36" s="7">
        <f>MAX(AL36,BA36)</f>
        <v/>
      </c>
      <c r="BC36" s="7">
        <f>IF(BA36=1,A36,IF(3=0,"",BC35))</f>
        <v/>
      </c>
      <c r="BD36" s="7">
        <f>AK36-IF(BA36=1,AN36*AP36+AN36*vivienda_cierrePct,0)</f>
        <v/>
      </c>
      <c r="BE36" s="7">
        <f>IF(BA36=1,AN36,IF(3=0,0,BE35))</f>
        <v/>
      </c>
      <c r="BF36" s="7">
        <f>IF(BA36=1,AR36,IF(3=0,0,BF35))</f>
        <v/>
      </c>
      <c r="BG36" s="7">
        <f>IF(BA36=1,IF(AND(AO36=0,AP36&lt;0.2),1,0),IF(3=0,0,BY35))</f>
        <v/>
      </c>
      <c r="BH36" s="7">
        <f>IF(sel_cfg="casaAdu",1,0)</f>
        <v/>
      </c>
      <c r="BI36" s="7">
        <f>IF(AND(BB36=1,BH36=1,IF(3=0,0,BJ35)=0,A36&gt;=IF(BC36="",9999,BC36)+vivienda_aduRetrasoAnios),1,0)</f>
        <v/>
      </c>
      <c r="BJ36" s="7">
        <f>MAX(IF(3=0,0,BJ35),BI36)</f>
        <v/>
      </c>
      <c r="BK36" s="7">
        <f>IF(BI36=1,PMT((g_mortRate+0.005)/12,180,-loc_precio_aduCosto*C36),IF(3=0,0,BK35))</f>
        <v/>
      </c>
      <c r="BL36" s="7">
        <f>IF(BA36=1,AN36,IF(3=0,0,DT35))+IF(BI36=1,loc_precio_aduCosto*C36,0)</f>
        <v/>
      </c>
      <c r="BM36" s="7">
        <f>IF(BA36=1,AQ36,IF(3=0,0,DU35))</f>
        <v/>
      </c>
      <c r="BN36" s="7">
        <f>IF(BM36&lt;=0,0,FV(g_mortRate/12,12,BF36,-BM36))</f>
        <v/>
      </c>
      <c r="BO36" s="7">
        <f>IF(BM36&lt;=0,0,12*BF36+MIN(0,BN36))</f>
        <v/>
      </c>
      <c r="BP36" s="7">
        <f>MAX(0,BN36)</f>
        <v/>
      </c>
      <c r="BQ36" s="7">
        <f>IF(BI36=1,loc_precio_aduCosto*C36,IF(3=0,0,DV35))</f>
        <v/>
      </c>
      <c r="BR36" s="7">
        <f>IF(BQ36&lt;=0,0,FV((g_mortRate+0.005)/12,12,BK36,-BQ36))</f>
        <v/>
      </c>
      <c r="BS36" s="7">
        <f>IF(BQ36&lt;=0,0,12*BK36+MIN(0,BR36))</f>
        <v/>
      </c>
      <c r="BT36" s="7">
        <f>MAX(0,BR36)</f>
        <v/>
      </c>
      <c r="BU36" s="7">
        <f>IF(BB36=1,AM36*loc_seguroPct*(1+vivienda_inflacionSeguro)^(A36-2026)*IF(BJ36=1,1+loc_precio_aduCosto/AM36,1),0)</f>
        <v/>
      </c>
      <c r="BV36" s="7">
        <f>BL36*loc_impuestoPropPct</f>
        <v/>
      </c>
      <c r="BW36" s="7">
        <f>BL36*vivienda_mantenimientoPct</f>
        <v/>
      </c>
      <c r="BX36" s="7">
        <f>IF(AND(BG36=1,BP36&gt;0.8*BE36),BE36*(1-vivienda_enganchePct)*vivienda_pmiTasa,0)</f>
        <v/>
      </c>
      <c r="BY36" s="7">
        <f>IF(AND(BG36=1,BP36&gt;0.8*BE36),1,0)</f>
        <v/>
      </c>
      <c r="BZ36" s="7">
        <f>IF(BB36=1,AS36*loc_rentaUnidad*12*C36*(1-vivienda_vacancia)*(1-vivienda_gestionPct),0)</f>
        <v/>
      </c>
      <c r="CA36" s="7">
        <f>IF(BB36=1,BO36+BS36+BU36+BV36+BW36+BX36,loc_rentaMensual*12*C36)</f>
        <v/>
      </c>
      <c r="CB36" s="7">
        <f>IF(BB36=1,personal_aporteFamiliaMensual*12,0)</f>
        <v/>
      </c>
      <c r="CC36" s="7">
        <f>MIN(IF(3=0,personal_irsSaldo,CD35),personal_irsPagoMensual*12)</f>
        <v/>
      </c>
      <c r="CD36" s="7">
        <f>IF(3=0,personal_irsSaldo,CD35)-CC36</f>
        <v/>
      </c>
      <c r="CE36" s="7">
        <f>IF(3=0,IF(personal_deudaEsFederal=1,personal_deudaEstudiantil,0),DW35)</f>
        <v/>
      </c>
      <c r="CF36" s="7">
        <f>IF(3=0,personal_tasaDeudaEstudiantil,DX35)</f>
        <v/>
      </c>
      <c r="CG36" s="7">
        <f>IF(3=0,0,DY35)</f>
        <v/>
      </c>
      <c r="CH36" s="7">
        <f>IF(J36&gt;=0.5,1,0)</f>
        <v/>
      </c>
      <c r="CI36" s="7">
        <f>IF(AND(CH36=0,prestamos_pslfActivo=1,K36&gt;=0.5,CE36&gt;0),1,0)</f>
        <v/>
      </c>
      <c r="CJ36" s="7">
        <f>CE36*CF36</f>
        <v/>
      </c>
      <c r="CK36" s="7">
        <f>MAX(prestamos_rapPagoMinimoAnual,IF(Y36&lt;10000,0,MIN(0.1,INT(Y36/10000)/100))*Y36)</f>
        <v/>
      </c>
      <c r="CL36" s="7">
        <f>IF(CE36&lt;=0,0,IF(CH36=1,0,IF(CI36=1,MIN(CE36+CJ36,CK36),PMT(CF36,MAX(1,prestamos_plazoAnios-CG36),-CE36))))</f>
        <v/>
      </c>
      <c r="CM36" s="7">
        <f>IF(CE36&lt;=0,0,IF(CH36=1,CE36+CJ36,IF(CI36=1,MAX(0,CE36-MAX(CL36-CJ36,MIN(600,CL36))),MAX(0,CE36*(1+CF36)-CL36))))</f>
        <v/>
      </c>
      <c r="CN36" s="7">
        <f>IF(3=0,0,CN35)+IF(CI36=1,12*MIN(1,K36),0)</f>
        <v/>
      </c>
      <c r="CO36" s="7">
        <f>IF(AND(CI36=1,CN36&gt;=prestamos_pslfPagos,CM36&gt;0),CM36,0)</f>
        <v/>
      </c>
      <c r="CP36" s="7">
        <f>CM36-CO36</f>
        <v/>
      </c>
      <c r="CQ36" s="7">
        <f>IF(AND(CE36&gt;0,CH36=0,CI36=0),CG36+1,CG36)</f>
        <v/>
      </c>
      <c r="CR36" s="7">
        <f>IF(3=0,IF(personal_deudaEsFederal=1,0,personal_deudaEstudiantil),EA35)</f>
        <v/>
      </c>
      <c r="CS36" s="7">
        <f>IF(3=0,IF(personal_deudaEsFederal=1,prestamos_tasaPrivada,personal_tasaDeudaEstudiantil),EB35)</f>
        <v/>
      </c>
      <c r="CT36" s="7">
        <f>IF(3=0,0,EC35)</f>
        <v/>
      </c>
      <c r="CU36" s="7">
        <f>IF(OR(CR36&lt;=0,CH36=1),0,PMT(CS36,MAX(1,prestamos_plazoAnios-CT36),-CR36))</f>
        <v/>
      </c>
      <c r="CV36" s="7">
        <f>IF(CR36&lt;=0,0,IF(CH36=1,CR36*(1+CS36),MAX(0,CR36*(1+CS36)-CU36)))</f>
        <v/>
      </c>
      <c r="CW36" s="7">
        <f>IF(AND(CR36&gt;0,CH36=0),CT36+1,CT36)</f>
        <v/>
      </c>
      <c r="CX36" s="7">
        <f>IF(3=0,0,ED35)*(1+general_tasaDeudaConsumo)</f>
        <v/>
      </c>
      <c r="CY36" s="7">
        <f>L36*12*tiempos_travelGastoExtraMes*C36</f>
        <v/>
      </c>
      <c r="CZ36" s="7">
        <f>AJ36+CY36+CA36+CC36+CL36+CU36+I36+N36-BZ36-CB36</f>
        <v/>
      </c>
      <c r="DA36" s="7">
        <f>AH36-CZ36</f>
        <v/>
      </c>
      <c r="DB36" s="7">
        <f>IF(3=0,0,DB35)+DA36</f>
        <v/>
      </c>
      <c r="DC36" s="7">
        <f>AN36*vivienda_enganchePct+AN36*vivienda_cierrePct+general_reservaMeses/12*AJ36</f>
        <v/>
      </c>
      <c r="DD36" s="7">
        <f>IF(BB36=1,g_ret,IF(BD36&gt;0,MIN(1,DC36/BD36),1)*g_cash+(1-IF(BD36&gt;0,MIN(1,DC36/BD36),1))*g_ret)</f>
        <v/>
      </c>
      <c r="DE36" s="7">
        <f>IF(DA36&gt;=0,MIN(CX36,DA36),0)</f>
        <v/>
      </c>
      <c r="DF36" s="7">
        <f>IF(DA36&gt;=0,(1-general_tasaAhorro)*(DA36-DE36),0)</f>
        <v/>
      </c>
      <c r="DG36" s="7">
        <f>IF(DA36&gt;=0,DA36-DE36-DF36,0)</f>
        <v/>
      </c>
      <c r="DH36" s="7">
        <f>MIN(personal_rothAnual,DG36)</f>
        <v/>
      </c>
      <c r="DI36" s="7">
        <f>IF(AND(DA36&gt;=0,BB36=1,BP36+BT36&gt;0),MIN(vivienda_prepagoPct*(DG36-DH36),BP36+BT36),0)</f>
        <v/>
      </c>
      <c r="DJ36" s="7">
        <f>MIN(DI36,BP36)</f>
        <v/>
      </c>
      <c r="DK36" s="7">
        <f>IF(DA36&lt;0,MIN(MAX(0,BD36),-DA36),0)</f>
        <v/>
      </c>
      <c r="DL36" s="7">
        <f>IF(DA36&lt;0,-DA36-DK36,0)</f>
        <v/>
      </c>
      <c r="DM36" s="7">
        <f>IF(3=0,0,DZ35)</f>
        <v/>
      </c>
      <c r="DN36" s="7">
        <f>IF(AND(DL36&gt;0,J36&gt;0),MIN(DL36,MIN(prestamos_topeAnualPosgrado*MIN(1,J36),MAX(0,prestamos_topeTotalPosgrado-DM36))),0)</f>
        <v/>
      </c>
      <c r="DO36" s="7">
        <f>IF(AND(DL36&gt;0,J36&gt;0),DL36-DN36,0)</f>
        <v/>
      </c>
      <c r="DP36" s="7">
        <f>IF(AND(DL36&gt;0,J36&lt;=0),DL36,0)</f>
        <v/>
      </c>
      <c r="DQ36" s="7">
        <f>IF(DA36&gt;=0,DG36-DH36-DI36,-DK36)</f>
        <v/>
      </c>
      <c r="DR36" s="7">
        <f>BD36*(1+DD36)+DQ36*(1+DD36/2)</f>
        <v/>
      </c>
      <c r="DS36" s="7">
        <f>IF(3=0,personal_retiroInicial,DS35)*(1+g_ret)+(O36+P36+DH36)*(1+g_ret/2)</f>
        <v/>
      </c>
      <c r="DT36" s="7">
        <f>IF(BB36=1,BL36*(1+g_appr),0)</f>
        <v/>
      </c>
      <c r="DU36" s="7">
        <f>BP36-DJ36</f>
        <v/>
      </c>
      <c r="DV36" s="7">
        <f>BT36-(DI36-DJ36)</f>
        <v/>
      </c>
      <c r="DW36" s="7">
        <f>CP36+DN36</f>
        <v/>
      </c>
      <c r="DX36" s="7">
        <f>IF(DN36&gt;0,(CP36*CF36+DN36*prestamos_tasaFederalPosgrado)/(CP36+DN36),CF36)</f>
        <v/>
      </c>
      <c r="DY36" s="7">
        <f>IF(DN36&gt;0,0,CQ36)</f>
        <v/>
      </c>
      <c r="DZ36" s="7">
        <f>DM36+DN36</f>
        <v/>
      </c>
      <c r="EA36" s="7">
        <f>CV36+DO36</f>
        <v/>
      </c>
      <c r="EB36" s="7">
        <f>IF(DO36&gt;0,(CV36*CS36+DO36*prestamos_tasaPrivada)/(CV36+DO36),CS36)</f>
        <v/>
      </c>
      <c r="EC36" s="7">
        <f>IF(DO36&gt;0,0,CW36)</f>
        <v/>
      </c>
      <c r="ED36" s="7">
        <f>CX36-DE36+DP36</f>
        <v/>
      </c>
      <c r="EE36" s="7">
        <f>IF(IF(3=0,"",EE35)&lt;&gt;"",EE35,IF(AND(BB36=1,DU36&lt;=0.5,DV36&lt;=0.5,OR(BH36=0,BJ36=1)),A36,""))</f>
        <v/>
      </c>
      <c r="EF36" s="7">
        <f>DU36+DV36+DW36+EA36+ED36+CD36</f>
        <v/>
      </c>
      <c r="EG36" s="7">
        <f>DR36+DS36+DT36-EF36</f>
        <v/>
      </c>
      <c r="EH36" s="7">
        <f>EG36/(1+g_inf)^(A36+1-2026)</f>
        <v/>
      </c>
    </row>
    <row r="37">
      <c r="A37" t="n">
        <v>2031</v>
      </c>
      <c r="B37" t="n">
        <v>4</v>
      </c>
      <c r="C37" s="7">
        <f>(1+g_inf)^(A37-2026)</f>
        <v/>
      </c>
      <c r="D37" s="7">
        <f>SUMPRODUCT($X$5:$X$29,$E$5:$E$29*(1+$F$5:$F$29)^(A37-2026)*$G$5:$G$29*$H$5:$H$29*(1-$N$5:$N$29*$O$5:$O$29))*g_salMult+SUMPRODUCT(($B$5:$B$29&gt;=A37)*($B$5:$B$29&lt;A37+1)*$I$5:$I$29)*g_salMult</f>
        <v/>
      </c>
      <c r="E37" s="7">
        <f>SUMPRODUCT($X$5:$X$29,$E$5:$E$29*(1+$F$5:$F$29)^(A37-2026)*$G$5:$G$29*$H$5:$H$29*$M$5:$M$29)*g_salMult</f>
        <v/>
      </c>
      <c r="F37" s="7">
        <f>SUMPRODUCT($X$5:$X$29,$E$5:$E$29*(1+$F$5:$F$29)^(A37-2026)*$G$5:$G$29*$H$5:$H$29*$N$5:$N$29*$O$5:$O$29)*g_salMult</f>
        <v/>
      </c>
      <c r="G37" s="7">
        <f>SUMPRODUCT($X$5:$X$29,$P$5:$P$29*(1+$F$5:$F$29)^(A37-2026))</f>
        <v/>
      </c>
      <c r="H37" s="7">
        <f>SUMPRODUCT($X$5:$X$29,$Q$5:$Q$29*(1+$F$5:$F$29)^(A37-2026))+IF(personal_llcActivo=1,personal_llcNeto*(1+personal_llcCrecimiento)^4,0)</f>
        <v/>
      </c>
      <c r="I37" s="7">
        <f>SUMPRODUCT($X$5:$X$29,$J$5:$J$29/($C$5:$C$29-$B$5:$B$29+($C$5:$C$29=$B$5:$B$29)))*C37</f>
        <v/>
      </c>
      <c r="J37" s="7">
        <f>SUMPRODUCT($X$5:$X$29,$K$5:$K$29)</f>
        <v/>
      </c>
      <c r="K37" s="7">
        <f>SUMPRODUCT($X$5:$X$29,$L$5:$L$29)</f>
        <v/>
      </c>
      <c r="L37" s="7">
        <f>SUMPRODUCT($X$5:$X$29,$N$5:$N$29)</f>
        <v/>
      </c>
      <c r="M37" s="7">
        <f>IF(SUMPRODUCT($X$5:$X$29,$R$5:$R$29)&gt;0,1,0)</f>
        <v/>
      </c>
      <c r="N37" s="7">
        <f>SUMPRODUCT(($AO$5:$AO$24&gt;=A37)*($AO$5:$AO$24&lt;A37+1)*$AP$5:$AP$24)*C37+IF(4=0,IF(sel_loc&lt;&gt;"miami",personal_costoMudanzaInicial,0),0)</f>
        <v/>
      </c>
      <c r="O37" s="7">
        <f>MIN(personal_aporte403bPct*D37,retiro_limite403b*C37)</f>
        <v/>
      </c>
      <c r="P37" s="7">
        <f>MIN(personal_aporte403bPct,personal_match403bPct)*E37</f>
        <v/>
      </c>
      <c r="Q37" s="7">
        <f>IF(G37&gt;0,MAX(0,G37-impuestos_scorpCostoAnual*C37),0)</f>
        <v/>
      </c>
      <c r="R37" s="7">
        <f>Q37*impuestos_scorpSalarioPct/(1+impuestos_ssTasa+impuestos_medicareTasa)</f>
        <v/>
      </c>
      <c r="S37" s="7">
        <f>impuestos_ssTasa*MIN(R37,MAX(0,impuestos_ssTope*C37-D37))+impuestos_medicareTasa*R37</f>
        <v/>
      </c>
      <c r="T37" s="7">
        <f>Q37-R37-S37</f>
        <v/>
      </c>
      <c r="U37" s="7">
        <f>D37+R37</f>
        <v/>
      </c>
      <c r="V37" s="7">
        <f>H37*0.9235</f>
        <v/>
      </c>
      <c r="W37" s="7">
        <f>IF(H37&gt;0,2*impuestos_ssTasa*MIN(V37,MAX(0,impuestos_ssTope*C37-U37))+2*impuestos_medicareTasa*V37,0)</f>
        <v/>
      </c>
      <c r="X37" s="7">
        <f>impuestos_ssTasa*MIN(U37,impuestos_ssTope*C37)+impuestos_medicareTasa*U37+impuestos_medicareAdicional*MAX(0,U37+H37*0.9235-impuestos_medicareUmbral)</f>
        <v/>
      </c>
      <c r="Y37" s="7">
        <f>MAX(0,D37-O37+R37+T37+H37-W37/2)</f>
        <v/>
      </c>
      <c r="Z37" s="7">
        <f>MAX(0,Y37-impuestos_deduccionEstandar*C37)</f>
        <v/>
      </c>
      <c r="AA37" s="7">
        <f>MIN(0.2*MAX(0,T37+H37-W37/2)*MAX(0,MIN(1,1-(Z37-impuestos_qbiUmbral*C37)/(impuestos_qbiRango*C37))),0.2*Z37)</f>
        <v/>
      </c>
      <c r="AB37" s="7">
        <f>MAX(0,Z37-AA37)</f>
        <v/>
      </c>
      <c r="AC37" s="7">
        <f>SUMPRODUCT((AB37&gt;tb_federalBrackets_lo*C37)*(AB37-tb_federalBrackets_lo*C37)*tb_federalBrackets_dr)</f>
        <v/>
      </c>
      <c r="AD37" s="7">
        <f>MAX(0,Y37-impuestos_nyDeduccion*C37)</f>
        <v/>
      </c>
      <c r="AE37" s="7">
        <f>CHOOSE(loc_taxcode,0,impuestos_ohTasa*MAX(0,Y37-impuestos_ohExento*C37)+impuestos_ohMunicipal*U37,SUMPRODUCT((AD37&gt;tb_nyBrackets_lo*C37)*(AD37-tb_nyBrackets_lo*C37)*tb_nyBrackets_dr)+loc_nyc*SUMPRODUCT((AD37&gt;tb_nycBrackets_lo*C37)*(AD37-tb_nycBrackets_lo*C37)*tb_nycBrackets_dr))</f>
        <v/>
      </c>
      <c r="AF37" s="7">
        <f>AC37+AE37+X37+W37</f>
        <v/>
      </c>
      <c r="AG37" s="7">
        <f>D37+F37+R37+T37+H37</f>
        <v/>
      </c>
      <c r="AH37" s="7">
        <f>AG37-AF37-O37</f>
        <v/>
      </c>
      <c r="AI37" s="7">
        <f>D37+F37+G37+H37</f>
        <v/>
      </c>
      <c r="AJ37" s="7">
        <f>loc_gastosVida*C37*g_gastos</f>
        <v/>
      </c>
      <c r="AK37" s="7">
        <f>IF(4=0,personal_liquidoInicial,DR36)</f>
        <v/>
      </c>
      <c r="AL37" s="7">
        <f>IF(4=0,0,BB36)</f>
        <v/>
      </c>
      <c r="AM37" s="7">
        <f>CHOOSE(sel_cfgIdx,loc_precio_duplex,loc_precio_inlaw,loc_precio_dosCasas,loc_precio_casaAdu,loc_precio_multi)</f>
        <v/>
      </c>
      <c r="AN37" s="7">
        <f>AM37*(1+g_appr)^(A37-2026)</f>
        <v/>
      </c>
      <c r="AO37" s="7">
        <f>IF(AND(M37=1,vivienda_prestamoMedico=1),1,0)</f>
        <v/>
      </c>
      <c r="AP37" s="7">
        <f>IF(AO37=1,0.05,vivienda_enganchePct)</f>
        <v/>
      </c>
      <c r="AQ37" s="7">
        <f>AN37*(1-AP37)</f>
        <v/>
      </c>
      <c r="AR37" s="7">
        <f>PMT(g_mortRate/12,vivienda_plazoHipoteca*12,-AQ37)</f>
        <v/>
      </c>
      <c r="AS37" s="7">
        <f>INDEX(cfg_units,sel_cfgIdx)</f>
        <v/>
      </c>
      <c r="AT37" s="7">
        <f>AS37*loc_rentaUnidad*(1+g_inf)^(A37-2026)*(1-vivienda_vacancia)</f>
        <v/>
      </c>
      <c r="AU37" s="7">
        <f>AR37+AN37*loc_impuestoPropPct/12+AM37*loc_seguroPct*(1+vivienda_inflacionSeguro)^(A37-2026)/12+IF(AND(AO37=0,AP37&lt;0.2),AQ37*vivienda_pmiTasa/12,0)</f>
        <v/>
      </c>
      <c r="AV37" s="7">
        <f>AN37*AP37+AN37*vivienda_cierrePct+general_reservaMeses/12*AJ37</f>
        <v/>
      </c>
      <c r="AW37" s="7">
        <f>(IF(4=0,MIN(personal_irsSaldo,personal_irsPagoMensual*12),MIN(CD36,personal_irsPagoMensual*12))+IF(CE37&gt;0,PMT(CF37,MAX(1,prestamos_plazoAnios-CG37),-CE37),0)+IF(CR37&gt;0,PMT(CS37,MAX(1,prestamos_plazoAnios-CT37),-CR37),0))/12</f>
        <v/>
      </c>
      <c r="AX37" s="7">
        <f>IF(OR(sel_cfg="duplex",sel_cfg="multi",sel_cfg="dosCasas"),0.75*personal_aporteFamiliaMensual,0)</f>
        <v/>
      </c>
      <c r="AY37" s="7">
        <f>AU37-0.75*AT37-AX37+AW37</f>
        <v/>
      </c>
      <c r="AZ37" s="7">
        <f>(D37+G37+H37+0.5*F37)/12</f>
        <v/>
      </c>
      <c r="BA37" s="7">
        <f>IF(AND(AL37=0,A37&gt;=vivienda_anioMinCompra,J37&lt;0.5,AI37&gt;0,AK37&gt;=AV37,AY37&lt;=vivienda_dtiMax*AZ37),1,0)</f>
        <v/>
      </c>
      <c r="BB37" s="7">
        <f>MAX(AL37,BA37)</f>
        <v/>
      </c>
      <c r="BC37" s="7">
        <f>IF(BA37=1,A37,IF(4=0,"",BC36))</f>
        <v/>
      </c>
      <c r="BD37" s="7">
        <f>AK37-IF(BA37=1,AN37*AP37+AN37*vivienda_cierrePct,0)</f>
        <v/>
      </c>
      <c r="BE37" s="7">
        <f>IF(BA37=1,AN37,IF(4=0,0,BE36))</f>
        <v/>
      </c>
      <c r="BF37" s="7">
        <f>IF(BA37=1,AR37,IF(4=0,0,BF36))</f>
        <v/>
      </c>
      <c r="BG37" s="7">
        <f>IF(BA37=1,IF(AND(AO37=0,AP37&lt;0.2),1,0),IF(4=0,0,BY36))</f>
        <v/>
      </c>
      <c r="BH37" s="7">
        <f>IF(sel_cfg="casaAdu",1,0)</f>
        <v/>
      </c>
      <c r="BI37" s="7">
        <f>IF(AND(BB37=1,BH37=1,IF(4=0,0,BJ36)=0,A37&gt;=IF(BC37="",9999,BC37)+vivienda_aduRetrasoAnios),1,0)</f>
        <v/>
      </c>
      <c r="BJ37" s="7">
        <f>MAX(IF(4=0,0,BJ36),BI37)</f>
        <v/>
      </c>
      <c r="BK37" s="7">
        <f>IF(BI37=1,PMT((g_mortRate+0.005)/12,180,-loc_precio_aduCosto*C37),IF(4=0,0,BK36))</f>
        <v/>
      </c>
      <c r="BL37" s="7">
        <f>IF(BA37=1,AN37,IF(4=0,0,DT36))+IF(BI37=1,loc_precio_aduCosto*C37,0)</f>
        <v/>
      </c>
      <c r="BM37" s="7">
        <f>IF(BA37=1,AQ37,IF(4=0,0,DU36))</f>
        <v/>
      </c>
      <c r="BN37" s="7">
        <f>IF(BM37&lt;=0,0,FV(g_mortRate/12,12,BF37,-BM37))</f>
        <v/>
      </c>
      <c r="BO37" s="7">
        <f>IF(BM37&lt;=0,0,12*BF37+MIN(0,BN37))</f>
        <v/>
      </c>
      <c r="BP37" s="7">
        <f>MAX(0,BN37)</f>
        <v/>
      </c>
      <c r="BQ37" s="7">
        <f>IF(BI37=1,loc_precio_aduCosto*C37,IF(4=0,0,DV36))</f>
        <v/>
      </c>
      <c r="BR37" s="7">
        <f>IF(BQ37&lt;=0,0,FV((g_mortRate+0.005)/12,12,BK37,-BQ37))</f>
        <v/>
      </c>
      <c r="BS37" s="7">
        <f>IF(BQ37&lt;=0,0,12*BK37+MIN(0,BR37))</f>
        <v/>
      </c>
      <c r="BT37" s="7">
        <f>MAX(0,BR37)</f>
        <v/>
      </c>
      <c r="BU37" s="7">
        <f>IF(BB37=1,AM37*loc_seguroPct*(1+vivienda_inflacionSeguro)^(A37-2026)*IF(BJ37=1,1+loc_precio_aduCosto/AM37,1),0)</f>
        <v/>
      </c>
      <c r="BV37" s="7">
        <f>BL37*loc_impuestoPropPct</f>
        <v/>
      </c>
      <c r="BW37" s="7">
        <f>BL37*vivienda_mantenimientoPct</f>
        <v/>
      </c>
      <c r="BX37" s="7">
        <f>IF(AND(BG37=1,BP37&gt;0.8*BE37),BE37*(1-vivienda_enganchePct)*vivienda_pmiTasa,0)</f>
        <v/>
      </c>
      <c r="BY37" s="7">
        <f>IF(AND(BG37=1,BP37&gt;0.8*BE37),1,0)</f>
        <v/>
      </c>
      <c r="BZ37" s="7">
        <f>IF(BB37=1,AS37*loc_rentaUnidad*12*C37*(1-vivienda_vacancia)*(1-vivienda_gestionPct),0)</f>
        <v/>
      </c>
      <c r="CA37" s="7">
        <f>IF(BB37=1,BO37+BS37+BU37+BV37+BW37+BX37,loc_rentaMensual*12*C37)</f>
        <v/>
      </c>
      <c r="CB37" s="7">
        <f>IF(BB37=1,personal_aporteFamiliaMensual*12,0)</f>
        <v/>
      </c>
      <c r="CC37" s="7">
        <f>MIN(IF(4=0,personal_irsSaldo,CD36),personal_irsPagoMensual*12)</f>
        <v/>
      </c>
      <c r="CD37" s="7">
        <f>IF(4=0,personal_irsSaldo,CD36)-CC37</f>
        <v/>
      </c>
      <c r="CE37" s="7">
        <f>IF(4=0,IF(personal_deudaEsFederal=1,personal_deudaEstudiantil,0),DW36)</f>
        <v/>
      </c>
      <c r="CF37" s="7">
        <f>IF(4=0,personal_tasaDeudaEstudiantil,DX36)</f>
        <v/>
      </c>
      <c r="CG37" s="7">
        <f>IF(4=0,0,DY36)</f>
        <v/>
      </c>
      <c r="CH37" s="7">
        <f>IF(J37&gt;=0.5,1,0)</f>
        <v/>
      </c>
      <c r="CI37" s="7">
        <f>IF(AND(CH37=0,prestamos_pslfActivo=1,K37&gt;=0.5,CE37&gt;0),1,0)</f>
        <v/>
      </c>
      <c r="CJ37" s="7">
        <f>CE37*CF37</f>
        <v/>
      </c>
      <c r="CK37" s="7">
        <f>MAX(prestamos_rapPagoMinimoAnual,IF(Y37&lt;10000,0,MIN(0.1,INT(Y37/10000)/100))*Y37)</f>
        <v/>
      </c>
      <c r="CL37" s="7">
        <f>IF(CE37&lt;=0,0,IF(CH37=1,0,IF(CI37=1,MIN(CE37+CJ37,CK37),PMT(CF37,MAX(1,prestamos_plazoAnios-CG37),-CE37))))</f>
        <v/>
      </c>
      <c r="CM37" s="7">
        <f>IF(CE37&lt;=0,0,IF(CH37=1,CE37+CJ37,IF(CI37=1,MAX(0,CE37-MAX(CL37-CJ37,MIN(600,CL37))),MAX(0,CE37*(1+CF37)-CL37))))</f>
        <v/>
      </c>
      <c r="CN37" s="7">
        <f>IF(4=0,0,CN36)+IF(CI37=1,12*MIN(1,K37),0)</f>
        <v/>
      </c>
      <c r="CO37" s="7">
        <f>IF(AND(CI37=1,CN37&gt;=prestamos_pslfPagos,CM37&gt;0),CM37,0)</f>
        <v/>
      </c>
      <c r="CP37" s="7">
        <f>CM37-CO37</f>
        <v/>
      </c>
      <c r="CQ37" s="7">
        <f>IF(AND(CE37&gt;0,CH37=0,CI37=0),CG37+1,CG37)</f>
        <v/>
      </c>
      <c r="CR37" s="7">
        <f>IF(4=0,IF(personal_deudaEsFederal=1,0,personal_deudaEstudiantil),EA36)</f>
        <v/>
      </c>
      <c r="CS37" s="7">
        <f>IF(4=0,IF(personal_deudaEsFederal=1,prestamos_tasaPrivada,personal_tasaDeudaEstudiantil),EB36)</f>
        <v/>
      </c>
      <c r="CT37" s="7">
        <f>IF(4=0,0,EC36)</f>
        <v/>
      </c>
      <c r="CU37" s="7">
        <f>IF(OR(CR37&lt;=0,CH37=1),0,PMT(CS37,MAX(1,prestamos_plazoAnios-CT37),-CR37))</f>
        <v/>
      </c>
      <c r="CV37" s="7">
        <f>IF(CR37&lt;=0,0,IF(CH37=1,CR37*(1+CS37),MAX(0,CR37*(1+CS37)-CU37)))</f>
        <v/>
      </c>
      <c r="CW37" s="7">
        <f>IF(AND(CR37&gt;0,CH37=0),CT37+1,CT37)</f>
        <v/>
      </c>
      <c r="CX37" s="7">
        <f>IF(4=0,0,ED36)*(1+general_tasaDeudaConsumo)</f>
        <v/>
      </c>
      <c r="CY37" s="7">
        <f>L37*12*tiempos_travelGastoExtraMes*C37</f>
        <v/>
      </c>
      <c r="CZ37" s="7">
        <f>AJ37+CY37+CA37+CC37+CL37+CU37+I37+N37-BZ37-CB37</f>
        <v/>
      </c>
      <c r="DA37" s="7">
        <f>AH37-CZ37</f>
        <v/>
      </c>
      <c r="DB37" s="7">
        <f>IF(4=0,0,DB36)+DA37</f>
        <v/>
      </c>
      <c r="DC37" s="7">
        <f>AN37*vivienda_enganchePct+AN37*vivienda_cierrePct+general_reservaMeses/12*AJ37</f>
        <v/>
      </c>
      <c r="DD37" s="7">
        <f>IF(BB37=1,g_ret,IF(BD37&gt;0,MIN(1,DC37/BD37),1)*g_cash+(1-IF(BD37&gt;0,MIN(1,DC37/BD37),1))*g_ret)</f>
        <v/>
      </c>
      <c r="DE37" s="7">
        <f>IF(DA37&gt;=0,MIN(CX37,DA37),0)</f>
        <v/>
      </c>
      <c r="DF37" s="7">
        <f>IF(DA37&gt;=0,(1-general_tasaAhorro)*(DA37-DE37),0)</f>
        <v/>
      </c>
      <c r="DG37" s="7">
        <f>IF(DA37&gt;=0,DA37-DE37-DF37,0)</f>
        <v/>
      </c>
      <c r="DH37" s="7">
        <f>MIN(personal_rothAnual,DG37)</f>
        <v/>
      </c>
      <c r="DI37" s="7">
        <f>IF(AND(DA37&gt;=0,BB37=1,BP37+BT37&gt;0),MIN(vivienda_prepagoPct*(DG37-DH37),BP37+BT37),0)</f>
        <v/>
      </c>
      <c r="DJ37" s="7">
        <f>MIN(DI37,BP37)</f>
        <v/>
      </c>
      <c r="DK37" s="7">
        <f>IF(DA37&lt;0,MIN(MAX(0,BD37),-DA37),0)</f>
        <v/>
      </c>
      <c r="DL37" s="7">
        <f>IF(DA37&lt;0,-DA37-DK37,0)</f>
        <v/>
      </c>
      <c r="DM37" s="7">
        <f>IF(4=0,0,DZ36)</f>
        <v/>
      </c>
      <c r="DN37" s="7">
        <f>IF(AND(DL37&gt;0,J37&gt;0),MIN(DL37,MIN(prestamos_topeAnualPosgrado*MIN(1,J37),MAX(0,prestamos_topeTotalPosgrado-DM37))),0)</f>
        <v/>
      </c>
      <c r="DO37" s="7">
        <f>IF(AND(DL37&gt;0,J37&gt;0),DL37-DN37,0)</f>
        <v/>
      </c>
      <c r="DP37" s="7">
        <f>IF(AND(DL37&gt;0,J37&lt;=0),DL37,0)</f>
        <v/>
      </c>
      <c r="DQ37" s="7">
        <f>IF(DA37&gt;=0,DG37-DH37-DI37,-DK37)</f>
        <v/>
      </c>
      <c r="DR37" s="7">
        <f>BD37*(1+DD37)+DQ37*(1+DD37/2)</f>
        <v/>
      </c>
      <c r="DS37" s="7">
        <f>IF(4=0,personal_retiroInicial,DS36)*(1+g_ret)+(O37+P37+DH37)*(1+g_ret/2)</f>
        <v/>
      </c>
      <c r="DT37" s="7">
        <f>IF(BB37=1,BL37*(1+g_appr),0)</f>
        <v/>
      </c>
      <c r="DU37" s="7">
        <f>BP37-DJ37</f>
        <v/>
      </c>
      <c r="DV37" s="7">
        <f>BT37-(DI37-DJ37)</f>
        <v/>
      </c>
      <c r="DW37" s="7">
        <f>CP37+DN37</f>
        <v/>
      </c>
      <c r="DX37" s="7">
        <f>IF(DN37&gt;0,(CP37*CF37+DN37*prestamos_tasaFederalPosgrado)/(CP37+DN37),CF37)</f>
        <v/>
      </c>
      <c r="DY37" s="7">
        <f>IF(DN37&gt;0,0,CQ37)</f>
        <v/>
      </c>
      <c r="DZ37" s="7">
        <f>DM37+DN37</f>
        <v/>
      </c>
      <c r="EA37" s="7">
        <f>CV37+DO37</f>
        <v/>
      </c>
      <c r="EB37" s="7">
        <f>IF(DO37&gt;0,(CV37*CS37+DO37*prestamos_tasaPrivada)/(CV37+DO37),CS37)</f>
        <v/>
      </c>
      <c r="EC37" s="7">
        <f>IF(DO37&gt;0,0,CW37)</f>
        <v/>
      </c>
      <c r="ED37" s="7">
        <f>CX37-DE37+DP37</f>
        <v/>
      </c>
      <c r="EE37" s="7">
        <f>IF(IF(4=0,"",EE36)&lt;&gt;"",EE36,IF(AND(BB37=1,DU37&lt;=0.5,DV37&lt;=0.5,OR(BH37=0,BJ37=1)),A37,""))</f>
        <v/>
      </c>
      <c r="EF37" s="7">
        <f>DU37+DV37+DW37+EA37+ED37+CD37</f>
        <v/>
      </c>
      <c r="EG37" s="7">
        <f>DR37+DS37+DT37-EF37</f>
        <v/>
      </c>
      <c r="EH37" s="7">
        <f>EG37/(1+g_inf)^(A37+1-2026)</f>
        <v/>
      </c>
    </row>
    <row r="38">
      <c r="A38" t="n">
        <v>2032</v>
      </c>
      <c r="B38" t="n">
        <v>5</v>
      </c>
      <c r="C38" s="7">
        <f>(1+g_inf)^(A38-2026)</f>
        <v/>
      </c>
      <c r="D38" s="7">
        <f>SUMPRODUCT($Y$5:$Y$29,$E$5:$E$29*(1+$F$5:$F$29)^(A38-2026)*$G$5:$G$29*$H$5:$H$29*(1-$N$5:$N$29*$O$5:$O$29))*g_salMult+SUMPRODUCT(($B$5:$B$29&gt;=A38)*($B$5:$B$29&lt;A38+1)*$I$5:$I$29)*g_salMult</f>
        <v/>
      </c>
      <c r="E38" s="7">
        <f>SUMPRODUCT($Y$5:$Y$29,$E$5:$E$29*(1+$F$5:$F$29)^(A38-2026)*$G$5:$G$29*$H$5:$H$29*$M$5:$M$29)*g_salMult</f>
        <v/>
      </c>
      <c r="F38" s="7">
        <f>SUMPRODUCT($Y$5:$Y$29,$E$5:$E$29*(1+$F$5:$F$29)^(A38-2026)*$G$5:$G$29*$H$5:$H$29*$N$5:$N$29*$O$5:$O$29)*g_salMult</f>
        <v/>
      </c>
      <c r="G38" s="7">
        <f>SUMPRODUCT($Y$5:$Y$29,$P$5:$P$29*(1+$F$5:$F$29)^(A38-2026))</f>
        <v/>
      </c>
      <c r="H38" s="7">
        <f>SUMPRODUCT($Y$5:$Y$29,$Q$5:$Q$29*(1+$F$5:$F$29)^(A38-2026))+IF(personal_llcActivo=1,personal_llcNeto*(1+personal_llcCrecimiento)^5,0)</f>
        <v/>
      </c>
      <c r="I38" s="7">
        <f>SUMPRODUCT($Y$5:$Y$29,$J$5:$J$29/($C$5:$C$29-$B$5:$B$29+($C$5:$C$29=$B$5:$B$29)))*C38</f>
        <v/>
      </c>
      <c r="J38" s="7">
        <f>SUMPRODUCT($Y$5:$Y$29,$K$5:$K$29)</f>
        <v/>
      </c>
      <c r="K38" s="7">
        <f>SUMPRODUCT($Y$5:$Y$29,$L$5:$L$29)</f>
        <v/>
      </c>
      <c r="L38" s="7">
        <f>SUMPRODUCT($Y$5:$Y$29,$N$5:$N$29)</f>
        <v/>
      </c>
      <c r="M38" s="7">
        <f>IF(SUMPRODUCT($Y$5:$Y$29,$R$5:$R$29)&gt;0,1,0)</f>
        <v/>
      </c>
      <c r="N38" s="7">
        <f>SUMPRODUCT(($AO$5:$AO$24&gt;=A38)*($AO$5:$AO$24&lt;A38+1)*$AP$5:$AP$24)*C38+IF(5=0,IF(sel_loc&lt;&gt;"miami",personal_costoMudanzaInicial,0),0)</f>
        <v/>
      </c>
      <c r="O38" s="7">
        <f>MIN(personal_aporte403bPct*D38,retiro_limite403b*C38)</f>
        <v/>
      </c>
      <c r="P38" s="7">
        <f>MIN(personal_aporte403bPct,personal_match403bPct)*E38</f>
        <v/>
      </c>
      <c r="Q38" s="7">
        <f>IF(G38&gt;0,MAX(0,G38-impuestos_scorpCostoAnual*C38),0)</f>
        <v/>
      </c>
      <c r="R38" s="7">
        <f>Q38*impuestos_scorpSalarioPct/(1+impuestos_ssTasa+impuestos_medicareTasa)</f>
        <v/>
      </c>
      <c r="S38" s="7">
        <f>impuestos_ssTasa*MIN(R38,MAX(0,impuestos_ssTope*C38-D38))+impuestos_medicareTasa*R38</f>
        <v/>
      </c>
      <c r="T38" s="7">
        <f>Q38-R38-S38</f>
        <v/>
      </c>
      <c r="U38" s="7">
        <f>D38+R38</f>
        <v/>
      </c>
      <c r="V38" s="7">
        <f>H38*0.9235</f>
        <v/>
      </c>
      <c r="W38" s="7">
        <f>IF(H38&gt;0,2*impuestos_ssTasa*MIN(V38,MAX(0,impuestos_ssTope*C38-U38))+2*impuestos_medicareTasa*V38,0)</f>
        <v/>
      </c>
      <c r="X38" s="7">
        <f>impuestos_ssTasa*MIN(U38,impuestos_ssTope*C38)+impuestos_medicareTasa*U38+impuestos_medicareAdicional*MAX(0,U38+H38*0.9235-impuestos_medicareUmbral)</f>
        <v/>
      </c>
      <c r="Y38" s="7">
        <f>MAX(0,D38-O38+R38+T38+H38-W38/2)</f>
        <v/>
      </c>
      <c r="Z38" s="7">
        <f>MAX(0,Y38-impuestos_deduccionEstandar*C38)</f>
        <v/>
      </c>
      <c r="AA38" s="7">
        <f>MIN(0.2*MAX(0,T38+H38-W38/2)*MAX(0,MIN(1,1-(Z38-impuestos_qbiUmbral*C38)/(impuestos_qbiRango*C38))),0.2*Z38)</f>
        <v/>
      </c>
      <c r="AB38" s="7">
        <f>MAX(0,Z38-AA38)</f>
        <v/>
      </c>
      <c r="AC38" s="7">
        <f>SUMPRODUCT((AB38&gt;tb_federalBrackets_lo*C38)*(AB38-tb_federalBrackets_lo*C38)*tb_federalBrackets_dr)</f>
        <v/>
      </c>
      <c r="AD38" s="7">
        <f>MAX(0,Y38-impuestos_nyDeduccion*C38)</f>
        <v/>
      </c>
      <c r="AE38" s="7">
        <f>CHOOSE(loc_taxcode,0,impuestos_ohTasa*MAX(0,Y38-impuestos_ohExento*C38)+impuestos_ohMunicipal*U38,SUMPRODUCT((AD38&gt;tb_nyBrackets_lo*C38)*(AD38-tb_nyBrackets_lo*C38)*tb_nyBrackets_dr)+loc_nyc*SUMPRODUCT((AD38&gt;tb_nycBrackets_lo*C38)*(AD38-tb_nycBrackets_lo*C38)*tb_nycBrackets_dr))</f>
        <v/>
      </c>
      <c r="AF38" s="7">
        <f>AC38+AE38+X38+W38</f>
        <v/>
      </c>
      <c r="AG38" s="7">
        <f>D38+F38+R38+T38+H38</f>
        <v/>
      </c>
      <c r="AH38" s="7">
        <f>AG38-AF38-O38</f>
        <v/>
      </c>
      <c r="AI38" s="7">
        <f>D38+F38+G38+H38</f>
        <v/>
      </c>
      <c r="AJ38" s="7">
        <f>loc_gastosVida*C38*g_gastos</f>
        <v/>
      </c>
      <c r="AK38" s="7">
        <f>IF(5=0,personal_liquidoInicial,DR37)</f>
        <v/>
      </c>
      <c r="AL38" s="7">
        <f>IF(5=0,0,BB37)</f>
        <v/>
      </c>
      <c r="AM38" s="7">
        <f>CHOOSE(sel_cfgIdx,loc_precio_duplex,loc_precio_inlaw,loc_precio_dosCasas,loc_precio_casaAdu,loc_precio_multi)</f>
        <v/>
      </c>
      <c r="AN38" s="7">
        <f>AM38*(1+g_appr)^(A38-2026)</f>
        <v/>
      </c>
      <c r="AO38" s="7">
        <f>IF(AND(M38=1,vivienda_prestamoMedico=1),1,0)</f>
        <v/>
      </c>
      <c r="AP38" s="7">
        <f>IF(AO38=1,0.05,vivienda_enganchePct)</f>
        <v/>
      </c>
      <c r="AQ38" s="7">
        <f>AN38*(1-AP38)</f>
        <v/>
      </c>
      <c r="AR38" s="7">
        <f>PMT(g_mortRate/12,vivienda_plazoHipoteca*12,-AQ38)</f>
        <v/>
      </c>
      <c r="AS38" s="7">
        <f>INDEX(cfg_units,sel_cfgIdx)</f>
        <v/>
      </c>
      <c r="AT38" s="7">
        <f>AS38*loc_rentaUnidad*(1+g_inf)^(A38-2026)*(1-vivienda_vacancia)</f>
        <v/>
      </c>
      <c r="AU38" s="7">
        <f>AR38+AN38*loc_impuestoPropPct/12+AM38*loc_seguroPct*(1+vivienda_inflacionSeguro)^(A38-2026)/12+IF(AND(AO38=0,AP38&lt;0.2),AQ38*vivienda_pmiTasa/12,0)</f>
        <v/>
      </c>
      <c r="AV38" s="7">
        <f>AN38*AP38+AN38*vivienda_cierrePct+general_reservaMeses/12*AJ38</f>
        <v/>
      </c>
      <c r="AW38" s="7">
        <f>(IF(5=0,MIN(personal_irsSaldo,personal_irsPagoMensual*12),MIN(CD37,personal_irsPagoMensual*12))+IF(CE38&gt;0,PMT(CF38,MAX(1,prestamos_plazoAnios-CG38),-CE38),0)+IF(CR38&gt;0,PMT(CS38,MAX(1,prestamos_plazoAnios-CT38),-CR38),0))/12</f>
        <v/>
      </c>
      <c r="AX38" s="7">
        <f>IF(OR(sel_cfg="duplex",sel_cfg="multi",sel_cfg="dosCasas"),0.75*personal_aporteFamiliaMensual,0)</f>
        <v/>
      </c>
      <c r="AY38" s="7">
        <f>AU38-0.75*AT38-AX38+AW38</f>
        <v/>
      </c>
      <c r="AZ38" s="7">
        <f>(D38+G38+H38+0.5*F38)/12</f>
        <v/>
      </c>
      <c r="BA38" s="7">
        <f>IF(AND(AL38=0,A38&gt;=vivienda_anioMinCompra,J38&lt;0.5,AI38&gt;0,AK38&gt;=AV38,AY38&lt;=vivienda_dtiMax*AZ38),1,0)</f>
        <v/>
      </c>
      <c r="BB38" s="7">
        <f>MAX(AL38,BA38)</f>
        <v/>
      </c>
      <c r="BC38" s="7">
        <f>IF(BA38=1,A38,IF(5=0,"",BC37))</f>
        <v/>
      </c>
      <c r="BD38" s="7">
        <f>AK38-IF(BA38=1,AN38*AP38+AN38*vivienda_cierrePct,0)</f>
        <v/>
      </c>
      <c r="BE38" s="7">
        <f>IF(BA38=1,AN38,IF(5=0,0,BE37))</f>
        <v/>
      </c>
      <c r="BF38" s="7">
        <f>IF(BA38=1,AR38,IF(5=0,0,BF37))</f>
        <v/>
      </c>
      <c r="BG38" s="7">
        <f>IF(BA38=1,IF(AND(AO38=0,AP38&lt;0.2),1,0),IF(5=0,0,BY37))</f>
        <v/>
      </c>
      <c r="BH38" s="7">
        <f>IF(sel_cfg="casaAdu",1,0)</f>
        <v/>
      </c>
      <c r="BI38" s="7">
        <f>IF(AND(BB38=1,BH38=1,IF(5=0,0,BJ37)=0,A38&gt;=IF(BC38="",9999,BC38)+vivienda_aduRetrasoAnios),1,0)</f>
        <v/>
      </c>
      <c r="BJ38" s="7">
        <f>MAX(IF(5=0,0,BJ37),BI38)</f>
        <v/>
      </c>
      <c r="BK38" s="7">
        <f>IF(BI38=1,PMT((g_mortRate+0.005)/12,180,-loc_precio_aduCosto*C38),IF(5=0,0,BK37))</f>
        <v/>
      </c>
      <c r="BL38" s="7">
        <f>IF(BA38=1,AN38,IF(5=0,0,DT37))+IF(BI38=1,loc_precio_aduCosto*C38,0)</f>
        <v/>
      </c>
      <c r="BM38" s="7">
        <f>IF(BA38=1,AQ38,IF(5=0,0,DU37))</f>
        <v/>
      </c>
      <c r="BN38" s="7">
        <f>IF(BM38&lt;=0,0,FV(g_mortRate/12,12,BF38,-BM38))</f>
        <v/>
      </c>
      <c r="BO38" s="7">
        <f>IF(BM38&lt;=0,0,12*BF38+MIN(0,BN38))</f>
        <v/>
      </c>
      <c r="BP38" s="7">
        <f>MAX(0,BN38)</f>
        <v/>
      </c>
      <c r="BQ38" s="7">
        <f>IF(BI38=1,loc_precio_aduCosto*C38,IF(5=0,0,DV37))</f>
        <v/>
      </c>
      <c r="BR38" s="7">
        <f>IF(BQ38&lt;=0,0,FV((g_mortRate+0.005)/12,12,BK38,-BQ38))</f>
        <v/>
      </c>
      <c r="BS38" s="7">
        <f>IF(BQ38&lt;=0,0,12*BK38+MIN(0,BR38))</f>
        <v/>
      </c>
      <c r="BT38" s="7">
        <f>MAX(0,BR38)</f>
        <v/>
      </c>
      <c r="BU38" s="7">
        <f>IF(BB38=1,AM38*loc_seguroPct*(1+vivienda_inflacionSeguro)^(A38-2026)*IF(BJ38=1,1+loc_precio_aduCosto/AM38,1),0)</f>
        <v/>
      </c>
      <c r="BV38" s="7">
        <f>BL38*loc_impuestoPropPct</f>
        <v/>
      </c>
      <c r="BW38" s="7">
        <f>BL38*vivienda_mantenimientoPct</f>
        <v/>
      </c>
      <c r="BX38" s="7">
        <f>IF(AND(BG38=1,BP38&gt;0.8*BE38),BE38*(1-vivienda_enganchePct)*vivienda_pmiTasa,0)</f>
        <v/>
      </c>
      <c r="BY38" s="7">
        <f>IF(AND(BG38=1,BP38&gt;0.8*BE38),1,0)</f>
        <v/>
      </c>
      <c r="BZ38" s="7">
        <f>IF(BB38=1,AS38*loc_rentaUnidad*12*C38*(1-vivienda_vacancia)*(1-vivienda_gestionPct),0)</f>
        <v/>
      </c>
      <c r="CA38" s="7">
        <f>IF(BB38=1,BO38+BS38+BU38+BV38+BW38+BX38,loc_rentaMensual*12*C38)</f>
        <v/>
      </c>
      <c r="CB38" s="7">
        <f>IF(BB38=1,personal_aporteFamiliaMensual*12,0)</f>
        <v/>
      </c>
      <c r="CC38" s="7">
        <f>MIN(IF(5=0,personal_irsSaldo,CD37),personal_irsPagoMensual*12)</f>
        <v/>
      </c>
      <c r="CD38" s="7">
        <f>IF(5=0,personal_irsSaldo,CD37)-CC38</f>
        <v/>
      </c>
      <c r="CE38" s="7">
        <f>IF(5=0,IF(personal_deudaEsFederal=1,personal_deudaEstudiantil,0),DW37)</f>
        <v/>
      </c>
      <c r="CF38" s="7">
        <f>IF(5=0,personal_tasaDeudaEstudiantil,DX37)</f>
        <v/>
      </c>
      <c r="CG38" s="7">
        <f>IF(5=0,0,DY37)</f>
        <v/>
      </c>
      <c r="CH38" s="7">
        <f>IF(J38&gt;=0.5,1,0)</f>
        <v/>
      </c>
      <c r="CI38" s="7">
        <f>IF(AND(CH38=0,prestamos_pslfActivo=1,K38&gt;=0.5,CE38&gt;0),1,0)</f>
        <v/>
      </c>
      <c r="CJ38" s="7">
        <f>CE38*CF38</f>
        <v/>
      </c>
      <c r="CK38" s="7">
        <f>MAX(prestamos_rapPagoMinimoAnual,IF(Y38&lt;10000,0,MIN(0.1,INT(Y38/10000)/100))*Y38)</f>
        <v/>
      </c>
      <c r="CL38" s="7">
        <f>IF(CE38&lt;=0,0,IF(CH38=1,0,IF(CI38=1,MIN(CE38+CJ38,CK38),PMT(CF38,MAX(1,prestamos_plazoAnios-CG38),-CE38))))</f>
        <v/>
      </c>
      <c r="CM38" s="7">
        <f>IF(CE38&lt;=0,0,IF(CH38=1,CE38+CJ38,IF(CI38=1,MAX(0,CE38-MAX(CL38-CJ38,MIN(600,CL38))),MAX(0,CE38*(1+CF38)-CL38))))</f>
        <v/>
      </c>
      <c r="CN38" s="7">
        <f>IF(5=0,0,CN37)+IF(CI38=1,12*MIN(1,K38),0)</f>
        <v/>
      </c>
      <c r="CO38" s="7">
        <f>IF(AND(CI38=1,CN38&gt;=prestamos_pslfPagos,CM38&gt;0),CM38,0)</f>
        <v/>
      </c>
      <c r="CP38" s="7">
        <f>CM38-CO38</f>
        <v/>
      </c>
      <c r="CQ38" s="7">
        <f>IF(AND(CE38&gt;0,CH38=0,CI38=0),CG38+1,CG38)</f>
        <v/>
      </c>
      <c r="CR38" s="7">
        <f>IF(5=0,IF(personal_deudaEsFederal=1,0,personal_deudaEstudiantil),EA37)</f>
        <v/>
      </c>
      <c r="CS38" s="7">
        <f>IF(5=0,IF(personal_deudaEsFederal=1,prestamos_tasaPrivada,personal_tasaDeudaEstudiantil),EB37)</f>
        <v/>
      </c>
      <c r="CT38" s="7">
        <f>IF(5=0,0,EC37)</f>
        <v/>
      </c>
      <c r="CU38" s="7">
        <f>IF(OR(CR38&lt;=0,CH38=1),0,PMT(CS38,MAX(1,prestamos_plazoAnios-CT38),-CR38))</f>
        <v/>
      </c>
      <c r="CV38" s="7">
        <f>IF(CR38&lt;=0,0,IF(CH38=1,CR38*(1+CS38),MAX(0,CR38*(1+CS38)-CU38)))</f>
        <v/>
      </c>
      <c r="CW38" s="7">
        <f>IF(AND(CR38&gt;0,CH38=0),CT38+1,CT38)</f>
        <v/>
      </c>
      <c r="CX38" s="7">
        <f>IF(5=0,0,ED37)*(1+general_tasaDeudaConsumo)</f>
        <v/>
      </c>
      <c r="CY38" s="7">
        <f>L38*12*tiempos_travelGastoExtraMes*C38</f>
        <v/>
      </c>
      <c r="CZ38" s="7">
        <f>AJ38+CY38+CA38+CC38+CL38+CU38+I38+N38-BZ38-CB38</f>
        <v/>
      </c>
      <c r="DA38" s="7">
        <f>AH38-CZ38</f>
        <v/>
      </c>
      <c r="DB38" s="7">
        <f>IF(5=0,0,DB37)+DA38</f>
        <v/>
      </c>
      <c r="DC38" s="7">
        <f>AN38*vivienda_enganchePct+AN38*vivienda_cierrePct+general_reservaMeses/12*AJ38</f>
        <v/>
      </c>
      <c r="DD38" s="7">
        <f>IF(BB38=1,g_ret,IF(BD38&gt;0,MIN(1,DC38/BD38),1)*g_cash+(1-IF(BD38&gt;0,MIN(1,DC38/BD38),1))*g_ret)</f>
        <v/>
      </c>
      <c r="DE38" s="7">
        <f>IF(DA38&gt;=0,MIN(CX38,DA38),0)</f>
        <v/>
      </c>
      <c r="DF38" s="7">
        <f>IF(DA38&gt;=0,(1-general_tasaAhorro)*(DA38-DE38),0)</f>
        <v/>
      </c>
      <c r="DG38" s="7">
        <f>IF(DA38&gt;=0,DA38-DE38-DF38,0)</f>
        <v/>
      </c>
      <c r="DH38" s="7">
        <f>MIN(personal_rothAnual,DG38)</f>
        <v/>
      </c>
      <c r="DI38" s="7">
        <f>IF(AND(DA38&gt;=0,BB38=1,BP38+BT38&gt;0),MIN(vivienda_prepagoPct*(DG38-DH38),BP38+BT38),0)</f>
        <v/>
      </c>
      <c r="DJ38" s="7">
        <f>MIN(DI38,BP38)</f>
        <v/>
      </c>
      <c r="DK38" s="7">
        <f>IF(DA38&lt;0,MIN(MAX(0,BD38),-DA38),0)</f>
        <v/>
      </c>
      <c r="DL38" s="7">
        <f>IF(DA38&lt;0,-DA38-DK38,0)</f>
        <v/>
      </c>
      <c r="DM38" s="7">
        <f>IF(5=0,0,DZ37)</f>
        <v/>
      </c>
      <c r="DN38" s="7">
        <f>IF(AND(DL38&gt;0,J38&gt;0),MIN(DL38,MIN(prestamos_topeAnualPosgrado*MIN(1,J38),MAX(0,prestamos_topeTotalPosgrado-DM38))),0)</f>
        <v/>
      </c>
      <c r="DO38" s="7">
        <f>IF(AND(DL38&gt;0,J38&gt;0),DL38-DN38,0)</f>
        <v/>
      </c>
      <c r="DP38" s="7">
        <f>IF(AND(DL38&gt;0,J38&lt;=0),DL38,0)</f>
        <v/>
      </c>
      <c r="DQ38" s="7">
        <f>IF(DA38&gt;=0,DG38-DH38-DI38,-DK38)</f>
        <v/>
      </c>
      <c r="DR38" s="7">
        <f>BD38*(1+DD38)+DQ38*(1+DD38/2)</f>
        <v/>
      </c>
      <c r="DS38" s="7">
        <f>IF(5=0,personal_retiroInicial,DS37)*(1+g_ret)+(O38+P38+DH38)*(1+g_ret/2)</f>
        <v/>
      </c>
      <c r="DT38" s="7">
        <f>IF(BB38=1,BL38*(1+g_appr),0)</f>
        <v/>
      </c>
      <c r="DU38" s="7">
        <f>BP38-DJ38</f>
        <v/>
      </c>
      <c r="DV38" s="7">
        <f>BT38-(DI38-DJ38)</f>
        <v/>
      </c>
      <c r="DW38" s="7">
        <f>CP38+DN38</f>
        <v/>
      </c>
      <c r="DX38" s="7">
        <f>IF(DN38&gt;0,(CP38*CF38+DN38*prestamos_tasaFederalPosgrado)/(CP38+DN38),CF38)</f>
        <v/>
      </c>
      <c r="DY38" s="7">
        <f>IF(DN38&gt;0,0,CQ38)</f>
        <v/>
      </c>
      <c r="DZ38" s="7">
        <f>DM38+DN38</f>
        <v/>
      </c>
      <c r="EA38" s="7">
        <f>CV38+DO38</f>
        <v/>
      </c>
      <c r="EB38" s="7">
        <f>IF(DO38&gt;0,(CV38*CS38+DO38*prestamos_tasaPrivada)/(CV38+DO38),CS38)</f>
        <v/>
      </c>
      <c r="EC38" s="7">
        <f>IF(DO38&gt;0,0,CW38)</f>
        <v/>
      </c>
      <c r="ED38" s="7">
        <f>CX38-DE38+DP38</f>
        <v/>
      </c>
      <c r="EE38" s="7">
        <f>IF(IF(5=0,"",EE37)&lt;&gt;"",EE37,IF(AND(BB38=1,DU38&lt;=0.5,DV38&lt;=0.5,OR(BH38=0,BJ38=1)),A38,""))</f>
        <v/>
      </c>
      <c r="EF38" s="7">
        <f>DU38+DV38+DW38+EA38+ED38+CD38</f>
        <v/>
      </c>
      <c r="EG38" s="7">
        <f>DR38+DS38+DT38-EF38</f>
        <v/>
      </c>
      <c r="EH38" s="7">
        <f>EG38/(1+g_inf)^(A38+1-2026)</f>
        <v/>
      </c>
    </row>
    <row r="39">
      <c r="A39" t="n">
        <v>2033</v>
      </c>
      <c r="B39" t="n">
        <v>6</v>
      </c>
      <c r="C39" s="7">
        <f>(1+g_inf)^(A39-2026)</f>
        <v/>
      </c>
      <c r="D39" s="7">
        <f>SUMPRODUCT($Z$5:$Z$29,$E$5:$E$29*(1+$F$5:$F$29)^(A39-2026)*$G$5:$G$29*$H$5:$H$29*(1-$N$5:$N$29*$O$5:$O$29))*g_salMult+SUMPRODUCT(($B$5:$B$29&gt;=A39)*($B$5:$B$29&lt;A39+1)*$I$5:$I$29)*g_salMult</f>
        <v/>
      </c>
      <c r="E39" s="7">
        <f>SUMPRODUCT($Z$5:$Z$29,$E$5:$E$29*(1+$F$5:$F$29)^(A39-2026)*$G$5:$G$29*$H$5:$H$29*$M$5:$M$29)*g_salMult</f>
        <v/>
      </c>
      <c r="F39" s="7">
        <f>SUMPRODUCT($Z$5:$Z$29,$E$5:$E$29*(1+$F$5:$F$29)^(A39-2026)*$G$5:$G$29*$H$5:$H$29*$N$5:$N$29*$O$5:$O$29)*g_salMult</f>
        <v/>
      </c>
      <c r="G39" s="7">
        <f>SUMPRODUCT($Z$5:$Z$29,$P$5:$P$29*(1+$F$5:$F$29)^(A39-2026))</f>
        <v/>
      </c>
      <c r="H39" s="7">
        <f>SUMPRODUCT($Z$5:$Z$29,$Q$5:$Q$29*(1+$F$5:$F$29)^(A39-2026))+IF(personal_llcActivo=1,personal_llcNeto*(1+personal_llcCrecimiento)^6,0)</f>
        <v/>
      </c>
      <c r="I39" s="7">
        <f>SUMPRODUCT($Z$5:$Z$29,$J$5:$J$29/($C$5:$C$29-$B$5:$B$29+($C$5:$C$29=$B$5:$B$29)))*C39</f>
        <v/>
      </c>
      <c r="J39" s="7">
        <f>SUMPRODUCT($Z$5:$Z$29,$K$5:$K$29)</f>
        <v/>
      </c>
      <c r="K39" s="7">
        <f>SUMPRODUCT($Z$5:$Z$29,$L$5:$L$29)</f>
        <v/>
      </c>
      <c r="L39" s="7">
        <f>SUMPRODUCT($Z$5:$Z$29,$N$5:$N$29)</f>
        <v/>
      </c>
      <c r="M39" s="7">
        <f>IF(SUMPRODUCT($Z$5:$Z$29,$R$5:$R$29)&gt;0,1,0)</f>
        <v/>
      </c>
      <c r="N39" s="7">
        <f>SUMPRODUCT(($AO$5:$AO$24&gt;=A39)*($AO$5:$AO$24&lt;A39+1)*$AP$5:$AP$24)*C39+IF(6=0,IF(sel_loc&lt;&gt;"miami",personal_costoMudanzaInicial,0),0)</f>
        <v/>
      </c>
      <c r="O39" s="7">
        <f>MIN(personal_aporte403bPct*D39,retiro_limite403b*C39)</f>
        <v/>
      </c>
      <c r="P39" s="7">
        <f>MIN(personal_aporte403bPct,personal_match403bPct)*E39</f>
        <v/>
      </c>
      <c r="Q39" s="7">
        <f>IF(G39&gt;0,MAX(0,G39-impuestos_scorpCostoAnual*C39),0)</f>
        <v/>
      </c>
      <c r="R39" s="7">
        <f>Q39*impuestos_scorpSalarioPct/(1+impuestos_ssTasa+impuestos_medicareTasa)</f>
        <v/>
      </c>
      <c r="S39" s="7">
        <f>impuestos_ssTasa*MIN(R39,MAX(0,impuestos_ssTope*C39-D39))+impuestos_medicareTasa*R39</f>
        <v/>
      </c>
      <c r="T39" s="7">
        <f>Q39-R39-S39</f>
        <v/>
      </c>
      <c r="U39" s="7">
        <f>D39+R39</f>
        <v/>
      </c>
      <c r="V39" s="7">
        <f>H39*0.9235</f>
        <v/>
      </c>
      <c r="W39" s="7">
        <f>IF(H39&gt;0,2*impuestos_ssTasa*MIN(V39,MAX(0,impuestos_ssTope*C39-U39))+2*impuestos_medicareTasa*V39,0)</f>
        <v/>
      </c>
      <c r="X39" s="7">
        <f>impuestos_ssTasa*MIN(U39,impuestos_ssTope*C39)+impuestos_medicareTasa*U39+impuestos_medicareAdicional*MAX(0,U39+H39*0.9235-impuestos_medicareUmbral)</f>
        <v/>
      </c>
      <c r="Y39" s="7">
        <f>MAX(0,D39-O39+R39+T39+H39-W39/2)</f>
        <v/>
      </c>
      <c r="Z39" s="7">
        <f>MAX(0,Y39-impuestos_deduccionEstandar*C39)</f>
        <v/>
      </c>
      <c r="AA39" s="7">
        <f>MIN(0.2*MAX(0,T39+H39-W39/2)*MAX(0,MIN(1,1-(Z39-impuestos_qbiUmbral*C39)/(impuestos_qbiRango*C39))),0.2*Z39)</f>
        <v/>
      </c>
      <c r="AB39" s="7">
        <f>MAX(0,Z39-AA39)</f>
        <v/>
      </c>
      <c r="AC39" s="7">
        <f>SUMPRODUCT((AB39&gt;tb_federalBrackets_lo*C39)*(AB39-tb_federalBrackets_lo*C39)*tb_federalBrackets_dr)</f>
        <v/>
      </c>
      <c r="AD39" s="7">
        <f>MAX(0,Y39-impuestos_nyDeduccion*C39)</f>
        <v/>
      </c>
      <c r="AE39" s="7">
        <f>CHOOSE(loc_taxcode,0,impuestos_ohTasa*MAX(0,Y39-impuestos_ohExento*C39)+impuestos_ohMunicipal*U39,SUMPRODUCT((AD39&gt;tb_nyBrackets_lo*C39)*(AD39-tb_nyBrackets_lo*C39)*tb_nyBrackets_dr)+loc_nyc*SUMPRODUCT((AD39&gt;tb_nycBrackets_lo*C39)*(AD39-tb_nycBrackets_lo*C39)*tb_nycBrackets_dr))</f>
        <v/>
      </c>
      <c r="AF39" s="7">
        <f>AC39+AE39+X39+W39</f>
        <v/>
      </c>
      <c r="AG39" s="7">
        <f>D39+F39+R39+T39+H39</f>
        <v/>
      </c>
      <c r="AH39" s="7">
        <f>AG39-AF39-O39</f>
        <v/>
      </c>
      <c r="AI39" s="7">
        <f>D39+F39+G39+H39</f>
        <v/>
      </c>
      <c r="AJ39" s="7">
        <f>loc_gastosVida*C39*g_gastos</f>
        <v/>
      </c>
      <c r="AK39" s="7">
        <f>IF(6=0,personal_liquidoInicial,DR38)</f>
        <v/>
      </c>
      <c r="AL39" s="7">
        <f>IF(6=0,0,BB38)</f>
        <v/>
      </c>
      <c r="AM39" s="7">
        <f>CHOOSE(sel_cfgIdx,loc_precio_duplex,loc_precio_inlaw,loc_precio_dosCasas,loc_precio_casaAdu,loc_precio_multi)</f>
        <v/>
      </c>
      <c r="AN39" s="7">
        <f>AM39*(1+g_appr)^(A39-2026)</f>
        <v/>
      </c>
      <c r="AO39" s="7">
        <f>IF(AND(M39=1,vivienda_prestamoMedico=1),1,0)</f>
        <v/>
      </c>
      <c r="AP39" s="7">
        <f>IF(AO39=1,0.05,vivienda_enganchePct)</f>
        <v/>
      </c>
      <c r="AQ39" s="7">
        <f>AN39*(1-AP39)</f>
        <v/>
      </c>
      <c r="AR39" s="7">
        <f>PMT(g_mortRate/12,vivienda_plazoHipoteca*12,-AQ39)</f>
        <v/>
      </c>
      <c r="AS39" s="7">
        <f>INDEX(cfg_units,sel_cfgIdx)</f>
        <v/>
      </c>
      <c r="AT39" s="7">
        <f>AS39*loc_rentaUnidad*(1+g_inf)^(A39-2026)*(1-vivienda_vacancia)</f>
        <v/>
      </c>
      <c r="AU39" s="7">
        <f>AR39+AN39*loc_impuestoPropPct/12+AM39*loc_seguroPct*(1+vivienda_inflacionSeguro)^(A39-2026)/12+IF(AND(AO39=0,AP39&lt;0.2),AQ39*vivienda_pmiTasa/12,0)</f>
        <v/>
      </c>
      <c r="AV39" s="7">
        <f>AN39*AP39+AN39*vivienda_cierrePct+general_reservaMeses/12*AJ39</f>
        <v/>
      </c>
      <c r="AW39" s="7">
        <f>(IF(6=0,MIN(personal_irsSaldo,personal_irsPagoMensual*12),MIN(CD38,personal_irsPagoMensual*12))+IF(CE39&gt;0,PMT(CF39,MAX(1,prestamos_plazoAnios-CG39),-CE39),0)+IF(CR39&gt;0,PMT(CS39,MAX(1,prestamos_plazoAnios-CT39),-CR39),0))/12</f>
        <v/>
      </c>
      <c r="AX39" s="7">
        <f>IF(OR(sel_cfg="duplex",sel_cfg="multi",sel_cfg="dosCasas"),0.75*personal_aporteFamiliaMensual,0)</f>
        <v/>
      </c>
      <c r="AY39" s="7">
        <f>AU39-0.75*AT39-AX39+AW39</f>
        <v/>
      </c>
      <c r="AZ39" s="7">
        <f>(D39+G39+H39+0.5*F39)/12</f>
        <v/>
      </c>
      <c r="BA39" s="7">
        <f>IF(AND(AL39=0,A39&gt;=vivienda_anioMinCompra,J39&lt;0.5,AI39&gt;0,AK39&gt;=AV39,AY39&lt;=vivienda_dtiMax*AZ39),1,0)</f>
        <v/>
      </c>
      <c r="BB39" s="7">
        <f>MAX(AL39,BA39)</f>
        <v/>
      </c>
      <c r="BC39" s="7">
        <f>IF(BA39=1,A39,IF(6=0,"",BC38))</f>
        <v/>
      </c>
      <c r="BD39" s="7">
        <f>AK39-IF(BA39=1,AN39*AP39+AN39*vivienda_cierrePct,0)</f>
        <v/>
      </c>
      <c r="BE39" s="7">
        <f>IF(BA39=1,AN39,IF(6=0,0,BE38))</f>
        <v/>
      </c>
      <c r="BF39" s="7">
        <f>IF(BA39=1,AR39,IF(6=0,0,BF38))</f>
        <v/>
      </c>
      <c r="BG39" s="7">
        <f>IF(BA39=1,IF(AND(AO39=0,AP39&lt;0.2),1,0),IF(6=0,0,BY38))</f>
        <v/>
      </c>
      <c r="BH39" s="7">
        <f>IF(sel_cfg="casaAdu",1,0)</f>
        <v/>
      </c>
      <c r="BI39" s="7">
        <f>IF(AND(BB39=1,BH39=1,IF(6=0,0,BJ38)=0,A39&gt;=IF(BC39="",9999,BC39)+vivienda_aduRetrasoAnios),1,0)</f>
        <v/>
      </c>
      <c r="BJ39" s="7">
        <f>MAX(IF(6=0,0,BJ38),BI39)</f>
        <v/>
      </c>
      <c r="BK39" s="7">
        <f>IF(BI39=1,PMT((g_mortRate+0.005)/12,180,-loc_precio_aduCosto*C39),IF(6=0,0,BK38))</f>
        <v/>
      </c>
      <c r="BL39" s="7">
        <f>IF(BA39=1,AN39,IF(6=0,0,DT38))+IF(BI39=1,loc_precio_aduCosto*C39,0)</f>
        <v/>
      </c>
      <c r="BM39" s="7">
        <f>IF(BA39=1,AQ39,IF(6=0,0,DU38))</f>
        <v/>
      </c>
      <c r="BN39" s="7">
        <f>IF(BM39&lt;=0,0,FV(g_mortRate/12,12,BF39,-BM39))</f>
        <v/>
      </c>
      <c r="BO39" s="7">
        <f>IF(BM39&lt;=0,0,12*BF39+MIN(0,BN39))</f>
        <v/>
      </c>
      <c r="BP39" s="7">
        <f>MAX(0,BN39)</f>
        <v/>
      </c>
      <c r="BQ39" s="7">
        <f>IF(BI39=1,loc_precio_aduCosto*C39,IF(6=0,0,DV38))</f>
        <v/>
      </c>
      <c r="BR39" s="7">
        <f>IF(BQ39&lt;=0,0,FV((g_mortRate+0.005)/12,12,BK39,-BQ39))</f>
        <v/>
      </c>
      <c r="BS39" s="7">
        <f>IF(BQ39&lt;=0,0,12*BK39+MIN(0,BR39))</f>
        <v/>
      </c>
      <c r="BT39" s="7">
        <f>MAX(0,BR39)</f>
        <v/>
      </c>
      <c r="BU39" s="7">
        <f>IF(BB39=1,AM39*loc_seguroPct*(1+vivienda_inflacionSeguro)^(A39-2026)*IF(BJ39=1,1+loc_precio_aduCosto/AM39,1),0)</f>
        <v/>
      </c>
      <c r="BV39" s="7">
        <f>BL39*loc_impuestoPropPct</f>
        <v/>
      </c>
      <c r="BW39" s="7">
        <f>BL39*vivienda_mantenimientoPct</f>
        <v/>
      </c>
      <c r="BX39" s="7">
        <f>IF(AND(BG39=1,BP39&gt;0.8*BE39),BE39*(1-vivienda_enganchePct)*vivienda_pmiTasa,0)</f>
        <v/>
      </c>
      <c r="BY39" s="7">
        <f>IF(AND(BG39=1,BP39&gt;0.8*BE39),1,0)</f>
        <v/>
      </c>
      <c r="BZ39" s="7">
        <f>IF(BB39=1,AS39*loc_rentaUnidad*12*C39*(1-vivienda_vacancia)*(1-vivienda_gestionPct),0)</f>
        <v/>
      </c>
      <c r="CA39" s="7">
        <f>IF(BB39=1,BO39+BS39+BU39+BV39+BW39+BX39,loc_rentaMensual*12*C39)</f>
        <v/>
      </c>
      <c r="CB39" s="7">
        <f>IF(BB39=1,personal_aporteFamiliaMensual*12,0)</f>
        <v/>
      </c>
      <c r="CC39" s="7">
        <f>MIN(IF(6=0,personal_irsSaldo,CD38),personal_irsPagoMensual*12)</f>
        <v/>
      </c>
      <c r="CD39" s="7">
        <f>IF(6=0,personal_irsSaldo,CD38)-CC39</f>
        <v/>
      </c>
      <c r="CE39" s="7">
        <f>IF(6=0,IF(personal_deudaEsFederal=1,personal_deudaEstudiantil,0),DW38)</f>
        <v/>
      </c>
      <c r="CF39" s="7">
        <f>IF(6=0,personal_tasaDeudaEstudiantil,DX38)</f>
        <v/>
      </c>
      <c r="CG39" s="7">
        <f>IF(6=0,0,DY38)</f>
        <v/>
      </c>
      <c r="CH39" s="7">
        <f>IF(J39&gt;=0.5,1,0)</f>
        <v/>
      </c>
      <c r="CI39" s="7">
        <f>IF(AND(CH39=0,prestamos_pslfActivo=1,K39&gt;=0.5,CE39&gt;0),1,0)</f>
        <v/>
      </c>
      <c r="CJ39" s="7">
        <f>CE39*CF39</f>
        <v/>
      </c>
      <c r="CK39" s="7">
        <f>MAX(prestamos_rapPagoMinimoAnual,IF(Y39&lt;10000,0,MIN(0.1,INT(Y39/10000)/100))*Y39)</f>
        <v/>
      </c>
      <c r="CL39" s="7">
        <f>IF(CE39&lt;=0,0,IF(CH39=1,0,IF(CI39=1,MIN(CE39+CJ39,CK39),PMT(CF39,MAX(1,prestamos_plazoAnios-CG39),-CE39))))</f>
        <v/>
      </c>
      <c r="CM39" s="7">
        <f>IF(CE39&lt;=0,0,IF(CH39=1,CE39+CJ39,IF(CI39=1,MAX(0,CE39-MAX(CL39-CJ39,MIN(600,CL39))),MAX(0,CE39*(1+CF39)-CL39))))</f>
        <v/>
      </c>
      <c r="CN39" s="7">
        <f>IF(6=0,0,CN38)+IF(CI39=1,12*MIN(1,K39),0)</f>
        <v/>
      </c>
      <c r="CO39" s="7">
        <f>IF(AND(CI39=1,CN39&gt;=prestamos_pslfPagos,CM39&gt;0),CM39,0)</f>
        <v/>
      </c>
      <c r="CP39" s="7">
        <f>CM39-CO39</f>
        <v/>
      </c>
      <c r="CQ39" s="7">
        <f>IF(AND(CE39&gt;0,CH39=0,CI39=0),CG39+1,CG39)</f>
        <v/>
      </c>
      <c r="CR39" s="7">
        <f>IF(6=0,IF(personal_deudaEsFederal=1,0,personal_deudaEstudiantil),EA38)</f>
        <v/>
      </c>
      <c r="CS39" s="7">
        <f>IF(6=0,IF(personal_deudaEsFederal=1,prestamos_tasaPrivada,personal_tasaDeudaEstudiantil),EB38)</f>
        <v/>
      </c>
      <c r="CT39" s="7">
        <f>IF(6=0,0,EC38)</f>
        <v/>
      </c>
      <c r="CU39" s="7">
        <f>IF(OR(CR39&lt;=0,CH39=1),0,PMT(CS39,MAX(1,prestamos_plazoAnios-CT39),-CR39))</f>
        <v/>
      </c>
      <c r="CV39" s="7">
        <f>IF(CR39&lt;=0,0,IF(CH39=1,CR39*(1+CS39),MAX(0,CR39*(1+CS39)-CU39)))</f>
        <v/>
      </c>
      <c r="CW39" s="7">
        <f>IF(AND(CR39&gt;0,CH39=0),CT39+1,CT39)</f>
        <v/>
      </c>
      <c r="CX39" s="7">
        <f>IF(6=0,0,ED38)*(1+general_tasaDeudaConsumo)</f>
        <v/>
      </c>
      <c r="CY39" s="7">
        <f>L39*12*tiempos_travelGastoExtraMes*C39</f>
        <v/>
      </c>
      <c r="CZ39" s="7">
        <f>AJ39+CY39+CA39+CC39+CL39+CU39+I39+N39-BZ39-CB39</f>
        <v/>
      </c>
      <c r="DA39" s="7">
        <f>AH39-CZ39</f>
        <v/>
      </c>
      <c r="DB39" s="7">
        <f>IF(6=0,0,DB38)+DA39</f>
        <v/>
      </c>
      <c r="DC39" s="7">
        <f>AN39*vivienda_enganchePct+AN39*vivienda_cierrePct+general_reservaMeses/12*AJ39</f>
        <v/>
      </c>
      <c r="DD39" s="7">
        <f>IF(BB39=1,g_ret,IF(BD39&gt;0,MIN(1,DC39/BD39),1)*g_cash+(1-IF(BD39&gt;0,MIN(1,DC39/BD39),1))*g_ret)</f>
        <v/>
      </c>
      <c r="DE39" s="7">
        <f>IF(DA39&gt;=0,MIN(CX39,DA39),0)</f>
        <v/>
      </c>
      <c r="DF39" s="7">
        <f>IF(DA39&gt;=0,(1-general_tasaAhorro)*(DA39-DE39),0)</f>
        <v/>
      </c>
      <c r="DG39" s="7">
        <f>IF(DA39&gt;=0,DA39-DE39-DF39,0)</f>
        <v/>
      </c>
      <c r="DH39" s="7">
        <f>MIN(personal_rothAnual,DG39)</f>
        <v/>
      </c>
      <c r="DI39" s="7">
        <f>IF(AND(DA39&gt;=0,BB39=1,BP39+BT39&gt;0),MIN(vivienda_prepagoPct*(DG39-DH39),BP39+BT39),0)</f>
        <v/>
      </c>
      <c r="DJ39" s="7">
        <f>MIN(DI39,BP39)</f>
        <v/>
      </c>
      <c r="DK39" s="7">
        <f>IF(DA39&lt;0,MIN(MAX(0,BD39),-DA39),0)</f>
        <v/>
      </c>
      <c r="DL39" s="7">
        <f>IF(DA39&lt;0,-DA39-DK39,0)</f>
        <v/>
      </c>
      <c r="DM39" s="7">
        <f>IF(6=0,0,DZ38)</f>
        <v/>
      </c>
      <c r="DN39" s="7">
        <f>IF(AND(DL39&gt;0,J39&gt;0),MIN(DL39,MIN(prestamos_topeAnualPosgrado*MIN(1,J39),MAX(0,prestamos_topeTotalPosgrado-DM39))),0)</f>
        <v/>
      </c>
      <c r="DO39" s="7">
        <f>IF(AND(DL39&gt;0,J39&gt;0),DL39-DN39,0)</f>
        <v/>
      </c>
      <c r="DP39" s="7">
        <f>IF(AND(DL39&gt;0,J39&lt;=0),DL39,0)</f>
        <v/>
      </c>
      <c r="DQ39" s="7">
        <f>IF(DA39&gt;=0,DG39-DH39-DI39,-DK39)</f>
        <v/>
      </c>
      <c r="DR39" s="7">
        <f>BD39*(1+DD39)+DQ39*(1+DD39/2)</f>
        <v/>
      </c>
      <c r="DS39" s="7">
        <f>IF(6=0,personal_retiroInicial,DS38)*(1+g_ret)+(O39+P39+DH39)*(1+g_ret/2)</f>
        <v/>
      </c>
      <c r="DT39" s="7">
        <f>IF(BB39=1,BL39*(1+g_appr),0)</f>
        <v/>
      </c>
      <c r="DU39" s="7">
        <f>BP39-DJ39</f>
        <v/>
      </c>
      <c r="DV39" s="7">
        <f>BT39-(DI39-DJ39)</f>
        <v/>
      </c>
      <c r="DW39" s="7">
        <f>CP39+DN39</f>
        <v/>
      </c>
      <c r="DX39" s="7">
        <f>IF(DN39&gt;0,(CP39*CF39+DN39*prestamos_tasaFederalPosgrado)/(CP39+DN39),CF39)</f>
        <v/>
      </c>
      <c r="DY39" s="7">
        <f>IF(DN39&gt;0,0,CQ39)</f>
        <v/>
      </c>
      <c r="DZ39" s="7">
        <f>DM39+DN39</f>
        <v/>
      </c>
      <c r="EA39" s="7">
        <f>CV39+DO39</f>
        <v/>
      </c>
      <c r="EB39" s="7">
        <f>IF(DO39&gt;0,(CV39*CS39+DO39*prestamos_tasaPrivada)/(CV39+DO39),CS39)</f>
        <v/>
      </c>
      <c r="EC39" s="7">
        <f>IF(DO39&gt;0,0,CW39)</f>
        <v/>
      </c>
      <c r="ED39" s="7">
        <f>CX39-DE39+DP39</f>
        <v/>
      </c>
      <c r="EE39" s="7">
        <f>IF(IF(6=0,"",EE38)&lt;&gt;"",EE38,IF(AND(BB39=1,DU39&lt;=0.5,DV39&lt;=0.5,OR(BH39=0,BJ39=1)),A39,""))</f>
        <v/>
      </c>
      <c r="EF39" s="7">
        <f>DU39+DV39+DW39+EA39+ED39+CD39</f>
        <v/>
      </c>
      <c r="EG39" s="7">
        <f>DR39+DS39+DT39-EF39</f>
        <v/>
      </c>
      <c r="EH39" s="7">
        <f>EG39/(1+g_inf)^(A39+1-2026)</f>
        <v/>
      </c>
    </row>
    <row r="40">
      <c r="A40" t="n">
        <v>2034</v>
      </c>
      <c r="B40" t="n">
        <v>7</v>
      </c>
      <c r="C40" s="7">
        <f>(1+g_inf)^(A40-2026)</f>
        <v/>
      </c>
      <c r="D40" s="7">
        <f>SUMPRODUCT($AA$5:$AA$29,$E$5:$E$29*(1+$F$5:$F$29)^(A40-2026)*$G$5:$G$29*$H$5:$H$29*(1-$N$5:$N$29*$O$5:$O$29))*g_salMult+SUMPRODUCT(($B$5:$B$29&gt;=A40)*($B$5:$B$29&lt;A40+1)*$I$5:$I$29)*g_salMult</f>
        <v/>
      </c>
      <c r="E40" s="7">
        <f>SUMPRODUCT($AA$5:$AA$29,$E$5:$E$29*(1+$F$5:$F$29)^(A40-2026)*$G$5:$G$29*$H$5:$H$29*$M$5:$M$29)*g_salMult</f>
        <v/>
      </c>
      <c r="F40" s="7">
        <f>SUMPRODUCT($AA$5:$AA$29,$E$5:$E$29*(1+$F$5:$F$29)^(A40-2026)*$G$5:$G$29*$H$5:$H$29*$N$5:$N$29*$O$5:$O$29)*g_salMult</f>
        <v/>
      </c>
      <c r="G40" s="7">
        <f>SUMPRODUCT($AA$5:$AA$29,$P$5:$P$29*(1+$F$5:$F$29)^(A40-2026))</f>
        <v/>
      </c>
      <c r="H40" s="7">
        <f>SUMPRODUCT($AA$5:$AA$29,$Q$5:$Q$29*(1+$F$5:$F$29)^(A40-2026))+IF(personal_llcActivo=1,personal_llcNeto*(1+personal_llcCrecimiento)^7,0)</f>
        <v/>
      </c>
      <c r="I40" s="7">
        <f>SUMPRODUCT($AA$5:$AA$29,$J$5:$J$29/($C$5:$C$29-$B$5:$B$29+($C$5:$C$29=$B$5:$B$29)))*C40</f>
        <v/>
      </c>
      <c r="J40" s="7">
        <f>SUMPRODUCT($AA$5:$AA$29,$K$5:$K$29)</f>
        <v/>
      </c>
      <c r="K40" s="7">
        <f>SUMPRODUCT($AA$5:$AA$29,$L$5:$L$29)</f>
        <v/>
      </c>
      <c r="L40" s="7">
        <f>SUMPRODUCT($AA$5:$AA$29,$N$5:$N$29)</f>
        <v/>
      </c>
      <c r="M40" s="7">
        <f>IF(SUMPRODUCT($AA$5:$AA$29,$R$5:$R$29)&gt;0,1,0)</f>
        <v/>
      </c>
      <c r="N40" s="7">
        <f>SUMPRODUCT(($AO$5:$AO$24&gt;=A40)*($AO$5:$AO$24&lt;A40+1)*$AP$5:$AP$24)*C40+IF(7=0,IF(sel_loc&lt;&gt;"miami",personal_costoMudanzaInicial,0),0)</f>
        <v/>
      </c>
      <c r="O40" s="7">
        <f>MIN(personal_aporte403bPct*D40,retiro_limite403b*C40)</f>
        <v/>
      </c>
      <c r="P40" s="7">
        <f>MIN(personal_aporte403bPct,personal_match403bPct)*E40</f>
        <v/>
      </c>
      <c r="Q40" s="7">
        <f>IF(G40&gt;0,MAX(0,G40-impuestos_scorpCostoAnual*C40),0)</f>
        <v/>
      </c>
      <c r="R40" s="7">
        <f>Q40*impuestos_scorpSalarioPct/(1+impuestos_ssTasa+impuestos_medicareTasa)</f>
        <v/>
      </c>
      <c r="S40" s="7">
        <f>impuestos_ssTasa*MIN(R40,MAX(0,impuestos_ssTope*C40-D40))+impuestos_medicareTasa*R40</f>
        <v/>
      </c>
      <c r="T40" s="7">
        <f>Q40-R40-S40</f>
        <v/>
      </c>
      <c r="U40" s="7">
        <f>D40+R40</f>
        <v/>
      </c>
      <c r="V40" s="7">
        <f>H40*0.9235</f>
        <v/>
      </c>
      <c r="W40" s="7">
        <f>IF(H40&gt;0,2*impuestos_ssTasa*MIN(V40,MAX(0,impuestos_ssTope*C40-U40))+2*impuestos_medicareTasa*V40,0)</f>
        <v/>
      </c>
      <c r="X40" s="7">
        <f>impuestos_ssTasa*MIN(U40,impuestos_ssTope*C40)+impuestos_medicareTasa*U40+impuestos_medicareAdicional*MAX(0,U40+H40*0.9235-impuestos_medicareUmbral)</f>
        <v/>
      </c>
      <c r="Y40" s="7">
        <f>MAX(0,D40-O40+R40+T40+H40-W40/2)</f>
        <v/>
      </c>
      <c r="Z40" s="7">
        <f>MAX(0,Y40-impuestos_deduccionEstandar*C40)</f>
        <v/>
      </c>
      <c r="AA40" s="7">
        <f>MIN(0.2*MAX(0,T40+H40-W40/2)*MAX(0,MIN(1,1-(Z40-impuestos_qbiUmbral*C40)/(impuestos_qbiRango*C40))),0.2*Z40)</f>
        <v/>
      </c>
      <c r="AB40" s="7">
        <f>MAX(0,Z40-AA40)</f>
        <v/>
      </c>
      <c r="AC40" s="7">
        <f>SUMPRODUCT((AB40&gt;tb_federalBrackets_lo*C40)*(AB40-tb_federalBrackets_lo*C40)*tb_federalBrackets_dr)</f>
        <v/>
      </c>
      <c r="AD40" s="7">
        <f>MAX(0,Y40-impuestos_nyDeduccion*C40)</f>
        <v/>
      </c>
      <c r="AE40" s="7">
        <f>CHOOSE(loc_taxcode,0,impuestos_ohTasa*MAX(0,Y40-impuestos_ohExento*C40)+impuestos_ohMunicipal*U40,SUMPRODUCT((AD40&gt;tb_nyBrackets_lo*C40)*(AD40-tb_nyBrackets_lo*C40)*tb_nyBrackets_dr)+loc_nyc*SUMPRODUCT((AD40&gt;tb_nycBrackets_lo*C40)*(AD40-tb_nycBrackets_lo*C40)*tb_nycBrackets_dr))</f>
        <v/>
      </c>
      <c r="AF40" s="7">
        <f>AC40+AE40+X40+W40</f>
        <v/>
      </c>
      <c r="AG40" s="7">
        <f>D40+F40+R40+T40+H40</f>
        <v/>
      </c>
      <c r="AH40" s="7">
        <f>AG40-AF40-O40</f>
        <v/>
      </c>
      <c r="AI40" s="7">
        <f>D40+F40+G40+H40</f>
        <v/>
      </c>
      <c r="AJ40" s="7">
        <f>loc_gastosVida*C40*g_gastos</f>
        <v/>
      </c>
      <c r="AK40" s="7">
        <f>IF(7=0,personal_liquidoInicial,DR39)</f>
        <v/>
      </c>
      <c r="AL40" s="7">
        <f>IF(7=0,0,BB39)</f>
        <v/>
      </c>
      <c r="AM40" s="7">
        <f>CHOOSE(sel_cfgIdx,loc_precio_duplex,loc_precio_inlaw,loc_precio_dosCasas,loc_precio_casaAdu,loc_precio_multi)</f>
        <v/>
      </c>
      <c r="AN40" s="7">
        <f>AM40*(1+g_appr)^(A40-2026)</f>
        <v/>
      </c>
      <c r="AO40" s="7">
        <f>IF(AND(M40=1,vivienda_prestamoMedico=1),1,0)</f>
        <v/>
      </c>
      <c r="AP40" s="7">
        <f>IF(AO40=1,0.05,vivienda_enganchePct)</f>
        <v/>
      </c>
      <c r="AQ40" s="7">
        <f>AN40*(1-AP40)</f>
        <v/>
      </c>
      <c r="AR40" s="7">
        <f>PMT(g_mortRate/12,vivienda_plazoHipoteca*12,-AQ40)</f>
        <v/>
      </c>
      <c r="AS40" s="7">
        <f>INDEX(cfg_units,sel_cfgIdx)</f>
        <v/>
      </c>
      <c r="AT40" s="7">
        <f>AS40*loc_rentaUnidad*(1+g_inf)^(A40-2026)*(1-vivienda_vacancia)</f>
        <v/>
      </c>
      <c r="AU40" s="7">
        <f>AR40+AN40*loc_impuestoPropPct/12+AM40*loc_seguroPct*(1+vivienda_inflacionSeguro)^(A40-2026)/12+IF(AND(AO40=0,AP40&lt;0.2),AQ40*vivienda_pmiTasa/12,0)</f>
        <v/>
      </c>
      <c r="AV40" s="7">
        <f>AN40*AP40+AN40*vivienda_cierrePct+general_reservaMeses/12*AJ40</f>
        <v/>
      </c>
      <c r="AW40" s="7">
        <f>(IF(7=0,MIN(personal_irsSaldo,personal_irsPagoMensual*12),MIN(CD39,personal_irsPagoMensual*12))+IF(CE40&gt;0,PMT(CF40,MAX(1,prestamos_plazoAnios-CG40),-CE40),0)+IF(CR40&gt;0,PMT(CS40,MAX(1,prestamos_plazoAnios-CT40),-CR40),0))/12</f>
        <v/>
      </c>
      <c r="AX40" s="7">
        <f>IF(OR(sel_cfg="duplex",sel_cfg="multi",sel_cfg="dosCasas"),0.75*personal_aporteFamiliaMensual,0)</f>
        <v/>
      </c>
      <c r="AY40" s="7">
        <f>AU40-0.75*AT40-AX40+AW40</f>
        <v/>
      </c>
      <c r="AZ40" s="7">
        <f>(D40+G40+H40+0.5*F40)/12</f>
        <v/>
      </c>
      <c r="BA40" s="7">
        <f>IF(AND(AL40=0,A40&gt;=vivienda_anioMinCompra,J40&lt;0.5,AI40&gt;0,AK40&gt;=AV40,AY40&lt;=vivienda_dtiMax*AZ40),1,0)</f>
        <v/>
      </c>
      <c r="BB40" s="7">
        <f>MAX(AL40,BA40)</f>
        <v/>
      </c>
      <c r="BC40" s="7">
        <f>IF(BA40=1,A40,IF(7=0,"",BC39))</f>
        <v/>
      </c>
      <c r="BD40" s="7">
        <f>AK40-IF(BA40=1,AN40*AP40+AN40*vivienda_cierrePct,0)</f>
        <v/>
      </c>
      <c r="BE40" s="7">
        <f>IF(BA40=1,AN40,IF(7=0,0,BE39))</f>
        <v/>
      </c>
      <c r="BF40" s="7">
        <f>IF(BA40=1,AR40,IF(7=0,0,BF39))</f>
        <v/>
      </c>
      <c r="BG40" s="7">
        <f>IF(BA40=1,IF(AND(AO40=0,AP40&lt;0.2),1,0),IF(7=0,0,BY39))</f>
        <v/>
      </c>
      <c r="BH40" s="7">
        <f>IF(sel_cfg="casaAdu",1,0)</f>
        <v/>
      </c>
      <c r="BI40" s="7">
        <f>IF(AND(BB40=1,BH40=1,IF(7=0,0,BJ39)=0,A40&gt;=IF(BC40="",9999,BC40)+vivienda_aduRetrasoAnios),1,0)</f>
        <v/>
      </c>
      <c r="BJ40" s="7">
        <f>MAX(IF(7=0,0,BJ39),BI40)</f>
        <v/>
      </c>
      <c r="BK40" s="7">
        <f>IF(BI40=1,PMT((g_mortRate+0.005)/12,180,-loc_precio_aduCosto*C40),IF(7=0,0,BK39))</f>
        <v/>
      </c>
      <c r="BL40" s="7">
        <f>IF(BA40=1,AN40,IF(7=0,0,DT39))+IF(BI40=1,loc_precio_aduCosto*C40,0)</f>
        <v/>
      </c>
      <c r="BM40" s="7">
        <f>IF(BA40=1,AQ40,IF(7=0,0,DU39))</f>
        <v/>
      </c>
      <c r="BN40" s="7">
        <f>IF(BM40&lt;=0,0,FV(g_mortRate/12,12,BF40,-BM40))</f>
        <v/>
      </c>
      <c r="BO40" s="7">
        <f>IF(BM40&lt;=0,0,12*BF40+MIN(0,BN40))</f>
        <v/>
      </c>
      <c r="BP40" s="7">
        <f>MAX(0,BN40)</f>
        <v/>
      </c>
      <c r="BQ40" s="7">
        <f>IF(BI40=1,loc_precio_aduCosto*C40,IF(7=0,0,DV39))</f>
        <v/>
      </c>
      <c r="BR40" s="7">
        <f>IF(BQ40&lt;=0,0,FV((g_mortRate+0.005)/12,12,BK40,-BQ40))</f>
        <v/>
      </c>
      <c r="BS40" s="7">
        <f>IF(BQ40&lt;=0,0,12*BK40+MIN(0,BR40))</f>
        <v/>
      </c>
      <c r="BT40" s="7">
        <f>MAX(0,BR40)</f>
        <v/>
      </c>
      <c r="BU40" s="7">
        <f>IF(BB40=1,AM40*loc_seguroPct*(1+vivienda_inflacionSeguro)^(A40-2026)*IF(BJ40=1,1+loc_precio_aduCosto/AM40,1),0)</f>
        <v/>
      </c>
      <c r="BV40" s="7">
        <f>BL40*loc_impuestoPropPct</f>
        <v/>
      </c>
      <c r="BW40" s="7">
        <f>BL40*vivienda_mantenimientoPct</f>
        <v/>
      </c>
      <c r="BX40" s="7">
        <f>IF(AND(BG40=1,BP40&gt;0.8*BE40),BE40*(1-vivienda_enganchePct)*vivienda_pmiTasa,0)</f>
        <v/>
      </c>
      <c r="BY40" s="7">
        <f>IF(AND(BG40=1,BP40&gt;0.8*BE40),1,0)</f>
        <v/>
      </c>
      <c r="BZ40" s="7">
        <f>IF(BB40=1,AS40*loc_rentaUnidad*12*C40*(1-vivienda_vacancia)*(1-vivienda_gestionPct),0)</f>
        <v/>
      </c>
      <c r="CA40" s="7">
        <f>IF(BB40=1,BO40+BS40+BU40+BV40+BW40+BX40,loc_rentaMensual*12*C40)</f>
        <v/>
      </c>
      <c r="CB40" s="7">
        <f>IF(BB40=1,personal_aporteFamiliaMensual*12,0)</f>
        <v/>
      </c>
      <c r="CC40" s="7">
        <f>MIN(IF(7=0,personal_irsSaldo,CD39),personal_irsPagoMensual*12)</f>
        <v/>
      </c>
      <c r="CD40" s="7">
        <f>IF(7=0,personal_irsSaldo,CD39)-CC40</f>
        <v/>
      </c>
      <c r="CE40" s="7">
        <f>IF(7=0,IF(personal_deudaEsFederal=1,personal_deudaEstudiantil,0),DW39)</f>
        <v/>
      </c>
      <c r="CF40" s="7">
        <f>IF(7=0,personal_tasaDeudaEstudiantil,DX39)</f>
        <v/>
      </c>
      <c r="CG40" s="7">
        <f>IF(7=0,0,DY39)</f>
        <v/>
      </c>
      <c r="CH40" s="7">
        <f>IF(J40&gt;=0.5,1,0)</f>
        <v/>
      </c>
      <c r="CI40" s="7">
        <f>IF(AND(CH40=0,prestamos_pslfActivo=1,K40&gt;=0.5,CE40&gt;0),1,0)</f>
        <v/>
      </c>
      <c r="CJ40" s="7">
        <f>CE40*CF40</f>
        <v/>
      </c>
      <c r="CK40" s="7">
        <f>MAX(prestamos_rapPagoMinimoAnual,IF(Y40&lt;10000,0,MIN(0.1,INT(Y40/10000)/100))*Y40)</f>
        <v/>
      </c>
      <c r="CL40" s="7">
        <f>IF(CE40&lt;=0,0,IF(CH40=1,0,IF(CI40=1,MIN(CE40+CJ40,CK40),PMT(CF40,MAX(1,prestamos_plazoAnios-CG40),-CE40))))</f>
        <v/>
      </c>
      <c r="CM40" s="7">
        <f>IF(CE40&lt;=0,0,IF(CH40=1,CE40+CJ40,IF(CI40=1,MAX(0,CE40-MAX(CL40-CJ40,MIN(600,CL40))),MAX(0,CE40*(1+CF40)-CL40))))</f>
        <v/>
      </c>
      <c r="CN40" s="7">
        <f>IF(7=0,0,CN39)+IF(CI40=1,12*MIN(1,K40),0)</f>
        <v/>
      </c>
      <c r="CO40" s="7">
        <f>IF(AND(CI40=1,CN40&gt;=prestamos_pslfPagos,CM40&gt;0),CM40,0)</f>
        <v/>
      </c>
      <c r="CP40" s="7">
        <f>CM40-CO40</f>
        <v/>
      </c>
      <c r="CQ40" s="7">
        <f>IF(AND(CE40&gt;0,CH40=0,CI40=0),CG40+1,CG40)</f>
        <v/>
      </c>
      <c r="CR40" s="7">
        <f>IF(7=0,IF(personal_deudaEsFederal=1,0,personal_deudaEstudiantil),EA39)</f>
        <v/>
      </c>
      <c r="CS40" s="7">
        <f>IF(7=0,IF(personal_deudaEsFederal=1,prestamos_tasaPrivada,personal_tasaDeudaEstudiantil),EB39)</f>
        <v/>
      </c>
      <c r="CT40" s="7">
        <f>IF(7=0,0,EC39)</f>
        <v/>
      </c>
      <c r="CU40" s="7">
        <f>IF(OR(CR40&lt;=0,CH40=1),0,PMT(CS40,MAX(1,prestamos_plazoAnios-CT40),-CR40))</f>
        <v/>
      </c>
      <c r="CV40" s="7">
        <f>IF(CR40&lt;=0,0,IF(CH40=1,CR40*(1+CS40),MAX(0,CR40*(1+CS40)-CU40)))</f>
        <v/>
      </c>
      <c r="CW40" s="7">
        <f>IF(AND(CR40&gt;0,CH40=0),CT40+1,CT40)</f>
        <v/>
      </c>
      <c r="CX40" s="7">
        <f>IF(7=0,0,ED39)*(1+general_tasaDeudaConsumo)</f>
        <v/>
      </c>
      <c r="CY40" s="7">
        <f>L40*12*tiempos_travelGastoExtraMes*C40</f>
        <v/>
      </c>
      <c r="CZ40" s="7">
        <f>AJ40+CY40+CA40+CC40+CL40+CU40+I40+N40-BZ40-CB40</f>
        <v/>
      </c>
      <c r="DA40" s="7">
        <f>AH40-CZ40</f>
        <v/>
      </c>
      <c r="DB40" s="7">
        <f>IF(7=0,0,DB39)+DA40</f>
        <v/>
      </c>
      <c r="DC40" s="7">
        <f>AN40*vivienda_enganchePct+AN40*vivienda_cierrePct+general_reservaMeses/12*AJ40</f>
        <v/>
      </c>
      <c r="DD40" s="7">
        <f>IF(BB40=1,g_ret,IF(BD40&gt;0,MIN(1,DC40/BD40),1)*g_cash+(1-IF(BD40&gt;0,MIN(1,DC40/BD40),1))*g_ret)</f>
        <v/>
      </c>
      <c r="DE40" s="7">
        <f>IF(DA40&gt;=0,MIN(CX40,DA40),0)</f>
        <v/>
      </c>
      <c r="DF40" s="7">
        <f>IF(DA40&gt;=0,(1-general_tasaAhorro)*(DA40-DE40),0)</f>
        <v/>
      </c>
      <c r="DG40" s="7">
        <f>IF(DA40&gt;=0,DA40-DE40-DF40,0)</f>
        <v/>
      </c>
      <c r="DH40" s="7">
        <f>MIN(personal_rothAnual,DG40)</f>
        <v/>
      </c>
      <c r="DI40" s="7">
        <f>IF(AND(DA40&gt;=0,BB40=1,BP40+BT40&gt;0),MIN(vivienda_prepagoPct*(DG40-DH40),BP40+BT40),0)</f>
        <v/>
      </c>
      <c r="DJ40" s="7">
        <f>MIN(DI40,BP40)</f>
        <v/>
      </c>
      <c r="DK40" s="7">
        <f>IF(DA40&lt;0,MIN(MAX(0,BD40),-DA40),0)</f>
        <v/>
      </c>
      <c r="DL40" s="7">
        <f>IF(DA40&lt;0,-DA40-DK40,0)</f>
        <v/>
      </c>
      <c r="DM40" s="7">
        <f>IF(7=0,0,DZ39)</f>
        <v/>
      </c>
      <c r="DN40" s="7">
        <f>IF(AND(DL40&gt;0,J40&gt;0),MIN(DL40,MIN(prestamos_topeAnualPosgrado*MIN(1,J40),MAX(0,prestamos_topeTotalPosgrado-DM40))),0)</f>
        <v/>
      </c>
      <c r="DO40" s="7">
        <f>IF(AND(DL40&gt;0,J40&gt;0),DL40-DN40,0)</f>
        <v/>
      </c>
      <c r="DP40" s="7">
        <f>IF(AND(DL40&gt;0,J40&lt;=0),DL40,0)</f>
        <v/>
      </c>
      <c r="DQ40" s="7">
        <f>IF(DA40&gt;=0,DG40-DH40-DI40,-DK40)</f>
        <v/>
      </c>
      <c r="DR40" s="7">
        <f>BD40*(1+DD40)+DQ40*(1+DD40/2)</f>
        <v/>
      </c>
      <c r="DS40" s="7">
        <f>IF(7=0,personal_retiroInicial,DS39)*(1+g_ret)+(O40+P40+DH40)*(1+g_ret/2)</f>
        <v/>
      </c>
      <c r="DT40" s="7">
        <f>IF(BB40=1,BL40*(1+g_appr),0)</f>
        <v/>
      </c>
      <c r="DU40" s="7">
        <f>BP40-DJ40</f>
        <v/>
      </c>
      <c r="DV40" s="7">
        <f>BT40-(DI40-DJ40)</f>
        <v/>
      </c>
      <c r="DW40" s="7">
        <f>CP40+DN40</f>
        <v/>
      </c>
      <c r="DX40" s="7">
        <f>IF(DN40&gt;0,(CP40*CF40+DN40*prestamos_tasaFederalPosgrado)/(CP40+DN40),CF40)</f>
        <v/>
      </c>
      <c r="DY40" s="7">
        <f>IF(DN40&gt;0,0,CQ40)</f>
        <v/>
      </c>
      <c r="DZ40" s="7">
        <f>DM40+DN40</f>
        <v/>
      </c>
      <c r="EA40" s="7">
        <f>CV40+DO40</f>
        <v/>
      </c>
      <c r="EB40" s="7">
        <f>IF(DO40&gt;0,(CV40*CS40+DO40*prestamos_tasaPrivada)/(CV40+DO40),CS40)</f>
        <v/>
      </c>
      <c r="EC40" s="7">
        <f>IF(DO40&gt;0,0,CW40)</f>
        <v/>
      </c>
      <c r="ED40" s="7">
        <f>CX40-DE40+DP40</f>
        <v/>
      </c>
      <c r="EE40" s="7">
        <f>IF(IF(7=0,"",EE39)&lt;&gt;"",EE39,IF(AND(BB40=1,DU40&lt;=0.5,DV40&lt;=0.5,OR(BH40=0,BJ40=1)),A40,""))</f>
        <v/>
      </c>
      <c r="EF40" s="7">
        <f>DU40+DV40+DW40+EA40+ED40+CD40</f>
        <v/>
      </c>
      <c r="EG40" s="7">
        <f>DR40+DS40+DT40-EF40</f>
        <v/>
      </c>
      <c r="EH40" s="7">
        <f>EG40/(1+g_inf)^(A40+1-2026)</f>
        <v/>
      </c>
    </row>
    <row r="41">
      <c r="A41" t="n">
        <v>2035</v>
      </c>
      <c r="B41" t="n">
        <v>8</v>
      </c>
      <c r="C41" s="7">
        <f>(1+g_inf)^(A41-2026)</f>
        <v/>
      </c>
      <c r="D41" s="7">
        <f>SUMPRODUCT($AB$5:$AB$29,$E$5:$E$29*(1+$F$5:$F$29)^(A41-2026)*$G$5:$G$29*$H$5:$H$29*(1-$N$5:$N$29*$O$5:$O$29))*g_salMult+SUMPRODUCT(($B$5:$B$29&gt;=A41)*($B$5:$B$29&lt;A41+1)*$I$5:$I$29)*g_salMult</f>
        <v/>
      </c>
      <c r="E41" s="7">
        <f>SUMPRODUCT($AB$5:$AB$29,$E$5:$E$29*(1+$F$5:$F$29)^(A41-2026)*$G$5:$G$29*$H$5:$H$29*$M$5:$M$29)*g_salMult</f>
        <v/>
      </c>
      <c r="F41" s="7">
        <f>SUMPRODUCT($AB$5:$AB$29,$E$5:$E$29*(1+$F$5:$F$29)^(A41-2026)*$G$5:$G$29*$H$5:$H$29*$N$5:$N$29*$O$5:$O$29)*g_salMult</f>
        <v/>
      </c>
      <c r="G41" s="7">
        <f>SUMPRODUCT($AB$5:$AB$29,$P$5:$P$29*(1+$F$5:$F$29)^(A41-2026))</f>
        <v/>
      </c>
      <c r="H41" s="7">
        <f>SUMPRODUCT($AB$5:$AB$29,$Q$5:$Q$29*(1+$F$5:$F$29)^(A41-2026))+IF(personal_llcActivo=1,personal_llcNeto*(1+personal_llcCrecimiento)^8,0)</f>
        <v/>
      </c>
      <c r="I41" s="7">
        <f>SUMPRODUCT($AB$5:$AB$29,$J$5:$J$29/($C$5:$C$29-$B$5:$B$29+($C$5:$C$29=$B$5:$B$29)))*C41</f>
        <v/>
      </c>
      <c r="J41" s="7">
        <f>SUMPRODUCT($AB$5:$AB$29,$K$5:$K$29)</f>
        <v/>
      </c>
      <c r="K41" s="7">
        <f>SUMPRODUCT($AB$5:$AB$29,$L$5:$L$29)</f>
        <v/>
      </c>
      <c r="L41" s="7">
        <f>SUMPRODUCT($AB$5:$AB$29,$N$5:$N$29)</f>
        <v/>
      </c>
      <c r="M41" s="7">
        <f>IF(SUMPRODUCT($AB$5:$AB$29,$R$5:$R$29)&gt;0,1,0)</f>
        <v/>
      </c>
      <c r="N41" s="7">
        <f>SUMPRODUCT(($AO$5:$AO$24&gt;=A41)*($AO$5:$AO$24&lt;A41+1)*$AP$5:$AP$24)*C41+IF(8=0,IF(sel_loc&lt;&gt;"miami",personal_costoMudanzaInicial,0),0)</f>
        <v/>
      </c>
      <c r="O41" s="7">
        <f>MIN(personal_aporte403bPct*D41,retiro_limite403b*C41)</f>
        <v/>
      </c>
      <c r="P41" s="7">
        <f>MIN(personal_aporte403bPct,personal_match403bPct)*E41</f>
        <v/>
      </c>
      <c r="Q41" s="7">
        <f>IF(G41&gt;0,MAX(0,G41-impuestos_scorpCostoAnual*C41),0)</f>
        <v/>
      </c>
      <c r="R41" s="7">
        <f>Q41*impuestos_scorpSalarioPct/(1+impuestos_ssTasa+impuestos_medicareTasa)</f>
        <v/>
      </c>
      <c r="S41" s="7">
        <f>impuestos_ssTasa*MIN(R41,MAX(0,impuestos_ssTope*C41-D41))+impuestos_medicareTasa*R41</f>
        <v/>
      </c>
      <c r="T41" s="7">
        <f>Q41-R41-S41</f>
        <v/>
      </c>
      <c r="U41" s="7">
        <f>D41+R41</f>
        <v/>
      </c>
      <c r="V41" s="7">
        <f>H41*0.9235</f>
        <v/>
      </c>
      <c r="W41" s="7">
        <f>IF(H41&gt;0,2*impuestos_ssTasa*MIN(V41,MAX(0,impuestos_ssTope*C41-U41))+2*impuestos_medicareTasa*V41,0)</f>
        <v/>
      </c>
      <c r="X41" s="7">
        <f>impuestos_ssTasa*MIN(U41,impuestos_ssTope*C41)+impuestos_medicareTasa*U41+impuestos_medicareAdicional*MAX(0,U41+H41*0.9235-impuestos_medicareUmbral)</f>
        <v/>
      </c>
      <c r="Y41" s="7">
        <f>MAX(0,D41-O41+R41+T41+H41-W41/2)</f>
        <v/>
      </c>
      <c r="Z41" s="7">
        <f>MAX(0,Y41-impuestos_deduccionEstandar*C41)</f>
        <v/>
      </c>
      <c r="AA41" s="7">
        <f>MIN(0.2*MAX(0,T41+H41-W41/2)*MAX(0,MIN(1,1-(Z41-impuestos_qbiUmbral*C41)/(impuestos_qbiRango*C41))),0.2*Z41)</f>
        <v/>
      </c>
      <c r="AB41" s="7">
        <f>MAX(0,Z41-AA41)</f>
        <v/>
      </c>
      <c r="AC41" s="7">
        <f>SUMPRODUCT((AB41&gt;tb_federalBrackets_lo*C41)*(AB41-tb_federalBrackets_lo*C41)*tb_federalBrackets_dr)</f>
        <v/>
      </c>
      <c r="AD41" s="7">
        <f>MAX(0,Y41-impuestos_nyDeduccion*C41)</f>
        <v/>
      </c>
      <c r="AE41" s="7">
        <f>CHOOSE(loc_taxcode,0,impuestos_ohTasa*MAX(0,Y41-impuestos_ohExento*C41)+impuestos_ohMunicipal*U41,SUMPRODUCT((AD41&gt;tb_nyBrackets_lo*C41)*(AD41-tb_nyBrackets_lo*C41)*tb_nyBrackets_dr)+loc_nyc*SUMPRODUCT((AD41&gt;tb_nycBrackets_lo*C41)*(AD41-tb_nycBrackets_lo*C41)*tb_nycBrackets_dr))</f>
        <v/>
      </c>
      <c r="AF41" s="7">
        <f>AC41+AE41+X41+W41</f>
        <v/>
      </c>
      <c r="AG41" s="7">
        <f>D41+F41+R41+T41+H41</f>
        <v/>
      </c>
      <c r="AH41" s="7">
        <f>AG41-AF41-O41</f>
        <v/>
      </c>
      <c r="AI41" s="7">
        <f>D41+F41+G41+H41</f>
        <v/>
      </c>
      <c r="AJ41" s="7">
        <f>loc_gastosVida*C41*g_gastos</f>
        <v/>
      </c>
      <c r="AK41" s="7">
        <f>IF(8=0,personal_liquidoInicial,DR40)</f>
        <v/>
      </c>
      <c r="AL41" s="7">
        <f>IF(8=0,0,BB40)</f>
        <v/>
      </c>
      <c r="AM41" s="7">
        <f>CHOOSE(sel_cfgIdx,loc_precio_duplex,loc_precio_inlaw,loc_precio_dosCasas,loc_precio_casaAdu,loc_precio_multi)</f>
        <v/>
      </c>
      <c r="AN41" s="7">
        <f>AM41*(1+g_appr)^(A41-2026)</f>
        <v/>
      </c>
      <c r="AO41" s="7">
        <f>IF(AND(M41=1,vivienda_prestamoMedico=1),1,0)</f>
        <v/>
      </c>
      <c r="AP41" s="7">
        <f>IF(AO41=1,0.05,vivienda_enganchePct)</f>
        <v/>
      </c>
      <c r="AQ41" s="7">
        <f>AN41*(1-AP41)</f>
        <v/>
      </c>
      <c r="AR41" s="7">
        <f>PMT(g_mortRate/12,vivienda_plazoHipoteca*12,-AQ41)</f>
        <v/>
      </c>
      <c r="AS41" s="7">
        <f>INDEX(cfg_units,sel_cfgIdx)</f>
        <v/>
      </c>
      <c r="AT41" s="7">
        <f>AS41*loc_rentaUnidad*(1+g_inf)^(A41-2026)*(1-vivienda_vacancia)</f>
        <v/>
      </c>
      <c r="AU41" s="7">
        <f>AR41+AN41*loc_impuestoPropPct/12+AM41*loc_seguroPct*(1+vivienda_inflacionSeguro)^(A41-2026)/12+IF(AND(AO41=0,AP41&lt;0.2),AQ41*vivienda_pmiTasa/12,0)</f>
        <v/>
      </c>
      <c r="AV41" s="7">
        <f>AN41*AP41+AN41*vivienda_cierrePct+general_reservaMeses/12*AJ41</f>
        <v/>
      </c>
      <c r="AW41" s="7">
        <f>(IF(8=0,MIN(personal_irsSaldo,personal_irsPagoMensual*12),MIN(CD40,personal_irsPagoMensual*12))+IF(CE41&gt;0,PMT(CF41,MAX(1,prestamos_plazoAnios-CG41),-CE41),0)+IF(CR41&gt;0,PMT(CS41,MAX(1,prestamos_plazoAnios-CT41),-CR41),0))/12</f>
        <v/>
      </c>
      <c r="AX41" s="7">
        <f>IF(OR(sel_cfg="duplex",sel_cfg="multi",sel_cfg="dosCasas"),0.75*personal_aporteFamiliaMensual,0)</f>
        <v/>
      </c>
      <c r="AY41" s="7">
        <f>AU41-0.75*AT41-AX41+AW41</f>
        <v/>
      </c>
      <c r="AZ41" s="7">
        <f>(D41+G41+H41+0.5*F41)/12</f>
        <v/>
      </c>
      <c r="BA41" s="7">
        <f>IF(AND(AL41=0,A41&gt;=vivienda_anioMinCompra,J41&lt;0.5,AI41&gt;0,AK41&gt;=AV41,AY41&lt;=vivienda_dtiMax*AZ41),1,0)</f>
        <v/>
      </c>
      <c r="BB41" s="7">
        <f>MAX(AL41,BA41)</f>
        <v/>
      </c>
      <c r="BC41" s="7">
        <f>IF(BA41=1,A41,IF(8=0,"",BC40))</f>
        <v/>
      </c>
      <c r="BD41" s="7">
        <f>AK41-IF(BA41=1,AN41*AP41+AN41*vivienda_cierrePct,0)</f>
        <v/>
      </c>
      <c r="BE41" s="7">
        <f>IF(BA41=1,AN41,IF(8=0,0,BE40))</f>
        <v/>
      </c>
      <c r="BF41" s="7">
        <f>IF(BA41=1,AR41,IF(8=0,0,BF40))</f>
        <v/>
      </c>
      <c r="BG41" s="7">
        <f>IF(BA41=1,IF(AND(AO41=0,AP41&lt;0.2),1,0),IF(8=0,0,BY40))</f>
        <v/>
      </c>
      <c r="BH41" s="7">
        <f>IF(sel_cfg="casaAdu",1,0)</f>
        <v/>
      </c>
      <c r="BI41" s="7">
        <f>IF(AND(BB41=1,BH41=1,IF(8=0,0,BJ40)=0,A41&gt;=IF(BC41="",9999,BC41)+vivienda_aduRetrasoAnios),1,0)</f>
        <v/>
      </c>
      <c r="BJ41" s="7">
        <f>MAX(IF(8=0,0,BJ40),BI41)</f>
        <v/>
      </c>
      <c r="BK41" s="7">
        <f>IF(BI41=1,PMT((g_mortRate+0.005)/12,180,-loc_precio_aduCosto*C41),IF(8=0,0,BK40))</f>
        <v/>
      </c>
      <c r="BL41" s="7">
        <f>IF(BA41=1,AN41,IF(8=0,0,DT40))+IF(BI41=1,loc_precio_aduCosto*C41,0)</f>
        <v/>
      </c>
      <c r="BM41" s="7">
        <f>IF(BA41=1,AQ41,IF(8=0,0,DU40))</f>
        <v/>
      </c>
      <c r="BN41" s="7">
        <f>IF(BM41&lt;=0,0,FV(g_mortRate/12,12,BF41,-BM41))</f>
        <v/>
      </c>
      <c r="BO41" s="7">
        <f>IF(BM41&lt;=0,0,12*BF41+MIN(0,BN41))</f>
        <v/>
      </c>
      <c r="BP41" s="7">
        <f>MAX(0,BN41)</f>
        <v/>
      </c>
      <c r="BQ41" s="7">
        <f>IF(BI41=1,loc_precio_aduCosto*C41,IF(8=0,0,DV40))</f>
        <v/>
      </c>
      <c r="BR41" s="7">
        <f>IF(BQ41&lt;=0,0,FV((g_mortRate+0.005)/12,12,BK41,-BQ41))</f>
        <v/>
      </c>
      <c r="BS41" s="7">
        <f>IF(BQ41&lt;=0,0,12*BK41+MIN(0,BR41))</f>
        <v/>
      </c>
      <c r="BT41" s="7">
        <f>MAX(0,BR41)</f>
        <v/>
      </c>
      <c r="BU41" s="7">
        <f>IF(BB41=1,AM41*loc_seguroPct*(1+vivienda_inflacionSeguro)^(A41-2026)*IF(BJ41=1,1+loc_precio_aduCosto/AM41,1),0)</f>
        <v/>
      </c>
      <c r="BV41" s="7">
        <f>BL41*loc_impuestoPropPct</f>
        <v/>
      </c>
      <c r="BW41" s="7">
        <f>BL41*vivienda_mantenimientoPct</f>
        <v/>
      </c>
      <c r="BX41" s="7">
        <f>IF(AND(BG41=1,BP41&gt;0.8*BE41),BE41*(1-vivienda_enganchePct)*vivienda_pmiTasa,0)</f>
        <v/>
      </c>
      <c r="BY41" s="7">
        <f>IF(AND(BG41=1,BP41&gt;0.8*BE41),1,0)</f>
        <v/>
      </c>
      <c r="BZ41" s="7">
        <f>IF(BB41=1,AS41*loc_rentaUnidad*12*C41*(1-vivienda_vacancia)*(1-vivienda_gestionPct),0)</f>
        <v/>
      </c>
      <c r="CA41" s="7">
        <f>IF(BB41=1,BO41+BS41+BU41+BV41+BW41+BX41,loc_rentaMensual*12*C41)</f>
        <v/>
      </c>
      <c r="CB41" s="7">
        <f>IF(BB41=1,personal_aporteFamiliaMensual*12,0)</f>
        <v/>
      </c>
      <c r="CC41" s="7">
        <f>MIN(IF(8=0,personal_irsSaldo,CD40),personal_irsPagoMensual*12)</f>
        <v/>
      </c>
      <c r="CD41" s="7">
        <f>IF(8=0,personal_irsSaldo,CD40)-CC41</f>
        <v/>
      </c>
      <c r="CE41" s="7">
        <f>IF(8=0,IF(personal_deudaEsFederal=1,personal_deudaEstudiantil,0),DW40)</f>
        <v/>
      </c>
      <c r="CF41" s="7">
        <f>IF(8=0,personal_tasaDeudaEstudiantil,DX40)</f>
        <v/>
      </c>
      <c r="CG41" s="7">
        <f>IF(8=0,0,DY40)</f>
        <v/>
      </c>
      <c r="CH41" s="7">
        <f>IF(J41&gt;=0.5,1,0)</f>
        <v/>
      </c>
      <c r="CI41" s="7">
        <f>IF(AND(CH41=0,prestamos_pslfActivo=1,K41&gt;=0.5,CE41&gt;0),1,0)</f>
        <v/>
      </c>
      <c r="CJ41" s="7">
        <f>CE41*CF41</f>
        <v/>
      </c>
      <c r="CK41" s="7">
        <f>MAX(prestamos_rapPagoMinimoAnual,IF(Y41&lt;10000,0,MIN(0.1,INT(Y41/10000)/100))*Y41)</f>
        <v/>
      </c>
      <c r="CL41" s="7">
        <f>IF(CE41&lt;=0,0,IF(CH41=1,0,IF(CI41=1,MIN(CE41+CJ41,CK41),PMT(CF41,MAX(1,prestamos_plazoAnios-CG41),-CE41))))</f>
        <v/>
      </c>
      <c r="CM41" s="7">
        <f>IF(CE41&lt;=0,0,IF(CH41=1,CE41+CJ41,IF(CI41=1,MAX(0,CE41-MAX(CL41-CJ41,MIN(600,CL41))),MAX(0,CE41*(1+CF41)-CL41))))</f>
        <v/>
      </c>
      <c r="CN41" s="7">
        <f>IF(8=0,0,CN40)+IF(CI41=1,12*MIN(1,K41),0)</f>
        <v/>
      </c>
      <c r="CO41" s="7">
        <f>IF(AND(CI41=1,CN41&gt;=prestamos_pslfPagos,CM41&gt;0),CM41,0)</f>
        <v/>
      </c>
      <c r="CP41" s="7">
        <f>CM41-CO41</f>
        <v/>
      </c>
      <c r="CQ41" s="7">
        <f>IF(AND(CE41&gt;0,CH41=0,CI41=0),CG41+1,CG41)</f>
        <v/>
      </c>
      <c r="CR41" s="7">
        <f>IF(8=0,IF(personal_deudaEsFederal=1,0,personal_deudaEstudiantil),EA40)</f>
        <v/>
      </c>
      <c r="CS41" s="7">
        <f>IF(8=0,IF(personal_deudaEsFederal=1,prestamos_tasaPrivada,personal_tasaDeudaEstudiantil),EB40)</f>
        <v/>
      </c>
      <c r="CT41" s="7">
        <f>IF(8=0,0,EC40)</f>
        <v/>
      </c>
      <c r="CU41" s="7">
        <f>IF(OR(CR41&lt;=0,CH41=1),0,PMT(CS41,MAX(1,prestamos_plazoAnios-CT41),-CR41))</f>
        <v/>
      </c>
      <c r="CV41" s="7">
        <f>IF(CR41&lt;=0,0,IF(CH41=1,CR41*(1+CS41),MAX(0,CR41*(1+CS41)-CU41)))</f>
        <v/>
      </c>
      <c r="CW41" s="7">
        <f>IF(AND(CR41&gt;0,CH41=0),CT41+1,CT41)</f>
        <v/>
      </c>
      <c r="CX41" s="7">
        <f>IF(8=0,0,ED40)*(1+general_tasaDeudaConsumo)</f>
        <v/>
      </c>
      <c r="CY41" s="7">
        <f>L41*12*tiempos_travelGastoExtraMes*C41</f>
        <v/>
      </c>
      <c r="CZ41" s="7">
        <f>AJ41+CY41+CA41+CC41+CL41+CU41+I41+N41-BZ41-CB41</f>
        <v/>
      </c>
      <c r="DA41" s="7">
        <f>AH41-CZ41</f>
        <v/>
      </c>
      <c r="DB41" s="7">
        <f>IF(8=0,0,DB40)+DA41</f>
        <v/>
      </c>
      <c r="DC41" s="7">
        <f>AN41*vivienda_enganchePct+AN41*vivienda_cierrePct+general_reservaMeses/12*AJ41</f>
        <v/>
      </c>
      <c r="DD41" s="7">
        <f>IF(BB41=1,g_ret,IF(BD41&gt;0,MIN(1,DC41/BD41),1)*g_cash+(1-IF(BD41&gt;0,MIN(1,DC41/BD41),1))*g_ret)</f>
        <v/>
      </c>
      <c r="DE41" s="7">
        <f>IF(DA41&gt;=0,MIN(CX41,DA41),0)</f>
        <v/>
      </c>
      <c r="DF41" s="7">
        <f>IF(DA41&gt;=0,(1-general_tasaAhorro)*(DA41-DE41),0)</f>
        <v/>
      </c>
      <c r="DG41" s="7">
        <f>IF(DA41&gt;=0,DA41-DE41-DF41,0)</f>
        <v/>
      </c>
      <c r="DH41" s="7">
        <f>MIN(personal_rothAnual,DG41)</f>
        <v/>
      </c>
      <c r="DI41" s="7">
        <f>IF(AND(DA41&gt;=0,BB41=1,BP41+BT41&gt;0),MIN(vivienda_prepagoPct*(DG41-DH41),BP41+BT41),0)</f>
        <v/>
      </c>
      <c r="DJ41" s="7">
        <f>MIN(DI41,BP41)</f>
        <v/>
      </c>
      <c r="DK41" s="7">
        <f>IF(DA41&lt;0,MIN(MAX(0,BD41),-DA41),0)</f>
        <v/>
      </c>
      <c r="DL41" s="7">
        <f>IF(DA41&lt;0,-DA41-DK41,0)</f>
        <v/>
      </c>
      <c r="DM41" s="7">
        <f>IF(8=0,0,DZ40)</f>
        <v/>
      </c>
      <c r="DN41" s="7">
        <f>IF(AND(DL41&gt;0,J41&gt;0),MIN(DL41,MIN(prestamos_topeAnualPosgrado*MIN(1,J41),MAX(0,prestamos_topeTotalPosgrado-DM41))),0)</f>
        <v/>
      </c>
      <c r="DO41" s="7">
        <f>IF(AND(DL41&gt;0,J41&gt;0),DL41-DN41,0)</f>
        <v/>
      </c>
      <c r="DP41" s="7">
        <f>IF(AND(DL41&gt;0,J41&lt;=0),DL41,0)</f>
        <v/>
      </c>
      <c r="DQ41" s="7">
        <f>IF(DA41&gt;=0,DG41-DH41-DI41,-DK41)</f>
        <v/>
      </c>
      <c r="DR41" s="7">
        <f>BD41*(1+DD41)+DQ41*(1+DD41/2)</f>
        <v/>
      </c>
      <c r="DS41" s="7">
        <f>IF(8=0,personal_retiroInicial,DS40)*(1+g_ret)+(O41+P41+DH41)*(1+g_ret/2)</f>
        <v/>
      </c>
      <c r="DT41" s="7">
        <f>IF(BB41=1,BL41*(1+g_appr),0)</f>
        <v/>
      </c>
      <c r="DU41" s="7">
        <f>BP41-DJ41</f>
        <v/>
      </c>
      <c r="DV41" s="7">
        <f>BT41-(DI41-DJ41)</f>
        <v/>
      </c>
      <c r="DW41" s="7">
        <f>CP41+DN41</f>
        <v/>
      </c>
      <c r="DX41" s="7">
        <f>IF(DN41&gt;0,(CP41*CF41+DN41*prestamos_tasaFederalPosgrado)/(CP41+DN41),CF41)</f>
        <v/>
      </c>
      <c r="DY41" s="7">
        <f>IF(DN41&gt;0,0,CQ41)</f>
        <v/>
      </c>
      <c r="DZ41" s="7">
        <f>DM41+DN41</f>
        <v/>
      </c>
      <c r="EA41" s="7">
        <f>CV41+DO41</f>
        <v/>
      </c>
      <c r="EB41" s="7">
        <f>IF(DO41&gt;0,(CV41*CS41+DO41*prestamos_tasaPrivada)/(CV41+DO41),CS41)</f>
        <v/>
      </c>
      <c r="EC41" s="7">
        <f>IF(DO41&gt;0,0,CW41)</f>
        <v/>
      </c>
      <c r="ED41" s="7">
        <f>CX41-DE41+DP41</f>
        <v/>
      </c>
      <c r="EE41" s="7">
        <f>IF(IF(8=0,"",EE40)&lt;&gt;"",EE40,IF(AND(BB41=1,DU41&lt;=0.5,DV41&lt;=0.5,OR(BH41=0,BJ41=1)),A41,""))</f>
        <v/>
      </c>
      <c r="EF41" s="7">
        <f>DU41+DV41+DW41+EA41+ED41+CD41</f>
        <v/>
      </c>
      <c r="EG41" s="7">
        <f>DR41+DS41+DT41-EF41</f>
        <v/>
      </c>
      <c r="EH41" s="7">
        <f>EG41/(1+g_inf)^(A41+1-2026)</f>
        <v/>
      </c>
    </row>
    <row r="42">
      <c r="A42" t="n">
        <v>2036</v>
      </c>
      <c r="B42" t="n">
        <v>9</v>
      </c>
      <c r="C42" s="7">
        <f>(1+g_inf)^(A42-2026)</f>
        <v/>
      </c>
      <c r="D42" s="7">
        <f>SUMPRODUCT($AC$5:$AC$29,$E$5:$E$29*(1+$F$5:$F$29)^(A42-2026)*$G$5:$G$29*$H$5:$H$29*(1-$N$5:$N$29*$O$5:$O$29))*g_salMult+SUMPRODUCT(($B$5:$B$29&gt;=A42)*($B$5:$B$29&lt;A42+1)*$I$5:$I$29)*g_salMult</f>
        <v/>
      </c>
      <c r="E42" s="7">
        <f>SUMPRODUCT($AC$5:$AC$29,$E$5:$E$29*(1+$F$5:$F$29)^(A42-2026)*$G$5:$G$29*$H$5:$H$29*$M$5:$M$29)*g_salMult</f>
        <v/>
      </c>
      <c r="F42" s="7">
        <f>SUMPRODUCT($AC$5:$AC$29,$E$5:$E$29*(1+$F$5:$F$29)^(A42-2026)*$G$5:$G$29*$H$5:$H$29*$N$5:$N$29*$O$5:$O$29)*g_salMult</f>
        <v/>
      </c>
      <c r="G42" s="7">
        <f>SUMPRODUCT($AC$5:$AC$29,$P$5:$P$29*(1+$F$5:$F$29)^(A42-2026))</f>
        <v/>
      </c>
      <c r="H42" s="7">
        <f>SUMPRODUCT($AC$5:$AC$29,$Q$5:$Q$29*(1+$F$5:$F$29)^(A42-2026))+IF(personal_llcActivo=1,personal_llcNeto*(1+personal_llcCrecimiento)^9,0)</f>
        <v/>
      </c>
      <c r="I42" s="7">
        <f>SUMPRODUCT($AC$5:$AC$29,$J$5:$J$29/($C$5:$C$29-$B$5:$B$29+($C$5:$C$29=$B$5:$B$29)))*C42</f>
        <v/>
      </c>
      <c r="J42" s="7">
        <f>SUMPRODUCT($AC$5:$AC$29,$K$5:$K$29)</f>
        <v/>
      </c>
      <c r="K42" s="7">
        <f>SUMPRODUCT($AC$5:$AC$29,$L$5:$L$29)</f>
        <v/>
      </c>
      <c r="L42" s="7">
        <f>SUMPRODUCT($AC$5:$AC$29,$N$5:$N$29)</f>
        <v/>
      </c>
      <c r="M42" s="7">
        <f>IF(SUMPRODUCT($AC$5:$AC$29,$R$5:$R$29)&gt;0,1,0)</f>
        <v/>
      </c>
      <c r="N42" s="7">
        <f>SUMPRODUCT(($AO$5:$AO$24&gt;=A42)*($AO$5:$AO$24&lt;A42+1)*$AP$5:$AP$24)*C42+IF(9=0,IF(sel_loc&lt;&gt;"miami",personal_costoMudanzaInicial,0),0)</f>
        <v/>
      </c>
      <c r="O42" s="7">
        <f>MIN(personal_aporte403bPct*D42,retiro_limite403b*C42)</f>
        <v/>
      </c>
      <c r="P42" s="7">
        <f>MIN(personal_aporte403bPct,personal_match403bPct)*E42</f>
        <v/>
      </c>
      <c r="Q42" s="7">
        <f>IF(G42&gt;0,MAX(0,G42-impuestos_scorpCostoAnual*C42),0)</f>
        <v/>
      </c>
      <c r="R42" s="7">
        <f>Q42*impuestos_scorpSalarioPct/(1+impuestos_ssTasa+impuestos_medicareTasa)</f>
        <v/>
      </c>
      <c r="S42" s="7">
        <f>impuestos_ssTasa*MIN(R42,MAX(0,impuestos_ssTope*C42-D42))+impuestos_medicareTasa*R42</f>
        <v/>
      </c>
      <c r="T42" s="7">
        <f>Q42-R42-S42</f>
        <v/>
      </c>
      <c r="U42" s="7">
        <f>D42+R42</f>
        <v/>
      </c>
      <c r="V42" s="7">
        <f>H42*0.9235</f>
        <v/>
      </c>
      <c r="W42" s="7">
        <f>IF(H42&gt;0,2*impuestos_ssTasa*MIN(V42,MAX(0,impuestos_ssTope*C42-U42))+2*impuestos_medicareTasa*V42,0)</f>
        <v/>
      </c>
      <c r="X42" s="7">
        <f>impuestos_ssTasa*MIN(U42,impuestos_ssTope*C42)+impuestos_medicareTasa*U42+impuestos_medicareAdicional*MAX(0,U42+H42*0.9235-impuestos_medicareUmbral)</f>
        <v/>
      </c>
      <c r="Y42" s="7">
        <f>MAX(0,D42-O42+R42+T42+H42-W42/2)</f>
        <v/>
      </c>
      <c r="Z42" s="7">
        <f>MAX(0,Y42-impuestos_deduccionEstandar*C42)</f>
        <v/>
      </c>
      <c r="AA42" s="7">
        <f>MIN(0.2*MAX(0,T42+H42-W42/2)*MAX(0,MIN(1,1-(Z42-impuestos_qbiUmbral*C42)/(impuestos_qbiRango*C42))),0.2*Z42)</f>
        <v/>
      </c>
      <c r="AB42" s="7">
        <f>MAX(0,Z42-AA42)</f>
        <v/>
      </c>
      <c r="AC42" s="7">
        <f>SUMPRODUCT((AB42&gt;tb_federalBrackets_lo*C42)*(AB42-tb_federalBrackets_lo*C42)*tb_federalBrackets_dr)</f>
        <v/>
      </c>
      <c r="AD42" s="7">
        <f>MAX(0,Y42-impuestos_nyDeduccion*C42)</f>
        <v/>
      </c>
      <c r="AE42" s="7">
        <f>CHOOSE(loc_taxcode,0,impuestos_ohTasa*MAX(0,Y42-impuestos_ohExento*C42)+impuestos_ohMunicipal*U42,SUMPRODUCT((AD42&gt;tb_nyBrackets_lo*C42)*(AD42-tb_nyBrackets_lo*C42)*tb_nyBrackets_dr)+loc_nyc*SUMPRODUCT((AD42&gt;tb_nycBrackets_lo*C42)*(AD42-tb_nycBrackets_lo*C42)*tb_nycBrackets_dr))</f>
        <v/>
      </c>
      <c r="AF42" s="7">
        <f>AC42+AE42+X42+W42</f>
        <v/>
      </c>
      <c r="AG42" s="7">
        <f>D42+F42+R42+T42+H42</f>
        <v/>
      </c>
      <c r="AH42" s="7">
        <f>AG42-AF42-O42</f>
        <v/>
      </c>
      <c r="AI42" s="7">
        <f>D42+F42+G42+H42</f>
        <v/>
      </c>
      <c r="AJ42" s="7">
        <f>loc_gastosVida*C42*g_gastos</f>
        <v/>
      </c>
      <c r="AK42" s="7">
        <f>IF(9=0,personal_liquidoInicial,DR41)</f>
        <v/>
      </c>
      <c r="AL42" s="7">
        <f>IF(9=0,0,BB41)</f>
        <v/>
      </c>
      <c r="AM42" s="7">
        <f>CHOOSE(sel_cfgIdx,loc_precio_duplex,loc_precio_inlaw,loc_precio_dosCasas,loc_precio_casaAdu,loc_precio_multi)</f>
        <v/>
      </c>
      <c r="AN42" s="7">
        <f>AM42*(1+g_appr)^(A42-2026)</f>
        <v/>
      </c>
      <c r="AO42" s="7">
        <f>IF(AND(M42=1,vivienda_prestamoMedico=1),1,0)</f>
        <v/>
      </c>
      <c r="AP42" s="7">
        <f>IF(AO42=1,0.05,vivienda_enganchePct)</f>
        <v/>
      </c>
      <c r="AQ42" s="7">
        <f>AN42*(1-AP42)</f>
        <v/>
      </c>
      <c r="AR42" s="7">
        <f>PMT(g_mortRate/12,vivienda_plazoHipoteca*12,-AQ42)</f>
        <v/>
      </c>
      <c r="AS42" s="7">
        <f>INDEX(cfg_units,sel_cfgIdx)</f>
        <v/>
      </c>
      <c r="AT42" s="7">
        <f>AS42*loc_rentaUnidad*(1+g_inf)^(A42-2026)*(1-vivienda_vacancia)</f>
        <v/>
      </c>
      <c r="AU42" s="7">
        <f>AR42+AN42*loc_impuestoPropPct/12+AM42*loc_seguroPct*(1+vivienda_inflacionSeguro)^(A42-2026)/12+IF(AND(AO42=0,AP42&lt;0.2),AQ42*vivienda_pmiTasa/12,0)</f>
        <v/>
      </c>
      <c r="AV42" s="7">
        <f>AN42*AP42+AN42*vivienda_cierrePct+general_reservaMeses/12*AJ42</f>
        <v/>
      </c>
      <c r="AW42" s="7">
        <f>(IF(9=0,MIN(personal_irsSaldo,personal_irsPagoMensual*12),MIN(CD41,personal_irsPagoMensual*12))+IF(CE42&gt;0,PMT(CF42,MAX(1,prestamos_plazoAnios-CG42),-CE42),0)+IF(CR42&gt;0,PMT(CS42,MAX(1,prestamos_plazoAnios-CT42),-CR42),0))/12</f>
        <v/>
      </c>
      <c r="AX42" s="7">
        <f>IF(OR(sel_cfg="duplex",sel_cfg="multi",sel_cfg="dosCasas"),0.75*personal_aporteFamiliaMensual,0)</f>
        <v/>
      </c>
      <c r="AY42" s="7">
        <f>AU42-0.75*AT42-AX42+AW42</f>
        <v/>
      </c>
      <c r="AZ42" s="7">
        <f>(D42+G42+H42+0.5*F42)/12</f>
        <v/>
      </c>
      <c r="BA42" s="7">
        <f>IF(AND(AL42=0,A42&gt;=vivienda_anioMinCompra,J42&lt;0.5,AI42&gt;0,AK42&gt;=AV42,AY42&lt;=vivienda_dtiMax*AZ42),1,0)</f>
        <v/>
      </c>
      <c r="BB42" s="7">
        <f>MAX(AL42,BA42)</f>
        <v/>
      </c>
      <c r="BC42" s="7">
        <f>IF(BA42=1,A42,IF(9=0,"",BC41))</f>
        <v/>
      </c>
      <c r="BD42" s="7">
        <f>AK42-IF(BA42=1,AN42*AP42+AN42*vivienda_cierrePct,0)</f>
        <v/>
      </c>
      <c r="BE42" s="7">
        <f>IF(BA42=1,AN42,IF(9=0,0,BE41))</f>
        <v/>
      </c>
      <c r="BF42" s="7">
        <f>IF(BA42=1,AR42,IF(9=0,0,BF41))</f>
        <v/>
      </c>
      <c r="BG42" s="7">
        <f>IF(BA42=1,IF(AND(AO42=0,AP42&lt;0.2),1,0),IF(9=0,0,BY41))</f>
        <v/>
      </c>
      <c r="BH42" s="7">
        <f>IF(sel_cfg="casaAdu",1,0)</f>
        <v/>
      </c>
      <c r="BI42" s="7">
        <f>IF(AND(BB42=1,BH42=1,IF(9=0,0,BJ41)=0,A42&gt;=IF(BC42="",9999,BC42)+vivienda_aduRetrasoAnios),1,0)</f>
        <v/>
      </c>
      <c r="BJ42" s="7">
        <f>MAX(IF(9=0,0,BJ41),BI42)</f>
        <v/>
      </c>
      <c r="BK42" s="7">
        <f>IF(BI42=1,PMT((g_mortRate+0.005)/12,180,-loc_precio_aduCosto*C42),IF(9=0,0,BK41))</f>
        <v/>
      </c>
      <c r="BL42" s="7">
        <f>IF(BA42=1,AN42,IF(9=0,0,DT41))+IF(BI42=1,loc_precio_aduCosto*C42,0)</f>
        <v/>
      </c>
      <c r="BM42" s="7">
        <f>IF(BA42=1,AQ42,IF(9=0,0,DU41))</f>
        <v/>
      </c>
      <c r="BN42" s="7">
        <f>IF(BM42&lt;=0,0,FV(g_mortRate/12,12,BF42,-BM42))</f>
        <v/>
      </c>
      <c r="BO42" s="7">
        <f>IF(BM42&lt;=0,0,12*BF42+MIN(0,BN42))</f>
        <v/>
      </c>
      <c r="BP42" s="7">
        <f>MAX(0,BN42)</f>
        <v/>
      </c>
      <c r="BQ42" s="7">
        <f>IF(BI42=1,loc_precio_aduCosto*C42,IF(9=0,0,DV41))</f>
        <v/>
      </c>
      <c r="BR42" s="7">
        <f>IF(BQ42&lt;=0,0,FV((g_mortRate+0.005)/12,12,BK42,-BQ42))</f>
        <v/>
      </c>
      <c r="BS42" s="7">
        <f>IF(BQ42&lt;=0,0,12*BK42+MIN(0,BR42))</f>
        <v/>
      </c>
      <c r="BT42" s="7">
        <f>MAX(0,BR42)</f>
        <v/>
      </c>
      <c r="BU42" s="7">
        <f>IF(BB42=1,AM42*loc_seguroPct*(1+vivienda_inflacionSeguro)^(A42-2026)*IF(BJ42=1,1+loc_precio_aduCosto/AM42,1),0)</f>
        <v/>
      </c>
      <c r="BV42" s="7">
        <f>BL42*loc_impuestoPropPct</f>
        <v/>
      </c>
      <c r="BW42" s="7">
        <f>BL42*vivienda_mantenimientoPct</f>
        <v/>
      </c>
      <c r="BX42" s="7">
        <f>IF(AND(BG42=1,BP42&gt;0.8*BE42),BE42*(1-vivienda_enganchePct)*vivienda_pmiTasa,0)</f>
        <v/>
      </c>
      <c r="BY42" s="7">
        <f>IF(AND(BG42=1,BP42&gt;0.8*BE42),1,0)</f>
        <v/>
      </c>
      <c r="BZ42" s="7">
        <f>IF(BB42=1,AS42*loc_rentaUnidad*12*C42*(1-vivienda_vacancia)*(1-vivienda_gestionPct),0)</f>
        <v/>
      </c>
      <c r="CA42" s="7">
        <f>IF(BB42=1,BO42+BS42+BU42+BV42+BW42+BX42,loc_rentaMensual*12*C42)</f>
        <v/>
      </c>
      <c r="CB42" s="7">
        <f>IF(BB42=1,personal_aporteFamiliaMensual*12,0)</f>
        <v/>
      </c>
      <c r="CC42" s="7">
        <f>MIN(IF(9=0,personal_irsSaldo,CD41),personal_irsPagoMensual*12)</f>
        <v/>
      </c>
      <c r="CD42" s="7">
        <f>IF(9=0,personal_irsSaldo,CD41)-CC42</f>
        <v/>
      </c>
      <c r="CE42" s="7">
        <f>IF(9=0,IF(personal_deudaEsFederal=1,personal_deudaEstudiantil,0),DW41)</f>
        <v/>
      </c>
      <c r="CF42" s="7">
        <f>IF(9=0,personal_tasaDeudaEstudiantil,DX41)</f>
        <v/>
      </c>
      <c r="CG42" s="7">
        <f>IF(9=0,0,DY41)</f>
        <v/>
      </c>
      <c r="CH42" s="7">
        <f>IF(J42&gt;=0.5,1,0)</f>
        <v/>
      </c>
      <c r="CI42" s="7">
        <f>IF(AND(CH42=0,prestamos_pslfActivo=1,K42&gt;=0.5,CE42&gt;0),1,0)</f>
        <v/>
      </c>
      <c r="CJ42" s="7">
        <f>CE42*CF42</f>
        <v/>
      </c>
      <c r="CK42" s="7">
        <f>MAX(prestamos_rapPagoMinimoAnual,IF(Y42&lt;10000,0,MIN(0.1,INT(Y42/10000)/100))*Y42)</f>
        <v/>
      </c>
      <c r="CL42" s="7">
        <f>IF(CE42&lt;=0,0,IF(CH42=1,0,IF(CI42=1,MIN(CE42+CJ42,CK42),PMT(CF42,MAX(1,prestamos_plazoAnios-CG42),-CE42))))</f>
        <v/>
      </c>
      <c r="CM42" s="7">
        <f>IF(CE42&lt;=0,0,IF(CH42=1,CE42+CJ42,IF(CI42=1,MAX(0,CE42-MAX(CL42-CJ42,MIN(600,CL42))),MAX(0,CE42*(1+CF42)-CL42))))</f>
        <v/>
      </c>
      <c r="CN42" s="7">
        <f>IF(9=0,0,CN41)+IF(CI42=1,12*MIN(1,K42),0)</f>
        <v/>
      </c>
      <c r="CO42" s="7">
        <f>IF(AND(CI42=1,CN42&gt;=prestamos_pslfPagos,CM42&gt;0),CM42,0)</f>
        <v/>
      </c>
      <c r="CP42" s="7">
        <f>CM42-CO42</f>
        <v/>
      </c>
      <c r="CQ42" s="7">
        <f>IF(AND(CE42&gt;0,CH42=0,CI42=0),CG42+1,CG42)</f>
        <v/>
      </c>
      <c r="CR42" s="7">
        <f>IF(9=0,IF(personal_deudaEsFederal=1,0,personal_deudaEstudiantil),EA41)</f>
        <v/>
      </c>
      <c r="CS42" s="7">
        <f>IF(9=0,IF(personal_deudaEsFederal=1,prestamos_tasaPrivada,personal_tasaDeudaEstudiantil),EB41)</f>
        <v/>
      </c>
      <c r="CT42" s="7">
        <f>IF(9=0,0,EC41)</f>
        <v/>
      </c>
      <c r="CU42" s="7">
        <f>IF(OR(CR42&lt;=0,CH42=1),0,PMT(CS42,MAX(1,prestamos_plazoAnios-CT42),-CR42))</f>
        <v/>
      </c>
      <c r="CV42" s="7">
        <f>IF(CR42&lt;=0,0,IF(CH42=1,CR42*(1+CS42),MAX(0,CR42*(1+CS42)-CU42)))</f>
        <v/>
      </c>
      <c r="CW42" s="7">
        <f>IF(AND(CR42&gt;0,CH42=0),CT42+1,CT42)</f>
        <v/>
      </c>
      <c r="CX42" s="7">
        <f>IF(9=0,0,ED41)*(1+general_tasaDeudaConsumo)</f>
        <v/>
      </c>
      <c r="CY42" s="7">
        <f>L42*12*tiempos_travelGastoExtraMes*C42</f>
        <v/>
      </c>
      <c r="CZ42" s="7">
        <f>AJ42+CY42+CA42+CC42+CL42+CU42+I42+N42-BZ42-CB42</f>
        <v/>
      </c>
      <c r="DA42" s="7">
        <f>AH42-CZ42</f>
        <v/>
      </c>
      <c r="DB42" s="7">
        <f>IF(9=0,0,DB41)+DA42</f>
        <v/>
      </c>
      <c r="DC42" s="7">
        <f>AN42*vivienda_enganchePct+AN42*vivienda_cierrePct+general_reservaMeses/12*AJ42</f>
        <v/>
      </c>
      <c r="DD42" s="7">
        <f>IF(BB42=1,g_ret,IF(BD42&gt;0,MIN(1,DC42/BD42),1)*g_cash+(1-IF(BD42&gt;0,MIN(1,DC42/BD42),1))*g_ret)</f>
        <v/>
      </c>
      <c r="DE42" s="7">
        <f>IF(DA42&gt;=0,MIN(CX42,DA42),0)</f>
        <v/>
      </c>
      <c r="DF42" s="7">
        <f>IF(DA42&gt;=0,(1-general_tasaAhorro)*(DA42-DE42),0)</f>
        <v/>
      </c>
      <c r="DG42" s="7">
        <f>IF(DA42&gt;=0,DA42-DE42-DF42,0)</f>
        <v/>
      </c>
      <c r="DH42" s="7">
        <f>MIN(personal_rothAnual,DG42)</f>
        <v/>
      </c>
      <c r="DI42" s="7">
        <f>IF(AND(DA42&gt;=0,BB42=1,BP42+BT42&gt;0),MIN(vivienda_prepagoPct*(DG42-DH42),BP42+BT42),0)</f>
        <v/>
      </c>
      <c r="DJ42" s="7">
        <f>MIN(DI42,BP42)</f>
        <v/>
      </c>
      <c r="DK42" s="7">
        <f>IF(DA42&lt;0,MIN(MAX(0,BD42),-DA42),0)</f>
        <v/>
      </c>
      <c r="DL42" s="7">
        <f>IF(DA42&lt;0,-DA42-DK42,0)</f>
        <v/>
      </c>
      <c r="DM42" s="7">
        <f>IF(9=0,0,DZ41)</f>
        <v/>
      </c>
      <c r="DN42" s="7">
        <f>IF(AND(DL42&gt;0,J42&gt;0),MIN(DL42,MIN(prestamos_topeAnualPosgrado*MIN(1,J42),MAX(0,prestamos_topeTotalPosgrado-DM42))),0)</f>
        <v/>
      </c>
      <c r="DO42" s="7">
        <f>IF(AND(DL42&gt;0,J42&gt;0),DL42-DN42,0)</f>
        <v/>
      </c>
      <c r="DP42" s="7">
        <f>IF(AND(DL42&gt;0,J42&lt;=0),DL42,0)</f>
        <v/>
      </c>
      <c r="DQ42" s="7">
        <f>IF(DA42&gt;=0,DG42-DH42-DI42,-DK42)</f>
        <v/>
      </c>
      <c r="DR42" s="7">
        <f>BD42*(1+DD42)+DQ42*(1+DD42/2)</f>
        <v/>
      </c>
      <c r="DS42" s="7">
        <f>IF(9=0,personal_retiroInicial,DS41)*(1+g_ret)+(O42+P42+DH42)*(1+g_ret/2)</f>
        <v/>
      </c>
      <c r="DT42" s="7">
        <f>IF(BB42=1,BL42*(1+g_appr),0)</f>
        <v/>
      </c>
      <c r="DU42" s="7">
        <f>BP42-DJ42</f>
        <v/>
      </c>
      <c r="DV42" s="7">
        <f>BT42-(DI42-DJ42)</f>
        <v/>
      </c>
      <c r="DW42" s="7">
        <f>CP42+DN42</f>
        <v/>
      </c>
      <c r="DX42" s="7">
        <f>IF(DN42&gt;0,(CP42*CF42+DN42*prestamos_tasaFederalPosgrado)/(CP42+DN42),CF42)</f>
        <v/>
      </c>
      <c r="DY42" s="7">
        <f>IF(DN42&gt;0,0,CQ42)</f>
        <v/>
      </c>
      <c r="DZ42" s="7">
        <f>DM42+DN42</f>
        <v/>
      </c>
      <c r="EA42" s="7">
        <f>CV42+DO42</f>
        <v/>
      </c>
      <c r="EB42" s="7">
        <f>IF(DO42&gt;0,(CV42*CS42+DO42*prestamos_tasaPrivada)/(CV42+DO42),CS42)</f>
        <v/>
      </c>
      <c r="EC42" s="7">
        <f>IF(DO42&gt;0,0,CW42)</f>
        <v/>
      </c>
      <c r="ED42" s="7">
        <f>CX42-DE42+DP42</f>
        <v/>
      </c>
      <c r="EE42" s="7">
        <f>IF(IF(9=0,"",EE41)&lt;&gt;"",EE41,IF(AND(BB42=1,DU42&lt;=0.5,DV42&lt;=0.5,OR(BH42=0,BJ42=1)),A42,""))</f>
        <v/>
      </c>
      <c r="EF42" s="7">
        <f>DU42+DV42+DW42+EA42+ED42+CD42</f>
        <v/>
      </c>
      <c r="EG42" s="7">
        <f>DR42+DS42+DT42-EF42</f>
        <v/>
      </c>
      <c r="EH42" s="7">
        <f>EG42/(1+g_inf)^(A42+1-2026)</f>
        <v/>
      </c>
    </row>
    <row r="43">
      <c r="A43" t="n">
        <v>2037</v>
      </c>
      <c r="B43" t="n">
        <v>10</v>
      </c>
      <c r="C43" s="7">
        <f>(1+g_inf)^(A43-2026)</f>
        <v/>
      </c>
      <c r="D43" s="7">
        <f>SUMPRODUCT($AD$5:$AD$29,$E$5:$E$29*(1+$F$5:$F$29)^(A43-2026)*$G$5:$G$29*$H$5:$H$29*(1-$N$5:$N$29*$O$5:$O$29))*g_salMult+SUMPRODUCT(($B$5:$B$29&gt;=A43)*($B$5:$B$29&lt;A43+1)*$I$5:$I$29)*g_salMult</f>
        <v/>
      </c>
      <c r="E43" s="7">
        <f>SUMPRODUCT($AD$5:$AD$29,$E$5:$E$29*(1+$F$5:$F$29)^(A43-2026)*$G$5:$G$29*$H$5:$H$29*$M$5:$M$29)*g_salMult</f>
        <v/>
      </c>
      <c r="F43" s="7">
        <f>SUMPRODUCT($AD$5:$AD$29,$E$5:$E$29*(1+$F$5:$F$29)^(A43-2026)*$G$5:$G$29*$H$5:$H$29*$N$5:$N$29*$O$5:$O$29)*g_salMult</f>
        <v/>
      </c>
      <c r="G43" s="7">
        <f>SUMPRODUCT($AD$5:$AD$29,$P$5:$P$29*(1+$F$5:$F$29)^(A43-2026))</f>
        <v/>
      </c>
      <c r="H43" s="7">
        <f>SUMPRODUCT($AD$5:$AD$29,$Q$5:$Q$29*(1+$F$5:$F$29)^(A43-2026))+IF(personal_llcActivo=1,personal_llcNeto*(1+personal_llcCrecimiento)^10,0)</f>
        <v/>
      </c>
      <c r="I43" s="7">
        <f>SUMPRODUCT($AD$5:$AD$29,$J$5:$J$29/($C$5:$C$29-$B$5:$B$29+($C$5:$C$29=$B$5:$B$29)))*C43</f>
        <v/>
      </c>
      <c r="J43" s="7">
        <f>SUMPRODUCT($AD$5:$AD$29,$K$5:$K$29)</f>
        <v/>
      </c>
      <c r="K43" s="7">
        <f>SUMPRODUCT($AD$5:$AD$29,$L$5:$L$29)</f>
        <v/>
      </c>
      <c r="L43" s="7">
        <f>SUMPRODUCT($AD$5:$AD$29,$N$5:$N$29)</f>
        <v/>
      </c>
      <c r="M43" s="7">
        <f>IF(SUMPRODUCT($AD$5:$AD$29,$R$5:$R$29)&gt;0,1,0)</f>
        <v/>
      </c>
      <c r="N43" s="7">
        <f>SUMPRODUCT(($AO$5:$AO$24&gt;=A43)*($AO$5:$AO$24&lt;A43+1)*$AP$5:$AP$24)*C43+IF(10=0,IF(sel_loc&lt;&gt;"miami",personal_costoMudanzaInicial,0),0)</f>
        <v/>
      </c>
      <c r="O43" s="7">
        <f>MIN(personal_aporte403bPct*D43,retiro_limite403b*C43)</f>
        <v/>
      </c>
      <c r="P43" s="7">
        <f>MIN(personal_aporte403bPct,personal_match403bPct)*E43</f>
        <v/>
      </c>
      <c r="Q43" s="7">
        <f>IF(G43&gt;0,MAX(0,G43-impuestos_scorpCostoAnual*C43),0)</f>
        <v/>
      </c>
      <c r="R43" s="7">
        <f>Q43*impuestos_scorpSalarioPct/(1+impuestos_ssTasa+impuestos_medicareTasa)</f>
        <v/>
      </c>
      <c r="S43" s="7">
        <f>impuestos_ssTasa*MIN(R43,MAX(0,impuestos_ssTope*C43-D43))+impuestos_medicareTasa*R43</f>
        <v/>
      </c>
      <c r="T43" s="7">
        <f>Q43-R43-S43</f>
        <v/>
      </c>
      <c r="U43" s="7">
        <f>D43+R43</f>
        <v/>
      </c>
      <c r="V43" s="7">
        <f>H43*0.9235</f>
        <v/>
      </c>
      <c r="W43" s="7">
        <f>IF(H43&gt;0,2*impuestos_ssTasa*MIN(V43,MAX(0,impuestos_ssTope*C43-U43))+2*impuestos_medicareTasa*V43,0)</f>
        <v/>
      </c>
      <c r="X43" s="7">
        <f>impuestos_ssTasa*MIN(U43,impuestos_ssTope*C43)+impuestos_medicareTasa*U43+impuestos_medicareAdicional*MAX(0,U43+H43*0.9235-impuestos_medicareUmbral)</f>
        <v/>
      </c>
      <c r="Y43" s="7">
        <f>MAX(0,D43-O43+R43+T43+H43-W43/2)</f>
        <v/>
      </c>
      <c r="Z43" s="7">
        <f>MAX(0,Y43-impuestos_deduccionEstandar*C43)</f>
        <v/>
      </c>
      <c r="AA43" s="7">
        <f>MIN(0.2*MAX(0,T43+H43-W43/2)*MAX(0,MIN(1,1-(Z43-impuestos_qbiUmbral*C43)/(impuestos_qbiRango*C43))),0.2*Z43)</f>
        <v/>
      </c>
      <c r="AB43" s="7">
        <f>MAX(0,Z43-AA43)</f>
        <v/>
      </c>
      <c r="AC43" s="7">
        <f>SUMPRODUCT((AB43&gt;tb_federalBrackets_lo*C43)*(AB43-tb_federalBrackets_lo*C43)*tb_federalBrackets_dr)</f>
        <v/>
      </c>
      <c r="AD43" s="7">
        <f>MAX(0,Y43-impuestos_nyDeduccion*C43)</f>
        <v/>
      </c>
      <c r="AE43" s="7">
        <f>CHOOSE(loc_taxcode,0,impuestos_ohTasa*MAX(0,Y43-impuestos_ohExento*C43)+impuestos_ohMunicipal*U43,SUMPRODUCT((AD43&gt;tb_nyBrackets_lo*C43)*(AD43-tb_nyBrackets_lo*C43)*tb_nyBrackets_dr)+loc_nyc*SUMPRODUCT((AD43&gt;tb_nycBrackets_lo*C43)*(AD43-tb_nycBrackets_lo*C43)*tb_nycBrackets_dr))</f>
        <v/>
      </c>
      <c r="AF43" s="7">
        <f>AC43+AE43+X43+W43</f>
        <v/>
      </c>
      <c r="AG43" s="7">
        <f>D43+F43+R43+T43+H43</f>
        <v/>
      </c>
      <c r="AH43" s="7">
        <f>AG43-AF43-O43</f>
        <v/>
      </c>
      <c r="AI43" s="7">
        <f>D43+F43+G43+H43</f>
        <v/>
      </c>
      <c r="AJ43" s="7">
        <f>loc_gastosVida*C43*g_gastos</f>
        <v/>
      </c>
      <c r="AK43" s="7">
        <f>IF(10=0,personal_liquidoInicial,DR42)</f>
        <v/>
      </c>
      <c r="AL43" s="7">
        <f>IF(10=0,0,BB42)</f>
        <v/>
      </c>
      <c r="AM43" s="7">
        <f>CHOOSE(sel_cfgIdx,loc_precio_duplex,loc_precio_inlaw,loc_precio_dosCasas,loc_precio_casaAdu,loc_precio_multi)</f>
        <v/>
      </c>
      <c r="AN43" s="7">
        <f>AM43*(1+g_appr)^(A43-2026)</f>
        <v/>
      </c>
      <c r="AO43" s="7">
        <f>IF(AND(M43=1,vivienda_prestamoMedico=1),1,0)</f>
        <v/>
      </c>
      <c r="AP43" s="7">
        <f>IF(AO43=1,0.05,vivienda_enganchePct)</f>
        <v/>
      </c>
      <c r="AQ43" s="7">
        <f>AN43*(1-AP43)</f>
        <v/>
      </c>
      <c r="AR43" s="7">
        <f>PMT(g_mortRate/12,vivienda_plazoHipoteca*12,-AQ43)</f>
        <v/>
      </c>
      <c r="AS43" s="7">
        <f>INDEX(cfg_units,sel_cfgIdx)</f>
        <v/>
      </c>
      <c r="AT43" s="7">
        <f>AS43*loc_rentaUnidad*(1+g_inf)^(A43-2026)*(1-vivienda_vacancia)</f>
        <v/>
      </c>
      <c r="AU43" s="7">
        <f>AR43+AN43*loc_impuestoPropPct/12+AM43*loc_seguroPct*(1+vivienda_inflacionSeguro)^(A43-2026)/12+IF(AND(AO43=0,AP43&lt;0.2),AQ43*vivienda_pmiTasa/12,0)</f>
        <v/>
      </c>
      <c r="AV43" s="7">
        <f>AN43*AP43+AN43*vivienda_cierrePct+general_reservaMeses/12*AJ43</f>
        <v/>
      </c>
      <c r="AW43" s="7">
        <f>(IF(10=0,MIN(personal_irsSaldo,personal_irsPagoMensual*12),MIN(CD42,personal_irsPagoMensual*12))+IF(CE43&gt;0,PMT(CF43,MAX(1,prestamos_plazoAnios-CG43),-CE43),0)+IF(CR43&gt;0,PMT(CS43,MAX(1,prestamos_plazoAnios-CT43),-CR43),0))/12</f>
        <v/>
      </c>
      <c r="AX43" s="7">
        <f>IF(OR(sel_cfg="duplex",sel_cfg="multi",sel_cfg="dosCasas"),0.75*personal_aporteFamiliaMensual,0)</f>
        <v/>
      </c>
      <c r="AY43" s="7">
        <f>AU43-0.75*AT43-AX43+AW43</f>
        <v/>
      </c>
      <c r="AZ43" s="7">
        <f>(D43+G43+H43+0.5*F43)/12</f>
        <v/>
      </c>
      <c r="BA43" s="7">
        <f>IF(AND(AL43=0,A43&gt;=vivienda_anioMinCompra,J43&lt;0.5,AI43&gt;0,AK43&gt;=AV43,AY43&lt;=vivienda_dtiMax*AZ43),1,0)</f>
        <v/>
      </c>
      <c r="BB43" s="7">
        <f>MAX(AL43,BA43)</f>
        <v/>
      </c>
      <c r="BC43" s="7">
        <f>IF(BA43=1,A43,IF(10=0,"",BC42))</f>
        <v/>
      </c>
      <c r="BD43" s="7">
        <f>AK43-IF(BA43=1,AN43*AP43+AN43*vivienda_cierrePct,0)</f>
        <v/>
      </c>
      <c r="BE43" s="7">
        <f>IF(BA43=1,AN43,IF(10=0,0,BE42))</f>
        <v/>
      </c>
      <c r="BF43" s="7">
        <f>IF(BA43=1,AR43,IF(10=0,0,BF42))</f>
        <v/>
      </c>
      <c r="BG43" s="7">
        <f>IF(BA43=1,IF(AND(AO43=0,AP43&lt;0.2),1,0),IF(10=0,0,BY42))</f>
        <v/>
      </c>
      <c r="BH43" s="7">
        <f>IF(sel_cfg="casaAdu",1,0)</f>
        <v/>
      </c>
      <c r="BI43" s="7">
        <f>IF(AND(BB43=1,BH43=1,IF(10=0,0,BJ42)=0,A43&gt;=IF(BC43="",9999,BC43)+vivienda_aduRetrasoAnios),1,0)</f>
        <v/>
      </c>
      <c r="BJ43" s="7">
        <f>MAX(IF(10=0,0,BJ42),BI43)</f>
        <v/>
      </c>
      <c r="BK43" s="7">
        <f>IF(BI43=1,PMT((g_mortRate+0.005)/12,180,-loc_precio_aduCosto*C43),IF(10=0,0,BK42))</f>
        <v/>
      </c>
      <c r="BL43" s="7">
        <f>IF(BA43=1,AN43,IF(10=0,0,DT42))+IF(BI43=1,loc_precio_aduCosto*C43,0)</f>
        <v/>
      </c>
      <c r="BM43" s="7">
        <f>IF(BA43=1,AQ43,IF(10=0,0,DU42))</f>
        <v/>
      </c>
      <c r="BN43" s="7">
        <f>IF(BM43&lt;=0,0,FV(g_mortRate/12,12,BF43,-BM43))</f>
        <v/>
      </c>
      <c r="BO43" s="7">
        <f>IF(BM43&lt;=0,0,12*BF43+MIN(0,BN43))</f>
        <v/>
      </c>
      <c r="BP43" s="7">
        <f>MAX(0,BN43)</f>
        <v/>
      </c>
      <c r="BQ43" s="7">
        <f>IF(BI43=1,loc_precio_aduCosto*C43,IF(10=0,0,DV42))</f>
        <v/>
      </c>
      <c r="BR43" s="7">
        <f>IF(BQ43&lt;=0,0,FV((g_mortRate+0.005)/12,12,BK43,-BQ43))</f>
        <v/>
      </c>
      <c r="BS43" s="7">
        <f>IF(BQ43&lt;=0,0,12*BK43+MIN(0,BR43))</f>
        <v/>
      </c>
      <c r="BT43" s="7">
        <f>MAX(0,BR43)</f>
        <v/>
      </c>
      <c r="BU43" s="7">
        <f>IF(BB43=1,AM43*loc_seguroPct*(1+vivienda_inflacionSeguro)^(A43-2026)*IF(BJ43=1,1+loc_precio_aduCosto/AM43,1),0)</f>
        <v/>
      </c>
      <c r="BV43" s="7">
        <f>BL43*loc_impuestoPropPct</f>
        <v/>
      </c>
      <c r="BW43" s="7">
        <f>BL43*vivienda_mantenimientoPct</f>
        <v/>
      </c>
      <c r="BX43" s="7">
        <f>IF(AND(BG43=1,BP43&gt;0.8*BE43),BE43*(1-vivienda_enganchePct)*vivienda_pmiTasa,0)</f>
        <v/>
      </c>
      <c r="BY43" s="7">
        <f>IF(AND(BG43=1,BP43&gt;0.8*BE43),1,0)</f>
        <v/>
      </c>
      <c r="BZ43" s="7">
        <f>IF(BB43=1,AS43*loc_rentaUnidad*12*C43*(1-vivienda_vacancia)*(1-vivienda_gestionPct),0)</f>
        <v/>
      </c>
      <c r="CA43" s="7">
        <f>IF(BB43=1,BO43+BS43+BU43+BV43+BW43+BX43,loc_rentaMensual*12*C43)</f>
        <v/>
      </c>
      <c r="CB43" s="7">
        <f>IF(BB43=1,personal_aporteFamiliaMensual*12,0)</f>
        <v/>
      </c>
      <c r="CC43" s="7">
        <f>MIN(IF(10=0,personal_irsSaldo,CD42),personal_irsPagoMensual*12)</f>
        <v/>
      </c>
      <c r="CD43" s="7">
        <f>IF(10=0,personal_irsSaldo,CD42)-CC43</f>
        <v/>
      </c>
      <c r="CE43" s="7">
        <f>IF(10=0,IF(personal_deudaEsFederal=1,personal_deudaEstudiantil,0),DW42)</f>
        <v/>
      </c>
      <c r="CF43" s="7">
        <f>IF(10=0,personal_tasaDeudaEstudiantil,DX42)</f>
        <v/>
      </c>
      <c r="CG43" s="7">
        <f>IF(10=0,0,DY42)</f>
        <v/>
      </c>
      <c r="CH43" s="7">
        <f>IF(J43&gt;=0.5,1,0)</f>
        <v/>
      </c>
      <c r="CI43" s="7">
        <f>IF(AND(CH43=0,prestamos_pslfActivo=1,K43&gt;=0.5,CE43&gt;0),1,0)</f>
        <v/>
      </c>
      <c r="CJ43" s="7">
        <f>CE43*CF43</f>
        <v/>
      </c>
      <c r="CK43" s="7">
        <f>MAX(prestamos_rapPagoMinimoAnual,IF(Y43&lt;10000,0,MIN(0.1,INT(Y43/10000)/100))*Y43)</f>
        <v/>
      </c>
      <c r="CL43" s="7">
        <f>IF(CE43&lt;=0,0,IF(CH43=1,0,IF(CI43=1,MIN(CE43+CJ43,CK43),PMT(CF43,MAX(1,prestamos_plazoAnios-CG43),-CE43))))</f>
        <v/>
      </c>
      <c r="CM43" s="7">
        <f>IF(CE43&lt;=0,0,IF(CH43=1,CE43+CJ43,IF(CI43=1,MAX(0,CE43-MAX(CL43-CJ43,MIN(600,CL43))),MAX(0,CE43*(1+CF43)-CL43))))</f>
        <v/>
      </c>
      <c r="CN43" s="7">
        <f>IF(10=0,0,CN42)+IF(CI43=1,12*MIN(1,K43),0)</f>
        <v/>
      </c>
      <c r="CO43" s="7">
        <f>IF(AND(CI43=1,CN43&gt;=prestamos_pslfPagos,CM43&gt;0),CM43,0)</f>
        <v/>
      </c>
      <c r="CP43" s="7">
        <f>CM43-CO43</f>
        <v/>
      </c>
      <c r="CQ43" s="7">
        <f>IF(AND(CE43&gt;0,CH43=0,CI43=0),CG43+1,CG43)</f>
        <v/>
      </c>
      <c r="CR43" s="7">
        <f>IF(10=0,IF(personal_deudaEsFederal=1,0,personal_deudaEstudiantil),EA42)</f>
        <v/>
      </c>
      <c r="CS43" s="7">
        <f>IF(10=0,IF(personal_deudaEsFederal=1,prestamos_tasaPrivada,personal_tasaDeudaEstudiantil),EB42)</f>
        <v/>
      </c>
      <c r="CT43" s="7">
        <f>IF(10=0,0,EC42)</f>
        <v/>
      </c>
      <c r="CU43" s="7">
        <f>IF(OR(CR43&lt;=0,CH43=1),0,PMT(CS43,MAX(1,prestamos_plazoAnios-CT43),-CR43))</f>
        <v/>
      </c>
      <c r="CV43" s="7">
        <f>IF(CR43&lt;=0,0,IF(CH43=1,CR43*(1+CS43),MAX(0,CR43*(1+CS43)-CU43)))</f>
        <v/>
      </c>
      <c r="CW43" s="7">
        <f>IF(AND(CR43&gt;0,CH43=0),CT43+1,CT43)</f>
        <v/>
      </c>
      <c r="CX43" s="7">
        <f>IF(10=0,0,ED42)*(1+general_tasaDeudaConsumo)</f>
        <v/>
      </c>
      <c r="CY43" s="7">
        <f>L43*12*tiempos_travelGastoExtraMes*C43</f>
        <v/>
      </c>
      <c r="CZ43" s="7">
        <f>AJ43+CY43+CA43+CC43+CL43+CU43+I43+N43-BZ43-CB43</f>
        <v/>
      </c>
      <c r="DA43" s="7">
        <f>AH43-CZ43</f>
        <v/>
      </c>
      <c r="DB43" s="7">
        <f>IF(10=0,0,DB42)+DA43</f>
        <v/>
      </c>
      <c r="DC43" s="7">
        <f>AN43*vivienda_enganchePct+AN43*vivienda_cierrePct+general_reservaMeses/12*AJ43</f>
        <v/>
      </c>
      <c r="DD43" s="7">
        <f>IF(BB43=1,g_ret,IF(BD43&gt;0,MIN(1,DC43/BD43),1)*g_cash+(1-IF(BD43&gt;0,MIN(1,DC43/BD43),1))*g_ret)</f>
        <v/>
      </c>
      <c r="DE43" s="7">
        <f>IF(DA43&gt;=0,MIN(CX43,DA43),0)</f>
        <v/>
      </c>
      <c r="DF43" s="7">
        <f>IF(DA43&gt;=0,(1-general_tasaAhorro)*(DA43-DE43),0)</f>
        <v/>
      </c>
      <c r="DG43" s="7">
        <f>IF(DA43&gt;=0,DA43-DE43-DF43,0)</f>
        <v/>
      </c>
      <c r="DH43" s="7">
        <f>MIN(personal_rothAnual,DG43)</f>
        <v/>
      </c>
      <c r="DI43" s="7">
        <f>IF(AND(DA43&gt;=0,BB43=1,BP43+BT43&gt;0),MIN(vivienda_prepagoPct*(DG43-DH43),BP43+BT43),0)</f>
        <v/>
      </c>
      <c r="DJ43" s="7">
        <f>MIN(DI43,BP43)</f>
        <v/>
      </c>
      <c r="DK43" s="7">
        <f>IF(DA43&lt;0,MIN(MAX(0,BD43),-DA43),0)</f>
        <v/>
      </c>
      <c r="DL43" s="7">
        <f>IF(DA43&lt;0,-DA43-DK43,0)</f>
        <v/>
      </c>
      <c r="DM43" s="7">
        <f>IF(10=0,0,DZ42)</f>
        <v/>
      </c>
      <c r="DN43" s="7">
        <f>IF(AND(DL43&gt;0,J43&gt;0),MIN(DL43,MIN(prestamos_topeAnualPosgrado*MIN(1,J43),MAX(0,prestamos_topeTotalPosgrado-DM43))),0)</f>
        <v/>
      </c>
      <c r="DO43" s="7">
        <f>IF(AND(DL43&gt;0,J43&gt;0),DL43-DN43,0)</f>
        <v/>
      </c>
      <c r="DP43" s="7">
        <f>IF(AND(DL43&gt;0,J43&lt;=0),DL43,0)</f>
        <v/>
      </c>
      <c r="DQ43" s="7">
        <f>IF(DA43&gt;=0,DG43-DH43-DI43,-DK43)</f>
        <v/>
      </c>
      <c r="DR43" s="7">
        <f>BD43*(1+DD43)+DQ43*(1+DD43/2)</f>
        <v/>
      </c>
      <c r="DS43" s="7">
        <f>IF(10=0,personal_retiroInicial,DS42)*(1+g_ret)+(O43+P43+DH43)*(1+g_ret/2)</f>
        <v/>
      </c>
      <c r="DT43" s="7">
        <f>IF(BB43=1,BL43*(1+g_appr),0)</f>
        <v/>
      </c>
      <c r="DU43" s="7">
        <f>BP43-DJ43</f>
        <v/>
      </c>
      <c r="DV43" s="7">
        <f>BT43-(DI43-DJ43)</f>
        <v/>
      </c>
      <c r="DW43" s="7">
        <f>CP43+DN43</f>
        <v/>
      </c>
      <c r="DX43" s="7">
        <f>IF(DN43&gt;0,(CP43*CF43+DN43*prestamos_tasaFederalPosgrado)/(CP43+DN43),CF43)</f>
        <v/>
      </c>
      <c r="DY43" s="7">
        <f>IF(DN43&gt;0,0,CQ43)</f>
        <v/>
      </c>
      <c r="DZ43" s="7">
        <f>DM43+DN43</f>
        <v/>
      </c>
      <c r="EA43" s="7">
        <f>CV43+DO43</f>
        <v/>
      </c>
      <c r="EB43" s="7">
        <f>IF(DO43&gt;0,(CV43*CS43+DO43*prestamos_tasaPrivada)/(CV43+DO43),CS43)</f>
        <v/>
      </c>
      <c r="EC43" s="7">
        <f>IF(DO43&gt;0,0,CW43)</f>
        <v/>
      </c>
      <c r="ED43" s="7">
        <f>CX43-DE43+DP43</f>
        <v/>
      </c>
      <c r="EE43" s="7">
        <f>IF(IF(10=0,"",EE42)&lt;&gt;"",EE42,IF(AND(BB43=1,DU43&lt;=0.5,DV43&lt;=0.5,OR(BH43=0,BJ43=1)),A43,""))</f>
        <v/>
      </c>
      <c r="EF43" s="7">
        <f>DU43+DV43+DW43+EA43+ED43+CD43</f>
        <v/>
      </c>
      <c r="EG43" s="7">
        <f>DR43+DS43+DT43-EF43</f>
        <v/>
      </c>
      <c r="EH43" s="7">
        <f>EG43/(1+g_inf)^(A43+1-2026)</f>
        <v/>
      </c>
    </row>
    <row r="44">
      <c r="A44" t="n">
        <v>2038</v>
      </c>
      <c r="B44" t="n">
        <v>11</v>
      </c>
      <c r="C44" s="7">
        <f>(1+g_inf)^(A44-2026)</f>
        <v/>
      </c>
      <c r="D44" s="7">
        <f>SUMPRODUCT($AE$5:$AE$29,$E$5:$E$29*(1+$F$5:$F$29)^(A44-2026)*$G$5:$G$29*$H$5:$H$29*(1-$N$5:$N$29*$O$5:$O$29))*g_salMult+SUMPRODUCT(($B$5:$B$29&gt;=A44)*($B$5:$B$29&lt;A44+1)*$I$5:$I$29)*g_salMult</f>
        <v/>
      </c>
      <c r="E44" s="7">
        <f>SUMPRODUCT($AE$5:$AE$29,$E$5:$E$29*(1+$F$5:$F$29)^(A44-2026)*$G$5:$G$29*$H$5:$H$29*$M$5:$M$29)*g_salMult</f>
        <v/>
      </c>
      <c r="F44" s="7">
        <f>SUMPRODUCT($AE$5:$AE$29,$E$5:$E$29*(1+$F$5:$F$29)^(A44-2026)*$G$5:$G$29*$H$5:$H$29*$N$5:$N$29*$O$5:$O$29)*g_salMult</f>
        <v/>
      </c>
      <c r="G44" s="7">
        <f>SUMPRODUCT($AE$5:$AE$29,$P$5:$P$29*(1+$F$5:$F$29)^(A44-2026))</f>
        <v/>
      </c>
      <c r="H44" s="7">
        <f>SUMPRODUCT($AE$5:$AE$29,$Q$5:$Q$29*(1+$F$5:$F$29)^(A44-2026))+IF(personal_llcActivo=1,personal_llcNeto*(1+personal_llcCrecimiento)^11,0)</f>
        <v/>
      </c>
      <c r="I44" s="7">
        <f>SUMPRODUCT($AE$5:$AE$29,$J$5:$J$29/($C$5:$C$29-$B$5:$B$29+($C$5:$C$29=$B$5:$B$29)))*C44</f>
        <v/>
      </c>
      <c r="J44" s="7">
        <f>SUMPRODUCT($AE$5:$AE$29,$K$5:$K$29)</f>
        <v/>
      </c>
      <c r="K44" s="7">
        <f>SUMPRODUCT($AE$5:$AE$29,$L$5:$L$29)</f>
        <v/>
      </c>
      <c r="L44" s="7">
        <f>SUMPRODUCT($AE$5:$AE$29,$N$5:$N$29)</f>
        <v/>
      </c>
      <c r="M44" s="7">
        <f>IF(SUMPRODUCT($AE$5:$AE$29,$R$5:$R$29)&gt;0,1,0)</f>
        <v/>
      </c>
      <c r="N44" s="7">
        <f>SUMPRODUCT(($AO$5:$AO$24&gt;=A44)*($AO$5:$AO$24&lt;A44+1)*$AP$5:$AP$24)*C44+IF(11=0,IF(sel_loc&lt;&gt;"miami",personal_costoMudanzaInicial,0),0)</f>
        <v/>
      </c>
      <c r="O44" s="7">
        <f>MIN(personal_aporte403bPct*D44,retiro_limite403b*C44)</f>
        <v/>
      </c>
      <c r="P44" s="7">
        <f>MIN(personal_aporte403bPct,personal_match403bPct)*E44</f>
        <v/>
      </c>
      <c r="Q44" s="7">
        <f>IF(G44&gt;0,MAX(0,G44-impuestos_scorpCostoAnual*C44),0)</f>
        <v/>
      </c>
      <c r="R44" s="7">
        <f>Q44*impuestos_scorpSalarioPct/(1+impuestos_ssTasa+impuestos_medicareTasa)</f>
        <v/>
      </c>
      <c r="S44" s="7">
        <f>impuestos_ssTasa*MIN(R44,MAX(0,impuestos_ssTope*C44-D44))+impuestos_medicareTasa*R44</f>
        <v/>
      </c>
      <c r="T44" s="7">
        <f>Q44-R44-S44</f>
        <v/>
      </c>
      <c r="U44" s="7">
        <f>D44+R44</f>
        <v/>
      </c>
      <c r="V44" s="7">
        <f>H44*0.9235</f>
        <v/>
      </c>
      <c r="W44" s="7">
        <f>IF(H44&gt;0,2*impuestos_ssTasa*MIN(V44,MAX(0,impuestos_ssTope*C44-U44))+2*impuestos_medicareTasa*V44,0)</f>
        <v/>
      </c>
      <c r="X44" s="7">
        <f>impuestos_ssTasa*MIN(U44,impuestos_ssTope*C44)+impuestos_medicareTasa*U44+impuestos_medicareAdicional*MAX(0,U44+H44*0.9235-impuestos_medicareUmbral)</f>
        <v/>
      </c>
      <c r="Y44" s="7">
        <f>MAX(0,D44-O44+R44+T44+H44-W44/2)</f>
        <v/>
      </c>
      <c r="Z44" s="7">
        <f>MAX(0,Y44-impuestos_deduccionEstandar*C44)</f>
        <v/>
      </c>
      <c r="AA44" s="7">
        <f>MIN(0.2*MAX(0,T44+H44-W44/2)*MAX(0,MIN(1,1-(Z44-impuestos_qbiUmbral*C44)/(impuestos_qbiRango*C44))),0.2*Z44)</f>
        <v/>
      </c>
      <c r="AB44" s="7">
        <f>MAX(0,Z44-AA44)</f>
        <v/>
      </c>
      <c r="AC44" s="7">
        <f>SUMPRODUCT((AB44&gt;tb_federalBrackets_lo*C44)*(AB44-tb_federalBrackets_lo*C44)*tb_federalBrackets_dr)</f>
        <v/>
      </c>
      <c r="AD44" s="7">
        <f>MAX(0,Y44-impuestos_nyDeduccion*C44)</f>
        <v/>
      </c>
      <c r="AE44" s="7">
        <f>CHOOSE(loc_taxcode,0,impuestos_ohTasa*MAX(0,Y44-impuestos_ohExento*C44)+impuestos_ohMunicipal*U44,SUMPRODUCT((AD44&gt;tb_nyBrackets_lo*C44)*(AD44-tb_nyBrackets_lo*C44)*tb_nyBrackets_dr)+loc_nyc*SUMPRODUCT((AD44&gt;tb_nycBrackets_lo*C44)*(AD44-tb_nycBrackets_lo*C44)*tb_nycBrackets_dr))</f>
        <v/>
      </c>
      <c r="AF44" s="7">
        <f>AC44+AE44+X44+W44</f>
        <v/>
      </c>
      <c r="AG44" s="7">
        <f>D44+F44+R44+T44+H44</f>
        <v/>
      </c>
      <c r="AH44" s="7">
        <f>AG44-AF44-O44</f>
        <v/>
      </c>
      <c r="AI44" s="7">
        <f>D44+F44+G44+H44</f>
        <v/>
      </c>
      <c r="AJ44" s="7">
        <f>loc_gastosVida*C44*g_gastos</f>
        <v/>
      </c>
      <c r="AK44" s="7">
        <f>IF(11=0,personal_liquidoInicial,DR43)</f>
        <v/>
      </c>
      <c r="AL44" s="7">
        <f>IF(11=0,0,BB43)</f>
        <v/>
      </c>
      <c r="AM44" s="7">
        <f>CHOOSE(sel_cfgIdx,loc_precio_duplex,loc_precio_inlaw,loc_precio_dosCasas,loc_precio_casaAdu,loc_precio_multi)</f>
        <v/>
      </c>
      <c r="AN44" s="7">
        <f>AM44*(1+g_appr)^(A44-2026)</f>
        <v/>
      </c>
      <c r="AO44" s="7">
        <f>IF(AND(M44=1,vivienda_prestamoMedico=1),1,0)</f>
        <v/>
      </c>
      <c r="AP44" s="7">
        <f>IF(AO44=1,0.05,vivienda_enganchePct)</f>
        <v/>
      </c>
      <c r="AQ44" s="7">
        <f>AN44*(1-AP44)</f>
        <v/>
      </c>
      <c r="AR44" s="7">
        <f>PMT(g_mortRate/12,vivienda_plazoHipoteca*12,-AQ44)</f>
        <v/>
      </c>
      <c r="AS44" s="7">
        <f>INDEX(cfg_units,sel_cfgIdx)</f>
        <v/>
      </c>
      <c r="AT44" s="7">
        <f>AS44*loc_rentaUnidad*(1+g_inf)^(A44-2026)*(1-vivienda_vacancia)</f>
        <v/>
      </c>
      <c r="AU44" s="7">
        <f>AR44+AN44*loc_impuestoPropPct/12+AM44*loc_seguroPct*(1+vivienda_inflacionSeguro)^(A44-2026)/12+IF(AND(AO44=0,AP44&lt;0.2),AQ44*vivienda_pmiTasa/12,0)</f>
        <v/>
      </c>
      <c r="AV44" s="7">
        <f>AN44*AP44+AN44*vivienda_cierrePct+general_reservaMeses/12*AJ44</f>
        <v/>
      </c>
      <c r="AW44" s="7">
        <f>(IF(11=0,MIN(personal_irsSaldo,personal_irsPagoMensual*12),MIN(CD43,personal_irsPagoMensual*12))+IF(CE44&gt;0,PMT(CF44,MAX(1,prestamos_plazoAnios-CG44),-CE44),0)+IF(CR44&gt;0,PMT(CS44,MAX(1,prestamos_plazoAnios-CT44),-CR44),0))/12</f>
        <v/>
      </c>
      <c r="AX44" s="7">
        <f>IF(OR(sel_cfg="duplex",sel_cfg="multi",sel_cfg="dosCasas"),0.75*personal_aporteFamiliaMensual,0)</f>
        <v/>
      </c>
      <c r="AY44" s="7">
        <f>AU44-0.75*AT44-AX44+AW44</f>
        <v/>
      </c>
      <c r="AZ44" s="7">
        <f>(D44+G44+H44+0.5*F44)/12</f>
        <v/>
      </c>
      <c r="BA44" s="7">
        <f>IF(AND(AL44=0,A44&gt;=vivienda_anioMinCompra,J44&lt;0.5,AI44&gt;0,AK44&gt;=AV44,AY44&lt;=vivienda_dtiMax*AZ44),1,0)</f>
        <v/>
      </c>
      <c r="BB44" s="7">
        <f>MAX(AL44,BA44)</f>
        <v/>
      </c>
      <c r="BC44" s="7">
        <f>IF(BA44=1,A44,IF(11=0,"",BC43))</f>
        <v/>
      </c>
      <c r="BD44" s="7">
        <f>AK44-IF(BA44=1,AN44*AP44+AN44*vivienda_cierrePct,0)</f>
        <v/>
      </c>
      <c r="BE44" s="7">
        <f>IF(BA44=1,AN44,IF(11=0,0,BE43))</f>
        <v/>
      </c>
      <c r="BF44" s="7">
        <f>IF(BA44=1,AR44,IF(11=0,0,BF43))</f>
        <v/>
      </c>
      <c r="BG44" s="7">
        <f>IF(BA44=1,IF(AND(AO44=0,AP44&lt;0.2),1,0),IF(11=0,0,BY43))</f>
        <v/>
      </c>
      <c r="BH44" s="7">
        <f>IF(sel_cfg="casaAdu",1,0)</f>
        <v/>
      </c>
      <c r="BI44" s="7">
        <f>IF(AND(BB44=1,BH44=1,IF(11=0,0,BJ43)=0,A44&gt;=IF(BC44="",9999,BC44)+vivienda_aduRetrasoAnios),1,0)</f>
        <v/>
      </c>
      <c r="BJ44" s="7">
        <f>MAX(IF(11=0,0,BJ43),BI44)</f>
        <v/>
      </c>
      <c r="BK44" s="7">
        <f>IF(BI44=1,PMT((g_mortRate+0.005)/12,180,-loc_precio_aduCosto*C44),IF(11=0,0,BK43))</f>
        <v/>
      </c>
      <c r="BL44" s="7">
        <f>IF(BA44=1,AN44,IF(11=0,0,DT43))+IF(BI44=1,loc_precio_aduCosto*C44,0)</f>
        <v/>
      </c>
      <c r="BM44" s="7">
        <f>IF(BA44=1,AQ44,IF(11=0,0,DU43))</f>
        <v/>
      </c>
      <c r="BN44" s="7">
        <f>IF(BM44&lt;=0,0,FV(g_mortRate/12,12,BF44,-BM44))</f>
        <v/>
      </c>
      <c r="BO44" s="7">
        <f>IF(BM44&lt;=0,0,12*BF44+MIN(0,BN44))</f>
        <v/>
      </c>
      <c r="BP44" s="7">
        <f>MAX(0,BN44)</f>
        <v/>
      </c>
      <c r="BQ44" s="7">
        <f>IF(BI44=1,loc_precio_aduCosto*C44,IF(11=0,0,DV43))</f>
        <v/>
      </c>
      <c r="BR44" s="7">
        <f>IF(BQ44&lt;=0,0,FV((g_mortRate+0.005)/12,12,BK44,-BQ44))</f>
        <v/>
      </c>
      <c r="BS44" s="7">
        <f>IF(BQ44&lt;=0,0,12*BK44+MIN(0,BR44))</f>
        <v/>
      </c>
      <c r="BT44" s="7">
        <f>MAX(0,BR44)</f>
        <v/>
      </c>
      <c r="BU44" s="7">
        <f>IF(BB44=1,AM44*loc_seguroPct*(1+vivienda_inflacionSeguro)^(A44-2026)*IF(BJ44=1,1+loc_precio_aduCosto/AM44,1),0)</f>
        <v/>
      </c>
      <c r="BV44" s="7">
        <f>BL44*loc_impuestoPropPct</f>
        <v/>
      </c>
      <c r="BW44" s="7">
        <f>BL44*vivienda_mantenimientoPct</f>
        <v/>
      </c>
      <c r="BX44" s="7">
        <f>IF(AND(BG44=1,BP44&gt;0.8*BE44),BE44*(1-vivienda_enganchePct)*vivienda_pmiTasa,0)</f>
        <v/>
      </c>
      <c r="BY44" s="7">
        <f>IF(AND(BG44=1,BP44&gt;0.8*BE44),1,0)</f>
        <v/>
      </c>
      <c r="BZ44" s="7">
        <f>IF(BB44=1,AS44*loc_rentaUnidad*12*C44*(1-vivienda_vacancia)*(1-vivienda_gestionPct),0)</f>
        <v/>
      </c>
      <c r="CA44" s="7">
        <f>IF(BB44=1,BO44+BS44+BU44+BV44+BW44+BX44,loc_rentaMensual*12*C44)</f>
        <v/>
      </c>
      <c r="CB44" s="7">
        <f>IF(BB44=1,personal_aporteFamiliaMensual*12,0)</f>
        <v/>
      </c>
      <c r="CC44" s="7">
        <f>MIN(IF(11=0,personal_irsSaldo,CD43),personal_irsPagoMensual*12)</f>
        <v/>
      </c>
      <c r="CD44" s="7">
        <f>IF(11=0,personal_irsSaldo,CD43)-CC44</f>
        <v/>
      </c>
      <c r="CE44" s="7">
        <f>IF(11=0,IF(personal_deudaEsFederal=1,personal_deudaEstudiantil,0),DW43)</f>
        <v/>
      </c>
      <c r="CF44" s="7">
        <f>IF(11=0,personal_tasaDeudaEstudiantil,DX43)</f>
        <v/>
      </c>
      <c r="CG44" s="7">
        <f>IF(11=0,0,DY43)</f>
        <v/>
      </c>
      <c r="CH44" s="7">
        <f>IF(J44&gt;=0.5,1,0)</f>
        <v/>
      </c>
      <c r="CI44" s="7">
        <f>IF(AND(CH44=0,prestamos_pslfActivo=1,K44&gt;=0.5,CE44&gt;0),1,0)</f>
        <v/>
      </c>
      <c r="CJ44" s="7">
        <f>CE44*CF44</f>
        <v/>
      </c>
      <c r="CK44" s="7">
        <f>MAX(prestamos_rapPagoMinimoAnual,IF(Y44&lt;10000,0,MIN(0.1,INT(Y44/10000)/100))*Y44)</f>
        <v/>
      </c>
      <c r="CL44" s="7">
        <f>IF(CE44&lt;=0,0,IF(CH44=1,0,IF(CI44=1,MIN(CE44+CJ44,CK44),PMT(CF44,MAX(1,prestamos_plazoAnios-CG44),-CE44))))</f>
        <v/>
      </c>
      <c r="CM44" s="7">
        <f>IF(CE44&lt;=0,0,IF(CH44=1,CE44+CJ44,IF(CI44=1,MAX(0,CE44-MAX(CL44-CJ44,MIN(600,CL44))),MAX(0,CE44*(1+CF44)-CL44))))</f>
        <v/>
      </c>
      <c r="CN44" s="7">
        <f>IF(11=0,0,CN43)+IF(CI44=1,12*MIN(1,K44),0)</f>
        <v/>
      </c>
      <c r="CO44" s="7">
        <f>IF(AND(CI44=1,CN44&gt;=prestamos_pslfPagos,CM44&gt;0),CM44,0)</f>
        <v/>
      </c>
      <c r="CP44" s="7">
        <f>CM44-CO44</f>
        <v/>
      </c>
      <c r="CQ44" s="7">
        <f>IF(AND(CE44&gt;0,CH44=0,CI44=0),CG44+1,CG44)</f>
        <v/>
      </c>
      <c r="CR44" s="7">
        <f>IF(11=0,IF(personal_deudaEsFederal=1,0,personal_deudaEstudiantil),EA43)</f>
        <v/>
      </c>
      <c r="CS44" s="7">
        <f>IF(11=0,IF(personal_deudaEsFederal=1,prestamos_tasaPrivada,personal_tasaDeudaEstudiantil),EB43)</f>
        <v/>
      </c>
      <c r="CT44" s="7">
        <f>IF(11=0,0,EC43)</f>
        <v/>
      </c>
      <c r="CU44" s="7">
        <f>IF(OR(CR44&lt;=0,CH44=1),0,PMT(CS44,MAX(1,prestamos_plazoAnios-CT44),-CR44))</f>
        <v/>
      </c>
      <c r="CV44" s="7">
        <f>IF(CR44&lt;=0,0,IF(CH44=1,CR44*(1+CS44),MAX(0,CR44*(1+CS44)-CU44)))</f>
        <v/>
      </c>
      <c r="CW44" s="7">
        <f>IF(AND(CR44&gt;0,CH44=0),CT44+1,CT44)</f>
        <v/>
      </c>
      <c r="CX44" s="7">
        <f>IF(11=0,0,ED43)*(1+general_tasaDeudaConsumo)</f>
        <v/>
      </c>
      <c r="CY44" s="7">
        <f>L44*12*tiempos_travelGastoExtraMes*C44</f>
        <v/>
      </c>
      <c r="CZ44" s="7">
        <f>AJ44+CY44+CA44+CC44+CL44+CU44+I44+N44-BZ44-CB44</f>
        <v/>
      </c>
      <c r="DA44" s="7">
        <f>AH44-CZ44</f>
        <v/>
      </c>
      <c r="DB44" s="7">
        <f>IF(11=0,0,DB43)+DA44</f>
        <v/>
      </c>
      <c r="DC44" s="7">
        <f>AN44*vivienda_enganchePct+AN44*vivienda_cierrePct+general_reservaMeses/12*AJ44</f>
        <v/>
      </c>
      <c r="DD44" s="7">
        <f>IF(BB44=1,g_ret,IF(BD44&gt;0,MIN(1,DC44/BD44),1)*g_cash+(1-IF(BD44&gt;0,MIN(1,DC44/BD44),1))*g_ret)</f>
        <v/>
      </c>
      <c r="DE44" s="7">
        <f>IF(DA44&gt;=0,MIN(CX44,DA44),0)</f>
        <v/>
      </c>
      <c r="DF44" s="7">
        <f>IF(DA44&gt;=0,(1-general_tasaAhorro)*(DA44-DE44),0)</f>
        <v/>
      </c>
      <c r="DG44" s="7">
        <f>IF(DA44&gt;=0,DA44-DE44-DF44,0)</f>
        <v/>
      </c>
      <c r="DH44" s="7">
        <f>MIN(personal_rothAnual,DG44)</f>
        <v/>
      </c>
      <c r="DI44" s="7">
        <f>IF(AND(DA44&gt;=0,BB44=1,BP44+BT44&gt;0),MIN(vivienda_prepagoPct*(DG44-DH44),BP44+BT44),0)</f>
        <v/>
      </c>
      <c r="DJ44" s="7">
        <f>MIN(DI44,BP44)</f>
        <v/>
      </c>
      <c r="DK44" s="7">
        <f>IF(DA44&lt;0,MIN(MAX(0,BD44),-DA44),0)</f>
        <v/>
      </c>
      <c r="DL44" s="7">
        <f>IF(DA44&lt;0,-DA44-DK44,0)</f>
        <v/>
      </c>
      <c r="DM44" s="7">
        <f>IF(11=0,0,DZ43)</f>
        <v/>
      </c>
      <c r="DN44" s="7">
        <f>IF(AND(DL44&gt;0,J44&gt;0),MIN(DL44,MIN(prestamos_topeAnualPosgrado*MIN(1,J44),MAX(0,prestamos_topeTotalPosgrado-DM44))),0)</f>
        <v/>
      </c>
      <c r="DO44" s="7">
        <f>IF(AND(DL44&gt;0,J44&gt;0),DL44-DN44,0)</f>
        <v/>
      </c>
      <c r="DP44" s="7">
        <f>IF(AND(DL44&gt;0,J44&lt;=0),DL44,0)</f>
        <v/>
      </c>
      <c r="DQ44" s="7">
        <f>IF(DA44&gt;=0,DG44-DH44-DI44,-DK44)</f>
        <v/>
      </c>
      <c r="DR44" s="7">
        <f>BD44*(1+DD44)+DQ44*(1+DD44/2)</f>
        <v/>
      </c>
      <c r="DS44" s="7">
        <f>IF(11=0,personal_retiroInicial,DS43)*(1+g_ret)+(O44+P44+DH44)*(1+g_ret/2)</f>
        <v/>
      </c>
      <c r="DT44" s="7">
        <f>IF(BB44=1,BL44*(1+g_appr),0)</f>
        <v/>
      </c>
      <c r="DU44" s="7">
        <f>BP44-DJ44</f>
        <v/>
      </c>
      <c r="DV44" s="7">
        <f>BT44-(DI44-DJ44)</f>
        <v/>
      </c>
      <c r="DW44" s="7">
        <f>CP44+DN44</f>
        <v/>
      </c>
      <c r="DX44" s="7">
        <f>IF(DN44&gt;0,(CP44*CF44+DN44*prestamos_tasaFederalPosgrado)/(CP44+DN44),CF44)</f>
        <v/>
      </c>
      <c r="DY44" s="7">
        <f>IF(DN44&gt;0,0,CQ44)</f>
        <v/>
      </c>
      <c r="DZ44" s="7">
        <f>DM44+DN44</f>
        <v/>
      </c>
      <c r="EA44" s="7">
        <f>CV44+DO44</f>
        <v/>
      </c>
      <c r="EB44" s="7">
        <f>IF(DO44&gt;0,(CV44*CS44+DO44*prestamos_tasaPrivada)/(CV44+DO44),CS44)</f>
        <v/>
      </c>
      <c r="EC44" s="7">
        <f>IF(DO44&gt;0,0,CW44)</f>
        <v/>
      </c>
      <c r="ED44" s="7">
        <f>CX44-DE44+DP44</f>
        <v/>
      </c>
      <c r="EE44" s="7">
        <f>IF(IF(11=0,"",EE43)&lt;&gt;"",EE43,IF(AND(BB44=1,DU44&lt;=0.5,DV44&lt;=0.5,OR(BH44=0,BJ44=1)),A44,""))</f>
        <v/>
      </c>
      <c r="EF44" s="7">
        <f>DU44+DV44+DW44+EA44+ED44+CD44</f>
        <v/>
      </c>
      <c r="EG44" s="7">
        <f>DR44+DS44+DT44-EF44</f>
        <v/>
      </c>
      <c r="EH44" s="7">
        <f>EG44/(1+g_inf)^(A44+1-2026)</f>
        <v/>
      </c>
    </row>
    <row r="45">
      <c r="A45" t="n">
        <v>2039</v>
      </c>
      <c r="B45" t="n">
        <v>12</v>
      </c>
      <c r="C45" s="7">
        <f>(1+g_inf)^(A45-2026)</f>
        <v/>
      </c>
      <c r="D45" s="7">
        <f>SUMPRODUCT($AF$5:$AF$29,$E$5:$E$29*(1+$F$5:$F$29)^(A45-2026)*$G$5:$G$29*$H$5:$H$29*(1-$N$5:$N$29*$O$5:$O$29))*g_salMult+SUMPRODUCT(($B$5:$B$29&gt;=A45)*($B$5:$B$29&lt;A45+1)*$I$5:$I$29)*g_salMult</f>
        <v/>
      </c>
      <c r="E45" s="7">
        <f>SUMPRODUCT($AF$5:$AF$29,$E$5:$E$29*(1+$F$5:$F$29)^(A45-2026)*$G$5:$G$29*$H$5:$H$29*$M$5:$M$29)*g_salMult</f>
        <v/>
      </c>
      <c r="F45" s="7">
        <f>SUMPRODUCT($AF$5:$AF$29,$E$5:$E$29*(1+$F$5:$F$29)^(A45-2026)*$G$5:$G$29*$H$5:$H$29*$N$5:$N$29*$O$5:$O$29)*g_salMult</f>
        <v/>
      </c>
      <c r="G45" s="7">
        <f>SUMPRODUCT($AF$5:$AF$29,$P$5:$P$29*(1+$F$5:$F$29)^(A45-2026))</f>
        <v/>
      </c>
      <c r="H45" s="7">
        <f>SUMPRODUCT($AF$5:$AF$29,$Q$5:$Q$29*(1+$F$5:$F$29)^(A45-2026))+IF(personal_llcActivo=1,personal_llcNeto*(1+personal_llcCrecimiento)^12,0)</f>
        <v/>
      </c>
      <c r="I45" s="7">
        <f>SUMPRODUCT($AF$5:$AF$29,$J$5:$J$29/($C$5:$C$29-$B$5:$B$29+($C$5:$C$29=$B$5:$B$29)))*C45</f>
        <v/>
      </c>
      <c r="J45" s="7">
        <f>SUMPRODUCT($AF$5:$AF$29,$K$5:$K$29)</f>
        <v/>
      </c>
      <c r="K45" s="7">
        <f>SUMPRODUCT($AF$5:$AF$29,$L$5:$L$29)</f>
        <v/>
      </c>
      <c r="L45" s="7">
        <f>SUMPRODUCT($AF$5:$AF$29,$N$5:$N$29)</f>
        <v/>
      </c>
      <c r="M45" s="7">
        <f>IF(SUMPRODUCT($AF$5:$AF$29,$R$5:$R$29)&gt;0,1,0)</f>
        <v/>
      </c>
      <c r="N45" s="7">
        <f>SUMPRODUCT(($AO$5:$AO$24&gt;=A45)*($AO$5:$AO$24&lt;A45+1)*$AP$5:$AP$24)*C45+IF(12=0,IF(sel_loc&lt;&gt;"miami",personal_costoMudanzaInicial,0),0)</f>
        <v/>
      </c>
      <c r="O45" s="7">
        <f>MIN(personal_aporte403bPct*D45,retiro_limite403b*C45)</f>
        <v/>
      </c>
      <c r="P45" s="7">
        <f>MIN(personal_aporte403bPct,personal_match403bPct)*E45</f>
        <v/>
      </c>
      <c r="Q45" s="7">
        <f>IF(G45&gt;0,MAX(0,G45-impuestos_scorpCostoAnual*C45),0)</f>
        <v/>
      </c>
      <c r="R45" s="7">
        <f>Q45*impuestos_scorpSalarioPct/(1+impuestos_ssTasa+impuestos_medicareTasa)</f>
        <v/>
      </c>
      <c r="S45" s="7">
        <f>impuestos_ssTasa*MIN(R45,MAX(0,impuestos_ssTope*C45-D45))+impuestos_medicareTasa*R45</f>
        <v/>
      </c>
      <c r="T45" s="7">
        <f>Q45-R45-S45</f>
        <v/>
      </c>
      <c r="U45" s="7">
        <f>D45+R45</f>
        <v/>
      </c>
      <c r="V45" s="7">
        <f>H45*0.9235</f>
        <v/>
      </c>
      <c r="W45" s="7">
        <f>IF(H45&gt;0,2*impuestos_ssTasa*MIN(V45,MAX(0,impuestos_ssTope*C45-U45))+2*impuestos_medicareTasa*V45,0)</f>
        <v/>
      </c>
      <c r="X45" s="7">
        <f>impuestos_ssTasa*MIN(U45,impuestos_ssTope*C45)+impuestos_medicareTasa*U45+impuestos_medicareAdicional*MAX(0,U45+H45*0.9235-impuestos_medicareUmbral)</f>
        <v/>
      </c>
      <c r="Y45" s="7">
        <f>MAX(0,D45-O45+R45+T45+H45-W45/2)</f>
        <v/>
      </c>
      <c r="Z45" s="7">
        <f>MAX(0,Y45-impuestos_deduccionEstandar*C45)</f>
        <v/>
      </c>
      <c r="AA45" s="7">
        <f>MIN(0.2*MAX(0,T45+H45-W45/2)*MAX(0,MIN(1,1-(Z45-impuestos_qbiUmbral*C45)/(impuestos_qbiRango*C45))),0.2*Z45)</f>
        <v/>
      </c>
      <c r="AB45" s="7">
        <f>MAX(0,Z45-AA45)</f>
        <v/>
      </c>
      <c r="AC45" s="7">
        <f>SUMPRODUCT((AB45&gt;tb_federalBrackets_lo*C45)*(AB45-tb_federalBrackets_lo*C45)*tb_federalBrackets_dr)</f>
        <v/>
      </c>
      <c r="AD45" s="7">
        <f>MAX(0,Y45-impuestos_nyDeduccion*C45)</f>
        <v/>
      </c>
      <c r="AE45" s="7">
        <f>CHOOSE(loc_taxcode,0,impuestos_ohTasa*MAX(0,Y45-impuestos_ohExento*C45)+impuestos_ohMunicipal*U45,SUMPRODUCT((AD45&gt;tb_nyBrackets_lo*C45)*(AD45-tb_nyBrackets_lo*C45)*tb_nyBrackets_dr)+loc_nyc*SUMPRODUCT((AD45&gt;tb_nycBrackets_lo*C45)*(AD45-tb_nycBrackets_lo*C45)*tb_nycBrackets_dr))</f>
        <v/>
      </c>
      <c r="AF45" s="7">
        <f>AC45+AE45+X45+W45</f>
        <v/>
      </c>
      <c r="AG45" s="7">
        <f>D45+F45+R45+T45+H45</f>
        <v/>
      </c>
      <c r="AH45" s="7">
        <f>AG45-AF45-O45</f>
        <v/>
      </c>
      <c r="AI45" s="7">
        <f>D45+F45+G45+H45</f>
        <v/>
      </c>
      <c r="AJ45" s="7">
        <f>loc_gastosVida*C45*g_gastos</f>
        <v/>
      </c>
      <c r="AK45" s="7">
        <f>IF(12=0,personal_liquidoInicial,DR44)</f>
        <v/>
      </c>
      <c r="AL45" s="7">
        <f>IF(12=0,0,BB44)</f>
        <v/>
      </c>
      <c r="AM45" s="7">
        <f>CHOOSE(sel_cfgIdx,loc_precio_duplex,loc_precio_inlaw,loc_precio_dosCasas,loc_precio_casaAdu,loc_precio_multi)</f>
        <v/>
      </c>
      <c r="AN45" s="7">
        <f>AM45*(1+g_appr)^(A45-2026)</f>
        <v/>
      </c>
      <c r="AO45" s="7">
        <f>IF(AND(M45=1,vivienda_prestamoMedico=1),1,0)</f>
        <v/>
      </c>
      <c r="AP45" s="7">
        <f>IF(AO45=1,0.05,vivienda_enganchePct)</f>
        <v/>
      </c>
      <c r="AQ45" s="7">
        <f>AN45*(1-AP45)</f>
        <v/>
      </c>
      <c r="AR45" s="7">
        <f>PMT(g_mortRate/12,vivienda_plazoHipoteca*12,-AQ45)</f>
        <v/>
      </c>
      <c r="AS45" s="7">
        <f>INDEX(cfg_units,sel_cfgIdx)</f>
        <v/>
      </c>
      <c r="AT45" s="7">
        <f>AS45*loc_rentaUnidad*(1+g_inf)^(A45-2026)*(1-vivienda_vacancia)</f>
        <v/>
      </c>
      <c r="AU45" s="7">
        <f>AR45+AN45*loc_impuestoPropPct/12+AM45*loc_seguroPct*(1+vivienda_inflacionSeguro)^(A45-2026)/12+IF(AND(AO45=0,AP45&lt;0.2),AQ45*vivienda_pmiTasa/12,0)</f>
        <v/>
      </c>
      <c r="AV45" s="7">
        <f>AN45*AP45+AN45*vivienda_cierrePct+general_reservaMeses/12*AJ45</f>
        <v/>
      </c>
      <c r="AW45" s="7">
        <f>(IF(12=0,MIN(personal_irsSaldo,personal_irsPagoMensual*12),MIN(CD44,personal_irsPagoMensual*12))+IF(CE45&gt;0,PMT(CF45,MAX(1,prestamos_plazoAnios-CG45),-CE45),0)+IF(CR45&gt;0,PMT(CS45,MAX(1,prestamos_plazoAnios-CT45),-CR45),0))/12</f>
        <v/>
      </c>
      <c r="AX45" s="7">
        <f>IF(OR(sel_cfg="duplex",sel_cfg="multi",sel_cfg="dosCasas"),0.75*personal_aporteFamiliaMensual,0)</f>
        <v/>
      </c>
      <c r="AY45" s="7">
        <f>AU45-0.75*AT45-AX45+AW45</f>
        <v/>
      </c>
      <c r="AZ45" s="7">
        <f>(D45+G45+H45+0.5*F45)/12</f>
        <v/>
      </c>
      <c r="BA45" s="7">
        <f>IF(AND(AL45=0,A45&gt;=vivienda_anioMinCompra,J45&lt;0.5,AI45&gt;0,AK45&gt;=AV45,AY45&lt;=vivienda_dtiMax*AZ45),1,0)</f>
        <v/>
      </c>
      <c r="BB45" s="7">
        <f>MAX(AL45,BA45)</f>
        <v/>
      </c>
      <c r="BC45" s="7">
        <f>IF(BA45=1,A45,IF(12=0,"",BC44))</f>
        <v/>
      </c>
      <c r="BD45" s="7">
        <f>AK45-IF(BA45=1,AN45*AP45+AN45*vivienda_cierrePct,0)</f>
        <v/>
      </c>
      <c r="BE45" s="7">
        <f>IF(BA45=1,AN45,IF(12=0,0,BE44))</f>
        <v/>
      </c>
      <c r="BF45" s="7">
        <f>IF(BA45=1,AR45,IF(12=0,0,BF44))</f>
        <v/>
      </c>
      <c r="BG45" s="7">
        <f>IF(BA45=1,IF(AND(AO45=0,AP45&lt;0.2),1,0),IF(12=0,0,BY44))</f>
        <v/>
      </c>
      <c r="BH45" s="7">
        <f>IF(sel_cfg="casaAdu",1,0)</f>
        <v/>
      </c>
      <c r="BI45" s="7">
        <f>IF(AND(BB45=1,BH45=1,IF(12=0,0,BJ44)=0,A45&gt;=IF(BC45="",9999,BC45)+vivienda_aduRetrasoAnios),1,0)</f>
        <v/>
      </c>
      <c r="BJ45" s="7">
        <f>MAX(IF(12=0,0,BJ44),BI45)</f>
        <v/>
      </c>
      <c r="BK45" s="7">
        <f>IF(BI45=1,PMT((g_mortRate+0.005)/12,180,-loc_precio_aduCosto*C45),IF(12=0,0,BK44))</f>
        <v/>
      </c>
      <c r="BL45" s="7">
        <f>IF(BA45=1,AN45,IF(12=0,0,DT44))+IF(BI45=1,loc_precio_aduCosto*C45,0)</f>
        <v/>
      </c>
      <c r="BM45" s="7">
        <f>IF(BA45=1,AQ45,IF(12=0,0,DU44))</f>
        <v/>
      </c>
      <c r="BN45" s="7">
        <f>IF(BM45&lt;=0,0,FV(g_mortRate/12,12,BF45,-BM45))</f>
        <v/>
      </c>
      <c r="BO45" s="7">
        <f>IF(BM45&lt;=0,0,12*BF45+MIN(0,BN45))</f>
        <v/>
      </c>
      <c r="BP45" s="7">
        <f>MAX(0,BN45)</f>
        <v/>
      </c>
      <c r="BQ45" s="7">
        <f>IF(BI45=1,loc_precio_aduCosto*C45,IF(12=0,0,DV44))</f>
        <v/>
      </c>
      <c r="BR45" s="7">
        <f>IF(BQ45&lt;=0,0,FV((g_mortRate+0.005)/12,12,BK45,-BQ45))</f>
        <v/>
      </c>
      <c r="BS45" s="7">
        <f>IF(BQ45&lt;=0,0,12*BK45+MIN(0,BR45))</f>
        <v/>
      </c>
      <c r="BT45" s="7">
        <f>MAX(0,BR45)</f>
        <v/>
      </c>
      <c r="BU45" s="7">
        <f>IF(BB45=1,AM45*loc_seguroPct*(1+vivienda_inflacionSeguro)^(A45-2026)*IF(BJ45=1,1+loc_precio_aduCosto/AM45,1),0)</f>
        <v/>
      </c>
      <c r="BV45" s="7">
        <f>BL45*loc_impuestoPropPct</f>
        <v/>
      </c>
      <c r="BW45" s="7">
        <f>BL45*vivienda_mantenimientoPct</f>
        <v/>
      </c>
      <c r="BX45" s="7">
        <f>IF(AND(BG45=1,BP45&gt;0.8*BE45),BE45*(1-vivienda_enganchePct)*vivienda_pmiTasa,0)</f>
        <v/>
      </c>
      <c r="BY45" s="7">
        <f>IF(AND(BG45=1,BP45&gt;0.8*BE45),1,0)</f>
        <v/>
      </c>
      <c r="BZ45" s="7">
        <f>IF(BB45=1,AS45*loc_rentaUnidad*12*C45*(1-vivienda_vacancia)*(1-vivienda_gestionPct),0)</f>
        <v/>
      </c>
      <c r="CA45" s="7">
        <f>IF(BB45=1,BO45+BS45+BU45+BV45+BW45+BX45,loc_rentaMensual*12*C45)</f>
        <v/>
      </c>
      <c r="CB45" s="7">
        <f>IF(BB45=1,personal_aporteFamiliaMensual*12,0)</f>
        <v/>
      </c>
      <c r="CC45" s="7">
        <f>MIN(IF(12=0,personal_irsSaldo,CD44),personal_irsPagoMensual*12)</f>
        <v/>
      </c>
      <c r="CD45" s="7">
        <f>IF(12=0,personal_irsSaldo,CD44)-CC45</f>
        <v/>
      </c>
      <c r="CE45" s="7">
        <f>IF(12=0,IF(personal_deudaEsFederal=1,personal_deudaEstudiantil,0),DW44)</f>
        <v/>
      </c>
      <c r="CF45" s="7">
        <f>IF(12=0,personal_tasaDeudaEstudiantil,DX44)</f>
        <v/>
      </c>
      <c r="CG45" s="7">
        <f>IF(12=0,0,DY44)</f>
        <v/>
      </c>
      <c r="CH45" s="7">
        <f>IF(J45&gt;=0.5,1,0)</f>
        <v/>
      </c>
      <c r="CI45" s="7">
        <f>IF(AND(CH45=0,prestamos_pslfActivo=1,K45&gt;=0.5,CE45&gt;0),1,0)</f>
        <v/>
      </c>
      <c r="CJ45" s="7">
        <f>CE45*CF45</f>
        <v/>
      </c>
      <c r="CK45" s="7">
        <f>MAX(prestamos_rapPagoMinimoAnual,IF(Y45&lt;10000,0,MIN(0.1,INT(Y45/10000)/100))*Y45)</f>
        <v/>
      </c>
      <c r="CL45" s="7">
        <f>IF(CE45&lt;=0,0,IF(CH45=1,0,IF(CI45=1,MIN(CE45+CJ45,CK45),PMT(CF45,MAX(1,prestamos_plazoAnios-CG45),-CE45))))</f>
        <v/>
      </c>
      <c r="CM45" s="7">
        <f>IF(CE45&lt;=0,0,IF(CH45=1,CE45+CJ45,IF(CI45=1,MAX(0,CE45-MAX(CL45-CJ45,MIN(600,CL45))),MAX(0,CE45*(1+CF45)-CL45))))</f>
        <v/>
      </c>
      <c r="CN45" s="7">
        <f>IF(12=0,0,CN44)+IF(CI45=1,12*MIN(1,K45),0)</f>
        <v/>
      </c>
      <c r="CO45" s="7">
        <f>IF(AND(CI45=1,CN45&gt;=prestamos_pslfPagos,CM45&gt;0),CM45,0)</f>
        <v/>
      </c>
      <c r="CP45" s="7">
        <f>CM45-CO45</f>
        <v/>
      </c>
      <c r="CQ45" s="7">
        <f>IF(AND(CE45&gt;0,CH45=0,CI45=0),CG45+1,CG45)</f>
        <v/>
      </c>
      <c r="CR45" s="7">
        <f>IF(12=0,IF(personal_deudaEsFederal=1,0,personal_deudaEstudiantil),EA44)</f>
        <v/>
      </c>
      <c r="CS45" s="7">
        <f>IF(12=0,IF(personal_deudaEsFederal=1,prestamos_tasaPrivada,personal_tasaDeudaEstudiantil),EB44)</f>
        <v/>
      </c>
      <c r="CT45" s="7">
        <f>IF(12=0,0,EC44)</f>
        <v/>
      </c>
      <c r="CU45" s="7">
        <f>IF(OR(CR45&lt;=0,CH45=1),0,PMT(CS45,MAX(1,prestamos_plazoAnios-CT45),-CR45))</f>
        <v/>
      </c>
      <c r="CV45" s="7">
        <f>IF(CR45&lt;=0,0,IF(CH45=1,CR45*(1+CS45),MAX(0,CR45*(1+CS45)-CU45)))</f>
        <v/>
      </c>
      <c r="CW45" s="7">
        <f>IF(AND(CR45&gt;0,CH45=0),CT45+1,CT45)</f>
        <v/>
      </c>
      <c r="CX45" s="7">
        <f>IF(12=0,0,ED44)*(1+general_tasaDeudaConsumo)</f>
        <v/>
      </c>
      <c r="CY45" s="7">
        <f>L45*12*tiempos_travelGastoExtraMes*C45</f>
        <v/>
      </c>
      <c r="CZ45" s="7">
        <f>AJ45+CY45+CA45+CC45+CL45+CU45+I45+N45-BZ45-CB45</f>
        <v/>
      </c>
      <c r="DA45" s="7">
        <f>AH45-CZ45</f>
        <v/>
      </c>
      <c r="DB45" s="7">
        <f>IF(12=0,0,DB44)+DA45</f>
        <v/>
      </c>
      <c r="DC45" s="7">
        <f>AN45*vivienda_enganchePct+AN45*vivienda_cierrePct+general_reservaMeses/12*AJ45</f>
        <v/>
      </c>
      <c r="DD45" s="7">
        <f>IF(BB45=1,g_ret,IF(BD45&gt;0,MIN(1,DC45/BD45),1)*g_cash+(1-IF(BD45&gt;0,MIN(1,DC45/BD45),1))*g_ret)</f>
        <v/>
      </c>
      <c r="DE45" s="7">
        <f>IF(DA45&gt;=0,MIN(CX45,DA45),0)</f>
        <v/>
      </c>
      <c r="DF45" s="7">
        <f>IF(DA45&gt;=0,(1-general_tasaAhorro)*(DA45-DE45),0)</f>
        <v/>
      </c>
      <c r="DG45" s="7">
        <f>IF(DA45&gt;=0,DA45-DE45-DF45,0)</f>
        <v/>
      </c>
      <c r="DH45" s="7">
        <f>MIN(personal_rothAnual,DG45)</f>
        <v/>
      </c>
      <c r="DI45" s="7">
        <f>IF(AND(DA45&gt;=0,BB45=1,BP45+BT45&gt;0),MIN(vivienda_prepagoPct*(DG45-DH45),BP45+BT45),0)</f>
        <v/>
      </c>
      <c r="DJ45" s="7">
        <f>MIN(DI45,BP45)</f>
        <v/>
      </c>
      <c r="DK45" s="7">
        <f>IF(DA45&lt;0,MIN(MAX(0,BD45),-DA45),0)</f>
        <v/>
      </c>
      <c r="DL45" s="7">
        <f>IF(DA45&lt;0,-DA45-DK45,0)</f>
        <v/>
      </c>
      <c r="DM45" s="7">
        <f>IF(12=0,0,DZ44)</f>
        <v/>
      </c>
      <c r="DN45" s="7">
        <f>IF(AND(DL45&gt;0,J45&gt;0),MIN(DL45,MIN(prestamos_topeAnualPosgrado*MIN(1,J45),MAX(0,prestamos_topeTotalPosgrado-DM45))),0)</f>
        <v/>
      </c>
      <c r="DO45" s="7">
        <f>IF(AND(DL45&gt;0,J45&gt;0),DL45-DN45,0)</f>
        <v/>
      </c>
      <c r="DP45" s="7">
        <f>IF(AND(DL45&gt;0,J45&lt;=0),DL45,0)</f>
        <v/>
      </c>
      <c r="DQ45" s="7">
        <f>IF(DA45&gt;=0,DG45-DH45-DI45,-DK45)</f>
        <v/>
      </c>
      <c r="DR45" s="7">
        <f>BD45*(1+DD45)+DQ45*(1+DD45/2)</f>
        <v/>
      </c>
      <c r="DS45" s="7">
        <f>IF(12=0,personal_retiroInicial,DS44)*(1+g_ret)+(O45+P45+DH45)*(1+g_ret/2)</f>
        <v/>
      </c>
      <c r="DT45" s="7">
        <f>IF(BB45=1,BL45*(1+g_appr),0)</f>
        <v/>
      </c>
      <c r="DU45" s="7">
        <f>BP45-DJ45</f>
        <v/>
      </c>
      <c r="DV45" s="7">
        <f>BT45-(DI45-DJ45)</f>
        <v/>
      </c>
      <c r="DW45" s="7">
        <f>CP45+DN45</f>
        <v/>
      </c>
      <c r="DX45" s="7">
        <f>IF(DN45&gt;0,(CP45*CF45+DN45*prestamos_tasaFederalPosgrado)/(CP45+DN45),CF45)</f>
        <v/>
      </c>
      <c r="DY45" s="7">
        <f>IF(DN45&gt;0,0,CQ45)</f>
        <v/>
      </c>
      <c r="DZ45" s="7">
        <f>DM45+DN45</f>
        <v/>
      </c>
      <c r="EA45" s="7">
        <f>CV45+DO45</f>
        <v/>
      </c>
      <c r="EB45" s="7">
        <f>IF(DO45&gt;0,(CV45*CS45+DO45*prestamos_tasaPrivada)/(CV45+DO45),CS45)</f>
        <v/>
      </c>
      <c r="EC45" s="7">
        <f>IF(DO45&gt;0,0,CW45)</f>
        <v/>
      </c>
      <c r="ED45" s="7">
        <f>CX45-DE45+DP45</f>
        <v/>
      </c>
      <c r="EE45" s="7">
        <f>IF(IF(12=0,"",EE44)&lt;&gt;"",EE44,IF(AND(BB45=1,DU45&lt;=0.5,DV45&lt;=0.5,OR(BH45=0,BJ45=1)),A45,""))</f>
        <v/>
      </c>
      <c r="EF45" s="7">
        <f>DU45+DV45+DW45+EA45+ED45+CD45</f>
        <v/>
      </c>
      <c r="EG45" s="7">
        <f>DR45+DS45+DT45-EF45</f>
        <v/>
      </c>
      <c r="EH45" s="7">
        <f>EG45/(1+g_inf)^(A45+1-2026)</f>
        <v/>
      </c>
    </row>
    <row r="46">
      <c r="A46" t="n">
        <v>2040</v>
      </c>
      <c r="B46" t="n">
        <v>13</v>
      </c>
      <c r="C46" s="7">
        <f>(1+g_inf)^(A46-2026)</f>
        <v/>
      </c>
      <c r="D46" s="7">
        <f>SUMPRODUCT($AG$5:$AG$29,$E$5:$E$29*(1+$F$5:$F$29)^(A46-2026)*$G$5:$G$29*$H$5:$H$29*(1-$N$5:$N$29*$O$5:$O$29))*g_salMult+SUMPRODUCT(($B$5:$B$29&gt;=A46)*($B$5:$B$29&lt;A46+1)*$I$5:$I$29)*g_salMult</f>
        <v/>
      </c>
      <c r="E46" s="7">
        <f>SUMPRODUCT($AG$5:$AG$29,$E$5:$E$29*(1+$F$5:$F$29)^(A46-2026)*$G$5:$G$29*$H$5:$H$29*$M$5:$M$29)*g_salMult</f>
        <v/>
      </c>
      <c r="F46" s="7">
        <f>SUMPRODUCT($AG$5:$AG$29,$E$5:$E$29*(1+$F$5:$F$29)^(A46-2026)*$G$5:$G$29*$H$5:$H$29*$N$5:$N$29*$O$5:$O$29)*g_salMult</f>
        <v/>
      </c>
      <c r="G46" s="7">
        <f>SUMPRODUCT($AG$5:$AG$29,$P$5:$P$29*(1+$F$5:$F$29)^(A46-2026))</f>
        <v/>
      </c>
      <c r="H46" s="7">
        <f>SUMPRODUCT($AG$5:$AG$29,$Q$5:$Q$29*(1+$F$5:$F$29)^(A46-2026))+IF(personal_llcActivo=1,personal_llcNeto*(1+personal_llcCrecimiento)^13,0)</f>
        <v/>
      </c>
      <c r="I46" s="7">
        <f>SUMPRODUCT($AG$5:$AG$29,$J$5:$J$29/($C$5:$C$29-$B$5:$B$29+($C$5:$C$29=$B$5:$B$29)))*C46</f>
        <v/>
      </c>
      <c r="J46" s="7">
        <f>SUMPRODUCT($AG$5:$AG$29,$K$5:$K$29)</f>
        <v/>
      </c>
      <c r="K46" s="7">
        <f>SUMPRODUCT($AG$5:$AG$29,$L$5:$L$29)</f>
        <v/>
      </c>
      <c r="L46" s="7">
        <f>SUMPRODUCT($AG$5:$AG$29,$N$5:$N$29)</f>
        <v/>
      </c>
      <c r="M46" s="7">
        <f>IF(SUMPRODUCT($AG$5:$AG$29,$R$5:$R$29)&gt;0,1,0)</f>
        <v/>
      </c>
      <c r="N46" s="7">
        <f>SUMPRODUCT(($AO$5:$AO$24&gt;=A46)*($AO$5:$AO$24&lt;A46+1)*$AP$5:$AP$24)*C46+IF(13=0,IF(sel_loc&lt;&gt;"miami",personal_costoMudanzaInicial,0),0)</f>
        <v/>
      </c>
      <c r="O46" s="7">
        <f>MIN(personal_aporte403bPct*D46,retiro_limite403b*C46)</f>
        <v/>
      </c>
      <c r="P46" s="7">
        <f>MIN(personal_aporte403bPct,personal_match403bPct)*E46</f>
        <v/>
      </c>
      <c r="Q46" s="7">
        <f>IF(G46&gt;0,MAX(0,G46-impuestos_scorpCostoAnual*C46),0)</f>
        <v/>
      </c>
      <c r="R46" s="7">
        <f>Q46*impuestos_scorpSalarioPct/(1+impuestos_ssTasa+impuestos_medicareTasa)</f>
        <v/>
      </c>
      <c r="S46" s="7">
        <f>impuestos_ssTasa*MIN(R46,MAX(0,impuestos_ssTope*C46-D46))+impuestos_medicareTasa*R46</f>
        <v/>
      </c>
      <c r="T46" s="7">
        <f>Q46-R46-S46</f>
        <v/>
      </c>
      <c r="U46" s="7">
        <f>D46+R46</f>
        <v/>
      </c>
      <c r="V46" s="7">
        <f>H46*0.9235</f>
        <v/>
      </c>
      <c r="W46" s="7">
        <f>IF(H46&gt;0,2*impuestos_ssTasa*MIN(V46,MAX(0,impuestos_ssTope*C46-U46))+2*impuestos_medicareTasa*V46,0)</f>
        <v/>
      </c>
      <c r="X46" s="7">
        <f>impuestos_ssTasa*MIN(U46,impuestos_ssTope*C46)+impuestos_medicareTasa*U46+impuestos_medicareAdicional*MAX(0,U46+H46*0.9235-impuestos_medicareUmbral)</f>
        <v/>
      </c>
      <c r="Y46" s="7">
        <f>MAX(0,D46-O46+R46+T46+H46-W46/2)</f>
        <v/>
      </c>
      <c r="Z46" s="7">
        <f>MAX(0,Y46-impuestos_deduccionEstandar*C46)</f>
        <v/>
      </c>
      <c r="AA46" s="7">
        <f>MIN(0.2*MAX(0,T46+H46-W46/2)*MAX(0,MIN(1,1-(Z46-impuestos_qbiUmbral*C46)/(impuestos_qbiRango*C46))),0.2*Z46)</f>
        <v/>
      </c>
      <c r="AB46" s="7">
        <f>MAX(0,Z46-AA46)</f>
        <v/>
      </c>
      <c r="AC46" s="7">
        <f>SUMPRODUCT((AB46&gt;tb_federalBrackets_lo*C46)*(AB46-tb_federalBrackets_lo*C46)*tb_federalBrackets_dr)</f>
        <v/>
      </c>
      <c r="AD46" s="7">
        <f>MAX(0,Y46-impuestos_nyDeduccion*C46)</f>
        <v/>
      </c>
      <c r="AE46" s="7">
        <f>CHOOSE(loc_taxcode,0,impuestos_ohTasa*MAX(0,Y46-impuestos_ohExento*C46)+impuestos_ohMunicipal*U46,SUMPRODUCT((AD46&gt;tb_nyBrackets_lo*C46)*(AD46-tb_nyBrackets_lo*C46)*tb_nyBrackets_dr)+loc_nyc*SUMPRODUCT((AD46&gt;tb_nycBrackets_lo*C46)*(AD46-tb_nycBrackets_lo*C46)*tb_nycBrackets_dr))</f>
        <v/>
      </c>
      <c r="AF46" s="7">
        <f>AC46+AE46+X46+W46</f>
        <v/>
      </c>
      <c r="AG46" s="7">
        <f>D46+F46+R46+T46+H46</f>
        <v/>
      </c>
      <c r="AH46" s="7">
        <f>AG46-AF46-O46</f>
        <v/>
      </c>
      <c r="AI46" s="7">
        <f>D46+F46+G46+H46</f>
        <v/>
      </c>
      <c r="AJ46" s="7">
        <f>loc_gastosVida*C46*g_gastos</f>
        <v/>
      </c>
      <c r="AK46" s="7">
        <f>IF(13=0,personal_liquidoInicial,DR45)</f>
        <v/>
      </c>
      <c r="AL46" s="7">
        <f>IF(13=0,0,BB45)</f>
        <v/>
      </c>
      <c r="AM46" s="7">
        <f>CHOOSE(sel_cfgIdx,loc_precio_duplex,loc_precio_inlaw,loc_precio_dosCasas,loc_precio_casaAdu,loc_precio_multi)</f>
        <v/>
      </c>
      <c r="AN46" s="7">
        <f>AM46*(1+g_appr)^(A46-2026)</f>
        <v/>
      </c>
      <c r="AO46" s="7">
        <f>IF(AND(M46=1,vivienda_prestamoMedico=1),1,0)</f>
        <v/>
      </c>
      <c r="AP46" s="7">
        <f>IF(AO46=1,0.05,vivienda_enganchePct)</f>
        <v/>
      </c>
      <c r="AQ46" s="7">
        <f>AN46*(1-AP46)</f>
        <v/>
      </c>
      <c r="AR46" s="7">
        <f>PMT(g_mortRate/12,vivienda_plazoHipoteca*12,-AQ46)</f>
        <v/>
      </c>
      <c r="AS46" s="7">
        <f>INDEX(cfg_units,sel_cfgIdx)</f>
        <v/>
      </c>
      <c r="AT46" s="7">
        <f>AS46*loc_rentaUnidad*(1+g_inf)^(A46-2026)*(1-vivienda_vacancia)</f>
        <v/>
      </c>
      <c r="AU46" s="7">
        <f>AR46+AN46*loc_impuestoPropPct/12+AM46*loc_seguroPct*(1+vivienda_inflacionSeguro)^(A46-2026)/12+IF(AND(AO46=0,AP46&lt;0.2),AQ46*vivienda_pmiTasa/12,0)</f>
        <v/>
      </c>
      <c r="AV46" s="7">
        <f>AN46*AP46+AN46*vivienda_cierrePct+general_reservaMeses/12*AJ46</f>
        <v/>
      </c>
      <c r="AW46" s="7">
        <f>(IF(13=0,MIN(personal_irsSaldo,personal_irsPagoMensual*12),MIN(CD45,personal_irsPagoMensual*12))+IF(CE46&gt;0,PMT(CF46,MAX(1,prestamos_plazoAnios-CG46),-CE46),0)+IF(CR46&gt;0,PMT(CS46,MAX(1,prestamos_plazoAnios-CT46),-CR46),0))/12</f>
        <v/>
      </c>
      <c r="AX46" s="7">
        <f>IF(OR(sel_cfg="duplex",sel_cfg="multi",sel_cfg="dosCasas"),0.75*personal_aporteFamiliaMensual,0)</f>
        <v/>
      </c>
      <c r="AY46" s="7">
        <f>AU46-0.75*AT46-AX46+AW46</f>
        <v/>
      </c>
      <c r="AZ46" s="7">
        <f>(D46+G46+H46+0.5*F46)/12</f>
        <v/>
      </c>
      <c r="BA46" s="7">
        <f>IF(AND(AL46=0,A46&gt;=vivienda_anioMinCompra,J46&lt;0.5,AI46&gt;0,AK46&gt;=AV46,AY46&lt;=vivienda_dtiMax*AZ46),1,0)</f>
        <v/>
      </c>
      <c r="BB46" s="7">
        <f>MAX(AL46,BA46)</f>
        <v/>
      </c>
      <c r="BC46" s="7">
        <f>IF(BA46=1,A46,IF(13=0,"",BC45))</f>
        <v/>
      </c>
      <c r="BD46" s="7">
        <f>AK46-IF(BA46=1,AN46*AP46+AN46*vivienda_cierrePct,0)</f>
        <v/>
      </c>
      <c r="BE46" s="7">
        <f>IF(BA46=1,AN46,IF(13=0,0,BE45))</f>
        <v/>
      </c>
      <c r="BF46" s="7">
        <f>IF(BA46=1,AR46,IF(13=0,0,BF45))</f>
        <v/>
      </c>
      <c r="BG46" s="7">
        <f>IF(BA46=1,IF(AND(AO46=0,AP46&lt;0.2),1,0),IF(13=0,0,BY45))</f>
        <v/>
      </c>
      <c r="BH46" s="7">
        <f>IF(sel_cfg="casaAdu",1,0)</f>
        <v/>
      </c>
      <c r="BI46" s="7">
        <f>IF(AND(BB46=1,BH46=1,IF(13=0,0,BJ45)=0,A46&gt;=IF(BC46="",9999,BC46)+vivienda_aduRetrasoAnios),1,0)</f>
        <v/>
      </c>
      <c r="BJ46" s="7">
        <f>MAX(IF(13=0,0,BJ45),BI46)</f>
        <v/>
      </c>
      <c r="BK46" s="7">
        <f>IF(BI46=1,PMT((g_mortRate+0.005)/12,180,-loc_precio_aduCosto*C46),IF(13=0,0,BK45))</f>
        <v/>
      </c>
      <c r="BL46" s="7">
        <f>IF(BA46=1,AN46,IF(13=0,0,DT45))+IF(BI46=1,loc_precio_aduCosto*C46,0)</f>
        <v/>
      </c>
      <c r="BM46" s="7">
        <f>IF(BA46=1,AQ46,IF(13=0,0,DU45))</f>
        <v/>
      </c>
      <c r="BN46" s="7">
        <f>IF(BM46&lt;=0,0,FV(g_mortRate/12,12,BF46,-BM46))</f>
        <v/>
      </c>
      <c r="BO46" s="7">
        <f>IF(BM46&lt;=0,0,12*BF46+MIN(0,BN46))</f>
        <v/>
      </c>
      <c r="BP46" s="7">
        <f>MAX(0,BN46)</f>
        <v/>
      </c>
      <c r="BQ46" s="7">
        <f>IF(BI46=1,loc_precio_aduCosto*C46,IF(13=0,0,DV45))</f>
        <v/>
      </c>
      <c r="BR46" s="7">
        <f>IF(BQ46&lt;=0,0,FV((g_mortRate+0.005)/12,12,BK46,-BQ46))</f>
        <v/>
      </c>
      <c r="BS46" s="7">
        <f>IF(BQ46&lt;=0,0,12*BK46+MIN(0,BR46))</f>
        <v/>
      </c>
      <c r="BT46" s="7">
        <f>MAX(0,BR46)</f>
        <v/>
      </c>
      <c r="BU46" s="7">
        <f>IF(BB46=1,AM46*loc_seguroPct*(1+vivienda_inflacionSeguro)^(A46-2026)*IF(BJ46=1,1+loc_precio_aduCosto/AM46,1),0)</f>
        <v/>
      </c>
      <c r="BV46" s="7">
        <f>BL46*loc_impuestoPropPct</f>
        <v/>
      </c>
      <c r="BW46" s="7">
        <f>BL46*vivienda_mantenimientoPct</f>
        <v/>
      </c>
      <c r="BX46" s="7">
        <f>IF(AND(BG46=1,BP46&gt;0.8*BE46),BE46*(1-vivienda_enganchePct)*vivienda_pmiTasa,0)</f>
        <v/>
      </c>
      <c r="BY46" s="7">
        <f>IF(AND(BG46=1,BP46&gt;0.8*BE46),1,0)</f>
        <v/>
      </c>
      <c r="BZ46" s="7">
        <f>IF(BB46=1,AS46*loc_rentaUnidad*12*C46*(1-vivienda_vacancia)*(1-vivienda_gestionPct),0)</f>
        <v/>
      </c>
      <c r="CA46" s="7">
        <f>IF(BB46=1,BO46+BS46+BU46+BV46+BW46+BX46,loc_rentaMensual*12*C46)</f>
        <v/>
      </c>
      <c r="CB46" s="7">
        <f>IF(BB46=1,personal_aporteFamiliaMensual*12,0)</f>
        <v/>
      </c>
      <c r="CC46" s="7">
        <f>MIN(IF(13=0,personal_irsSaldo,CD45),personal_irsPagoMensual*12)</f>
        <v/>
      </c>
      <c r="CD46" s="7">
        <f>IF(13=0,personal_irsSaldo,CD45)-CC46</f>
        <v/>
      </c>
      <c r="CE46" s="7">
        <f>IF(13=0,IF(personal_deudaEsFederal=1,personal_deudaEstudiantil,0),DW45)</f>
        <v/>
      </c>
      <c r="CF46" s="7">
        <f>IF(13=0,personal_tasaDeudaEstudiantil,DX45)</f>
        <v/>
      </c>
      <c r="CG46" s="7">
        <f>IF(13=0,0,DY45)</f>
        <v/>
      </c>
      <c r="CH46" s="7">
        <f>IF(J46&gt;=0.5,1,0)</f>
        <v/>
      </c>
      <c r="CI46" s="7">
        <f>IF(AND(CH46=0,prestamos_pslfActivo=1,K46&gt;=0.5,CE46&gt;0),1,0)</f>
        <v/>
      </c>
      <c r="CJ46" s="7">
        <f>CE46*CF46</f>
        <v/>
      </c>
      <c r="CK46" s="7">
        <f>MAX(prestamos_rapPagoMinimoAnual,IF(Y46&lt;10000,0,MIN(0.1,INT(Y46/10000)/100))*Y46)</f>
        <v/>
      </c>
      <c r="CL46" s="7">
        <f>IF(CE46&lt;=0,0,IF(CH46=1,0,IF(CI46=1,MIN(CE46+CJ46,CK46),PMT(CF46,MAX(1,prestamos_plazoAnios-CG46),-CE46))))</f>
        <v/>
      </c>
      <c r="CM46" s="7">
        <f>IF(CE46&lt;=0,0,IF(CH46=1,CE46+CJ46,IF(CI46=1,MAX(0,CE46-MAX(CL46-CJ46,MIN(600,CL46))),MAX(0,CE46*(1+CF46)-CL46))))</f>
        <v/>
      </c>
      <c r="CN46" s="7">
        <f>IF(13=0,0,CN45)+IF(CI46=1,12*MIN(1,K46),0)</f>
        <v/>
      </c>
      <c r="CO46" s="7">
        <f>IF(AND(CI46=1,CN46&gt;=prestamos_pslfPagos,CM46&gt;0),CM46,0)</f>
        <v/>
      </c>
      <c r="CP46" s="7">
        <f>CM46-CO46</f>
        <v/>
      </c>
      <c r="CQ46" s="7">
        <f>IF(AND(CE46&gt;0,CH46=0,CI46=0),CG46+1,CG46)</f>
        <v/>
      </c>
      <c r="CR46" s="7">
        <f>IF(13=0,IF(personal_deudaEsFederal=1,0,personal_deudaEstudiantil),EA45)</f>
        <v/>
      </c>
      <c r="CS46" s="7">
        <f>IF(13=0,IF(personal_deudaEsFederal=1,prestamos_tasaPrivada,personal_tasaDeudaEstudiantil),EB45)</f>
        <v/>
      </c>
      <c r="CT46" s="7">
        <f>IF(13=0,0,EC45)</f>
        <v/>
      </c>
      <c r="CU46" s="7">
        <f>IF(OR(CR46&lt;=0,CH46=1),0,PMT(CS46,MAX(1,prestamos_plazoAnios-CT46),-CR46))</f>
        <v/>
      </c>
      <c r="CV46" s="7">
        <f>IF(CR46&lt;=0,0,IF(CH46=1,CR46*(1+CS46),MAX(0,CR46*(1+CS46)-CU46)))</f>
        <v/>
      </c>
      <c r="CW46" s="7">
        <f>IF(AND(CR46&gt;0,CH46=0),CT46+1,CT46)</f>
        <v/>
      </c>
      <c r="CX46" s="7">
        <f>IF(13=0,0,ED45)*(1+general_tasaDeudaConsumo)</f>
        <v/>
      </c>
      <c r="CY46" s="7">
        <f>L46*12*tiempos_travelGastoExtraMes*C46</f>
        <v/>
      </c>
      <c r="CZ46" s="7">
        <f>AJ46+CY46+CA46+CC46+CL46+CU46+I46+N46-BZ46-CB46</f>
        <v/>
      </c>
      <c r="DA46" s="7">
        <f>AH46-CZ46</f>
        <v/>
      </c>
      <c r="DB46" s="7">
        <f>IF(13=0,0,DB45)+DA46</f>
        <v/>
      </c>
      <c r="DC46" s="7">
        <f>AN46*vivienda_enganchePct+AN46*vivienda_cierrePct+general_reservaMeses/12*AJ46</f>
        <v/>
      </c>
      <c r="DD46" s="7">
        <f>IF(BB46=1,g_ret,IF(BD46&gt;0,MIN(1,DC46/BD46),1)*g_cash+(1-IF(BD46&gt;0,MIN(1,DC46/BD46),1))*g_ret)</f>
        <v/>
      </c>
      <c r="DE46" s="7">
        <f>IF(DA46&gt;=0,MIN(CX46,DA46),0)</f>
        <v/>
      </c>
      <c r="DF46" s="7">
        <f>IF(DA46&gt;=0,(1-general_tasaAhorro)*(DA46-DE46),0)</f>
        <v/>
      </c>
      <c r="DG46" s="7">
        <f>IF(DA46&gt;=0,DA46-DE46-DF46,0)</f>
        <v/>
      </c>
      <c r="DH46" s="7">
        <f>MIN(personal_rothAnual,DG46)</f>
        <v/>
      </c>
      <c r="DI46" s="7">
        <f>IF(AND(DA46&gt;=0,BB46=1,BP46+BT46&gt;0),MIN(vivienda_prepagoPct*(DG46-DH46),BP46+BT46),0)</f>
        <v/>
      </c>
      <c r="DJ46" s="7">
        <f>MIN(DI46,BP46)</f>
        <v/>
      </c>
      <c r="DK46" s="7">
        <f>IF(DA46&lt;0,MIN(MAX(0,BD46),-DA46),0)</f>
        <v/>
      </c>
      <c r="DL46" s="7">
        <f>IF(DA46&lt;0,-DA46-DK46,0)</f>
        <v/>
      </c>
      <c r="DM46" s="7">
        <f>IF(13=0,0,DZ45)</f>
        <v/>
      </c>
      <c r="DN46" s="7">
        <f>IF(AND(DL46&gt;0,J46&gt;0),MIN(DL46,MIN(prestamos_topeAnualPosgrado*MIN(1,J46),MAX(0,prestamos_topeTotalPosgrado-DM46))),0)</f>
        <v/>
      </c>
      <c r="DO46" s="7">
        <f>IF(AND(DL46&gt;0,J46&gt;0),DL46-DN46,0)</f>
        <v/>
      </c>
      <c r="DP46" s="7">
        <f>IF(AND(DL46&gt;0,J46&lt;=0),DL46,0)</f>
        <v/>
      </c>
      <c r="DQ46" s="7">
        <f>IF(DA46&gt;=0,DG46-DH46-DI46,-DK46)</f>
        <v/>
      </c>
      <c r="DR46" s="7">
        <f>BD46*(1+DD46)+DQ46*(1+DD46/2)</f>
        <v/>
      </c>
      <c r="DS46" s="7">
        <f>IF(13=0,personal_retiroInicial,DS45)*(1+g_ret)+(O46+P46+DH46)*(1+g_ret/2)</f>
        <v/>
      </c>
      <c r="DT46" s="7">
        <f>IF(BB46=1,BL46*(1+g_appr),0)</f>
        <v/>
      </c>
      <c r="DU46" s="7">
        <f>BP46-DJ46</f>
        <v/>
      </c>
      <c r="DV46" s="7">
        <f>BT46-(DI46-DJ46)</f>
        <v/>
      </c>
      <c r="DW46" s="7">
        <f>CP46+DN46</f>
        <v/>
      </c>
      <c r="DX46" s="7">
        <f>IF(DN46&gt;0,(CP46*CF46+DN46*prestamos_tasaFederalPosgrado)/(CP46+DN46),CF46)</f>
        <v/>
      </c>
      <c r="DY46" s="7">
        <f>IF(DN46&gt;0,0,CQ46)</f>
        <v/>
      </c>
      <c r="DZ46" s="7">
        <f>DM46+DN46</f>
        <v/>
      </c>
      <c r="EA46" s="7">
        <f>CV46+DO46</f>
        <v/>
      </c>
      <c r="EB46" s="7">
        <f>IF(DO46&gt;0,(CV46*CS46+DO46*prestamos_tasaPrivada)/(CV46+DO46),CS46)</f>
        <v/>
      </c>
      <c r="EC46" s="7">
        <f>IF(DO46&gt;0,0,CW46)</f>
        <v/>
      </c>
      <c r="ED46" s="7">
        <f>CX46-DE46+DP46</f>
        <v/>
      </c>
      <c r="EE46" s="7">
        <f>IF(IF(13=0,"",EE45)&lt;&gt;"",EE45,IF(AND(BB46=1,DU46&lt;=0.5,DV46&lt;=0.5,OR(BH46=0,BJ46=1)),A46,""))</f>
        <v/>
      </c>
      <c r="EF46" s="7">
        <f>DU46+DV46+DW46+EA46+ED46+CD46</f>
        <v/>
      </c>
      <c r="EG46" s="7">
        <f>DR46+DS46+DT46-EF46</f>
        <v/>
      </c>
      <c r="EH46" s="7">
        <f>EG46/(1+g_inf)^(A46+1-2026)</f>
        <v/>
      </c>
    </row>
    <row r="47">
      <c r="A47" t="n">
        <v>2041</v>
      </c>
      <c r="B47" t="n">
        <v>14</v>
      </c>
      <c r="C47" s="7">
        <f>(1+g_inf)^(A47-2026)</f>
        <v/>
      </c>
      <c r="D47" s="7">
        <f>SUMPRODUCT($AH$5:$AH$29,$E$5:$E$29*(1+$F$5:$F$29)^(A47-2026)*$G$5:$G$29*$H$5:$H$29*(1-$N$5:$N$29*$O$5:$O$29))*g_salMult+SUMPRODUCT(($B$5:$B$29&gt;=A47)*($B$5:$B$29&lt;A47+1)*$I$5:$I$29)*g_salMult</f>
        <v/>
      </c>
      <c r="E47" s="7">
        <f>SUMPRODUCT($AH$5:$AH$29,$E$5:$E$29*(1+$F$5:$F$29)^(A47-2026)*$G$5:$G$29*$H$5:$H$29*$M$5:$M$29)*g_salMult</f>
        <v/>
      </c>
      <c r="F47" s="7">
        <f>SUMPRODUCT($AH$5:$AH$29,$E$5:$E$29*(1+$F$5:$F$29)^(A47-2026)*$G$5:$G$29*$H$5:$H$29*$N$5:$N$29*$O$5:$O$29)*g_salMult</f>
        <v/>
      </c>
      <c r="G47" s="7">
        <f>SUMPRODUCT($AH$5:$AH$29,$P$5:$P$29*(1+$F$5:$F$29)^(A47-2026))</f>
        <v/>
      </c>
      <c r="H47" s="7">
        <f>SUMPRODUCT($AH$5:$AH$29,$Q$5:$Q$29*(1+$F$5:$F$29)^(A47-2026))+IF(personal_llcActivo=1,personal_llcNeto*(1+personal_llcCrecimiento)^14,0)</f>
        <v/>
      </c>
      <c r="I47" s="7">
        <f>SUMPRODUCT($AH$5:$AH$29,$J$5:$J$29/($C$5:$C$29-$B$5:$B$29+($C$5:$C$29=$B$5:$B$29)))*C47</f>
        <v/>
      </c>
      <c r="J47" s="7">
        <f>SUMPRODUCT($AH$5:$AH$29,$K$5:$K$29)</f>
        <v/>
      </c>
      <c r="K47" s="7">
        <f>SUMPRODUCT($AH$5:$AH$29,$L$5:$L$29)</f>
        <v/>
      </c>
      <c r="L47" s="7">
        <f>SUMPRODUCT($AH$5:$AH$29,$N$5:$N$29)</f>
        <v/>
      </c>
      <c r="M47" s="7">
        <f>IF(SUMPRODUCT($AH$5:$AH$29,$R$5:$R$29)&gt;0,1,0)</f>
        <v/>
      </c>
      <c r="N47" s="7">
        <f>SUMPRODUCT(($AO$5:$AO$24&gt;=A47)*($AO$5:$AO$24&lt;A47+1)*$AP$5:$AP$24)*C47+IF(14=0,IF(sel_loc&lt;&gt;"miami",personal_costoMudanzaInicial,0),0)</f>
        <v/>
      </c>
      <c r="O47" s="7">
        <f>MIN(personal_aporte403bPct*D47,retiro_limite403b*C47)</f>
        <v/>
      </c>
      <c r="P47" s="7">
        <f>MIN(personal_aporte403bPct,personal_match403bPct)*E47</f>
        <v/>
      </c>
      <c r="Q47" s="7">
        <f>IF(G47&gt;0,MAX(0,G47-impuestos_scorpCostoAnual*C47),0)</f>
        <v/>
      </c>
      <c r="R47" s="7">
        <f>Q47*impuestos_scorpSalarioPct/(1+impuestos_ssTasa+impuestos_medicareTasa)</f>
        <v/>
      </c>
      <c r="S47" s="7">
        <f>impuestos_ssTasa*MIN(R47,MAX(0,impuestos_ssTope*C47-D47))+impuestos_medicareTasa*R47</f>
        <v/>
      </c>
      <c r="T47" s="7">
        <f>Q47-R47-S47</f>
        <v/>
      </c>
      <c r="U47" s="7">
        <f>D47+R47</f>
        <v/>
      </c>
      <c r="V47" s="7">
        <f>H47*0.9235</f>
        <v/>
      </c>
      <c r="W47" s="7">
        <f>IF(H47&gt;0,2*impuestos_ssTasa*MIN(V47,MAX(0,impuestos_ssTope*C47-U47))+2*impuestos_medicareTasa*V47,0)</f>
        <v/>
      </c>
      <c r="X47" s="7">
        <f>impuestos_ssTasa*MIN(U47,impuestos_ssTope*C47)+impuestos_medicareTasa*U47+impuestos_medicareAdicional*MAX(0,U47+H47*0.9235-impuestos_medicareUmbral)</f>
        <v/>
      </c>
      <c r="Y47" s="7">
        <f>MAX(0,D47-O47+R47+T47+H47-W47/2)</f>
        <v/>
      </c>
      <c r="Z47" s="7">
        <f>MAX(0,Y47-impuestos_deduccionEstandar*C47)</f>
        <v/>
      </c>
      <c r="AA47" s="7">
        <f>MIN(0.2*MAX(0,T47+H47-W47/2)*MAX(0,MIN(1,1-(Z47-impuestos_qbiUmbral*C47)/(impuestos_qbiRango*C47))),0.2*Z47)</f>
        <v/>
      </c>
      <c r="AB47" s="7">
        <f>MAX(0,Z47-AA47)</f>
        <v/>
      </c>
      <c r="AC47" s="7">
        <f>SUMPRODUCT((AB47&gt;tb_federalBrackets_lo*C47)*(AB47-tb_federalBrackets_lo*C47)*tb_federalBrackets_dr)</f>
        <v/>
      </c>
      <c r="AD47" s="7">
        <f>MAX(0,Y47-impuestos_nyDeduccion*C47)</f>
        <v/>
      </c>
      <c r="AE47" s="7">
        <f>CHOOSE(loc_taxcode,0,impuestos_ohTasa*MAX(0,Y47-impuestos_ohExento*C47)+impuestos_ohMunicipal*U47,SUMPRODUCT((AD47&gt;tb_nyBrackets_lo*C47)*(AD47-tb_nyBrackets_lo*C47)*tb_nyBrackets_dr)+loc_nyc*SUMPRODUCT((AD47&gt;tb_nycBrackets_lo*C47)*(AD47-tb_nycBrackets_lo*C47)*tb_nycBrackets_dr))</f>
        <v/>
      </c>
      <c r="AF47" s="7">
        <f>AC47+AE47+X47+W47</f>
        <v/>
      </c>
      <c r="AG47" s="7">
        <f>D47+F47+R47+T47+H47</f>
        <v/>
      </c>
      <c r="AH47" s="7">
        <f>AG47-AF47-O47</f>
        <v/>
      </c>
      <c r="AI47" s="7">
        <f>D47+F47+G47+H47</f>
        <v/>
      </c>
      <c r="AJ47" s="7">
        <f>loc_gastosVida*C47*g_gastos</f>
        <v/>
      </c>
      <c r="AK47" s="7">
        <f>IF(14=0,personal_liquidoInicial,DR46)</f>
        <v/>
      </c>
      <c r="AL47" s="7">
        <f>IF(14=0,0,BB46)</f>
        <v/>
      </c>
      <c r="AM47" s="7">
        <f>CHOOSE(sel_cfgIdx,loc_precio_duplex,loc_precio_inlaw,loc_precio_dosCasas,loc_precio_casaAdu,loc_precio_multi)</f>
        <v/>
      </c>
      <c r="AN47" s="7">
        <f>AM47*(1+g_appr)^(A47-2026)</f>
        <v/>
      </c>
      <c r="AO47" s="7">
        <f>IF(AND(M47=1,vivienda_prestamoMedico=1),1,0)</f>
        <v/>
      </c>
      <c r="AP47" s="7">
        <f>IF(AO47=1,0.05,vivienda_enganchePct)</f>
        <v/>
      </c>
      <c r="AQ47" s="7">
        <f>AN47*(1-AP47)</f>
        <v/>
      </c>
      <c r="AR47" s="7">
        <f>PMT(g_mortRate/12,vivienda_plazoHipoteca*12,-AQ47)</f>
        <v/>
      </c>
      <c r="AS47" s="7">
        <f>INDEX(cfg_units,sel_cfgIdx)</f>
        <v/>
      </c>
      <c r="AT47" s="7">
        <f>AS47*loc_rentaUnidad*(1+g_inf)^(A47-2026)*(1-vivienda_vacancia)</f>
        <v/>
      </c>
      <c r="AU47" s="7">
        <f>AR47+AN47*loc_impuestoPropPct/12+AM47*loc_seguroPct*(1+vivienda_inflacionSeguro)^(A47-2026)/12+IF(AND(AO47=0,AP47&lt;0.2),AQ47*vivienda_pmiTasa/12,0)</f>
        <v/>
      </c>
      <c r="AV47" s="7">
        <f>AN47*AP47+AN47*vivienda_cierrePct+general_reservaMeses/12*AJ47</f>
        <v/>
      </c>
      <c r="AW47" s="7">
        <f>(IF(14=0,MIN(personal_irsSaldo,personal_irsPagoMensual*12),MIN(CD46,personal_irsPagoMensual*12))+IF(CE47&gt;0,PMT(CF47,MAX(1,prestamos_plazoAnios-CG47),-CE47),0)+IF(CR47&gt;0,PMT(CS47,MAX(1,prestamos_plazoAnios-CT47),-CR47),0))/12</f>
        <v/>
      </c>
      <c r="AX47" s="7">
        <f>IF(OR(sel_cfg="duplex",sel_cfg="multi",sel_cfg="dosCasas"),0.75*personal_aporteFamiliaMensual,0)</f>
        <v/>
      </c>
      <c r="AY47" s="7">
        <f>AU47-0.75*AT47-AX47+AW47</f>
        <v/>
      </c>
      <c r="AZ47" s="7">
        <f>(D47+G47+H47+0.5*F47)/12</f>
        <v/>
      </c>
      <c r="BA47" s="7">
        <f>IF(AND(AL47=0,A47&gt;=vivienda_anioMinCompra,J47&lt;0.5,AI47&gt;0,AK47&gt;=AV47,AY47&lt;=vivienda_dtiMax*AZ47),1,0)</f>
        <v/>
      </c>
      <c r="BB47" s="7">
        <f>MAX(AL47,BA47)</f>
        <v/>
      </c>
      <c r="BC47" s="7">
        <f>IF(BA47=1,A47,IF(14=0,"",BC46))</f>
        <v/>
      </c>
      <c r="BD47" s="7">
        <f>AK47-IF(BA47=1,AN47*AP47+AN47*vivienda_cierrePct,0)</f>
        <v/>
      </c>
      <c r="BE47" s="7">
        <f>IF(BA47=1,AN47,IF(14=0,0,BE46))</f>
        <v/>
      </c>
      <c r="BF47" s="7">
        <f>IF(BA47=1,AR47,IF(14=0,0,BF46))</f>
        <v/>
      </c>
      <c r="BG47" s="7">
        <f>IF(BA47=1,IF(AND(AO47=0,AP47&lt;0.2),1,0),IF(14=0,0,BY46))</f>
        <v/>
      </c>
      <c r="BH47" s="7">
        <f>IF(sel_cfg="casaAdu",1,0)</f>
        <v/>
      </c>
      <c r="BI47" s="7">
        <f>IF(AND(BB47=1,BH47=1,IF(14=0,0,BJ46)=0,A47&gt;=IF(BC47="",9999,BC47)+vivienda_aduRetrasoAnios),1,0)</f>
        <v/>
      </c>
      <c r="BJ47" s="7">
        <f>MAX(IF(14=0,0,BJ46),BI47)</f>
        <v/>
      </c>
      <c r="BK47" s="7">
        <f>IF(BI47=1,PMT((g_mortRate+0.005)/12,180,-loc_precio_aduCosto*C47),IF(14=0,0,BK46))</f>
        <v/>
      </c>
      <c r="BL47" s="7">
        <f>IF(BA47=1,AN47,IF(14=0,0,DT46))+IF(BI47=1,loc_precio_aduCosto*C47,0)</f>
        <v/>
      </c>
      <c r="BM47" s="7">
        <f>IF(BA47=1,AQ47,IF(14=0,0,DU46))</f>
        <v/>
      </c>
      <c r="BN47" s="7">
        <f>IF(BM47&lt;=0,0,FV(g_mortRate/12,12,BF47,-BM47))</f>
        <v/>
      </c>
      <c r="BO47" s="7">
        <f>IF(BM47&lt;=0,0,12*BF47+MIN(0,BN47))</f>
        <v/>
      </c>
      <c r="BP47" s="7">
        <f>MAX(0,BN47)</f>
        <v/>
      </c>
      <c r="BQ47" s="7">
        <f>IF(BI47=1,loc_precio_aduCosto*C47,IF(14=0,0,DV46))</f>
        <v/>
      </c>
      <c r="BR47" s="7">
        <f>IF(BQ47&lt;=0,0,FV((g_mortRate+0.005)/12,12,BK47,-BQ47))</f>
        <v/>
      </c>
      <c r="BS47" s="7">
        <f>IF(BQ47&lt;=0,0,12*BK47+MIN(0,BR47))</f>
        <v/>
      </c>
      <c r="BT47" s="7">
        <f>MAX(0,BR47)</f>
        <v/>
      </c>
      <c r="BU47" s="7">
        <f>IF(BB47=1,AM47*loc_seguroPct*(1+vivienda_inflacionSeguro)^(A47-2026)*IF(BJ47=1,1+loc_precio_aduCosto/AM47,1),0)</f>
        <v/>
      </c>
      <c r="BV47" s="7">
        <f>BL47*loc_impuestoPropPct</f>
        <v/>
      </c>
      <c r="BW47" s="7">
        <f>BL47*vivienda_mantenimientoPct</f>
        <v/>
      </c>
      <c r="BX47" s="7">
        <f>IF(AND(BG47=1,BP47&gt;0.8*BE47),BE47*(1-vivienda_enganchePct)*vivienda_pmiTasa,0)</f>
        <v/>
      </c>
      <c r="BY47" s="7">
        <f>IF(AND(BG47=1,BP47&gt;0.8*BE47),1,0)</f>
        <v/>
      </c>
      <c r="BZ47" s="7">
        <f>IF(BB47=1,AS47*loc_rentaUnidad*12*C47*(1-vivienda_vacancia)*(1-vivienda_gestionPct),0)</f>
        <v/>
      </c>
      <c r="CA47" s="7">
        <f>IF(BB47=1,BO47+BS47+BU47+BV47+BW47+BX47,loc_rentaMensual*12*C47)</f>
        <v/>
      </c>
      <c r="CB47" s="7">
        <f>IF(BB47=1,personal_aporteFamiliaMensual*12,0)</f>
        <v/>
      </c>
      <c r="CC47" s="7">
        <f>MIN(IF(14=0,personal_irsSaldo,CD46),personal_irsPagoMensual*12)</f>
        <v/>
      </c>
      <c r="CD47" s="7">
        <f>IF(14=0,personal_irsSaldo,CD46)-CC47</f>
        <v/>
      </c>
      <c r="CE47" s="7">
        <f>IF(14=0,IF(personal_deudaEsFederal=1,personal_deudaEstudiantil,0),DW46)</f>
        <v/>
      </c>
      <c r="CF47" s="7">
        <f>IF(14=0,personal_tasaDeudaEstudiantil,DX46)</f>
        <v/>
      </c>
      <c r="CG47" s="7">
        <f>IF(14=0,0,DY46)</f>
        <v/>
      </c>
      <c r="CH47" s="7">
        <f>IF(J47&gt;=0.5,1,0)</f>
        <v/>
      </c>
      <c r="CI47" s="7">
        <f>IF(AND(CH47=0,prestamos_pslfActivo=1,K47&gt;=0.5,CE47&gt;0),1,0)</f>
        <v/>
      </c>
      <c r="CJ47" s="7">
        <f>CE47*CF47</f>
        <v/>
      </c>
      <c r="CK47" s="7">
        <f>MAX(prestamos_rapPagoMinimoAnual,IF(Y47&lt;10000,0,MIN(0.1,INT(Y47/10000)/100))*Y47)</f>
        <v/>
      </c>
      <c r="CL47" s="7">
        <f>IF(CE47&lt;=0,0,IF(CH47=1,0,IF(CI47=1,MIN(CE47+CJ47,CK47),PMT(CF47,MAX(1,prestamos_plazoAnios-CG47),-CE47))))</f>
        <v/>
      </c>
      <c r="CM47" s="7">
        <f>IF(CE47&lt;=0,0,IF(CH47=1,CE47+CJ47,IF(CI47=1,MAX(0,CE47-MAX(CL47-CJ47,MIN(600,CL47))),MAX(0,CE47*(1+CF47)-CL47))))</f>
        <v/>
      </c>
      <c r="CN47" s="7">
        <f>IF(14=0,0,CN46)+IF(CI47=1,12*MIN(1,K47),0)</f>
        <v/>
      </c>
      <c r="CO47" s="7">
        <f>IF(AND(CI47=1,CN47&gt;=prestamos_pslfPagos,CM47&gt;0),CM47,0)</f>
        <v/>
      </c>
      <c r="CP47" s="7">
        <f>CM47-CO47</f>
        <v/>
      </c>
      <c r="CQ47" s="7">
        <f>IF(AND(CE47&gt;0,CH47=0,CI47=0),CG47+1,CG47)</f>
        <v/>
      </c>
      <c r="CR47" s="7">
        <f>IF(14=0,IF(personal_deudaEsFederal=1,0,personal_deudaEstudiantil),EA46)</f>
        <v/>
      </c>
      <c r="CS47" s="7">
        <f>IF(14=0,IF(personal_deudaEsFederal=1,prestamos_tasaPrivada,personal_tasaDeudaEstudiantil),EB46)</f>
        <v/>
      </c>
      <c r="CT47" s="7">
        <f>IF(14=0,0,EC46)</f>
        <v/>
      </c>
      <c r="CU47" s="7">
        <f>IF(OR(CR47&lt;=0,CH47=1),0,PMT(CS47,MAX(1,prestamos_plazoAnios-CT47),-CR47))</f>
        <v/>
      </c>
      <c r="CV47" s="7">
        <f>IF(CR47&lt;=0,0,IF(CH47=1,CR47*(1+CS47),MAX(0,CR47*(1+CS47)-CU47)))</f>
        <v/>
      </c>
      <c r="CW47" s="7">
        <f>IF(AND(CR47&gt;0,CH47=0),CT47+1,CT47)</f>
        <v/>
      </c>
      <c r="CX47" s="7">
        <f>IF(14=0,0,ED46)*(1+general_tasaDeudaConsumo)</f>
        <v/>
      </c>
      <c r="CY47" s="7">
        <f>L47*12*tiempos_travelGastoExtraMes*C47</f>
        <v/>
      </c>
      <c r="CZ47" s="7">
        <f>AJ47+CY47+CA47+CC47+CL47+CU47+I47+N47-BZ47-CB47</f>
        <v/>
      </c>
      <c r="DA47" s="7">
        <f>AH47-CZ47</f>
        <v/>
      </c>
      <c r="DB47" s="7">
        <f>IF(14=0,0,DB46)+DA47</f>
        <v/>
      </c>
      <c r="DC47" s="7">
        <f>AN47*vivienda_enganchePct+AN47*vivienda_cierrePct+general_reservaMeses/12*AJ47</f>
        <v/>
      </c>
      <c r="DD47" s="7">
        <f>IF(BB47=1,g_ret,IF(BD47&gt;0,MIN(1,DC47/BD47),1)*g_cash+(1-IF(BD47&gt;0,MIN(1,DC47/BD47),1))*g_ret)</f>
        <v/>
      </c>
      <c r="DE47" s="7">
        <f>IF(DA47&gt;=0,MIN(CX47,DA47),0)</f>
        <v/>
      </c>
      <c r="DF47" s="7">
        <f>IF(DA47&gt;=0,(1-general_tasaAhorro)*(DA47-DE47),0)</f>
        <v/>
      </c>
      <c r="DG47" s="7">
        <f>IF(DA47&gt;=0,DA47-DE47-DF47,0)</f>
        <v/>
      </c>
      <c r="DH47" s="7">
        <f>MIN(personal_rothAnual,DG47)</f>
        <v/>
      </c>
      <c r="DI47" s="7">
        <f>IF(AND(DA47&gt;=0,BB47=1,BP47+BT47&gt;0),MIN(vivienda_prepagoPct*(DG47-DH47),BP47+BT47),0)</f>
        <v/>
      </c>
      <c r="DJ47" s="7">
        <f>MIN(DI47,BP47)</f>
        <v/>
      </c>
      <c r="DK47" s="7">
        <f>IF(DA47&lt;0,MIN(MAX(0,BD47),-DA47),0)</f>
        <v/>
      </c>
      <c r="DL47" s="7">
        <f>IF(DA47&lt;0,-DA47-DK47,0)</f>
        <v/>
      </c>
      <c r="DM47" s="7">
        <f>IF(14=0,0,DZ46)</f>
        <v/>
      </c>
      <c r="DN47" s="7">
        <f>IF(AND(DL47&gt;0,J47&gt;0),MIN(DL47,MIN(prestamos_topeAnualPosgrado*MIN(1,J47),MAX(0,prestamos_topeTotalPosgrado-DM47))),0)</f>
        <v/>
      </c>
      <c r="DO47" s="7">
        <f>IF(AND(DL47&gt;0,J47&gt;0),DL47-DN47,0)</f>
        <v/>
      </c>
      <c r="DP47" s="7">
        <f>IF(AND(DL47&gt;0,J47&lt;=0),DL47,0)</f>
        <v/>
      </c>
      <c r="DQ47" s="7">
        <f>IF(DA47&gt;=0,DG47-DH47-DI47,-DK47)</f>
        <v/>
      </c>
      <c r="DR47" s="7">
        <f>BD47*(1+DD47)+DQ47*(1+DD47/2)</f>
        <v/>
      </c>
      <c r="DS47" s="7">
        <f>IF(14=0,personal_retiroInicial,DS46)*(1+g_ret)+(O47+P47+DH47)*(1+g_ret/2)</f>
        <v/>
      </c>
      <c r="DT47" s="7">
        <f>IF(BB47=1,BL47*(1+g_appr),0)</f>
        <v/>
      </c>
      <c r="DU47" s="7">
        <f>BP47-DJ47</f>
        <v/>
      </c>
      <c r="DV47" s="7">
        <f>BT47-(DI47-DJ47)</f>
        <v/>
      </c>
      <c r="DW47" s="7">
        <f>CP47+DN47</f>
        <v/>
      </c>
      <c r="DX47" s="7">
        <f>IF(DN47&gt;0,(CP47*CF47+DN47*prestamos_tasaFederalPosgrado)/(CP47+DN47),CF47)</f>
        <v/>
      </c>
      <c r="DY47" s="7">
        <f>IF(DN47&gt;0,0,CQ47)</f>
        <v/>
      </c>
      <c r="DZ47" s="7">
        <f>DM47+DN47</f>
        <v/>
      </c>
      <c r="EA47" s="7">
        <f>CV47+DO47</f>
        <v/>
      </c>
      <c r="EB47" s="7">
        <f>IF(DO47&gt;0,(CV47*CS47+DO47*prestamos_tasaPrivada)/(CV47+DO47),CS47)</f>
        <v/>
      </c>
      <c r="EC47" s="7">
        <f>IF(DO47&gt;0,0,CW47)</f>
        <v/>
      </c>
      <c r="ED47" s="7">
        <f>CX47-DE47+DP47</f>
        <v/>
      </c>
      <c r="EE47" s="7">
        <f>IF(IF(14=0,"",EE46)&lt;&gt;"",EE46,IF(AND(BB47=1,DU47&lt;=0.5,DV47&lt;=0.5,OR(BH47=0,BJ47=1)),A47,""))</f>
        <v/>
      </c>
      <c r="EF47" s="7">
        <f>DU47+DV47+DW47+EA47+ED47+CD47</f>
        <v/>
      </c>
      <c r="EG47" s="7">
        <f>DR47+DS47+DT47-EF47</f>
        <v/>
      </c>
      <c r="EH47" s="7">
        <f>EG47/(1+g_inf)^(A47+1-2026)</f>
        <v/>
      </c>
    </row>
    <row r="48">
      <c r="A48" t="n">
        <v>2042</v>
      </c>
      <c r="B48" t="n">
        <v>15</v>
      </c>
      <c r="C48" s="7">
        <f>(1+g_inf)^(A48-2026)</f>
        <v/>
      </c>
      <c r="D48" s="7">
        <f>SUMPRODUCT($AI$5:$AI$29,$E$5:$E$29*(1+$F$5:$F$29)^(A48-2026)*$G$5:$G$29*$H$5:$H$29*(1-$N$5:$N$29*$O$5:$O$29))*g_salMult+SUMPRODUCT(($B$5:$B$29&gt;=A48)*($B$5:$B$29&lt;A48+1)*$I$5:$I$29)*g_salMult</f>
        <v/>
      </c>
      <c r="E48" s="7">
        <f>SUMPRODUCT($AI$5:$AI$29,$E$5:$E$29*(1+$F$5:$F$29)^(A48-2026)*$G$5:$G$29*$H$5:$H$29*$M$5:$M$29)*g_salMult</f>
        <v/>
      </c>
      <c r="F48" s="7">
        <f>SUMPRODUCT($AI$5:$AI$29,$E$5:$E$29*(1+$F$5:$F$29)^(A48-2026)*$G$5:$G$29*$H$5:$H$29*$N$5:$N$29*$O$5:$O$29)*g_salMult</f>
        <v/>
      </c>
      <c r="G48" s="7">
        <f>SUMPRODUCT($AI$5:$AI$29,$P$5:$P$29*(1+$F$5:$F$29)^(A48-2026))</f>
        <v/>
      </c>
      <c r="H48" s="7">
        <f>SUMPRODUCT($AI$5:$AI$29,$Q$5:$Q$29*(1+$F$5:$F$29)^(A48-2026))+IF(personal_llcActivo=1,personal_llcNeto*(1+personal_llcCrecimiento)^15,0)</f>
        <v/>
      </c>
      <c r="I48" s="7">
        <f>SUMPRODUCT($AI$5:$AI$29,$J$5:$J$29/($C$5:$C$29-$B$5:$B$29+($C$5:$C$29=$B$5:$B$29)))*C48</f>
        <v/>
      </c>
      <c r="J48" s="7">
        <f>SUMPRODUCT($AI$5:$AI$29,$K$5:$K$29)</f>
        <v/>
      </c>
      <c r="K48" s="7">
        <f>SUMPRODUCT($AI$5:$AI$29,$L$5:$L$29)</f>
        <v/>
      </c>
      <c r="L48" s="7">
        <f>SUMPRODUCT($AI$5:$AI$29,$N$5:$N$29)</f>
        <v/>
      </c>
      <c r="M48" s="7">
        <f>IF(SUMPRODUCT($AI$5:$AI$29,$R$5:$R$29)&gt;0,1,0)</f>
        <v/>
      </c>
      <c r="N48" s="7">
        <f>SUMPRODUCT(($AO$5:$AO$24&gt;=A48)*($AO$5:$AO$24&lt;A48+1)*$AP$5:$AP$24)*C48+IF(15=0,IF(sel_loc&lt;&gt;"miami",personal_costoMudanzaInicial,0),0)</f>
        <v/>
      </c>
      <c r="O48" s="7">
        <f>MIN(personal_aporte403bPct*D48,retiro_limite403b*C48)</f>
        <v/>
      </c>
      <c r="P48" s="7">
        <f>MIN(personal_aporte403bPct,personal_match403bPct)*E48</f>
        <v/>
      </c>
      <c r="Q48" s="7">
        <f>IF(G48&gt;0,MAX(0,G48-impuestos_scorpCostoAnual*C48),0)</f>
        <v/>
      </c>
      <c r="R48" s="7">
        <f>Q48*impuestos_scorpSalarioPct/(1+impuestos_ssTasa+impuestos_medicareTasa)</f>
        <v/>
      </c>
      <c r="S48" s="7">
        <f>impuestos_ssTasa*MIN(R48,MAX(0,impuestos_ssTope*C48-D48))+impuestos_medicareTasa*R48</f>
        <v/>
      </c>
      <c r="T48" s="7">
        <f>Q48-R48-S48</f>
        <v/>
      </c>
      <c r="U48" s="7">
        <f>D48+R48</f>
        <v/>
      </c>
      <c r="V48" s="7">
        <f>H48*0.9235</f>
        <v/>
      </c>
      <c r="W48" s="7">
        <f>IF(H48&gt;0,2*impuestos_ssTasa*MIN(V48,MAX(0,impuestos_ssTope*C48-U48))+2*impuestos_medicareTasa*V48,0)</f>
        <v/>
      </c>
      <c r="X48" s="7">
        <f>impuestos_ssTasa*MIN(U48,impuestos_ssTope*C48)+impuestos_medicareTasa*U48+impuestos_medicareAdicional*MAX(0,U48+H48*0.9235-impuestos_medicareUmbral)</f>
        <v/>
      </c>
      <c r="Y48" s="7">
        <f>MAX(0,D48-O48+R48+T48+H48-W48/2)</f>
        <v/>
      </c>
      <c r="Z48" s="7">
        <f>MAX(0,Y48-impuestos_deduccionEstandar*C48)</f>
        <v/>
      </c>
      <c r="AA48" s="7">
        <f>MIN(0.2*MAX(0,T48+H48-W48/2)*MAX(0,MIN(1,1-(Z48-impuestos_qbiUmbral*C48)/(impuestos_qbiRango*C48))),0.2*Z48)</f>
        <v/>
      </c>
      <c r="AB48" s="7">
        <f>MAX(0,Z48-AA48)</f>
        <v/>
      </c>
      <c r="AC48" s="7">
        <f>SUMPRODUCT((AB48&gt;tb_federalBrackets_lo*C48)*(AB48-tb_federalBrackets_lo*C48)*tb_federalBrackets_dr)</f>
        <v/>
      </c>
      <c r="AD48" s="7">
        <f>MAX(0,Y48-impuestos_nyDeduccion*C48)</f>
        <v/>
      </c>
      <c r="AE48" s="7">
        <f>CHOOSE(loc_taxcode,0,impuestos_ohTasa*MAX(0,Y48-impuestos_ohExento*C48)+impuestos_ohMunicipal*U48,SUMPRODUCT((AD48&gt;tb_nyBrackets_lo*C48)*(AD48-tb_nyBrackets_lo*C48)*tb_nyBrackets_dr)+loc_nyc*SUMPRODUCT((AD48&gt;tb_nycBrackets_lo*C48)*(AD48-tb_nycBrackets_lo*C48)*tb_nycBrackets_dr))</f>
        <v/>
      </c>
      <c r="AF48" s="7">
        <f>AC48+AE48+X48+W48</f>
        <v/>
      </c>
      <c r="AG48" s="7">
        <f>D48+F48+R48+T48+H48</f>
        <v/>
      </c>
      <c r="AH48" s="7">
        <f>AG48-AF48-O48</f>
        <v/>
      </c>
      <c r="AI48" s="7">
        <f>D48+F48+G48+H48</f>
        <v/>
      </c>
      <c r="AJ48" s="7">
        <f>loc_gastosVida*C48*g_gastos</f>
        <v/>
      </c>
      <c r="AK48" s="7">
        <f>IF(15=0,personal_liquidoInicial,DR47)</f>
        <v/>
      </c>
      <c r="AL48" s="7">
        <f>IF(15=0,0,BB47)</f>
        <v/>
      </c>
      <c r="AM48" s="7">
        <f>CHOOSE(sel_cfgIdx,loc_precio_duplex,loc_precio_inlaw,loc_precio_dosCasas,loc_precio_casaAdu,loc_precio_multi)</f>
        <v/>
      </c>
      <c r="AN48" s="7">
        <f>AM48*(1+g_appr)^(A48-2026)</f>
        <v/>
      </c>
      <c r="AO48" s="7">
        <f>IF(AND(M48=1,vivienda_prestamoMedico=1),1,0)</f>
        <v/>
      </c>
      <c r="AP48" s="7">
        <f>IF(AO48=1,0.05,vivienda_enganchePct)</f>
        <v/>
      </c>
      <c r="AQ48" s="7">
        <f>AN48*(1-AP48)</f>
        <v/>
      </c>
      <c r="AR48" s="7">
        <f>PMT(g_mortRate/12,vivienda_plazoHipoteca*12,-AQ48)</f>
        <v/>
      </c>
      <c r="AS48" s="7">
        <f>INDEX(cfg_units,sel_cfgIdx)</f>
        <v/>
      </c>
      <c r="AT48" s="7">
        <f>AS48*loc_rentaUnidad*(1+g_inf)^(A48-2026)*(1-vivienda_vacancia)</f>
        <v/>
      </c>
      <c r="AU48" s="7">
        <f>AR48+AN48*loc_impuestoPropPct/12+AM48*loc_seguroPct*(1+vivienda_inflacionSeguro)^(A48-2026)/12+IF(AND(AO48=0,AP48&lt;0.2),AQ48*vivienda_pmiTasa/12,0)</f>
        <v/>
      </c>
      <c r="AV48" s="7">
        <f>AN48*AP48+AN48*vivienda_cierrePct+general_reservaMeses/12*AJ48</f>
        <v/>
      </c>
      <c r="AW48" s="7">
        <f>(IF(15=0,MIN(personal_irsSaldo,personal_irsPagoMensual*12),MIN(CD47,personal_irsPagoMensual*12))+IF(CE48&gt;0,PMT(CF48,MAX(1,prestamos_plazoAnios-CG48),-CE48),0)+IF(CR48&gt;0,PMT(CS48,MAX(1,prestamos_plazoAnios-CT48),-CR48),0))/12</f>
        <v/>
      </c>
      <c r="AX48" s="7">
        <f>IF(OR(sel_cfg="duplex",sel_cfg="multi",sel_cfg="dosCasas"),0.75*personal_aporteFamiliaMensual,0)</f>
        <v/>
      </c>
      <c r="AY48" s="7">
        <f>AU48-0.75*AT48-AX48+AW48</f>
        <v/>
      </c>
      <c r="AZ48" s="7">
        <f>(D48+G48+H48+0.5*F48)/12</f>
        <v/>
      </c>
      <c r="BA48" s="7">
        <f>IF(AND(AL48=0,A48&gt;=vivienda_anioMinCompra,J48&lt;0.5,AI48&gt;0,AK48&gt;=AV48,AY48&lt;=vivienda_dtiMax*AZ48),1,0)</f>
        <v/>
      </c>
      <c r="BB48" s="7">
        <f>MAX(AL48,BA48)</f>
        <v/>
      </c>
      <c r="BC48" s="7">
        <f>IF(BA48=1,A48,IF(15=0,"",BC47))</f>
        <v/>
      </c>
      <c r="BD48" s="7">
        <f>AK48-IF(BA48=1,AN48*AP48+AN48*vivienda_cierrePct,0)</f>
        <v/>
      </c>
      <c r="BE48" s="7">
        <f>IF(BA48=1,AN48,IF(15=0,0,BE47))</f>
        <v/>
      </c>
      <c r="BF48" s="7">
        <f>IF(BA48=1,AR48,IF(15=0,0,BF47))</f>
        <v/>
      </c>
      <c r="BG48" s="7">
        <f>IF(BA48=1,IF(AND(AO48=0,AP48&lt;0.2),1,0),IF(15=0,0,BY47))</f>
        <v/>
      </c>
      <c r="BH48" s="7">
        <f>IF(sel_cfg="casaAdu",1,0)</f>
        <v/>
      </c>
      <c r="BI48" s="7">
        <f>IF(AND(BB48=1,BH48=1,IF(15=0,0,BJ47)=0,A48&gt;=IF(BC48="",9999,BC48)+vivienda_aduRetrasoAnios),1,0)</f>
        <v/>
      </c>
      <c r="BJ48" s="7">
        <f>MAX(IF(15=0,0,BJ47),BI48)</f>
        <v/>
      </c>
      <c r="BK48" s="7">
        <f>IF(BI48=1,PMT((g_mortRate+0.005)/12,180,-loc_precio_aduCosto*C48),IF(15=0,0,BK47))</f>
        <v/>
      </c>
      <c r="BL48" s="7">
        <f>IF(BA48=1,AN48,IF(15=0,0,DT47))+IF(BI48=1,loc_precio_aduCosto*C48,0)</f>
        <v/>
      </c>
      <c r="BM48" s="7">
        <f>IF(BA48=1,AQ48,IF(15=0,0,DU47))</f>
        <v/>
      </c>
      <c r="BN48" s="7">
        <f>IF(BM48&lt;=0,0,FV(g_mortRate/12,12,BF48,-BM48))</f>
        <v/>
      </c>
      <c r="BO48" s="7">
        <f>IF(BM48&lt;=0,0,12*BF48+MIN(0,BN48))</f>
        <v/>
      </c>
      <c r="BP48" s="7">
        <f>MAX(0,BN48)</f>
        <v/>
      </c>
      <c r="BQ48" s="7">
        <f>IF(BI48=1,loc_precio_aduCosto*C48,IF(15=0,0,DV47))</f>
        <v/>
      </c>
      <c r="BR48" s="7">
        <f>IF(BQ48&lt;=0,0,FV((g_mortRate+0.005)/12,12,BK48,-BQ48))</f>
        <v/>
      </c>
      <c r="BS48" s="7">
        <f>IF(BQ48&lt;=0,0,12*BK48+MIN(0,BR48))</f>
        <v/>
      </c>
      <c r="BT48" s="7">
        <f>MAX(0,BR48)</f>
        <v/>
      </c>
      <c r="BU48" s="7">
        <f>IF(BB48=1,AM48*loc_seguroPct*(1+vivienda_inflacionSeguro)^(A48-2026)*IF(BJ48=1,1+loc_precio_aduCosto/AM48,1),0)</f>
        <v/>
      </c>
      <c r="BV48" s="7">
        <f>BL48*loc_impuestoPropPct</f>
        <v/>
      </c>
      <c r="BW48" s="7">
        <f>BL48*vivienda_mantenimientoPct</f>
        <v/>
      </c>
      <c r="BX48" s="7">
        <f>IF(AND(BG48=1,BP48&gt;0.8*BE48),BE48*(1-vivienda_enganchePct)*vivienda_pmiTasa,0)</f>
        <v/>
      </c>
      <c r="BY48" s="7">
        <f>IF(AND(BG48=1,BP48&gt;0.8*BE48),1,0)</f>
        <v/>
      </c>
      <c r="BZ48" s="7">
        <f>IF(BB48=1,AS48*loc_rentaUnidad*12*C48*(1-vivienda_vacancia)*(1-vivienda_gestionPct),0)</f>
        <v/>
      </c>
      <c r="CA48" s="7">
        <f>IF(BB48=1,BO48+BS48+BU48+BV48+BW48+BX48,loc_rentaMensual*12*C48)</f>
        <v/>
      </c>
      <c r="CB48" s="7">
        <f>IF(BB48=1,personal_aporteFamiliaMensual*12,0)</f>
        <v/>
      </c>
      <c r="CC48" s="7">
        <f>MIN(IF(15=0,personal_irsSaldo,CD47),personal_irsPagoMensual*12)</f>
        <v/>
      </c>
      <c r="CD48" s="7">
        <f>IF(15=0,personal_irsSaldo,CD47)-CC48</f>
        <v/>
      </c>
      <c r="CE48" s="7">
        <f>IF(15=0,IF(personal_deudaEsFederal=1,personal_deudaEstudiantil,0),DW47)</f>
        <v/>
      </c>
      <c r="CF48" s="7">
        <f>IF(15=0,personal_tasaDeudaEstudiantil,DX47)</f>
        <v/>
      </c>
      <c r="CG48" s="7">
        <f>IF(15=0,0,DY47)</f>
        <v/>
      </c>
      <c r="CH48" s="7">
        <f>IF(J48&gt;=0.5,1,0)</f>
        <v/>
      </c>
      <c r="CI48" s="7">
        <f>IF(AND(CH48=0,prestamos_pslfActivo=1,K48&gt;=0.5,CE48&gt;0),1,0)</f>
        <v/>
      </c>
      <c r="CJ48" s="7">
        <f>CE48*CF48</f>
        <v/>
      </c>
      <c r="CK48" s="7">
        <f>MAX(prestamos_rapPagoMinimoAnual,IF(Y48&lt;10000,0,MIN(0.1,INT(Y48/10000)/100))*Y48)</f>
        <v/>
      </c>
      <c r="CL48" s="7">
        <f>IF(CE48&lt;=0,0,IF(CH48=1,0,IF(CI48=1,MIN(CE48+CJ48,CK48),PMT(CF48,MAX(1,prestamos_plazoAnios-CG48),-CE48))))</f>
        <v/>
      </c>
      <c r="CM48" s="7">
        <f>IF(CE48&lt;=0,0,IF(CH48=1,CE48+CJ48,IF(CI48=1,MAX(0,CE48-MAX(CL48-CJ48,MIN(600,CL48))),MAX(0,CE48*(1+CF48)-CL48))))</f>
        <v/>
      </c>
      <c r="CN48" s="7">
        <f>IF(15=0,0,CN47)+IF(CI48=1,12*MIN(1,K48),0)</f>
        <v/>
      </c>
      <c r="CO48" s="7">
        <f>IF(AND(CI48=1,CN48&gt;=prestamos_pslfPagos,CM48&gt;0),CM48,0)</f>
        <v/>
      </c>
      <c r="CP48" s="7">
        <f>CM48-CO48</f>
        <v/>
      </c>
      <c r="CQ48" s="7">
        <f>IF(AND(CE48&gt;0,CH48=0,CI48=0),CG48+1,CG48)</f>
        <v/>
      </c>
      <c r="CR48" s="7">
        <f>IF(15=0,IF(personal_deudaEsFederal=1,0,personal_deudaEstudiantil),EA47)</f>
        <v/>
      </c>
      <c r="CS48" s="7">
        <f>IF(15=0,IF(personal_deudaEsFederal=1,prestamos_tasaPrivada,personal_tasaDeudaEstudiantil),EB47)</f>
        <v/>
      </c>
      <c r="CT48" s="7">
        <f>IF(15=0,0,EC47)</f>
        <v/>
      </c>
      <c r="CU48" s="7">
        <f>IF(OR(CR48&lt;=0,CH48=1),0,PMT(CS48,MAX(1,prestamos_plazoAnios-CT48),-CR48))</f>
        <v/>
      </c>
      <c r="CV48" s="7">
        <f>IF(CR48&lt;=0,0,IF(CH48=1,CR48*(1+CS48),MAX(0,CR48*(1+CS48)-CU48)))</f>
        <v/>
      </c>
      <c r="CW48" s="7">
        <f>IF(AND(CR48&gt;0,CH48=0),CT48+1,CT48)</f>
        <v/>
      </c>
      <c r="CX48" s="7">
        <f>IF(15=0,0,ED47)*(1+general_tasaDeudaConsumo)</f>
        <v/>
      </c>
      <c r="CY48" s="7">
        <f>L48*12*tiempos_travelGastoExtraMes*C48</f>
        <v/>
      </c>
      <c r="CZ48" s="7">
        <f>AJ48+CY48+CA48+CC48+CL48+CU48+I48+N48-BZ48-CB48</f>
        <v/>
      </c>
      <c r="DA48" s="7">
        <f>AH48-CZ48</f>
        <v/>
      </c>
      <c r="DB48" s="7">
        <f>IF(15=0,0,DB47)+DA48</f>
        <v/>
      </c>
      <c r="DC48" s="7">
        <f>AN48*vivienda_enganchePct+AN48*vivienda_cierrePct+general_reservaMeses/12*AJ48</f>
        <v/>
      </c>
      <c r="DD48" s="7">
        <f>IF(BB48=1,g_ret,IF(BD48&gt;0,MIN(1,DC48/BD48),1)*g_cash+(1-IF(BD48&gt;0,MIN(1,DC48/BD48),1))*g_ret)</f>
        <v/>
      </c>
      <c r="DE48" s="7">
        <f>IF(DA48&gt;=0,MIN(CX48,DA48),0)</f>
        <v/>
      </c>
      <c r="DF48" s="7">
        <f>IF(DA48&gt;=0,(1-general_tasaAhorro)*(DA48-DE48),0)</f>
        <v/>
      </c>
      <c r="DG48" s="7">
        <f>IF(DA48&gt;=0,DA48-DE48-DF48,0)</f>
        <v/>
      </c>
      <c r="DH48" s="7">
        <f>MIN(personal_rothAnual,DG48)</f>
        <v/>
      </c>
      <c r="DI48" s="7">
        <f>IF(AND(DA48&gt;=0,BB48=1,BP48+BT48&gt;0),MIN(vivienda_prepagoPct*(DG48-DH48),BP48+BT48),0)</f>
        <v/>
      </c>
      <c r="DJ48" s="7">
        <f>MIN(DI48,BP48)</f>
        <v/>
      </c>
      <c r="DK48" s="7">
        <f>IF(DA48&lt;0,MIN(MAX(0,BD48),-DA48),0)</f>
        <v/>
      </c>
      <c r="DL48" s="7">
        <f>IF(DA48&lt;0,-DA48-DK48,0)</f>
        <v/>
      </c>
      <c r="DM48" s="7">
        <f>IF(15=0,0,DZ47)</f>
        <v/>
      </c>
      <c r="DN48" s="7">
        <f>IF(AND(DL48&gt;0,J48&gt;0),MIN(DL48,MIN(prestamos_topeAnualPosgrado*MIN(1,J48),MAX(0,prestamos_topeTotalPosgrado-DM48))),0)</f>
        <v/>
      </c>
      <c r="DO48" s="7">
        <f>IF(AND(DL48&gt;0,J48&gt;0),DL48-DN48,0)</f>
        <v/>
      </c>
      <c r="DP48" s="7">
        <f>IF(AND(DL48&gt;0,J48&lt;=0),DL48,0)</f>
        <v/>
      </c>
      <c r="DQ48" s="7">
        <f>IF(DA48&gt;=0,DG48-DH48-DI48,-DK48)</f>
        <v/>
      </c>
      <c r="DR48" s="7">
        <f>BD48*(1+DD48)+DQ48*(1+DD48/2)</f>
        <v/>
      </c>
      <c r="DS48" s="7">
        <f>IF(15=0,personal_retiroInicial,DS47)*(1+g_ret)+(O48+P48+DH48)*(1+g_ret/2)</f>
        <v/>
      </c>
      <c r="DT48" s="7">
        <f>IF(BB48=1,BL48*(1+g_appr),0)</f>
        <v/>
      </c>
      <c r="DU48" s="7">
        <f>BP48-DJ48</f>
        <v/>
      </c>
      <c r="DV48" s="7">
        <f>BT48-(DI48-DJ48)</f>
        <v/>
      </c>
      <c r="DW48" s="7">
        <f>CP48+DN48</f>
        <v/>
      </c>
      <c r="DX48" s="7">
        <f>IF(DN48&gt;0,(CP48*CF48+DN48*prestamos_tasaFederalPosgrado)/(CP48+DN48),CF48)</f>
        <v/>
      </c>
      <c r="DY48" s="7">
        <f>IF(DN48&gt;0,0,CQ48)</f>
        <v/>
      </c>
      <c r="DZ48" s="7">
        <f>DM48+DN48</f>
        <v/>
      </c>
      <c r="EA48" s="7">
        <f>CV48+DO48</f>
        <v/>
      </c>
      <c r="EB48" s="7">
        <f>IF(DO48&gt;0,(CV48*CS48+DO48*prestamos_tasaPrivada)/(CV48+DO48),CS48)</f>
        <v/>
      </c>
      <c r="EC48" s="7">
        <f>IF(DO48&gt;0,0,CW48)</f>
        <v/>
      </c>
      <c r="ED48" s="7">
        <f>CX48-DE48+DP48</f>
        <v/>
      </c>
      <c r="EE48" s="7">
        <f>IF(IF(15=0,"",EE47)&lt;&gt;"",EE47,IF(AND(BB48=1,DU48&lt;=0.5,DV48&lt;=0.5,OR(BH48=0,BJ48=1)),A48,""))</f>
        <v/>
      </c>
      <c r="EF48" s="7">
        <f>DU48+DV48+DW48+EA48+ED48+CD48</f>
        <v/>
      </c>
      <c r="EG48" s="7">
        <f>DR48+DS48+DT48-EF48</f>
        <v/>
      </c>
      <c r="EH48" s="7">
        <f>EG48/(1+g_inf)^(A48+1-2026)</f>
        <v/>
      </c>
    </row>
    <row r="49">
      <c r="A49" t="n">
        <v>2043</v>
      </c>
      <c r="B49" t="n">
        <v>16</v>
      </c>
      <c r="C49" s="7">
        <f>(1+g_inf)^(A49-2026)</f>
        <v/>
      </c>
      <c r="D49" s="7">
        <f>SUMPRODUCT($AJ$5:$AJ$29,$E$5:$E$29*(1+$F$5:$F$29)^(A49-2026)*$G$5:$G$29*$H$5:$H$29*(1-$N$5:$N$29*$O$5:$O$29))*g_salMult+SUMPRODUCT(($B$5:$B$29&gt;=A49)*($B$5:$B$29&lt;A49+1)*$I$5:$I$29)*g_salMult</f>
        <v/>
      </c>
      <c r="E49" s="7">
        <f>SUMPRODUCT($AJ$5:$AJ$29,$E$5:$E$29*(1+$F$5:$F$29)^(A49-2026)*$G$5:$G$29*$H$5:$H$29*$M$5:$M$29)*g_salMult</f>
        <v/>
      </c>
      <c r="F49" s="7">
        <f>SUMPRODUCT($AJ$5:$AJ$29,$E$5:$E$29*(1+$F$5:$F$29)^(A49-2026)*$G$5:$G$29*$H$5:$H$29*$N$5:$N$29*$O$5:$O$29)*g_salMult</f>
        <v/>
      </c>
      <c r="G49" s="7">
        <f>SUMPRODUCT($AJ$5:$AJ$29,$P$5:$P$29*(1+$F$5:$F$29)^(A49-2026))</f>
        <v/>
      </c>
      <c r="H49" s="7">
        <f>SUMPRODUCT($AJ$5:$AJ$29,$Q$5:$Q$29*(1+$F$5:$F$29)^(A49-2026))+IF(personal_llcActivo=1,personal_llcNeto*(1+personal_llcCrecimiento)^16,0)</f>
        <v/>
      </c>
      <c r="I49" s="7">
        <f>SUMPRODUCT($AJ$5:$AJ$29,$J$5:$J$29/($C$5:$C$29-$B$5:$B$29+($C$5:$C$29=$B$5:$B$29)))*C49</f>
        <v/>
      </c>
      <c r="J49" s="7">
        <f>SUMPRODUCT($AJ$5:$AJ$29,$K$5:$K$29)</f>
        <v/>
      </c>
      <c r="K49" s="7">
        <f>SUMPRODUCT($AJ$5:$AJ$29,$L$5:$L$29)</f>
        <v/>
      </c>
      <c r="L49" s="7">
        <f>SUMPRODUCT($AJ$5:$AJ$29,$N$5:$N$29)</f>
        <v/>
      </c>
      <c r="M49" s="7">
        <f>IF(SUMPRODUCT($AJ$5:$AJ$29,$R$5:$R$29)&gt;0,1,0)</f>
        <v/>
      </c>
      <c r="N49" s="7">
        <f>SUMPRODUCT(($AO$5:$AO$24&gt;=A49)*($AO$5:$AO$24&lt;A49+1)*$AP$5:$AP$24)*C49+IF(16=0,IF(sel_loc&lt;&gt;"miami",personal_costoMudanzaInicial,0),0)</f>
        <v/>
      </c>
      <c r="O49" s="7">
        <f>MIN(personal_aporte403bPct*D49,retiro_limite403b*C49)</f>
        <v/>
      </c>
      <c r="P49" s="7">
        <f>MIN(personal_aporte403bPct,personal_match403bPct)*E49</f>
        <v/>
      </c>
      <c r="Q49" s="7">
        <f>IF(G49&gt;0,MAX(0,G49-impuestos_scorpCostoAnual*C49),0)</f>
        <v/>
      </c>
      <c r="R49" s="7">
        <f>Q49*impuestos_scorpSalarioPct/(1+impuestos_ssTasa+impuestos_medicareTasa)</f>
        <v/>
      </c>
      <c r="S49" s="7">
        <f>impuestos_ssTasa*MIN(R49,MAX(0,impuestos_ssTope*C49-D49))+impuestos_medicareTasa*R49</f>
        <v/>
      </c>
      <c r="T49" s="7">
        <f>Q49-R49-S49</f>
        <v/>
      </c>
      <c r="U49" s="7">
        <f>D49+R49</f>
        <v/>
      </c>
      <c r="V49" s="7">
        <f>H49*0.9235</f>
        <v/>
      </c>
      <c r="W49" s="7">
        <f>IF(H49&gt;0,2*impuestos_ssTasa*MIN(V49,MAX(0,impuestos_ssTope*C49-U49))+2*impuestos_medicareTasa*V49,0)</f>
        <v/>
      </c>
      <c r="X49" s="7">
        <f>impuestos_ssTasa*MIN(U49,impuestos_ssTope*C49)+impuestos_medicareTasa*U49+impuestos_medicareAdicional*MAX(0,U49+H49*0.9235-impuestos_medicareUmbral)</f>
        <v/>
      </c>
      <c r="Y49" s="7">
        <f>MAX(0,D49-O49+R49+T49+H49-W49/2)</f>
        <v/>
      </c>
      <c r="Z49" s="7">
        <f>MAX(0,Y49-impuestos_deduccionEstandar*C49)</f>
        <v/>
      </c>
      <c r="AA49" s="7">
        <f>MIN(0.2*MAX(0,T49+H49-W49/2)*MAX(0,MIN(1,1-(Z49-impuestos_qbiUmbral*C49)/(impuestos_qbiRango*C49))),0.2*Z49)</f>
        <v/>
      </c>
      <c r="AB49" s="7">
        <f>MAX(0,Z49-AA49)</f>
        <v/>
      </c>
      <c r="AC49" s="7">
        <f>SUMPRODUCT((AB49&gt;tb_federalBrackets_lo*C49)*(AB49-tb_federalBrackets_lo*C49)*tb_federalBrackets_dr)</f>
        <v/>
      </c>
      <c r="AD49" s="7">
        <f>MAX(0,Y49-impuestos_nyDeduccion*C49)</f>
        <v/>
      </c>
      <c r="AE49" s="7">
        <f>CHOOSE(loc_taxcode,0,impuestos_ohTasa*MAX(0,Y49-impuestos_ohExento*C49)+impuestos_ohMunicipal*U49,SUMPRODUCT((AD49&gt;tb_nyBrackets_lo*C49)*(AD49-tb_nyBrackets_lo*C49)*tb_nyBrackets_dr)+loc_nyc*SUMPRODUCT((AD49&gt;tb_nycBrackets_lo*C49)*(AD49-tb_nycBrackets_lo*C49)*tb_nycBrackets_dr))</f>
        <v/>
      </c>
      <c r="AF49" s="7">
        <f>AC49+AE49+X49+W49</f>
        <v/>
      </c>
      <c r="AG49" s="7">
        <f>D49+F49+R49+T49+H49</f>
        <v/>
      </c>
      <c r="AH49" s="7">
        <f>AG49-AF49-O49</f>
        <v/>
      </c>
      <c r="AI49" s="7">
        <f>D49+F49+G49+H49</f>
        <v/>
      </c>
      <c r="AJ49" s="7">
        <f>loc_gastosVida*C49*g_gastos</f>
        <v/>
      </c>
      <c r="AK49" s="7">
        <f>IF(16=0,personal_liquidoInicial,DR48)</f>
        <v/>
      </c>
      <c r="AL49" s="7">
        <f>IF(16=0,0,BB48)</f>
        <v/>
      </c>
      <c r="AM49" s="7">
        <f>CHOOSE(sel_cfgIdx,loc_precio_duplex,loc_precio_inlaw,loc_precio_dosCasas,loc_precio_casaAdu,loc_precio_multi)</f>
        <v/>
      </c>
      <c r="AN49" s="7">
        <f>AM49*(1+g_appr)^(A49-2026)</f>
        <v/>
      </c>
      <c r="AO49" s="7">
        <f>IF(AND(M49=1,vivienda_prestamoMedico=1),1,0)</f>
        <v/>
      </c>
      <c r="AP49" s="7">
        <f>IF(AO49=1,0.05,vivienda_enganchePct)</f>
        <v/>
      </c>
      <c r="AQ49" s="7">
        <f>AN49*(1-AP49)</f>
        <v/>
      </c>
      <c r="AR49" s="7">
        <f>PMT(g_mortRate/12,vivienda_plazoHipoteca*12,-AQ49)</f>
        <v/>
      </c>
      <c r="AS49" s="7">
        <f>INDEX(cfg_units,sel_cfgIdx)</f>
        <v/>
      </c>
      <c r="AT49" s="7">
        <f>AS49*loc_rentaUnidad*(1+g_inf)^(A49-2026)*(1-vivienda_vacancia)</f>
        <v/>
      </c>
      <c r="AU49" s="7">
        <f>AR49+AN49*loc_impuestoPropPct/12+AM49*loc_seguroPct*(1+vivienda_inflacionSeguro)^(A49-2026)/12+IF(AND(AO49=0,AP49&lt;0.2),AQ49*vivienda_pmiTasa/12,0)</f>
        <v/>
      </c>
      <c r="AV49" s="7">
        <f>AN49*AP49+AN49*vivienda_cierrePct+general_reservaMeses/12*AJ49</f>
        <v/>
      </c>
      <c r="AW49" s="7">
        <f>(IF(16=0,MIN(personal_irsSaldo,personal_irsPagoMensual*12),MIN(CD48,personal_irsPagoMensual*12))+IF(CE49&gt;0,PMT(CF49,MAX(1,prestamos_plazoAnios-CG49),-CE49),0)+IF(CR49&gt;0,PMT(CS49,MAX(1,prestamos_plazoAnios-CT49),-CR49),0))/12</f>
        <v/>
      </c>
      <c r="AX49" s="7">
        <f>IF(OR(sel_cfg="duplex",sel_cfg="multi",sel_cfg="dosCasas"),0.75*personal_aporteFamiliaMensual,0)</f>
        <v/>
      </c>
      <c r="AY49" s="7">
        <f>AU49-0.75*AT49-AX49+AW49</f>
        <v/>
      </c>
      <c r="AZ49" s="7">
        <f>(D49+G49+H49+0.5*F49)/12</f>
        <v/>
      </c>
      <c r="BA49" s="7">
        <f>IF(AND(AL49=0,A49&gt;=vivienda_anioMinCompra,J49&lt;0.5,AI49&gt;0,AK49&gt;=AV49,AY49&lt;=vivienda_dtiMax*AZ49),1,0)</f>
        <v/>
      </c>
      <c r="BB49" s="7">
        <f>MAX(AL49,BA49)</f>
        <v/>
      </c>
      <c r="BC49" s="7">
        <f>IF(BA49=1,A49,IF(16=0,"",BC48))</f>
        <v/>
      </c>
      <c r="BD49" s="7">
        <f>AK49-IF(BA49=1,AN49*AP49+AN49*vivienda_cierrePct,0)</f>
        <v/>
      </c>
      <c r="BE49" s="7">
        <f>IF(BA49=1,AN49,IF(16=0,0,BE48))</f>
        <v/>
      </c>
      <c r="BF49" s="7">
        <f>IF(BA49=1,AR49,IF(16=0,0,BF48))</f>
        <v/>
      </c>
      <c r="BG49" s="7">
        <f>IF(BA49=1,IF(AND(AO49=0,AP49&lt;0.2),1,0),IF(16=0,0,BY48))</f>
        <v/>
      </c>
      <c r="BH49" s="7">
        <f>IF(sel_cfg="casaAdu",1,0)</f>
        <v/>
      </c>
      <c r="BI49" s="7">
        <f>IF(AND(BB49=1,BH49=1,IF(16=0,0,BJ48)=0,A49&gt;=IF(BC49="",9999,BC49)+vivienda_aduRetrasoAnios),1,0)</f>
        <v/>
      </c>
      <c r="BJ49" s="7">
        <f>MAX(IF(16=0,0,BJ48),BI49)</f>
        <v/>
      </c>
      <c r="BK49" s="7">
        <f>IF(BI49=1,PMT((g_mortRate+0.005)/12,180,-loc_precio_aduCosto*C49),IF(16=0,0,BK48))</f>
        <v/>
      </c>
      <c r="BL49" s="7">
        <f>IF(BA49=1,AN49,IF(16=0,0,DT48))+IF(BI49=1,loc_precio_aduCosto*C49,0)</f>
        <v/>
      </c>
      <c r="BM49" s="7">
        <f>IF(BA49=1,AQ49,IF(16=0,0,DU48))</f>
        <v/>
      </c>
      <c r="BN49" s="7">
        <f>IF(BM49&lt;=0,0,FV(g_mortRate/12,12,BF49,-BM49))</f>
        <v/>
      </c>
      <c r="BO49" s="7">
        <f>IF(BM49&lt;=0,0,12*BF49+MIN(0,BN49))</f>
        <v/>
      </c>
      <c r="BP49" s="7">
        <f>MAX(0,BN49)</f>
        <v/>
      </c>
      <c r="BQ49" s="7">
        <f>IF(BI49=1,loc_precio_aduCosto*C49,IF(16=0,0,DV48))</f>
        <v/>
      </c>
      <c r="BR49" s="7">
        <f>IF(BQ49&lt;=0,0,FV((g_mortRate+0.005)/12,12,BK49,-BQ49))</f>
        <v/>
      </c>
      <c r="BS49" s="7">
        <f>IF(BQ49&lt;=0,0,12*BK49+MIN(0,BR49))</f>
        <v/>
      </c>
      <c r="BT49" s="7">
        <f>MAX(0,BR49)</f>
        <v/>
      </c>
      <c r="BU49" s="7">
        <f>IF(BB49=1,AM49*loc_seguroPct*(1+vivienda_inflacionSeguro)^(A49-2026)*IF(BJ49=1,1+loc_precio_aduCosto/AM49,1),0)</f>
        <v/>
      </c>
      <c r="BV49" s="7">
        <f>BL49*loc_impuestoPropPct</f>
        <v/>
      </c>
      <c r="BW49" s="7">
        <f>BL49*vivienda_mantenimientoPct</f>
        <v/>
      </c>
      <c r="BX49" s="7">
        <f>IF(AND(BG49=1,BP49&gt;0.8*BE49),BE49*(1-vivienda_enganchePct)*vivienda_pmiTasa,0)</f>
        <v/>
      </c>
      <c r="BY49" s="7">
        <f>IF(AND(BG49=1,BP49&gt;0.8*BE49),1,0)</f>
        <v/>
      </c>
      <c r="BZ49" s="7">
        <f>IF(BB49=1,AS49*loc_rentaUnidad*12*C49*(1-vivienda_vacancia)*(1-vivienda_gestionPct),0)</f>
        <v/>
      </c>
      <c r="CA49" s="7">
        <f>IF(BB49=1,BO49+BS49+BU49+BV49+BW49+BX49,loc_rentaMensual*12*C49)</f>
        <v/>
      </c>
      <c r="CB49" s="7">
        <f>IF(BB49=1,personal_aporteFamiliaMensual*12,0)</f>
        <v/>
      </c>
      <c r="CC49" s="7">
        <f>MIN(IF(16=0,personal_irsSaldo,CD48),personal_irsPagoMensual*12)</f>
        <v/>
      </c>
      <c r="CD49" s="7">
        <f>IF(16=0,personal_irsSaldo,CD48)-CC49</f>
        <v/>
      </c>
      <c r="CE49" s="7">
        <f>IF(16=0,IF(personal_deudaEsFederal=1,personal_deudaEstudiantil,0),DW48)</f>
        <v/>
      </c>
      <c r="CF49" s="7">
        <f>IF(16=0,personal_tasaDeudaEstudiantil,DX48)</f>
        <v/>
      </c>
      <c r="CG49" s="7">
        <f>IF(16=0,0,DY48)</f>
        <v/>
      </c>
      <c r="CH49" s="7">
        <f>IF(J49&gt;=0.5,1,0)</f>
        <v/>
      </c>
      <c r="CI49" s="7">
        <f>IF(AND(CH49=0,prestamos_pslfActivo=1,K49&gt;=0.5,CE49&gt;0),1,0)</f>
        <v/>
      </c>
      <c r="CJ49" s="7">
        <f>CE49*CF49</f>
        <v/>
      </c>
      <c r="CK49" s="7">
        <f>MAX(prestamos_rapPagoMinimoAnual,IF(Y49&lt;10000,0,MIN(0.1,INT(Y49/10000)/100))*Y49)</f>
        <v/>
      </c>
      <c r="CL49" s="7">
        <f>IF(CE49&lt;=0,0,IF(CH49=1,0,IF(CI49=1,MIN(CE49+CJ49,CK49),PMT(CF49,MAX(1,prestamos_plazoAnios-CG49),-CE49))))</f>
        <v/>
      </c>
      <c r="CM49" s="7">
        <f>IF(CE49&lt;=0,0,IF(CH49=1,CE49+CJ49,IF(CI49=1,MAX(0,CE49-MAX(CL49-CJ49,MIN(600,CL49))),MAX(0,CE49*(1+CF49)-CL49))))</f>
        <v/>
      </c>
      <c r="CN49" s="7">
        <f>IF(16=0,0,CN48)+IF(CI49=1,12*MIN(1,K49),0)</f>
        <v/>
      </c>
      <c r="CO49" s="7">
        <f>IF(AND(CI49=1,CN49&gt;=prestamos_pslfPagos,CM49&gt;0),CM49,0)</f>
        <v/>
      </c>
      <c r="CP49" s="7">
        <f>CM49-CO49</f>
        <v/>
      </c>
      <c r="CQ49" s="7">
        <f>IF(AND(CE49&gt;0,CH49=0,CI49=0),CG49+1,CG49)</f>
        <v/>
      </c>
      <c r="CR49" s="7">
        <f>IF(16=0,IF(personal_deudaEsFederal=1,0,personal_deudaEstudiantil),EA48)</f>
        <v/>
      </c>
      <c r="CS49" s="7">
        <f>IF(16=0,IF(personal_deudaEsFederal=1,prestamos_tasaPrivada,personal_tasaDeudaEstudiantil),EB48)</f>
        <v/>
      </c>
      <c r="CT49" s="7">
        <f>IF(16=0,0,EC48)</f>
        <v/>
      </c>
      <c r="CU49" s="7">
        <f>IF(OR(CR49&lt;=0,CH49=1),0,PMT(CS49,MAX(1,prestamos_plazoAnios-CT49),-CR49))</f>
        <v/>
      </c>
      <c r="CV49" s="7">
        <f>IF(CR49&lt;=0,0,IF(CH49=1,CR49*(1+CS49),MAX(0,CR49*(1+CS49)-CU49)))</f>
        <v/>
      </c>
      <c r="CW49" s="7">
        <f>IF(AND(CR49&gt;0,CH49=0),CT49+1,CT49)</f>
        <v/>
      </c>
      <c r="CX49" s="7">
        <f>IF(16=0,0,ED48)*(1+general_tasaDeudaConsumo)</f>
        <v/>
      </c>
      <c r="CY49" s="7">
        <f>L49*12*tiempos_travelGastoExtraMes*C49</f>
        <v/>
      </c>
      <c r="CZ49" s="7">
        <f>AJ49+CY49+CA49+CC49+CL49+CU49+I49+N49-BZ49-CB49</f>
        <v/>
      </c>
      <c r="DA49" s="7">
        <f>AH49-CZ49</f>
        <v/>
      </c>
      <c r="DB49" s="7">
        <f>IF(16=0,0,DB48)+DA49</f>
        <v/>
      </c>
      <c r="DC49" s="7">
        <f>AN49*vivienda_enganchePct+AN49*vivienda_cierrePct+general_reservaMeses/12*AJ49</f>
        <v/>
      </c>
      <c r="DD49" s="7">
        <f>IF(BB49=1,g_ret,IF(BD49&gt;0,MIN(1,DC49/BD49),1)*g_cash+(1-IF(BD49&gt;0,MIN(1,DC49/BD49),1))*g_ret)</f>
        <v/>
      </c>
      <c r="DE49" s="7">
        <f>IF(DA49&gt;=0,MIN(CX49,DA49),0)</f>
        <v/>
      </c>
      <c r="DF49" s="7">
        <f>IF(DA49&gt;=0,(1-general_tasaAhorro)*(DA49-DE49),0)</f>
        <v/>
      </c>
      <c r="DG49" s="7">
        <f>IF(DA49&gt;=0,DA49-DE49-DF49,0)</f>
        <v/>
      </c>
      <c r="DH49" s="7">
        <f>MIN(personal_rothAnual,DG49)</f>
        <v/>
      </c>
      <c r="DI49" s="7">
        <f>IF(AND(DA49&gt;=0,BB49=1,BP49+BT49&gt;0),MIN(vivienda_prepagoPct*(DG49-DH49),BP49+BT49),0)</f>
        <v/>
      </c>
      <c r="DJ49" s="7">
        <f>MIN(DI49,BP49)</f>
        <v/>
      </c>
      <c r="DK49" s="7">
        <f>IF(DA49&lt;0,MIN(MAX(0,BD49),-DA49),0)</f>
        <v/>
      </c>
      <c r="DL49" s="7">
        <f>IF(DA49&lt;0,-DA49-DK49,0)</f>
        <v/>
      </c>
      <c r="DM49" s="7">
        <f>IF(16=0,0,DZ48)</f>
        <v/>
      </c>
      <c r="DN49" s="7">
        <f>IF(AND(DL49&gt;0,J49&gt;0),MIN(DL49,MIN(prestamos_topeAnualPosgrado*MIN(1,J49),MAX(0,prestamos_topeTotalPosgrado-DM49))),0)</f>
        <v/>
      </c>
      <c r="DO49" s="7">
        <f>IF(AND(DL49&gt;0,J49&gt;0),DL49-DN49,0)</f>
        <v/>
      </c>
      <c r="DP49" s="7">
        <f>IF(AND(DL49&gt;0,J49&lt;=0),DL49,0)</f>
        <v/>
      </c>
      <c r="DQ49" s="7">
        <f>IF(DA49&gt;=0,DG49-DH49-DI49,-DK49)</f>
        <v/>
      </c>
      <c r="DR49" s="7">
        <f>BD49*(1+DD49)+DQ49*(1+DD49/2)</f>
        <v/>
      </c>
      <c r="DS49" s="7">
        <f>IF(16=0,personal_retiroInicial,DS48)*(1+g_ret)+(O49+P49+DH49)*(1+g_ret/2)</f>
        <v/>
      </c>
      <c r="DT49" s="7">
        <f>IF(BB49=1,BL49*(1+g_appr),0)</f>
        <v/>
      </c>
      <c r="DU49" s="7">
        <f>BP49-DJ49</f>
        <v/>
      </c>
      <c r="DV49" s="7">
        <f>BT49-(DI49-DJ49)</f>
        <v/>
      </c>
      <c r="DW49" s="7">
        <f>CP49+DN49</f>
        <v/>
      </c>
      <c r="DX49" s="7">
        <f>IF(DN49&gt;0,(CP49*CF49+DN49*prestamos_tasaFederalPosgrado)/(CP49+DN49),CF49)</f>
        <v/>
      </c>
      <c r="DY49" s="7">
        <f>IF(DN49&gt;0,0,CQ49)</f>
        <v/>
      </c>
      <c r="DZ49" s="7">
        <f>DM49+DN49</f>
        <v/>
      </c>
      <c r="EA49" s="7">
        <f>CV49+DO49</f>
        <v/>
      </c>
      <c r="EB49" s="7">
        <f>IF(DO49&gt;0,(CV49*CS49+DO49*prestamos_tasaPrivada)/(CV49+DO49),CS49)</f>
        <v/>
      </c>
      <c r="EC49" s="7">
        <f>IF(DO49&gt;0,0,CW49)</f>
        <v/>
      </c>
      <c r="ED49" s="7">
        <f>CX49-DE49+DP49</f>
        <v/>
      </c>
      <c r="EE49" s="7">
        <f>IF(IF(16=0,"",EE48)&lt;&gt;"",EE48,IF(AND(BB49=1,DU49&lt;=0.5,DV49&lt;=0.5,OR(BH49=0,BJ49=1)),A49,""))</f>
        <v/>
      </c>
      <c r="EF49" s="7">
        <f>DU49+DV49+DW49+EA49+ED49+CD49</f>
        <v/>
      </c>
      <c r="EG49" s="7">
        <f>DR49+DS49+DT49-EF49</f>
        <v/>
      </c>
      <c r="EH49" s="7">
        <f>EG49/(1+g_inf)^(A49+1-2026)</f>
        <v/>
      </c>
    </row>
    <row r="50">
      <c r="A50" t="n">
        <v>2044</v>
      </c>
      <c r="B50" t="n">
        <v>17</v>
      </c>
      <c r="C50" s="7">
        <f>(1+g_inf)^(A50-2026)</f>
        <v/>
      </c>
      <c r="D50" s="7">
        <f>SUMPRODUCT($AK$5:$AK$29,$E$5:$E$29*(1+$F$5:$F$29)^(A50-2026)*$G$5:$G$29*$H$5:$H$29*(1-$N$5:$N$29*$O$5:$O$29))*g_salMult+SUMPRODUCT(($B$5:$B$29&gt;=A50)*($B$5:$B$29&lt;A50+1)*$I$5:$I$29)*g_salMult</f>
        <v/>
      </c>
      <c r="E50" s="7">
        <f>SUMPRODUCT($AK$5:$AK$29,$E$5:$E$29*(1+$F$5:$F$29)^(A50-2026)*$G$5:$G$29*$H$5:$H$29*$M$5:$M$29)*g_salMult</f>
        <v/>
      </c>
      <c r="F50" s="7">
        <f>SUMPRODUCT($AK$5:$AK$29,$E$5:$E$29*(1+$F$5:$F$29)^(A50-2026)*$G$5:$G$29*$H$5:$H$29*$N$5:$N$29*$O$5:$O$29)*g_salMult</f>
        <v/>
      </c>
      <c r="G50" s="7">
        <f>SUMPRODUCT($AK$5:$AK$29,$P$5:$P$29*(1+$F$5:$F$29)^(A50-2026))</f>
        <v/>
      </c>
      <c r="H50" s="7">
        <f>SUMPRODUCT($AK$5:$AK$29,$Q$5:$Q$29*(1+$F$5:$F$29)^(A50-2026))+IF(personal_llcActivo=1,personal_llcNeto*(1+personal_llcCrecimiento)^17,0)</f>
        <v/>
      </c>
      <c r="I50" s="7">
        <f>SUMPRODUCT($AK$5:$AK$29,$J$5:$J$29/($C$5:$C$29-$B$5:$B$29+($C$5:$C$29=$B$5:$B$29)))*C50</f>
        <v/>
      </c>
      <c r="J50" s="7">
        <f>SUMPRODUCT($AK$5:$AK$29,$K$5:$K$29)</f>
        <v/>
      </c>
      <c r="K50" s="7">
        <f>SUMPRODUCT($AK$5:$AK$29,$L$5:$L$29)</f>
        <v/>
      </c>
      <c r="L50" s="7">
        <f>SUMPRODUCT($AK$5:$AK$29,$N$5:$N$29)</f>
        <v/>
      </c>
      <c r="M50" s="7">
        <f>IF(SUMPRODUCT($AK$5:$AK$29,$R$5:$R$29)&gt;0,1,0)</f>
        <v/>
      </c>
      <c r="N50" s="7">
        <f>SUMPRODUCT(($AO$5:$AO$24&gt;=A50)*($AO$5:$AO$24&lt;A50+1)*$AP$5:$AP$24)*C50+IF(17=0,IF(sel_loc&lt;&gt;"miami",personal_costoMudanzaInicial,0),0)</f>
        <v/>
      </c>
      <c r="O50" s="7">
        <f>MIN(personal_aporte403bPct*D50,retiro_limite403b*C50)</f>
        <v/>
      </c>
      <c r="P50" s="7">
        <f>MIN(personal_aporte403bPct,personal_match403bPct)*E50</f>
        <v/>
      </c>
      <c r="Q50" s="7">
        <f>IF(G50&gt;0,MAX(0,G50-impuestos_scorpCostoAnual*C50),0)</f>
        <v/>
      </c>
      <c r="R50" s="7">
        <f>Q50*impuestos_scorpSalarioPct/(1+impuestos_ssTasa+impuestos_medicareTasa)</f>
        <v/>
      </c>
      <c r="S50" s="7">
        <f>impuestos_ssTasa*MIN(R50,MAX(0,impuestos_ssTope*C50-D50))+impuestos_medicareTasa*R50</f>
        <v/>
      </c>
      <c r="T50" s="7">
        <f>Q50-R50-S50</f>
        <v/>
      </c>
      <c r="U50" s="7">
        <f>D50+R50</f>
        <v/>
      </c>
      <c r="V50" s="7">
        <f>H50*0.9235</f>
        <v/>
      </c>
      <c r="W50" s="7">
        <f>IF(H50&gt;0,2*impuestos_ssTasa*MIN(V50,MAX(0,impuestos_ssTope*C50-U50))+2*impuestos_medicareTasa*V50,0)</f>
        <v/>
      </c>
      <c r="X50" s="7">
        <f>impuestos_ssTasa*MIN(U50,impuestos_ssTope*C50)+impuestos_medicareTasa*U50+impuestos_medicareAdicional*MAX(0,U50+H50*0.9235-impuestos_medicareUmbral)</f>
        <v/>
      </c>
      <c r="Y50" s="7">
        <f>MAX(0,D50-O50+R50+T50+H50-W50/2)</f>
        <v/>
      </c>
      <c r="Z50" s="7">
        <f>MAX(0,Y50-impuestos_deduccionEstandar*C50)</f>
        <v/>
      </c>
      <c r="AA50" s="7">
        <f>MIN(0.2*MAX(0,T50+H50-W50/2)*MAX(0,MIN(1,1-(Z50-impuestos_qbiUmbral*C50)/(impuestos_qbiRango*C50))),0.2*Z50)</f>
        <v/>
      </c>
      <c r="AB50" s="7">
        <f>MAX(0,Z50-AA50)</f>
        <v/>
      </c>
      <c r="AC50" s="7">
        <f>SUMPRODUCT((AB50&gt;tb_federalBrackets_lo*C50)*(AB50-tb_federalBrackets_lo*C50)*tb_federalBrackets_dr)</f>
        <v/>
      </c>
      <c r="AD50" s="7">
        <f>MAX(0,Y50-impuestos_nyDeduccion*C50)</f>
        <v/>
      </c>
      <c r="AE50" s="7">
        <f>CHOOSE(loc_taxcode,0,impuestos_ohTasa*MAX(0,Y50-impuestos_ohExento*C50)+impuestos_ohMunicipal*U50,SUMPRODUCT((AD50&gt;tb_nyBrackets_lo*C50)*(AD50-tb_nyBrackets_lo*C50)*tb_nyBrackets_dr)+loc_nyc*SUMPRODUCT((AD50&gt;tb_nycBrackets_lo*C50)*(AD50-tb_nycBrackets_lo*C50)*tb_nycBrackets_dr))</f>
        <v/>
      </c>
      <c r="AF50" s="7">
        <f>AC50+AE50+X50+W50</f>
        <v/>
      </c>
      <c r="AG50" s="7">
        <f>D50+F50+R50+T50+H50</f>
        <v/>
      </c>
      <c r="AH50" s="7">
        <f>AG50-AF50-O50</f>
        <v/>
      </c>
      <c r="AI50" s="7">
        <f>D50+F50+G50+H50</f>
        <v/>
      </c>
      <c r="AJ50" s="7">
        <f>loc_gastosVida*C50*g_gastos</f>
        <v/>
      </c>
      <c r="AK50" s="7">
        <f>IF(17=0,personal_liquidoInicial,DR49)</f>
        <v/>
      </c>
      <c r="AL50" s="7">
        <f>IF(17=0,0,BB49)</f>
        <v/>
      </c>
      <c r="AM50" s="7">
        <f>CHOOSE(sel_cfgIdx,loc_precio_duplex,loc_precio_inlaw,loc_precio_dosCasas,loc_precio_casaAdu,loc_precio_multi)</f>
        <v/>
      </c>
      <c r="AN50" s="7">
        <f>AM50*(1+g_appr)^(A50-2026)</f>
        <v/>
      </c>
      <c r="AO50" s="7">
        <f>IF(AND(M50=1,vivienda_prestamoMedico=1),1,0)</f>
        <v/>
      </c>
      <c r="AP50" s="7">
        <f>IF(AO50=1,0.05,vivienda_enganchePct)</f>
        <v/>
      </c>
      <c r="AQ50" s="7">
        <f>AN50*(1-AP50)</f>
        <v/>
      </c>
      <c r="AR50" s="7">
        <f>PMT(g_mortRate/12,vivienda_plazoHipoteca*12,-AQ50)</f>
        <v/>
      </c>
      <c r="AS50" s="7">
        <f>INDEX(cfg_units,sel_cfgIdx)</f>
        <v/>
      </c>
      <c r="AT50" s="7">
        <f>AS50*loc_rentaUnidad*(1+g_inf)^(A50-2026)*(1-vivienda_vacancia)</f>
        <v/>
      </c>
      <c r="AU50" s="7">
        <f>AR50+AN50*loc_impuestoPropPct/12+AM50*loc_seguroPct*(1+vivienda_inflacionSeguro)^(A50-2026)/12+IF(AND(AO50=0,AP50&lt;0.2),AQ50*vivienda_pmiTasa/12,0)</f>
        <v/>
      </c>
      <c r="AV50" s="7">
        <f>AN50*AP50+AN50*vivienda_cierrePct+general_reservaMeses/12*AJ50</f>
        <v/>
      </c>
      <c r="AW50" s="7">
        <f>(IF(17=0,MIN(personal_irsSaldo,personal_irsPagoMensual*12),MIN(CD49,personal_irsPagoMensual*12))+IF(CE50&gt;0,PMT(CF50,MAX(1,prestamos_plazoAnios-CG50),-CE50),0)+IF(CR50&gt;0,PMT(CS50,MAX(1,prestamos_plazoAnios-CT50),-CR50),0))/12</f>
        <v/>
      </c>
      <c r="AX50" s="7">
        <f>IF(OR(sel_cfg="duplex",sel_cfg="multi",sel_cfg="dosCasas"),0.75*personal_aporteFamiliaMensual,0)</f>
        <v/>
      </c>
      <c r="AY50" s="7">
        <f>AU50-0.75*AT50-AX50+AW50</f>
        <v/>
      </c>
      <c r="AZ50" s="7">
        <f>(D50+G50+H50+0.5*F50)/12</f>
        <v/>
      </c>
      <c r="BA50" s="7">
        <f>IF(AND(AL50=0,A50&gt;=vivienda_anioMinCompra,J50&lt;0.5,AI50&gt;0,AK50&gt;=AV50,AY50&lt;=vivienda_dtiMax*AZ50),1,0)</f>
        <v/>
      </c>
      <c r="BB50" s="7">
        <f>MAX(AL50,BA50)</f>
        <v/>
      </c>
      <c r="BC50" s="7">
        <f>IF(BA50=1,A50,IF(17=0,"",BC49))</f>
        <v/>
      </c>
      <c r="BD50" s="7">
        <f>AK50-IF(BA50=1,AN50*AP50+AN50*vivienda_cierrePct,0)</f>
        <v/>
      </c>
      <c r="BE50" s="7">
        <f>IF(BA50=1,AN50,IF(17=0,0,BE49))</f>
        <v/>
      </c>
      <c r="BF50" s="7">
        <f>IF(BA50=1,AR50,IF(17=0,0,BF49))</f>
        <v/>
      </c>
      <c r="BG50" s="7">
        <f>IF(BA50=1,IF(AND(AO50=0,AP50&lt;0.2),1,0),IF(17=0,0,BY49))</f>
        <v/>
      </c>
      <c r="BH50" s="7">
        <f>IF(sel_cfg="casaAdu",1,0)</f>
        <v/>
      </c>
      <c r="BI50" s="7">
        <f>IF(AND(BB50=1,BH50=1,IF(17=0,0,BJ49)=0,A50&gt;=IF(BC50="",9999,BC50)+vivienda_aduRetrasoAnios),1,0)</f>
        <v/>
      </c>
      <c r="BJ50" s="7">
        <f>MAX(IF(17=0,0,BJ49),BI50)</f>
        <v/>
      </c>
      <c r="BK50" s="7">
        <f>IF(BI50=1,PMT((g_mortRate+0.005)/12,180,-loc_precio_aduCosto*C50),IF(17=0,0,BK49))</f>
        <v/>
      </c>
      <c r="BL50" s="7">
        <f>IF(BA50=1,AN50,IF(17=0,0,DT49))+IF(BI50=1,loc_precio_aduCosto*C50,0)</f>
        <v/>
      </c>
      <c r="BM50" s="7">
        <f>IF(BA50=1,AQ50,IF(17=0,0,DU49))</f>
        <v/>
      </c>
      <c r="BN50" s="7">
        <f>IF(BM50&lt;=0,0,FV(g_mortRate/12,12,BF50,-BM50))</f>
        <v/>
      </c>
      <c r="BO50" s="7">
        <f>IF(BM50&lt;=0,0,12*BF50+MIN(0,BN50))</f>
        <v/>
      </c>
      <c r="BP50" s="7">
        <f>MAX(0,BN50)</f>
        <v/>
      </c>
      <c r="BQ50" s="7">
        <f>IF(BI50=1,loc_precio_aduCosto*C50,IF(17=0,0,DV49))</f>
        <v/>
      </c>
      <c r="BR50" s="7">
        <f>IF(BQ50&lt;=0,0,FV((g_mortRate+0.005)/12,12,BK50,-BQ50))</f>
        <v/>
      </c>
      <c r="BS50" s="7">
        <f>IF(BQ50&lt;=0,0,12*BK50+MIN(0,BR50))</f>
        <v/>
      </c>
      <c r="BT50" s="7">
        <f>MAX(0,BR50)</f>
        <v/>
      </c>
      <c r="BU50" s="7">
        <f>IF(BB50=1,AM50*loc_seguroPct*(1+vivienda_inflacionSeguro)^(A50-2026)*IF(BJ50=1,1+loc_precio_aduCosto/AM50,1),0)</f>
        <v/>
      </c>
      <c r="BV50" s="7">
        <f>BL50*loc_impuestoPropPct</f>
        <v/>
      </c>
      <c r="BW50" s="7">
        <f>BL50*vivienda_mantenimientoPct</f>
        <v/>
      </c>
      <c r="BX50" s="7">
        <f>IF(AND(BG50=1,BP50&gt;0.8*BE50),BE50*(1-vivienda_enganchePct)*vivienda_pmiTasa,0)</f>
        <v/>
      </c>
      <c r="BY50" s="7">
        <f>IF(AND(BG50=1,BP50&gt;0.8*BE50),1,0)</f>
        <v/>
      </c>
      <c r="BZ50" s="7">
        <f>IF(BB50=1,AS50*loc_rentaUnidad*12*C50*(1-vivienda_vacancia)*(1-vivienda_gestionPct),0)</f>
        <v/>
      </c>
      <c r="CA50" s="7">
        <f>IF(BB50=1,BO50+BS50+BU50+BV50+BW50+BX50,loc_rentaMensual*12*C50)</f>
        <v/>
      </c>
      <c r="CB50" s="7">
        <f>IF(BB50=1,personal_aporteFamiliaMensual*12,0)</f>
        <v/>
      </c>
      <c r="CC50" s="7">
        <f>MIN(IF(17=0,personal_irsSaldo,CD49),personal_irsPagoMensual*12)</f>
        <v/>
      </c>
      <c r="CD50" s="7">
        <f>IF(17=0,personal_irsSaldo,CD49)-CC50</f>
        <v/>
      </c>
      <c r="CE50" s="7">
        <f>IF(17=0,IF(personal_deudaEsFederal=1,personal_deudaEstudiantil,0),DW49)</f>
        <v/>
      </c>
      <c r="CF50" s="7">
        <f>IF(17=0,personal_tasaDeudaEstudiantil,DX49)</f>
        <v/>
      </c>
      <c r="CG50" s="7">
        <f>IF(17=0,0,DY49)</f>
        <v/>
      </c>
      <c r="CH50" s="7">
        <f>IF(J50&gt;=0.5,1,0)</f>
        <v/>
      </c>
      <c r="CI50" s="7">
        <f>IF(AND(CH50=0,prestamos_pslfActivo=1,K50&gt;=0.5,CE50&gt;0),1,0)</f>
        <v/>
      </c>
      <c r="CJ50" s="7">
        <f>CE50*CF50</f>
        <v/>
      </c>
      <c r="CK50" s="7">
        <f>MAX(prestamos_rapPagoMinimoAnual,IF(Y50&lt;10000,0,MIN(0.1,INT(Y50/10000)/100))*Y50)</f>
        <v/>
      </c>
      <c r="CL50" s="7">
        <f>IF(CE50&lt;=0,0,IF(CH50=1,0,IF(CI50=1,MIN(CE50+CJ50,CK50),PMT(CF50,MAX(1,prestamos_plazoAnios-CG50),-CE50))))</f>
        <v/>
      </c>
      <c r="CM50" s="7">
        <f>IF(CE50&lt;=0,0,IF(CH50=1,CE50+CJ50,IF(CI50=1,MAX(0,CE50-MAX(CL50-CJ50,MIN(600,CL50))),MAX(0,CE50*(1+CF50)-CL50))))</f>
        <v/>
      </c>
      <c r="CN50" s="7">
        <f>IF(17=0,0,CN49)+IF(CI50=1,12*MIN(1,K50),0)</f>
        <v/>
      </c>
      <c r="CO50" s="7">
        <f>IF(AND(CI50=1,CN50&gt;=prestamos_pslfPagos,CM50&gt;0),CM50,0)</f>
        <v/>
      </c>
      <c r="CP50" s="7">
        <f>CM50-CO50</f>
        <v/>
      </c>
      <c r="CQ50" s="7">
        <f>IF(AND(CE50&gt;0,CH50=0,CI50=0),CG50+1,CG50)</f>
        <v/>
      </c>
      <c r="CR50" s="7">
        <f>IF(17=0,IF(personal_deudaEsFederal=1,0,personal_deudaEstudiantil),EA49)</f>
        <v/>
      </c>
      <c r="CS50" s="7">
        <f>IF(17=0,IF(personal_deudaEsFederal=1,prestamos_tasaPrivada,personal_tasaDeudaEstudiantil),EB49)</f>
        <v/>
      </c>
      <c r="CT50" s="7">
        <f>IF(17=0,0,EC49)</f>
        <v/>
      </c>
      <c r="CU50" s="7">
        <f>IF(OR(CR50&lt;=0,CH50=1),0,PMT(CS50,MAX(1,prestamos_plazoAnios-CT50),-CR50))</f>
        <v/>
      </c>
      <c r="CV50" s="7">
        <f>IF(CR50&lt;=0,0,IF(CH50=1,CR50*(1+CS50),MAX(0,CR50*(1+CS50)-CU50)))</f>
        <v/>
      </c>
      <c r="CW50" s="7">
        <f>IF(AND(CR50&gt;0,CH50=0),CT50+1,CT50)</f>
        <v/>
      </c>
      <c r="CX50" s="7">
        <f>IF(17=0,0,ED49)*(1+general_tasaDeudaConsumo)</f>
        <v/>
      </c>
      <c r="CY50" s="7">
        <f>L50*12*tiempos_travelGastoExtraMes*C50</f>
        <v/>
      </c>
      <c r="CZ50" s="7">
        <f>AJ50+CY50+CA50+CC50+CL50+CU50+I50+N50-BZ50-CB50</f>
        <v/>
      </c>
      <c r="DA50" s="7">
        <f>AH50-CZ50</f>
        <v/>
      </c>
      <c r="DB50" s="7">
        <f>IF(17=0,0,DB49)+DA50</f>
        <v/>
      </c>
      <c r="DC50" s="7">
        <f>AN50*vivienda_enganchePct+AN50*vivienda_cierrePct+general_reservaMeses/12*AJ50</f>
        <v/>
      </c>
      <c r="DD50" s="7">
        <f>IF(BB50=1,g_ret,IF(BD50&gt;0,MIN(1,DC50/BD50),1)*g_cash+(1-IF(BD50&gt;0,MIN(1,DC50/BD50),1))*g_ret)</f>
        <v/>
      </c>
      <c r="DE50" s="7">
        <f>IF(DA50&gt;=0,MIN(CX50,DA50),0)</f>
        <v/>
      </c>
      <c r="DF50" s="7">
        <f>IF(DA50&gt;=0,(1-general_tasaAhorro)*(DA50-DE50),0)</f>
        <v/>
      </c>
      <c r="DG50" s="7">
        <f>IF(DA50&gt;=0,DA50-DE50-DF50,0)</f>
        <v/>
      </c>
      <c r="DH50" s="7">
        <f>MIN(personal_rothAnual,DG50)</f>
        <v/>
      </c>
      <c r="DI50" s="7">
        <f>IF(AND(DA50&gt;=0,BB50=1,BP50+BT50&gt;0),MIN(vivienda_prepagoPct*(DG50-DH50),BP50+BT50),0)</f>
        <v/>
      </c>
      <c r="DJ50" s="7">
        <f>MIN(DI50,BP50)</f>
        <v/>
      </c>
      <c r="DK50" s="7">
        <f>IF(DA50&lt;0,MIN(MAX(0,BD50),-DA50),0)</f>
        <v/>
      </c>
      <c r="DL50" s="7">
        <f>IF(DA50&lt;0,-DA50-DK50,0)</f>
        <v/>
      </c>
      <c r="DM50" s="7">
        <f>IF(17=0,0,DZ49)</f>
        <v/>
      </c>
      <c r="DN50" s="7">
        <f>IF(AND(DL50&gt;0,J50&gt;0),MIN(DL50,MIN(prestamos_topeAnualPosgrado*MIN(1,J50),MAX(0,prestamos_topeTotalPosgrado-DM50))),0)</f>
        <v/>
      </c>
      <c r="DO50" s="7">
        <f>IF(AND(DL50&gt;0,J50&gt;0),DL50-DN50,0)</f>
        <v/>
      </c>
      <c r="DP50" s="7">
        <f>IF(AND(DL50&gt;0,J50&lt;=0),DL50,0)</f>
        <v/>
      </c>
      <c r="DQ50" s="7">
        <f>IF(DA50&gt;=0,DG50-DH50-DI50,-DK50)</f>
        <v/>
      </c>
      <c r="DR50" s="7">
        <f>BD50*(1+DD50)+DQ50*(1+DD50/2)</f>
        <v/>
      </c>
      <c r="DS50" s="7">
        <f>IF(17=0,personal_retiroInicial,DS49)*(1+g_ret)+(O50+P50+DH50)*(1+g_ret/2)</f>
        <v/>
      </c>
      <c r="DT50" s="7">
        <f>IF(BB50=1,BL50*(1+g_appr),0)</f>
        <v/>
      </c>
      <c r="DU50" s="7">
        <f>BP50-DJ50</f>
        <v/>
      </c>
      <c r="DV50" s="7">
        <f>BT50-(DI50-DJ50)</f>
        <v/>
      </c>
      <c r="DW50" s="7">
        <f>CP50+DN50</f>
        <v/>
      </c>
      <c r="DX50" s="7">
        <f>IF(DN50&gt;0,(CP50*CF50+DN50*prestamos_tasaFederalPosgrado)/(CP50+DN50),CF50)</f>
        <v/>
      </c>
      <c r="DY50" s="7">
        <f>IF(DN50&gt;0,0,CQ50)</f>
        <v/>
      </c>
      <c r="DZ50" s="7">
        <f>DM50+DN50</f>
        <v/>
      </c>
      <c r="EA50" s="7">
        <f>CV50+DO50</f>
        <v/>
      </c>
      <c r="EB50" s="7">
        <f>IF(DO50&gt;0,(CV50*CS50+DO50*prestamos_tasaPrivada)/(CV50+DO50),CS50)</f>
        <v/>
      </c>
      <c r="EC50" s="7">
        <f>IF(DO50&gt;0,0,CW50)</f>
        <v/>
      </c>
      <c r="ED50" s="7">
        <f>CX50-DE50+DP50</f>
        <v/>
      </c>
      <c r="EE50" s="7">
        <f>IF(IF(17=0,"",EE49)&lt;&gt;"",EE49,IF(AND(BB50=1,DU50&lt;=0.5,DV50&lt;=0.5,OR(BH50=0,BJ50=1)),A50,""))</f>
        <v/>
      </c>
      <c r="EF50" s="7">
        <f>DU50+DV50+DW50+EA50+ED50+CD50</f>
        <v/>
      </c>
      <c r="EG50" s="7">
        <f>DR50+DS50+DT50-EF50</f>
        <v/>
      </c>
      <c r="EH50" s="7">
        <f>EG50/(1+g_inf)^(A50+1-2026)</f>
        <v/>
      </c>
    </row>
    <row r="51">
      <c r="A51" t="n">
        <v>2045</v>
      </c>
      <c r="B51" t="n">
        <v>18</v>
      </c>
      <c r="C51" s="7">
        <f>(1+g_inf)^(A51-2026)</f>
        <v/>
      </c>
      <c r="D51" s="7">
        <f>SUMPRODUCT($AL$5:$AL$29,$E$5:$E$29*(1+$F$5:$F$29)^(A51-2026)*$G$5:$G$29*$H$5:$H$29*(1-$N$5:$N$29*$O$5:$O$29))*g_salMult+SUMPRODUCT(($B$5:$B$29&gt;=A51)*($B$5:$B$29&lt;A51+1)*$I$5:$I$29)*g_salMult</f>
        <v/>
      </c>
      <c r="E51" s="7">
        <f>SUMPRODUCT($AL$5:$AL$29,$E$5:$E$29*(1+$F$5:$F$29)^(A51-2026)*$G$5:$G$29*$H$5:$H$29*$M$5:$M$29)*g_salMult</f>
        <v/>
      </c>
      <c r="F51" s="7">
        <f>SUMPRODUCT($AL$5:$AL$29,$E$5:$E$29*(1+$F$5:$F$29)^(A51-2026)*$G$5:$G$29*$H$5:$H$29*$N$5:$N$29*$O$5:$O$29)*g_salMult</f>
        <v/>
      </c>
      <c r="G51" s="7">
        <f>SUMPRODUCT($AL$5:$AL$29,$P$5:$P$29*(1+$F$5:$F$29)^(A51-2026))</f>
        <v/>
      </c>
      <c r="H51" s="7">
        <f>SUMPRODUCT($AL$5:$AL$29,$Q$5:$Q$29*(1+$F$5:$F$29)^(A51-2026))+IF(personal_llcActivo=1,personal_llcNeto*(1+personal_llcCrecimiento)^18,0)</f>
        <v/>
      </c>
      <c r="I51" s="7">
        <f>SUMPRODUCT($AL$5:$AL$29,$J$5:$J$29/($C$5:$C$29-$B$5:$B$29+($C$5:$C$29=$B$5:$B$29)))*C51</f>
        <v/>
      </c>
      <c r="J51" s="7">
        <f>SUMPRODUCT($AL$5:$AL$29,$K$5:$K$29)</f>
        <v/>
      </c>
      <c r="K51" s="7">
        <f>SUMPRODUCT($AL$5:$AL$29,$L$5:$L$29)</f>
        <v/>
      </c>
      <c r="L51" s="7">
        <f>SUMPRODUCT($AL$5:$AL$29,$N$5:$N$29)</f>
        <v/>
      </c>
      <c r="M51" s="7">
        <f>IF(SUMPRODUCT($AL$5:$AL$29,$R$5:$R$29)&gt;0,1,0)</f>
        <v/>
      </c>
      <c r="N51" s="7">
        <f>SUMPRODUCT(($AO$5:$AO$24&gt;=A51)*($AO$5:$AO$24&lt;A51+1)*$AP$5:$AP$24)*C51+IF(18=0,IF(sel_loc&lt;&gt;"miami",personal_costoMudanzaInicial,0),0)</f>
        <v/>
      </c>
      <c r="O51" s="7">
        <f>MIN(personal_aporte403bPct*D51,retiro_limite403b*C51)</f>
        <v/>
      </c>
      <c r="P51" s="7">
        <f>MIN(personal_aporte403bPct,personal_match403bPct)*E51</f>
        <v/>
      </c>
      <c r="Q51" s="7">
        <f>IF(G51&gt;0,MAX(0,G51-impuestos_scorpCostoAnual*C51),0)</f>
        <v/>
      </c>
      <c r="R51" s="7">
        <f>Q51*impuestos_scorpSalarioPct/(1+impuestos_ssTasa+impuestos_medicareTasa)</f>
        <v/>
      </c>
      <c r="S51" s="7">
        <f>impuestos_ssTasa*MIN(R51,MAX(0,impuestos_ssTope*C51-D51))+impuestos_medicareTasa*R51</f>
        <v/>
      </c>
      <c r="T51" s="7">
        <f>Q51-R51-S51</f>
        <v/>
      </c>
      <c r="U51" s="7">
        <f>D51+R51</f>
        <v/>
      </c>
      <c r="V51" s="7">
        <f>H51*0.9235</f>
        <v/>
      </c>
      <c r="W51" s="7">
        <f>IF(H51&gt;0,2*impuestos_ssTasa*MIN(V51,MAX(0,impuestos_ssTope*C51-U51))+2*impuestos_medicareTasa*V51,0)</f>
        <v/>
      </c>
      <c r="X51" s="7">
        <f>impuestos_ssTasa*MIN(U51,impuestos_ssTope*C51)+impuestos_medicareTasa*U51+impuestos_medicareAdicional*MAX(0,U51+H51*0.9235-impuestos_medicareUmbral)</f>
        <v/>
      </c>
      <c r="Y51" s="7">
        <f>MAX(0,D51-O51+R51+T51+H51-W51/2)</f>
        <v/>
      </c>
      <c r="Z51" s="7">
        <f>MAX(0,Y51-impuestos_deduccionEstandar*C51)</f>
        <v/>
      </c>
      <c r="AA51" s="7">
        <f>MIN(0.2*MAX(0,T51+H51-W51/2)*MAX(0,MIN(1,1-(Z51-impuestos_qbiUmbral*C51)/(impuestos_qbiRango*C51))),0.2*Z51)</f>
        <v/>
      </c>
      <c r="AB51" s="7">
        <f>MAX(0,Z51-AA51)</f>
        <v/>
      </c>
      <c r="AC51" s="7">
        <f>SUMPRODUCT((AB51&gt;tb_federalBrackets_lo*C51)*(AB51-tb_federalBrackets_lo*C51)*tb_federalBrackets_dr)</f>
        <v/>
      </c>
      <c r="AD51" s="7">
        <f>MAX(0,Y51-impuestos_nyDeduccion*C51)</f>
        <v/>
      </c>
      <c r="AE51" s="7">
        <f>CHOOSE(loc_taxcode,0,impuestos_ohTasa*MAX(0,Y51-impuestos_ohExento*C51)+impuestos_ohMunicipal*U51,SUMPRODUCT((AD51&gt;tb_nyBrackets_lo*C51)*(AD51-tb_nyBrackets_lo*C51)*tb_nyBrackets_dr)+loc_nyc*SUMPRODUCT((AD51&gt;tb_nycBrackets_lo*C51)*(AD51-tb_nycBrackets_lo*C51)*tb_nycBrackets_dr))</f>
        <v/>
      </c>
      <c r="AF51" s="7">
        <f>AC51+AE51+X51+W51</f>
        <v/>
      </c>
      <c r="AG51" s="7">
        <f>D51+F51+R51+T51+H51</f>
        <v/>
      </c>
      <c r="AH51" s="7">
        <f>AG51-AF51-O51</f>
        <v/>
      </c>
      <c r="AI51" s="7">
        <f>D51+F51+G51+H51</f>
        <v/>
      </c>
      <c r="AJ51" s="7">
        <f>loc_gastosVida*C51*g_gastos</f>
        <v/>
      </c>
      <c r="AK51" s="7">
        <f>IF(18=0,personal_liquidoInicial,DR50)</f>
        <v/>
      </c>
      <c r="AL51" s="7">
        <f>IF(18=0,0,BB50)</f>
        <v/>
      </c>
      <c r="AM51" s="7">
        <f>CHOOSE(sel_cfgIdx,loc_precio_duplex,loc_precio_inlaw,loc_precio_dosCasas,loc_precio_casaAdu,loc_precio_multi)</f>
        <v/>
      </c>
      <c r="AN51" s="7">
        <f>AM51*(1+g_appr)^(A51-2026)</f>
        <v/>
      </c>
      <c r="AO51" s="7">
        <f>IF(AND(M51=1,vivienda_prestamoMedico=1),1,0)</f>
        <v/>
      </c>
      <c r="AP51" s="7">
        <f>IF(AO51=1,0.05,vivienda_enganchePct)</f>
        <v/>
      </c>
      <c r="AQ51" s="7">
        <f>AN51*(1-AP51)</f>
        <v/>
      </c>
      <c r="AR51" s="7">
        <f>PMT(g_mortRate/12,vivienda_plazoHipoteca*12,-AQ51)</f>
        <v/>
      </c>
      <c r="AS51" s="7">
        <f>INDEX(cfg_units,sel_cfgIdx)</f>
        <v/>
      </c>
      <c r="AT51" s="7">
        <f>AS51*loc_rentaUnidad*(1+g_inf)^(A51-2026)*(1-vivienda_vacancia)</f>
        <v/>
      </c>
      <c r="AU51" s="7">
        <f>AR51+AN51*loc_impuestoPropPct/12+AM51*loc_seguroPct*(1+vivienda_inflacionSeguro)^(A51-2026)/12+IF(AND(AO51=0,AP51&lt;0.2),AQ51*vivienda_pmiTasa/12,0)</f>
        <v/>
      </c>
      <c r="AV51" s="7">
        <f>AN51*AP51+AN51*vivienda_cierrePct+general_reservaMeses/12*AJ51</f>
        <v/>
      </c>
      <c r="AW51" s="7">
        <f>(IF(18=0,MIN(personal_irsSaldo,personal_irsPagoMensual*12),MIN(CD50,personal_irsPagoMensual*12))+IF(CE51&gt;0,PMT(CF51,MAX(1,prestamos_plazoAnios-CG51),-CE51),0)+IF(CR51&gt;0,PMT(CS51,MAX(1,prestamos_plazoAnios-CT51),-CR51),0))/12</f>
        <v/>
      </c>
      <c r="AX51" s="7">
        <f>IF(OR(sel_cfg="duplex",sel_cfg="multi",sel_cfg="dosCasas"),0.75*personal_aporteFamiliaMensual,0)</f>
        <v/>
      </c>
      <c r="AY51" s="7">
        <f>AU51-0.75*AT51-AX51+AW51</f>
        <v/>
      </c>
      <c r="AZ51" s="7">
        <f>(D51+G51+H51+0.5*F51)/12</f>
        <v/>
      </c>
      <c r="BA51" s="7">
        <f>IF(AND(AL51=0,A51&gt;=vivienda_anioMinCompra,J51&lt;0.5,AI51&gt;0,AK51&gt;=AV51,AY51&lt;=vivienda_dtiMax*AZ51),1,0)</f>
        <v/>
      </c>
      <c r="BB51" s="7">
        <f>MAX(AL51,BA51)</f>
        <v/>
      </c>
      <c r="BC51" s="7">
        <f>IF(BA51=1,A51,IF(18=0,"",BC50))</f>
        <v/>
      </c>
      <c r="BD51" s="7">
        <f>AK51-IF(BA51=1,AN51*AP51+AN51*vivienda_cierrePct,0)</f>
        <v/>
      </c>
      <c r="BE51" s="7">
        <f>IF(BA51=1,AN51,IF(18=0,0,BE50))</f>
        <v/>
      </c>
      <c r="BF51" s="7">
        <f>IF(BA51=1,AR51,IF(18=0,0,BF50))</f>
        <v/>
      </c>
      <c r="BG51" s="7">
        <f>IF(BA51=1,IF(AND(AO51=0,AP51&lt;0.2),1,0),IF(18=0,0,BY50))</f>
        <v/>
      </c>
      <c r="BH51" s="7">
        <f>IF(sel_cfg="casaAdu",1,0)</f>
        <v/>
      </c>
      <c r="BI51" s="7">
        <f>IF(AND(BB51=1,BH51=1,IF(18=0,0,BJ50)=0,A51&gt;=IF(BC51="",9999,BC51)+vivienda_aduRetrasoAnios),1,0)</f>
        <v/>
      </c>
      <c r="BJ51" s="7">
        <f>MAX(IF(18=0,0,BJ50),BI51)</f>
        <v/>
      </c>
      <c r="BK51" s="7">
        <f>IF(BI51=1,PMT((g_mortRate+0.005)/12,180,-loc_precio_aduCosto*C51),IF(18=0,0,BK50))</f>
        <v/>
      </c>
      <c r="BL51" s="7">
        <f>IF(BA51=1,AN51,IF(18=0,0,DT50))+IF(BI51=1,loc_precio_aduCosto*C51,0)</f>
        <v/>
      </c>
      <c r="BM51" s="7">
        <f>IF(BA51=1,AQ51,IF(18=0,0,DU50))</f>
        <v/>
      </c>
      <c r="BN51" s="7">
        <f>IF(BM51&lt;=0,0,FV(g_mortRate/12,12,BF51,-BM51))</f>
        <v/>
      </c>
      <c r="BO51" s="7">
        <f>IF(BM51&lt;=0,0,12*BF51+MIN(0,BN51))</f>
        <v/>
      </c>
      <c r="BP51" s="7">
        <f>MAX(0,BN51)</f>
        <v/>
      </c>
      <c r="BQ51" s="7">
        <f>IF(BI51=1,loc_precio_aduCosto*C51,IF(18=0,0,DV50))</f>
        <v/>
      </c>
      <c r="BR51" s="7">
        <f>IF(BQ51&lt;=0,0,FV((g_mortRate+0.005)/12,12,BK51,-BQ51))</f>
        <v/>
      </c>
      <c r="BS51" s="7">
        <f>IF(BQ51&lt;=0,0,12*BK51+MIN(0,BR51))</f>
        <v/>
      </c>
      <c r="BT51" s="7">
        <f>MAX(0,BR51)</f>
        <v/>
      </c>
      <c r="BU51" s="7">
        <f>IF(BB51=1,AM51*loc_seguroPct*(1+vivienda_inflacionSeguro)^(A51-2026)*IF(BJ51=1,1+loc_precio_aduCosto/AM51,1),0)</f>
        <v/>
      </c>
      <c r="BV51" s="7">
        <f>BL51*loc_impuestoPropPct</f>
        <v/>
      </c>
      <c r="BW51" s="7">
        <f>BL51*vivienda_mantenimientoPct</f>
        <v/>
      </c>
      <c r="BX51" s="7">
        <f>IF(AND(BG51=1,BP51&gt;0.8*BE51),BE51*(1-vivienda_enganchePct)*vivienda_pmiTasa,0)</f>
        <v/>
      </c>
      <c r="BY51" s="7">
        <f>IF(AND(BG51=1,BP51&gt;0.8*BE51),1,0)</f>
        <v/>
      </c>
      <c r="BZ51" s="7">
        <f>IF(BB51=1,AS51*loc_rentaUnidad*12*C51*(1-vivienda_vacancia)*(1-vivienda_gestionPct),0)</f>
        <v/>
      </c>
      <c r="CA51" s="7">
        <f>IF(BB51=1,BO51+BS51+BU51+BV51+BW51+BX51,loc_rentaMensual*12*C51)</f>
        <v/>
      </c>
      <c r="CB51" s="7">
        <f>IF(BB51=1,personal_aporteFamiliaMensual*12,0)</f>
        <v/>
      </c>
      <c r="CC51" s="7">
        <f>MIN(IF(18=0,personal_irsSaldo,CD50),personal_irsPagoMensual*12)</f>
        <v/>
      </c>
      <c r="CD51" s="7">
        <f>IF(18=0,personal_irsSaldo,CD50)-CC51</f>
        <v/>
      </c>
      <c r="CE51" s="7">
        <f>IF(18=0,IF(personal_deudaEsFederal=1,personal_deudaEstudiantil,0),DW50)</f>
        <v/>
      </c>
      <c r="CF51" s="7">
        <f>IF(18=0,personal_tasaDeudaEstudiantil,DX50)</f>
        <v/>
      </c>
      <c r="CG51" s="7">
        <f>IF(18=0,0,DY50)</f>
        <v/>
      </c>
      <c r="CH51" s="7">
        <f>IF(J51&gt;=0.5,1,0)</f>
        <v/>
      </c>
      <c r="CI51" s="7">
        <f>IF(AND(CH51=0,prestamos_pslfActivo=1,K51&gt;=0.5,CE51&gt;0),1,0)</f>
        <v/>
      </c>
      <c r="CJ51" s="7">
        <f>CE51*CF51</f>
        <v/>
      </c>
      <c r="CK51" s="7">
        <f>MAX(prestamos_rapPagoMinimoAnual,IF(Y51&lt;10000,0,MIN(0.1,INT(Y51/10000)/100))*Y51)</f>
        <v/>
      </c>
      <c r="CL51" s="7">
        <f>IF(CE51&lt;=0,0,IF(CH51=1,0,IF(CI51=1,MIN(CE51+CJ51,CK51),PMT(CF51,MAX(1,prestamos_plazoAnios-CG51),-CE51))))</f>
        <v/>
      </c>
      <c r="CM51" s="7">
        <f>IF(CE51&lt;=0,0,IF(CH51=1,CE51+CJ51,IF(CI51=1,MAX(0,CE51-MAX(CL51-CJ51,MIN(600,CL51))),MAX(0,CE51*(1+CF51)-CL51))))</f>
        <v/>
      </c>
      <c r="CN51" s="7">
        <f>IF(18=0,0,CN50)+IF(CI51=1,12*MIN(1,K51),0)</f>
        <v/>
      </c>
      <c r="CO51" s="7">
        <f>IF(AND(CI51=1,CN51&gt;=prestamos_pslfPagos,CM51&gt;0),CM51,0)</f>
        <v/>
      </c>
      <c r="CP51" s="7">
        <f>CM51-CO51</f>
        <v/>
      </c>
      <c r="CQ51" s="7">
        <f>IF(AND(CE51&gt;0,CH51=0,CI51=0),CG51+1,CG51)</f>
        <v/>
      </c>
      <c r="CR51" s="7">
        <f>IF(18=0,IF(personal_deudaEsFederal=1,0,personal_deudaEstudiantil),EA50)</f>
        <v/>
      </c>
      <c r="CS51" s="7">
        <f>IF(18=0,IF(personal_deudaEsFederal=1,prestamos_tasaPrivada,personal_tasaDeudaEstudiantil),EB50)</f>
        <v/>
      </c>
      <c r="CT51" s="7">
        <f>IF(18=0,0,EC50)</f>
        <v/>
      </c>
      <c r="CU51" s="7">
        <f>IF(OR(CR51&lt;=0,CH51=1),0,PMT(CS51,MAX(1,prestamos_plazoAnios-CT51),-CR51))</f>
        <v/>
      </c>
      <c r="CV51" s="7">
        <f>IF(CR51&lt;=0,0,IF(CH51=1,CR51*(1+CS51),MAX(0,CR51*(1+CS51)-CU51)))</f>
        <v/>
      </c>
      <c r="CW51" s="7">
        <f>IF(AND(CR51&gt;0,CH51=0),CT51+1,CT51)</f>
        <v/>
      </c>
      <c r="CX51" s="7">
        <f>IF(18=0,0,ED50)*(1+general_tasaDeudaConsumo)</f>
        <v/>
      </c>
      <c r="CY51" s="7">
        <f>L51*12*tiempos_travelGastoExtraMes*C51</f>
        <v/>
      </c>
      <c r="CZ51" s="7">
        <f>AJ51+CY51+CA51+CC51+CL51+CU51+I51+N51-BZ51-CB51</f>
        <v/>
      </c>
      <c r="DA51" s="7">
        <f>AH51-CZ51</f>
        <v/>
      </c>
      <c r="DB51" s="7">
        <f>IF(18=0,0,DB50)+DA51</f>
        <v/>
      </c>
      <c r="DC51" s="7">
        <f>AN51*vivienda_enganchePct+AN51*vivienda_cierrePct+general_reservaMeses/12*AJ51</f>
        <v/>
      </c>
      <c r="DD51" s="7">
        <f>IF(BB51=1,g_ret,IF(BD51&gt;0,MIN(1,DC51/BD51),1)*g_cash+(1-IF(BD51&gt;0,MIN(1,DC51/BD51),1))*g_ret)</f>
        <v/>
      </c>
      <c r="DE51" s="7">
        <f>IF(DA51&gt;=0,MIN(CX51,DA51),0)</f>
        <v/>
      </c>
      <c r="DF51" s="7">
        <f>IF(DA51&gt;=0,(1-general_tasaAhorro)*(DA51-DE51),0)</f>
        <v/>
      </c>
      <c r="DG51" s="7">
        <f>IF(DA51&gt;=0,DA51-DE51-DF51,0)</f>
        <v/>
      </c>
      <c r="DH51" s="7">
        <f>MIN(personal_rothAnual,DG51)</f>
        <v/>
      </c>
      <c r="DI51" s="7">
        <f>IF(AND(DA51&gt;=0,BB51=1,BP51+BT51&gt;0),MIN(vivienda_prepagoPct*(DG51-DH51),BP51+BT51),0)</f>
        <v/>
      </c>
      <c r="DJ51" s="7">
        <f>MIN(DI51,BP51)</f>
        <v/>
      </c>
      <c r="DK51" s="7">
        <f>IF(DA51&lt;0,MIN(MAX(0,BD51),-DA51),0)</f>
        <v/>
      </c>
      <c r="DL51" s="7">
        <f>IF(DA51&lt;0,-DA51-DK51,0)</f>
        <v/>
      </c>
      <c r="DM51" s="7">
        <f>IF(18=0,0,DZ50)</f>
        <v/>
      </c>
      <c r="DN51" s="7">
        <f>IF(AND(DL51&gt;0,J51&gt;0),MIN(DL51,MIN(prestamos_topeAnualPosgrado*MIN(1,J51),MAX(0,prestamos_topeTotalPosgrado-DM51))),0)</f>
        <v/>
      </c>
      <c r="DO51" s="7">
        <f>IF(AND(DL51&gt;0,J51&gt;0),DL51-DN51,0)</f>
        <v/>
      </c>
      <c r="DP51" s="7">
        <f>IF(AND(DL51&gt;0,J51&lt;=0),DL51,0)</f>
        <v/>
      </c>
      <c r="DQ51" s="7">
        <f>IF(DA51&gt;=0,DG51-DH51-DI51,-DK51)</f>
        <v/>
      </c>
      <c r="DR51" s="7">
        <f>BD51*(1+DD51)+DQ51*(1+DD51/2)</f>
        <v/>
      </c>
      <c r="DS51" s="7">
        <f>IF(18=0,personal_retiroInicial,DS50)*(1+g_ret)+(O51+P51+DH51)*(1+g_ret/2)</f>
        <v/>
      </c>
      <c r="DT51" s="7">
        <f>IF(BB51=1,BL51*(1+g_appr),0)</f>
        <v/>
      </c>
      <c r="DU51" s="7">
        <f>BP51-DJ51</f>
        <v/>
      </c>
      <c r="DV51" s="7">
        <f>BT51-(DI51-DJ51)</f>
        <v/>
      </c>
      <c r="DW51" s="7">
        <f>CP51+DN51</f>
        <v/>
      </c>
      <c r="DX51" s="7">
        <f>IF(DN51&gt;0,(CP51*CF51+DN51*prestamos_tasaFederalPosgrado)/(CP51+DN51),CF51)</f>
        <v/>
      </c>
      <c r="DY51" s="7">
        <f>IF(DN51&gt;0,0,CQ51)</f>
        <v/>
      </c>
      <c r="DZ51" s="7">
        <f>DM51+DN51</f>
        <v/>
      </c>
      <c r="EA51" s="7">
        <f>CV51+DO51</f>
        <v/>
      </c>
      <c r="EB51" s="7">
        <f>IF(DO51&gt;0,(CV51*CS51+DO51*prestamos_tasaPrivada)/(CV51+DO51),CS51)</f>
        <v/>
      </c>
      <c r="EC51" s="7">
        <f>IF(DO51&gt;0,0,CW51)</f>
        <v/>
      </c>
      <c r="ED51" s="7">
        <f>CX51-DE51+DP51</f>
        <v/>
      </c>
      <c r="EE51" s="7">
        <f>IF(IF(18=0,"",EE50)&lt;&gt;"",EE50,IF(AND(BB51=1,DU51&lt;=0.5,DV51&lt;=0.5,OR(BH51=0,BJ51=1)),A51,""))</f>
        <v/>
      </c>
      <c r="EF51" s="7">
        <f>DU51+DV51+DW51+EA51+ED51+CD51</f>
        <v/>
      </c>
      <c r="EG51" s="7">
        <f>DR51+DS51+DT51-EF51</f>
        <v/>
      </c>
      <c r="EH51" s="7">
        <f>EG51/(1+g_inf)^(A51+1-2026)</f>
        <v/>
      </c>
    </row>
    <row r="52">
      <c r="A52" t="n">
        <v>2046</v>
      </c>
      <c r="B52" t="n">
        <v>19</v>
      </c>
      <c r="C52" s="7">
        <f>(1+g_inf)^(A52-2026)</f>
        <v/>
      </c>
      <c r="D52" s="7">
        <f>SUMPRODUCT($AM$5:$AM$29,$E$5:$E$29*(1+$F$5:$F$29)^(A52-2026)*$G$5:$G$29*$H$5:$H$29*(1-$N$5:$N$29*$O$5:$O$29))*g_salMult+SUMPRODUCT(($B$5:$B$29&gt;=A52)*($B$5:$B$29&lt;A52+1)*$I$5:$I$29)*g_salMult</f>
        <v/>
      </c>
      <c r="E52" s="7">
        <f>SUMPRODUCT($AM$5:$AM$29,$E$5:$E$29*(1+$F$5:$F$29)^(A52-2026)*$G$5:$G$29*$H$5:$H$29*$M$5:$M$29)*g_salMult</f>
        <v/>
      </c>
      <c r="F52" s="7">
        <f>SUMPRODUCT($AM$5:$AM$29,$E$5:$E$29*(1+$F$5:$F$29)^(A52-2026)*$G$5:$G$29*$H$5:$H$29*$N$5:$N$29*$O$5:$O$29)*g_salMult</f>
        <v/>
      </c>
      <c r="G52" s="7">
        <f>SUMPRODUCT($AM$5:$AM$29,$P$5:$P$29*(1+$F$5:$F$29)^(A52-2026))</f>
        <v/>
      </c>
      <c r="H52" s="7">
        <f>SUMPRODUCT($AM$5:$AM$29,$Q$5:$Q$29*(1+$F$5:$F$29)^(A52-2026))+IF(personal_llcActivo=1,personal_llcNeto*(1+personal_llcCrecimiento)^19,0)</f>
        <v/>
      </c>
      <c r="I52" s="7">
        <f>SUMPRODUCT($AM$5:$AM$29,$J$5:$J$29/($C$5:$C$29-$B$5:$B$29+($C$5:$C$29=$B$5:$B$29)))*C52</f>
        <v/>
      </c>
      <c r="J52" s="7">
        <f>SUMPRODUCT($AM$5:$AM$29,$K$5:$K$29)</f>
        <v/>
      </c>
      <c r="K52" s="7">
        <f>SUMPRODUCT($AM$5:$AM$29,$L$5:$L$29)</f>
        <v/>
      </c>
      <c r="L52" s="7">
        <f>SUMPRODUCT($AM$5:$AM$29,$N$5:$N$29)</f>
        <v/>
      </c>
      <c r="M52" s="7">
        <f>IF(SUMPRODUCT($AM$5:$AM$29,$R$5:$R$29)&gt;0,1,0)</f>
        <v/>
      </c>
      <c r="N52" s="7">
        <f>SUMPRODUCT(($AO$5:$AO$24&gt;=A52)*($AO$5:$AO$24&lt;A52+1)*$AP$5:$AP$24)*C52+IF(19=0,IF(sel_loc&lt;&gt;"miami",personal_costoMudanzaInicial,0),0)</f>
        <v/>
      </c>
      <c r="O52" s="7">
        <f>MIN(personal_aporte403bPct*D52,retiro_limite403b*C52)</f>
        <v/>
      </c>
      <c r="P52" s="7">
        <f>MIN(personal_aporte403bPct,personal_match403bPct)*E52</f>
        <v/>
      </c>
      <c r="Q52" s="7">
        <f>IF(G52&gt;0,MAX(0,G52-impuestos_scorpCostoAnual*C52),0)</f>
        <v/>
      </c>
      <c r="R52" s="7">
        <f>Q52*impuestos_scorpSalarioPct/(1+impuestos_ssTasa+impuestos_medicareTasa)</f>
        <v/>
      </c>
      <c r="S52" s="7">
        <f>impuestos_ssTasa*MIN(R52,MAX(0,impuestos_ssTope*C52-D52))+impuestos_medicareTasa*R52</f>
        <v/>
      </c>
      <c r="T52" s="7">
        <f>Q52-R52-S52</f>
        <v/>
      </c>
      <c r="U52" s="7">
        <f>D52+R52</f>
        <v/>
      </c>
      <c r="V52" s="7">
        <f>H52*0.9235</f>
        <v/>
      </c>
      <c r="W52" s="7">
        <f>IF(H52&gt;0,2*impuestos_ssTasa*MIN(V52,MAX(0,impuestos_ssTope*C52-U52))+2*impuestos_medicareTasa*V52,0)</f>
        <v/>
      </c>
      <c r="X52" s="7">
        <f>impuestos_ssTasa*MIN(U52,impuestos_ssTope*C52)+impuestos_medicareTasa*U52+impuestos_medicareAdicional*MAX(0,U52+H52*0.9235-impuestos_medicareUmbral)</f>
        <v/>
      </c>
      <c r="Y52" s="7">
        <f>MAX(0,D52-O52+R52+T52+H52-W52/2)</f>
        <v/>
      </c>
      <c r="Z52" s="7">
        <f>MAX(0,Y52-impuestos_deduccionEstandar*C52)</f>
        <v/>
      </c>
      <c r="AA52" s="7">
        <f>MIN(0.2*MAX(0,T52+H52-W52/2)*MAX(0,MIN(1,1-(Z52-impuestos_qbiUmbral*C52)/(impuestos_qbiRango*C52))),0.2*Z52)</f>
        <v/>
      </c>
      <c r="AB52" s="7">
        <f>MAX(0,Z52-AA52)</f>
        <v/>
      </c>
      <c r="AC52" s="7">
        <f>SUMPRODUCT((AB52&gt;tb_federalBrackets_lo*C52)*(AB52-tb_federalBrackets_lo*C52)*tb_federalBrackets_dr)</f>
        <v/>
      </c>
      <c r="AD52" s="7">
        <f>MAX(0,Y52-impuestos_nyDeduccion*C52)</f>
        <v/>
      </c>
      <c r="AE52" s="7">
        <f>CHOOSE(loc_taxcode,0,impuestos_ohTasa*MAX(0,Y52-impuestos_ohExento*C52)+impuestos_ohMunicipal*U52,SUMPRODUCT((AD52&gt;tb_nyBrackets_lo*C52)*(AD52-tb_nyBrackets_lo*C52)*tb_nyBrackets_dr)+loc_nyc*SUMPRODUCT((AD52&gt;tb_nycBrackets_lo*C52)*(AD52-tb_nycBrackets_lo*C52)*tb_nycBrackets_dr))</f>
        <v/>
      </c>
      <c r="AF52" s="7">
        <f>AC52+AE52+X52+W52</f>
        <v/>
      </c>
      <c r="AG52" s="7">
        <f>D52+F52+R52+T52+H52</f>
        <v/>
      </c>
      <c r="AH52" s="7">
        <f>AG52-AF52-O52</f>
        <v/>
      </c>
      <c r="AI52" s="7">
        <f>D52+F52+G52+H52</f>
        <v/>
      </c>
      <c r="AJ52" s="7">
        <f>loc_gastosVida*C52*g_gastos</f>
        <v/>
      </c>
      <c r="AK52" s="7">
        <f>IF(19=0,personal_liquidoInicial,DR51)</f>
        <v/>
      </c>
      <c r="AL52" s="7">
        <f>IF(19=0,0,BB51)</f>
        <v/>
      </c>
      <c r="AM52" s="7">
        <f>CHOOSE(sel_cfgIdx,loc_precio_duplex,loc_precio_inlaw,loc_precio_dosCasas,loc_precio_casaAdu,loc_precio_multi)</f>
        <v/>
      </c>
      <c r="AN52" s="7">
        <f>AM52*(1+g_appr)^(A52-2026)</f>
        <v/>
      </c>
      <c r="AO52" s="7">
        <f>IF(AND(M52=1,vivienda_prestamoMedico=1),1,0)</f>
        <v/>
      </c>
      <c r="AP52" s="7">
        <f>IF(AO52=1,0.05,vivienda_enganchePct)</f>
        <v/>
      </c>
      <c r="AQ52" s="7">
        <f>AN52*(1-AP52)</f>
        <v/>
      </c>
      <c r="AR52" s="7">
        <f>PMT(g_mortRate/12,vivienda_plazoHipoteca*12,-AQ52)</f>
        <v/>
      </c>
      <c r="AS52" s="7">
        <f>INDEX(cfg_units,sel_cfgIdx)</f>
        <v/>
      </c>
      <c r="AT52" s="7">
        <f>AS52*loc_rentaUnidad*(1+g_inf)^(A52-2026)*(1-vivienda_vacancia)</f>
        <v/>
      </c>
      <c r="AU52" s="7">
        <f>AR52+AN52*loc_impuestoPropPct/12+AM52*loc_seguroPct*(1+vivienda_inflacionSeguro)^(A52-2026)/12+IF(AND(AO52=0,AP52&lt;0.2),AQ52*vivienda_pmiTasa/12,0)</f>
        <v/>
      </c>
      <c r="AV52" s="7">
        <f>AN52*AP52+AN52*vivienda_cierrePct+general_reservaMeses/12*AJ52</f>
        <v/>
      </c>
      <c r="AW52" s="7">
        <f>(IF(19=0,MIN(personal_irsSaldo,personal_irsPagoMensual*12),MIN(CD51,personal_irsPagoMensual*12))+IF(CE52&gt;0,PMT(CF52,MAX(1,prestamos_plazoAnios-CG52),-CE52),0)+IF(CR52&gt;0,PMT(CS52,MAX(1,prestamos_plazoAnios-CT52),-CR52),0))/12</f>
        <v/>
      </c>
      <c r="AX52" s="7">
        <f>IF(OR(sel_cfg="duplex",sel_cfg="multi",sel_cfg="dosCasas"),0.75*personal_aporteFamiliaMensual,0)</f>
        <v/>
      </c>
      <c r="AY52" s="7">
        <f>AU52-0.75*AT52-AX52+AW52</f>
        <v/>
      </c>
      <c r="AZ52" s="7">
        <f>(D52+G52+H52+0.5*F52)/12</f>
        <v/>
      </c>
      <c r="BA52" s="7">
        <f>IF(AND(AL52=0,A52&gt;=vivienda_anioMinCompra,J52&lt;0.5,AI52&gt;0,AK52&gt;=AV52,AY52&lt;=vivienda_dtiMax*AZ52),1,0)</f>
        <v/>
      </c>
      <c r="BB52" s="7">
        <f>MAX(AL52,BA52)</f>
        <v/>
      </c>
      <c r="BC52" s="7">
        <f>IF(BA52=1,A52,IF(19=0,"",BC51))</f>
        <v/>
      </c>
      <c r="BD52" s="7">
        <f>AK52-IF(BA52=1,AN52*AP52+AN52*vivienda_cierrePct,0)</f>
        <v/>
      </c>
      <c r="BE52" s="7">
        <f>IF(BA52=1,AN52,IF(19=0,0,BE51))</f>
        <v/>
      </c>
      <c r="BF52" s="7">
        <f>IF(BA52=1,AR52,IF(19=0,0,BF51))</f>
        <v/>
      </c>
      <c r="BG52" s="7">
        <f>IF(BA52=1,IF(AND(AO52=0,AP52&lt;0.2),1,0),IF(19=0,0,BY51))</f>
        <v/>
      </c>
      <c r="BH52" s="7">
        <f>IF(sel_cfg="casaAdu",1,0)</f>
        <v/>
      </c>
      <c r="BI52" s="7">
        <f>IF(AND(BB52=1,BH52=1,IF(19=0,0,BJ51)=0,A52&gt;=IF(BC52="",9999,BC52)+vivienda_aduRetrasoAnios),1,0)</f>
        <v/>
      </c>
      <c r="BJ52" s="7">
        <f>MAX(IF(19=0,0,BJ51),BI52)</f>
        <v/>
      </c>
      <c r="BK52" s="7">
        <f>IF(BI52=1,PMT((g_mortRate+0.005)/12,180,-loc_precio_aduCosto*C52),IF(19=0,0,BK51))</f>
        <v/>
      </c>
      <c r="BL52" s="7">
        <f>IF(BA52=1,AN52,IF(19=0,0,DT51))+IF(BI52=1,loc_precio_aduCosto*C52,0)</f>
        <v/>
      </c>
      <c r="BM52" s="7">
        <f>IF(BA52=1,AQ52,IF(19=0,0,DU51))</f>
        <v/>
      </c>
      <c r="BN52" s="7">
        <f>IF(BM52&lt;=0,0,FV(g_mortRate/12,12,BF52,-BM52))</f>
        <v/>
      </c>
      <c r="BO52" s="7">
        <f>IF(BM52&lt;=0,0,12*BF52+MIN(0,BN52))</f>
        <v/>
      </c>
      <c r="BP52" s="7">
        <f>MAX(0,BN52)</f>
        <v/>
      </c>
      <c r="BQ52" s="7">
        <f>IF(BI52=1,loc_precio_aduCosto*C52,IF(19=0,0,DV51))</f>
        <v/>
      </c>
      <c r="BR52" s="7">
        <f>IF(BQ52&lt;=0,0,FV((g_mortRate+0.005)/12,12,BK52,-BQ52))</f>
        <v/>
      </c>
      <c r="BS52" s="7">
        <f>IF(BQ52&lt;=0,0,12*BK52+MIN(0,BR52))</f>
        <v/>
      </c>
      <c r="BT52" s="7">
        <f>MAX(0,BR52)</f>
        <v/>
      </c>
      <c r="BU52" s="7">
        <f>IF(BB52=1,AM52*loc_seguroPct*(1+vivienda_inflacionSeguro)^(A52-2026)*IF(BJ52=1,1+loc_precio_aduCosto/AM52,1),0)</f>
        <v/>
      </c>
      <c r="BV52" s="7">
        <f>BL52*loc_impuestoPropPct</f>
        <v/>
      </c>
      <c r="BW52" s="7">
        <f>BL52*vivienda_mantenimientoPct</f>
        <v/>
      </c>
      <c r="BX52" s="7">
        <f>IF(AND(BG52=1,BP52&gt;0.8*BE52),BE52*(1-vivienda_enganchePct)*vivienda_pmiTasa,0)</f>
        <v/>
      </c>
      <c r="BY52" s="7">
        <f>IF(AND(BG52=1,BP52&gt;0.8*BE52),1,0)</f>
        <v/>
      </c>
      <c r="BZ52" s="7">
        <f>IF(BB52=1,AS52*loc_rentaUnidad*12*C52*(1-vivienda_vacancia)*(1-vivienda_gestionPct),0)</f>
        <v/>
      </c>
      <c r="CA52" s="7">
        <f>IF(BB52=1,BO52+BS52+BU52+BV52+BW52+BX52,loc_rentaMensual*12*C52)</f>
        <v/>
      </c>
      <c r="CB52" s="7">
        <f>IF(BB52=1,personal_aporteFamiliaMensual*12,0)</f>
        <v/>
      </c>
      <c r="CC52" s="7">
        <f>MIN(IF(19=0,personal_irsSaldo,CD51),personal_irsPagoMensual*12)</f>
        <v/>
      </c>
      <c r="CD52" s="7">
        <f>IF(19=0,personal_irsSaldo,CD51)-CC52</f>
        <v/>
      </c>
      <c r="CE52" s="7">
        <f>IF(19=0,IF(personal_deudaEsFederal=1,personal_deudaEstudiantil,0),DW51)</f>
        <v/>
      </c>
      <c r="CF52" s="7">
        <f>IF(19=0,personal_tasaDeudaEstudiantil,DX51)</f>
        <v/>
      </c>
      <c r="CG52" s="7">
        <f>IF(19=0,0,DY51)</f>
        <v/>
      </c>
      <c r="CH52" s="7">
        <f>IF(J52&gt;=0.5,1,0)</f>
        <v/>
      </c>
      <c r="CI52" s="7">
        <f>IF(AND(CH52=0,prestamos_pslfActivo=1,K52&gt;=0.5,CE52&gt;0),1,0)</f>
        <v/>
      </c>
      <c r="CJ52" s="7">
        <f>CE52*CF52</f>
        <v/>
      </c>
      <c r="CK52" s="7">
        <f>MAX(prestamos_rapPagoMinimoAnual,IF(Y52&lt;10000,0,MIN(0.1,INT(Y52/10000)/100))*Y52)</f>
        <v/>
      </c>
      <c r="CL52" s="7">
        <f>IF(CE52&lt;=0,0,IF(CH52=1,0,IF(CI52=1,MIN(CE52+CJ52,CK52),PMT(CF52,MAX(1,prestamos_plazoAnios-CG52),-CE52))))</f>
        <v/>
      </c>
      <c r="CM52" s="7">
        <f>IF(CE52&lt;=0,0,IF(CH52=1,CE52+CJ52,IF(CI52=1,MAX(0,CE52-MAX(CL52-CJ52,MIN(600,CL52))),MAX(0,CE52*(1+CF52)-CL52))))</f>
        <v/>
      </c>
      <c r="CN52" s="7">
        <f>IF(19=0,0,CN51)+IF(CI52=1,12*MIN(1,K52),0)</f>
        <v/>
      </c>
      <c r="CO52" s="7">
        <f>IF(AND(CI52=1,CN52&gt;=prestamos_pslfPagos,CM52&gt;0),CM52,0)</f>
        <v/>
      </c>
      <c r="CP52" s="7">
        <f>CM52-CO52</f>
        <v/>
      </c>
      <c r="CQ52" s="7">
        <f>IF(AND(CE52&gt;0,CH52=0,CI52=0),CG52+1,CG52)</f>
        <v/>
      </c>
      <c r="CR52" s="7">
        <f>IF(19=0,IF(personal_deudaEsFederal=1,0,personal_deudaEstudiantil),EA51)</f>
        <v/>
      </c>
      <c r="CS52" s="7">
        <f>IF(19=0,IF(personal_deudaEsFederal=1,prestamos_tasaPrivada,personal_tasaDeudaEstudiantil),EB51)</f>
        <v/>
      </c>
      <c r="CT52" s="7">
        <f>IF(19=0,0,EC51)</f>
        <v/>
      </c>
      <c r="CU52" s="7">
        <f>IF(OR(CR52&lt;=0,CH52=1),0,PMT(CS52,MAX(1,prestamos_plazoAnios-CT52),-CR52))</f>
        <v/>
      </c>
      <c r="CV52" s="7">
        <f>IF(CR52&lt;=0,0,IF(CH52=1,CR52*(1+CS52),MAX(0,CR52*(1+CS52)-CU52)))</f>
        <v/>
      </c>
      <c r="CW52" s="7">
        <f>IF(AND(CR52&gt;0,CH52=0),CT52+1,CT52)</f>
        <v/>
      </c>
      <c r="CX52" s="7">
        <f>IF(19=0,0,ED51)*(1+general_tasaDeudaConsumo)</f>
        <v/>
      </c>
      <c r="CY52" s="7">
        <f>L52*12*tiempos_travelGastoExtraMes*C52</f>
        <v/>
      </c>
      <c r="CZ52" s="7">
        <f>AJ52+CY52+CA52+CC52+CL52+CU52+I52+N52-BZ52-CB52</f>
        <v/>
      </c>
      <c r="DA52" s="7">
        <f>AH52-CZ52</f>
        <v/>
      </c>
      <c r="DB52" s="7">
        <f>IF(19=0,0,DB51)+DA52</f>
        <v/>
      </c>
      <c r="DC52" s="7">
        <f>AN52*vivienda_enganchePct+AN52*vivienda_cierrePct+general_reservaMeses/12*AJ52</f>
        <v/>
      </c>
      <c r="DD52" s="7">
        <f>IF(BB52=1,g_ret,IF(BD52&gt;0,MIN(1,DC52/BD52),1)*g_cash+(1-IF(BD52&gt;0,MIN(1,DC52/BD52),1))*g_ret)</f>
        <v/>
      </c>
      <c r="DE52" s="7">
        <f>IF(DA52&gt;=0,MIN(CX52,DA52),0)</f>
        <v/>
      </c>
      <c r="DF52" s="7">
        <f>IF(DA52&gt;=0,(1-general_tasaAhorro)*(DA52-DE52),0)</f>
        <v/>
      </c>
      <c r="DG52" s="7">
        <f>IF(DA52&gt;=0,DA52-DE52-DF52,0)</f>
        <v/>
      </c>
      <c r="DH52" s="7">
        <f>MIN(personal_rothAnual,DG52)</f>
        <v/>
      </c>
      <c r="DI52" s="7">
        <f>IF(AND(DA52&gt;=0,BB52=1,BP52+BT52&gt;0),MIN(vivienda_prepagoPct*(DG52-DH52),BP52+BT52),0)</f>
        <v/>
      </c>
      <c r="DJ52" s="7">
        <f>MIN(DI52,BP52)</f>
        <v/>
      </c>
      <c r="DK52" s="7">
        <f>IF(DA52&lt;0,MIN(MAX(0,BD52),-DA52),0)</f>
        <v/>
      </c>
      <c r="DL52" s="7">
        <f>IF(DA52&lt;0,-DA52-DK52,0)</f>
        <v/>
      </c>
      <c r="DM52" s="7">
        <f>IF(19=0,0,DZ51)</f>
        <v/>
      </c>
      <c r="DN52" s="7">
        <f>IF(AND(DL52&gt;0,J52&gt;0),MIN(DL52,MIN(prestamos_topeAnualPosgrado*MIN(1,J52),MAX(0,prestamos_topeTotalPosgrado-DM52))),0)</f>
        <v/>
      </c>
      <c r="DO52" s="7">
        <f>IF(AND(DL52&gt;0,J52&gt;0),DL52-DN52,0)</f>
        <v/>
      </c>
      <c r="DP52" s="7">
        <f>IF(AND(DL52&gt;0,J52&lt;=0),DL52,0)</f>
        <v/>
      </c>
      <c r="DQ52" s="7">
        <f>IF(DA52&gt;=0,DG52-DH52-DI52,-DK52)</f>
        <v/>
      </c>
      <c r="DR52" s="7">
        <f>BD52*(1+DD52)+DQ52*(1+DD52/2)</f>
        <v/>
      </c>
      <c r="DS52" s="7">
        <f>IF(19=0,personal_retiroInicial,DS51)*(1+g_ret)+(O52+P52+DH52)*(1+g_ret/2)</f>
        <v/>
      </c>
      <c r="DT52" s="7">
        <f>IF(BB52=1,BL52*(1+g_appr),0)</f>
        <v/>
      </c>
      <c r="DU52" s="7">
        <f>BP52-DJ52</f>
        <v/>
      </c>
      <c r="DV52" s="7">
        <f>BT52-(DI52-DJ52)</f>
        <v/>
      </c>
      <c r="DW52" s="7">
        <f>CP52+DN52</f>
        <v/>
      </c>
      <c r="DX52" s="7">
        <f>IF(DN52&gt;0,(CP52*CF52+DN52*prestamos_tasaFederalPosgrado)/(CP52+DN52),CF52)</f>
        <v/>
      </c>
      <c r="DY52" s="7">
        <f>IF(DN52&gt;0,0,CQ52)</f>
        <v/>
      </c>
      <c r="DZ52" s="7">
        <f>DM52+DN52</f>
        <v/>
      </c>
      <c r="EA52" s="7">
        <f>CV52+DO52</f>
        <v/>
      </c>
      <c r="EB52" s="7">
        <f>IF(DO52&gt;0,(CV52*CS52+DO52*prestamos_tasaPrivada)/(CV52+DO52),CS52)</f>
        <v/>
      </c>
      <c r="EC52" s="7">
        <f>IF(DO52&gt;0,0,CW52)</f>
        <v/>
      </c>
      <c r="ED52" s="7">
        <f>CX52-DE52+DP52</f>
        <v/>
      </c>
      <c r="EE52" s="7">
        <f>IF(IF(19=0,"",EE51)&lt;&gt;"",EE51,IF(AND(BB52=1,DU52&lt;=0.5,DV52&lt;=0.5,OR(BH52=0,BJ52=1)),A52,""))</f>
        <v/>
      </c>
      <c r="EF52" s="7">
        <f>DU52+DV52+DW52+EA52+ED52+CD52</f>
        <v/>
      </c>
      <c r="EG52" s="7">
        <f>DR52+DS52+DT52-EF52</f>
        <v/>
      </c>
      <c r="EH52" s="7">
        <f>EG52/(1+g_inf)^(A52+1-2026)</f>
        <v/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H52"/>
  <sheetViews>
    <sheetView workbookViewId="0">
      <pane xSplit="1" ySplit="32" topLeftCell="B3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0" customWidth="1" min="1" max="1"/>
  </cols>
  <sheetData>
    <row r="1">
      <c r="A1" s="1" t="inlineStr">
        <is>
          <t>A7 · ICU → CRNA</t>
        </is>
      </c>
    </row>
    <row r="2">
      <c r="A2" s="2" t="inlineStr">
        <is>
          <t>Etapas (celdas azules editables; fechas decimales: 2027.67 = sep-2027). Traslape por año en columnas T→AM. Hitos con costo en AN→AP.</t>
        </is>
      </c>
    </row>
    <row r="4">
      <c r="A4" s="5" t="inlineStr">
        <is>
          <t>Etapa</t>
        </is>
      </c>
      <c r="B4" s="5" t="inlineStr">
        <is>
          <t>Inicio</t>
        </is>
      </c>
      <c r="C4" s="5" t="inlineStr">
        <is>
          <t>Fin</t>
        </is>
      </c>
      <c r="D4" s="5" t="inlineStr">
        <is>
          <t>Rol</t>
        </is>
      </c>
      <c r="E4" s="5" t="inlineStr">
        <is>
          <t>Salario base FT 2026 ($)</t>
        </is>
      </c>
      <c r="F4" s="5" t="inlineStr">
        <is>
          <t>Aumento anual</t>
        </is>
      </c>
      <c r="G4" s="5" t="inlineStr">
        <is>
          <t>Horas (FTE)</t>
        </is>
      </c>
      <c r="H4" s="5" t="inlineStr">
        <is>
          <t>Multiplicador</t>
        </is>
      </c>
      <c r="I4" s="5" t="inlineStr">
        <is>
          <t>Bono al inicio</t>
        </is>
      </c>
      <c r="J4" s="5" t="inlineStr">
        <is>
          <t>Matrícula total (2026$)</t>
        </is>
      </c>
      <c r="K4" s="5" t="inlineStr">
        <is>
          <t>Estudio (1/0)</t>
        </is>
      </c>
      <c r="L4" s="5" t="inlineStr">
        <is>
          <t>PSLF (1/0)</t>
        </is>
      </c>
      <c r="M4" s="5" t="inlineStr">
        <is>
          <t>Match 403b (1/0)</t>
        </is>
      </c>
      <c r="N4" s="5" t="inlineStr">
        <is>
          <t>Travel (1/0)</t>
        </is>
      </c>
      <c r="O4" s="5" t="inlineStr">
        <is>
          <t>% stipend libre</t>
        </is>
      </c>
      <c r="P4" s="5" t="inlineStr">
        <is>
          <t>S-corp anual base</t>
        </is>
      </c>
      <c r="Q4" s="5" t="inlineStr">
        <is>
          <t>Autoempleo anual base</t>
        </is>
      </c>
      <c r="R4" s="5" t="inlineStr">
        <is>
          <t>Attending (1/0)</t>
        </is>
      </c>
      <c r="T4" s="8" t="n">
        <v>2027</v>
      </c>
      <c r="U4" s="8" t="n">
        <v>2028</v>
      </c>
      <c r="V4" s="8" t="n">
        <v>2029</v>
      </c>
      <c r="W4" s="8" t="n">
        <v>2030</v>
      </c>
      <c r="X4" s="8" t="n">
        <v>2031</v>
      </c>
      <c r="Y4" s="8" t="n">
        <v>2032</v>
      </c>
      <c r="Z4" s="8" t="n">
        <v>2033</v>
      </c>
      <c r="AA4" s="8" t="n">
        <v>2034</v>
      </c>
      <c r="AB4" s="8" t="n">
        <v>2035</v>
      </c>
      <c r="AC4" s="8" t="n">
        <v>2036</v>
      </c>
      <c r="AD4" s="8" t="n">
        <v>2037</v>
      </c>
      <c r="AE4" s="8" t="n">
        <v>2038</v>
      </c>
      <c r="AF4" s="8" t="n">
        <v>2039</v>
      </c>
      <c r="AG4" s="8" t="n">
        <v>2040</v>
      </c>
      <c r="AH4" s="8" t="n">
        <v>2041</v>
      </c>
      <c r="AI4" s="8" t="n">
        <v>2042</v>
      </c>
      <c r="AJ4" s="8" t="n">
        <v>2043</v>
      </c>
      <c r="AK4" s="8" t="n">
        <v>2044</v>
      </c>
      <c r="AL4" s="8" t="n">
        <v>2045</v>
      </c>
      <c r="AM4" s="8" t="n">
        <v>2046</v>
      </c>
      <c r="AN4" s="5" t="inlineStr">
        <is>
          <t>Hito</t>
        </is>
      </c>
      <c r="AO4" s="5" t="inlineStr">
        <is>
          <t>Fecha</t>
        </is>
      </c>
      <c r="AP4" s="5" t="inlineStr">
        <is>
          <t>Costo (2026$)</t>
        </is>
      </c>
    </row>
    <row r="5">
      <c r="A5" t="inlineStr">
        <is>
          <t>Case manager RN (cursando BSN)</t>
        </is>
      </c>
      <c r="B5" s="3" t="n">
        <v>2027</v>
      </c>
      <c r="C5" s="3" t="n">
        <v>2027.5</v>
      </c>
      <c r="D5" t="inlineStr">
        <is>
          <t>cm</t>
        </is>
      </c>
      <c r="E5">
        <f>personal_tarifaHora*2080*loc_factorRN/ubic_miami_factorRN</f>
        <v/>
      </c>
      <c r="F5">
        <f>roles_cm_aumento</f>
        <v/>
      </c>
      <c r="G5">
        <f>personal_horasSemana/40</f>
        <v/>
      </c>
      <c r="H5" s="3" t="n">
        <v>1</v>
      </c>
      <c r="I5" s="3" t="n">
        <v>0</v>
      </c>
      <c r="J5" s="3" t="n">
        <v>0</v>
      </c>
      <c r="K5" s="3" t="n">
        <v>0</v>
      </c>
      <c r="L5" s="3" t="n">
        <v>1</v>
      </c>
      <c r="M5" s="3" t="n">
        <v>1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T5">
        <f>MAX(0,MIN($C5,T$4+1)-MAX($B5,T$4))</f>
        <v/>
      </c>
      <c r="U5">
        <f>MAX(0,MIN($C5,U$4+1)-MAX($B5,U$4))</f>
        <v/>
      </c>
      <c r="V5">
        <f>MAX(0,MIN($C5,V$4+1)-MAX($B5,V$4))</f>
        <v/>
      </c>
      <c r="W5">
        <f>MAX(0,MIN($C5,W$4+1)-MAX($B5,W$4))</f>
        <v/>
      </c>
      <c r="X5">
        <f>MAX(0,MIN($C5,X$4+1)-MAX($B5,X$4))</f>
        <v/>
      </c>
      <c r="Y5">
        <f>MAX(0,MIN($C5,Y$4+1)-MAX($B5,Y$4))</f>
        <v/>
      </c>
      <c r="Z5">
        <f>MAX(0,MIN($C5,Z$4+1)-MAX($B5,Z$4))</f>
        <v/>
      </c>
      <c r="AA5">
        <f>MAX(0,MIN($C5,AA$4+1)-MAX($B5,AA$4))</f>
        <v/>
      </c>
      <c r="AB5">
        <f>MAX(0,MIN($C5,AB$4+1)-MAX($B5,AB$4))</f>
        <v/>
      </c>
      <c r="AC5">
        <f>MAX(0,MIN($C5,AC$4+1)-MAX($B5,AC$4))</f>
        <v/>
      </c>
      <c r="AD5">
        <f>MAX(0,MIN($C5,AD$4+1)-MAX($B5,AD$4))</f>
        <v/>
      </c>
      <c r="AE5">
        <f>MAX(0,MIN($C5,AE$4+1)-MAX($B5,AE$4))</f>
        <v/>
      </c>
      <c r="AF5">
        <f>MAX(0,MIN($C5,AF$4+1)-MAX($B5,AF$4))</f>
        <v/>
      </c>
      <c r="AG5">
        <f>MAX(0,MIN($C5,AG$4+1)-MAX($B5,AG$4))</f>
        <v/>
      </c>
      <c r="AH5">
        <f>MAX(0,MIN($C5,AH$4+1)-MAX($B5,AH$4))</f>
        <v/>
      </c>
      <c r="AI5">
        <f>MAX(0,MIN($C5,AI$4+1)-MAX($B5,AI$4))</f>
        <v/>
      </c>
      <c r="AJ5">
        <f>MAX(0,MIN($C5,AJ$4+1)-MAX($B5,AJ$4))</f>
        <v/>
      </c>
      <c r="AK5">
        <f>MAX(0,MIN($C5,AK$4+1)-MAX($B5,AK$4))</f>
        <v/>
      </c>
      <c r="AL5">
        <f>MAX(0,MIN($C5,AL$4+1)-MAX($B5,AL$4))</f>
        <v/>
      </c>
      <c r="AM5">
        <f>MAX(0,MIN($C5,AM$4+1)-MAX($B5,AM$4))</f>
        <v/>
      </c>
      <c r="AN5" t="inlineStr">
        <is>
          <t>Graduación RN-BSN</t>
        </is>
      </c>
      <c r="AO5" s="3" t="n">
        <v>2027.5</v>
      </c>
      <c r="AP5" s="3" t="n">
        <v>0</v>
      </c>
    </row>
    <row r="6">
      <c r="A6" t="inlineStr">
        <is>
          <t>Case manager RN (BSN)</t>
        </is>
      </c>
      <c r="B6" s="3" t="n">
        <v>2027.5</v>
      </c>
      <c r="C6" s="3" t="n">
        <v>2027.75</v>
      </c>
      <c r="D6" t="inlineStr">
        <is>
          <t>cm</t>
        </is>
      </c>
      <c r="E6">
        <f>personal_tarifaHora*2080*loc_factorRN/ubic_miami_factorRN</f>
        <v/>
      </c>
      <c r="F6">
        <f>roles_cm_aumento</f>
        <v/>
      </c>
      <c r="G6">
        <f>personal_horasSemana/40</f>
        <v/>
      </c>
      <c r="H6">
        <f>1+personal_bsnAumento</f>
        <v/>
      </c>
      <c r="I6" s="3" t="n">
        <v>0</v>
      </c>
      <c r="J6" s="3" t="n">
        <v>0</v>
      </c>
      <c r="K6" s="3" t="n">
        <v>0</v>
      </c>
      <c r="L6" s="3" t="n">
        <v>1</v>
      </c>
      <c r="M6" s="3" t="n">
        <v>1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  <c r="T6">
        <f>MAX(0,MIN($C6,T$4+1)-MAX($B6,T$4))</f>
        <v/>
      </c>
      <c r="U6">
        <f>MAX(0,MIN($C6,U$4+1)-MAX($B6,U$4))</f>
        <v/>
      </c>
      <c r="V6">
        <f>MAX(0,MIN($C6,V$4+1)-MAX($B6,V$4))</f>
        <v/>
      </c>
      <c r="W6">
        <f>MAX(0,MIN($C6,W$4+1)-MAX($B6,W$4))</f>
        <v/>
      </c>
      <c r="X6">
        <f>MAX(0,MIN($C6,X$4+1)-MAX($B6,X$4))</f>
        <v/>
      </c>
      <c r="Y6">
        <f>MAX(0,MIN($C6,Y$4+1)-MAX($B6,Y$4))</f>
        <v/>
      </c>
      <c r="Z6">
        <f>MAX(0,MIN($C6,Z$4+1)-MAX($B6,Z$4))</f>
        <v/>
      </c>
      <c r="AA6">
        <f>MAX(0,MIN($C6,AA$4+1)-MAX($B6,AA$4))</f>
        <v/>
      </c>
      <c r="AB6">
        <f>MAX(0,MIN($C6,AB$4+1)-MAX($B6,AB$4))</f>
        <v/>
      </c>
      <c r="AC6">
        <f>MAX(0,MIN($C6,AC$4+1)-MAX($B6,AC$4))</f>
        <v/>
      </c>
      <c r="AD6">
        <f>MAX(0,MIN($C6,AD$4+1)-MAX($B6,AD$4))</f>
        <v/>
      </c>
      <c r="AE6">
        <f>MAX(0,MIN($C6,AE$4+1)-MAX($B6,AE$4))</f>
        <v/>
      </c>
      <c r="AF6">
        <f>MAX(0,MIN($C6,AF$4+1)-MAX($B6,AF$4))</f>
        <v/>
      </c>
      <c r="AG6">
        <f>MAX(0,MIN($C6,AG$4+1)-MAX($B6,AG$4))</f>
        <v/>
      </c>
      <c r="AH6">
        <f>MAX(0,MIN($C6,AH$4+1)-MAX($B6,AH$4))</f>
        <v/>
      </c>
      <c r="AI6">
        <f>MAX(0,MIN($C6,AI$4+1)-MAX($B6,AI$4))</f>
        <v/>
      </c>
      <c r="AJ6">
        <f>MAX(0,MIN($C6,AJ$4+1)-MAX($B6,AJ$4))</f>
        <v/>
      </c>
      <c r="AK6">
        <f>MAX(0,MIN($C6,AK$4+1)-MAX($B6,AK$4))</f>
        <v/>
      </c>
      <c r="AL6">
        <f>MAX(0,MIN($C6,AL$4+1)-MAX($B6,AL$4))</f>
        <v/>
      </c>
      <c r="AM6">
        <f>MAX(0,MIN($C6,AM$4+1)-MAX($B6,AM$4))</f>
        <v/>
      </c>
      <c r="AN6" t="inlineStr">
        <is>
          <t>Matrícula restante BSN</t>
        </is>
      </c>
      <c r="AO6" s="3" t="n">
        <v>2027</v>
      </c>
      <c r="AP6" s="3">
        <f>personal_bsnCostoRestante</f>
        <v/>
      </c>
    </row>
    <row r="7">
      <c r="A7" t="inlineStr">
        <is>
          <t>ICU (programa de transición, años 1-2)</t>
        </is>
      </c>
      <c r="B7" s="3" t="n">
        <v>2027.75</v>
      </c>
      <c r="C7" s="3" t="n">
        <v>2029.75</v>
      </c>
      <c r="D7" t="inlineStr">
        <is>
          <t>icuNuevo</t>
        </is>
      </c>
      <c r="E7">
        <f>roles_icuNuevo_base*loc_factorRN</f>
        <v/>
      </c>
      <c r="F7">
        <f>roles_icuNuevo_aumento</f>
        <v/>
      </c>
      <c r="G7" s="3" t="n">
        <v>1</v>
      </c>
      <c r="H7" s="3" t="n">
        <v>1</v>
      </c>
      <c r="I7">
        <f>tiempos_bonoFirmaICU</f>
        <v/>
      </c>
      <c r="J7" s="3" t="n">
        <v>0</v>
      </c>
      <c r="K7" s="3" t="n">
        <v>0</v>
      </c>
      <c r="L7" s="3" t="n">
        <v>1</v>
      </c>
      <c r="M7" s="3" t="n">
        <v>1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T7">
        <f>MAX(0,MIN($C7,T$4+1)-MAX($B7,T$4))</f>
        <v/>
      </c>
      <c r="U7">
        <f>MAX(0,MIN($C7,U$4+1)-MAX($B7,U$4))</f>
        <v/>
      </c>
      <c r="V7">
        <f>MAX(0,MIN($C7,V$4+1)-MAX($B7,V$4))</f>
        <v/>
      </c>
      <c r="W7">
        <f>MAX(0,MIN($C7,W$4+1)-MAX($B7,W$4))</f>
        <v/>
      </c>
      <c r="X7">
        <f>MAX(0,MIN($C7,X$4+1)-MAX($B7,X$4))</f>
        <v/>
      </c>
      <c r="Y7">
        <f>MAX(0,MIN($C7,Y$4+1)-MAX($B7,Y$4))</f>
        <v/>
      </c>
      <c r="Z7">
        <f>MAX(0,MIN($C7,Z$4+1)-MAX($B7,Z$4))</f>
        <v/>
      </c>
      <c r="AA7">
        <f>MAX(0,MIN($C7,AA$4+1)-MAX($B7,AA$4))</f>
        <v/>
      </c>
      <c r="AB7">
        <f>MAX(0,MIN($C7,AB$4+1)-MAX($B7,AB$4))</f>
        <v/>
      </c>
      <c r="AC7">
        <f>MAX(0,MIN($C7,AC$4+1)-MAX($B7,AC$4))</f>
        <v/>
      </c>
      <c r="AD7">
        <f>MAX(0,MIN($C7,AD$4+1)-MAX($B7,AD$4))</f>
        <v/>
      </c>
      <c r="AE7">
        <f>MAX(0,MIN($C7,AE$4+1)-MAX($B7,AE$4))</f>
        <v/>
      </c>
      <c r="AF7">
        <f>MAX(0,MIN($C7,AF$4+1)-MAX($B7,AF$4))</f>
        <v/>
      </c>
      <c r="AG7">
        <f>MAX(0,MIN($C7,AG$4+1)-MAX($B7,AG$4))</f>
        <v/>
      </c>
      <c r="AH7">
        <f>MAX(0,MIN($C7,AH$4+1)-MAX($B7,AH$4))</f>
        <v/>
      </c>
      <c r="AI7">
        <f>MAX(0,MIN($C7,AI$4+1)-MAX($B7,AI$4))</f>
        <v/>
      </c>
      <c r="AJ7">
        <f>MAX(0,MIN($C7,AJ$4+1)-MAX($B7,AJ$4))</f>
        <v/>
      </c>
      <c r="AK7">
        <f>MAX(0,MIN($C7,AK$4+1)-MAX($B7,AK$4))</f>
        <v/>
      </c>
      <c r="AL7">
        <f>MAX(0,MIN($C7,AL$4+1)-MAX($B7,AL$4))</f>
        <v/>
      </c>
      <c r="AM7">
        <f>MAX(0,MIN($C7,AM$4+1)-MAX($B7,AM$4))</f>
        <v/>
      </c>
      <c r="AN7" t="inlineStr">
        <is>
          <t>Entra a ICU</t>
        </is>
      </c>
      <c r="AO7" s="3" t="n">
        <v>2027.75</v>
      </c>
      <c r="AP7" s="3" t="n">
        <v>0</v>
      </c>
    </row>
    <row r="8">
      <c r="A8" t="inlineStr">
        <is>
          <t>ICU experimentado</t>
        </is>
      </c>
      <c r="B8" s="3" t="n">
        <v>2029.75</v>
      </c>
      <c r="C8" s="3" t="n">
        <v>2030.25</v>
      </c>
      <c r="D8" t="inlineStr">
        <is>
          <t>icuExp</t>
        </is>
      </c>
      <c r="E8">
        <f>roles_icuExp_base*loc_factorRN</f>
        <v/>
      </c>
      <c r="F8">
        <f>roles_icuExp_aumento</f>
        <v/>
      </c>
      <c r="G8" s="3" t="n">
        <v>1</v>
      </c>
      <c r="H8" s="3" t="n">
        <v>1</v>
      </c>
      <c r="I8" s="3" t="n">
        <v>0</v>
      </c>
      <c r="J8" s="3" t="n">
        <v>0</v>
      </c>
      <c r="K8" s="3" t="n">
        <v>0</v>
      </c>
      <c r="L8" s="3" t="n">
        <v>1</v>
      </c>
      <c r="M8" s="3" t="n">
        <v>1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T8">
        <f>MAX(0,MIN($C8,T$4+1)-MAX($B8,T$4))</f>
        <v/>
      </c>
      <c r="U8">
        <f>MAX(0,MIN($C8,U$4+1)-MAX($B8,U$4))</f>
        <v/>
      </c>
      <c r="V8">
        <f>MAX(0,MIN($C8,V$4+1)-MAX($B8,V$4))</f>
        <v/>
      </c>
      <c r="W8">
        <f>MAX(0,MIN($C8,W$4+1)-MAX($B8,W$4))</f>
        <v/>
      </c>
      <c r="X8">
        <f>MAX(0,MIN($C8,X$4+1)-MAX($B8,X$4))</f>
        <v/>
      </c>
      <c r="Y8">
        <f>MAX(0,MIN($C8,Y$4+1)-MAX($B8,Y$4))</f>
        <v/>
      </c>
      <c r="Z8">
        <f>MAX(0,MIN($C8,Z$4+1)-MAX($B8,Z$4))</f>
        <v/>
      </c>
      <c r="AA8">
        <f>MAX(0,MIN($C8,AA$4+1)-MAX($B8,AA$4))</f>
        <v/>
      </c>
      <c r="AB8">
        <f>MAX(0,MIN($C8,AB$4+1)-MAX($B8,AB$4))</f>
        <v/>
      </c>
      <c r="AC8">
        <f>MAX(0,MIN($C8,AC$4+1)-MAX($B8,AC$4))</f>
        <v/>
      </c>
      <c r="AD8">
        <f>MAX(0,MIN($C8,AD$4+1)-MAX($B8,AD$4))</f>
        <v/>
      </c>
      <c r="AE8">
        <f>MAX(0,MIN($C8,AE$4+1)-MAX($B8,AE$4))</f>
        <v/>
      </c>
      <c r="AF8">
        <f>MAX(0,MIN($C8,AF$4+1)-MAX($B8,AF$4))</f>
        <v/>
      </c>
      <c r="AG8">
        <f>MAX(0,MIN($C8,AG$4+1)-MAX($B8,AG$4))</f>
        <v/>
      </c>
      <c r="AH8">
        <f>MAX(0,MIN($C8,AH$4+1)-MAX($B8,AH$4))</f>
        <v/>
      </c>
      <c r="AI8">
        <f>MAX(0,MIN($C8,AI$4+1)-MAX($B8,AI$4))</f>
        <v/>
      </c>
      <c r="AJ8">
        <f>MAX(0,MIN($C8,AJ$4+1)-MAX($B8,AJ$4))</f>
        <v/>
      </c>
      <c r="AK8">
        <f>MAX(0,MIN($C8,AK$4+1)-MAX($B8,AK$4))</f>
        <v/>
      </c>
      <c r="AL8">
        <f>MAX(0,MIN($C8,AL$4+1)-MAX($B8,AL$4))</f>
        <v/>
      </c>
      <c r="AM8">
        <f>MAX(0,MIN($C8,AM$4+1)-MAX($B8,AM$4))</f>
        <v/>
      </c>
      <c r="AN8" t="inlineStr">
        <is>
          <t>CCRN + aplicaciones CRNA</t>
        </is>
      </c>
      <c r="AO8" s="3" t="n">
        <v>2029.65</v>
      </c>
      <c r="AP8" s="3" t="n">
        <v>1500</v>
      </c>
    </row>
    <row r="9">
      <c r="A9" t="inlineStr">
        <is>
          <t>DNP-CRNA (sin trabajar)</t>
        </is>
      </c>
      <c r="B9" s="3" t="n">
        <v>2030.25</v>
      </c>
      <c r="C9" s="3" t="n">
        <v>2033.25</v>
      </c>
      <c r="D9" t="inlineStr"/>
      <c r="E9" t="n">
        <v>0</v>
      </c>
      <c r="F9" t="n">
        <v>0</v>
      </c>
      <c r="G9" s="3" t="n">
        <v>1</v>
      </c>
      <c r="H9" s="3" t="n">
        <v>1</v>
      </c>
      <c r="I9" s="3" t="n">
        <v>0</v>
      </c>
      <c r="J9">
        <f>tiempos_crnaMatricula</f>
        <v/>
      </c>
      <c r="K9" s="3" t="n">
        <v>1</v>
      </c>
      <c r="L9" s="3" t="n">
        <v>0</v>
      </c>
      <c r="M9" s="3" t="n">
        <v>0</v>
      </c>
      <c r="N9" s="3" t="n">
        <v>0</v>
      </c>
      <c r="O9" s="3" t="n">
        <v>0</v>
      </c>
      <c r="P9" s="3" t="n">
        <v>0</v>
      </c>
      <c r="Q9" s="3" t="n">
        <v>0</v>
      </c>
      <c r="R9" s="3" t="n">
        <v>0</v>
      </c>
      <c r="T9">
        <f>MAX(0,MIN($C9,T$4+1)-MAX($B9,T$4))</f>
        <v/>
      </c>
      <c r="U9">
        <f>MAX(0,MIN($C9,U$4+1)-MAX($B9,U$4))</f>
        <v/>
      </c>
      <c r="V9">
        <f>MAX(0,MIN($C9,V$4+1)-MAX($B9,V$4))</f>
        <v/>
      </c>
      <c r="W9">
        <f>MAX(0,MIN($C9,W$4+1)-MAX($B9,W$4))</f>
        <v/>
      </c>
      <c r="X9">
        <f>MAX(0,MIN($C9,X$4+1)-MAX($B9,X$4))</f>
        <v/>
      </c>
      <c r="Y9">
        <f>MAX(0,MIN($C9,Y$4+1)-MAX($B9,Y$4))</f>
        <v/>
      </c>
      <c r="Z9">
        <f>MAX(0,MIN($C9,Z$4+1)-MAX($B9,Z$4))</f>
        <v/>
      </c>
      <c r="AA9">
        <f>MAX(0,MIN($C9,AA$4+1)-MAX($B9,AA$4))</f>
        <v/>
      </c>
      <c r="AB9">
        <f>MAX(0,MIN($C9,AB$4+1)-MAX($B9,AB$4))</f>
        <v/>
      </c>
      <c r="AC9">
        <f>MAX(0,MIN($C9,AC$4+1)-MAX($B9,AC$4))</f>
        <v/>
      </c>
      <c r="AD9">
        <f>MAX(0,MIN($C9,AD$4+1)-MAX($B9,AD$4))</f>
        <v/>
      </c>
      <c r="AE9">
        <f>MAX(0,MIN($C9,AE$4+1)-MAX($B9,AE$4))</f>
        <v/>
      </c>
      <c r="AF9">
        <f>MAX(0,MIN($C9,AF$4+1)-MAX($B9,AF$4))</f>
        <v/>
      </c>
      <c r="AG9">
        <f>MAX(0,MIN($C9,AG$4+1)-MAX($B9,AG$4))</f>
        <v/>
      </c>
      <c r="AH9">
        <f>MAX(0,MIN($C9,AH$4+1)-MAX($B9,AH$4))</f>
        <v/>
      </c>
      <c r="AI9">
        <f>MAX(0,MIN($C9,AI$4+1)-MAX($B9,AI$4))</f>
        <v/>
      </c>
      <c r="AJ9">
        <f>MAX(0,MIN($C9,AJ$4+1)-MAX($B9,AJ$4))</f>
        <v/>
      </c>
      <c r="AK9">
        <f>MAX(0,MIN($C9,AK$4+1)-MAX($B9,AK$4))</f>
        <v/>
      </c>
      <c r="AL9">
        <f>MAX(0,MIN($C9,AL$4+1)-MAX($B9,AL$4))</f>
        <v/>
      </c>
      <c r="AM9">
        <f>MAX(0,MIN($C9,AM$4+1)-MAX($B9,AM$4))</f>
        <v/>
      </c>
      <c r="AN9" t="inlineStr">
        <is>
          <t>Inicia DNP-CRNA</t>
        </is>
      </c>
      <c r="AO9" s="3" t="n">
        <v>2030.25</v>
      </c>
      <c r="AP9" s="3" t="n">
        <v>0</v>
      </c>
    </row>
    <row r="10">
      <c r="A10" t="inlineStr">
        <is>
          <t>CRNA</t>
        </is>
      </c>
      <c r="B10" s="3" t="n">
        <v>2033.25</v>
      </c>
      <c r="C10" s="3" t="n">
        <v>2048</v>
      </c>
      <c r="D10" t="inlineStr">
        <is>
          <t>crna</t>
        </is>
      </c>
      <c r="E10">
        <f>roles_crna_base*(1+(loc_factorRN-1)*0.5)</f>
        <v/>
      </c>
      <c r="F10">
        <f>roles_crna_aumento</f>
        <v/>
      </c>
      <c r="G10" s="3" t="n">
        <v>1</v>
      </c>
      <c r="H10" s="3" t="n">
        <v>1</v>
      </c>
      <c r="I10" s="3" t="n">
        <v>0</v>
      </c>
      <c r="J10" s="3" t="n">
        <v>0</v>
      </c>
      <c r="K10" s="3" t="n">
        <v>0</v>
      </c>
      <c r="L10">
        <f>tiempos_crnaPslf</f>
        <v/>
      </c>
      <c r="M10" s="3" t="n">
        <v>1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T10">
        <f>MAX(0,MIN($C10,T$4+1)-MAX($B10,T$4))</f>
        <v/>
      </c>
      <c r="U10">
        <f>MAX(0,MIN($C10,U$4+1)-MAX($B10,U$4))</f>
        <v/>
      </c>
      <c r="V10">
        <f>MAX(0,MIN($C10,V$4+1)-MAX($B10,V$4))</f>
        <v/>
      </c>
      <c r="W10">
        <f>MAX(0,MIN($C10,W$4+1)-MAX($B10,W$4))</f>
        <v/>
      </c>
      <c r="X10">
        <f>MAX(0,MIN($C10,X$4+1)-MAX($B10,X$4))</f>
        <v/>
      </c>
      <c r="Y10">
        <f>MAX(0,MIN($C10,Y$4+1)-MAX($B10,Y$4))</f>
        <v/>
      </c>
      <c r="Z10">
        <f>MAX(0,MIN($C10,Z$4+1)-MAX($B10,Z$4))</f>
        <v/>
      </c>
      <c r="AA10">
        <f>MAX(0,MIN($C10,AA$4+1)-MAX($B10,AA$4))</f>
        <v/>
      </c>
      <c r="AB10">
        <f>MAX(0,MIN($C10,AB$4+1)-MAX($B10,AB$4))</f>
        <v/>
      </c>
      <c r="AC10">
        <f>MAX(0,MIN($C10,AC$4+1)-MAX($B10,AC$4))</f>
        <v/>
      </c>
      <c r="AD10">
        <f>MAX(0,MIN($C10,AD$4+1)-MAX($B10,AD$4))</f>
        <v/>
      </c>
      <c r="AE10">
        <f>MAX(0,MIN($C10,AE$4+1)-MAX($B10,AE$4))</f>
        <v/>
      </c>
      <c r="AF10">
        <f>MAX(0,MIN($C10,AF$4+1)-MAX($B10,AF$4))</f>
        <v/>
      </c>
      <c r="AG10">
        <f>MAX(0,MIN($C10,AG$4+1)-MAX($B10,AG$4))</f>
        <v/>
      </c>
      <c r="AH10">
        <f>MAX(0,MIN($C10,AH$4+1)-MAX($B10,AH$4))</f>
        <v/>
      </c>
      <c r="AI10">
        <f>MAX(0,MIN($C10,AI$4+1)-MAX($B10,AI$4))</f>
        <v/>
      </c>
      <c r="AJ10">
        <f>MAX(0,MIN($C10,AJ$4+1)-MAX($B10,AJ$4))</f>
        <v/>
      </c>
      <c r="AK10">
        <f>MAX(0,MIN($C10,AK$4+1)-MAX($B10,AK$4))</f>
        <v/>
      </c>
      <c r="AL10">
        <f>MAX(0,MIN($C10,AL$4+1)-MAX($B10,AL$4))</f>
        <v/>
      </c>
      <c r="AM10">
        <f>MAX(0,MIN($C10,AM$4+1)-MAX($B10,AM$4))</f>
        <v/>
      </c>
      <c r="AN10" t="inlineStr">
        <is>
          <t>Certificación NBCRNA</t>
        </is>
      </c>
      <c r="AO10" s="3" t="n">
        <v>2033.25</v>
      </c>
      <c r="AP10" s="3" t="n">
        <v>1285</v>
      </c>
    </row>
    <row r="11">
      <c r="A11" t="inlineStr"/>
      <c r="B11" s="3" t="n">
        <v>0</v>
      </c>
      <c r="C11" s="3" t="n">
        <v>0</v>
      </c>
      <c r="D11" t="inlineStr"/>
      <c r="E11" t="n">
        <v>0</v>
      </c>
      <c r="F11" t="n">
        <v>0</v>
      </c>
      <c r="G11" s="3" t="n">
        <v>0</v>
      </c>
      <c r="H11" s="3" t="n">
        <v>0</v>
      </c>
      <c r="I11" s="3" t="n">
        <v>0</v>
      </c>
      <c r="J11" s="3" t="n">
        <v>0</v>
      </c>
      <c r="K11" s="3" t="n">
        <v>0</v>
      </c>
      <c r="L11" s="3" t="n">
        <v>0</v>
      </c>
      <c r="M11" s="3" t="n">
        <v>0</v>
      </c>
      <c r="N11" s="3" t="n">
        <v>0</v>
      </c>
      <c r="O11" s="3" t="n">
        <v>0</v>
      </c>
      <c r="P11" s="3" t="n">
        <v>0</v>
      </c>
      <c r="Q11" s="3" t="n">
        <v>0</v>
      </c>
      <c r="R11" s="3" t="n">
        <v>0</v>
      </c>
      <c r="T11">
        <f>MAX(0,MIN($C11,T$4+1)-MAX($B11,T$4))</f>
        <v/>
      </c>
      <c r="U11">
        <f>MAX(0,MIN($C11,U$4+1)-MAX($B11,U$4))</f>
        <v/>
      </c>
      <c r="V11">
        <f>MAX(0,MIN($C11,V$4+1)-MAX($B11,V$4))</f>
        <v/>
      </c>
      <c r="W11">
        <f>MAX(0,MIN($C11,W$4+1)-MAX($B11,W$4))</f>
        <v/>
      </c>
      <c r="X11">
        <f>MAX(0,MIN($C11,X$4+1)-MAX($B11,X$4))</f>
        <v/>
      </c>
      <c r="Y11">
        <f>MAX(0,MIN($C11,Y$4+1)-MAX($B11,Y$4))</f>
        <v/>
      </c>
      <c r="Z11">
        <f>MAX(0,MIN($C11,Z$4+1)-MAX($B11,Z$4))</f>
        <v/>
      </c>
      <c r="AA11">
        <f>MAX(0,MIN($C11,AA$4+1)-MAX($B11,AA$4))</f>
        <v/>
      </c>
      <c r="AB11">
        <f>MAX(0,MIN($C11,AB$4+1)-MAX($B11,AB$4))</f>
        <v/>
      </c>
      <c r="AC11">
        <f>MAX(0,MIN($C11,AC$4+1)-MAX($B11,AC$4))</f>
        <v/>
      </c>
      <c r="AD11">
        <f>MAX(0,MIN($C11,AD$4+1)-MAX($B11,AD$4))</f>
        <v/>
      </c>
      <c r="AE11">
        <f>MAX(0,MIN($C11,AE$4+1)-MAX($B11,AE$4))</f>
        <v/>
      </c>
      <c r="AF11">
        <f>MAX(0,MIN($C11,AF$4+1)-MAX($B11,AF$4))</f>
        <v/>
      </c>
      <c r="AG11">
        <f>MAX(0,MIN($C11,AG$4+1)-MAX($B11,AG$4))</f>
        <v/>
      </c>
      <c r="AH11">
        <f>MAX(0,MIN($C11,AH$4+1)-MAX($B11,AH$4))</f>
        <v/>
      </c>
      <c r="AI11">
        <f>MAX(0,MIN($C11,AI$4+1)-MAX($B11,AI$4))</f>
        <v/>
      </c>
      <c r="AJ11">
        <f>MAX(0,MIN($C11,AJ$4+1)-MAX($B11,AJ$4))</f>
        <v/>
      </c>
      <c r="AK11">
        <f>MAX(0,MIN($C11,AK$4+1)-MAX($B11,AK$4))</f>
        <v/>
      </c>
      <c r="AL11">
        <f>MAX(0,MIN($C11,AL$4+1)-MAX($B11,AL$4))</f>
        <v/>
      </c>
      <c r="AM11">
        <f>MAX(0,MIN($C11,AM$4+1)-MAX($B11,AM$4))</f>
        <v/>
      </c>
      <c r="AO11" t="n">
        <v>0</v>
      </c>
      <c r="AP11" t="n">
        <v>0</v>
      </c>
    </row>
    <row r="12">
      <c r="A12" t="inlineStr"/>
      <c r="B12" s="3" t="n">
        <v>0</v>
      </c>
      <c r="C12" s="3" t="n">
        <v>0</v>
      </c>
      <c r="D12" t="inlineStr"/>
      <c r="E12" t="n">
        <v>0</v>
      </c>
      <c r="F12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T12">
        <f>MAX(0,MIN($C12,T$4+1)-MAX($B12,T$4))</f>
        <v/>
      </c>
      <c r="U12">
        <f>MAX(0,MIN($C12,U$4+1)-MAX($B12,U$4))</f>
        <v/>
      </c>
      <c r="V12">
        <f>MAX(0,MIN($C12,V$4+1)-MAX($B12,V$4))</f>
        <v/>
      </c>
      <c r="W12">
        <f>MAX(0,MIN($C12,W$4+1)-MAX($B12,W$4))</f>
        <v/>
      </c>
      <c r="X12">
        <f>MAX(0,MIN($C12,X$4+1)-MAX($B12,X$4))</f>
        <v/>
      </c>
      <c r="Y12">
        <f>MAX(0,MIN($C12,Y$4+1)-MAX($B12,Y$4))</f>
        <v/>
      </c>
      <c r="Z12">
        <f>MAX(0,MIN($C12,Z$4+1)-MAX($B12,Z$4))</f>
        <v/>
      </c>
      <c r="AA12">
        <f>MAX(0,MIN($C12,AA$4+1)-MAX($B12,AA$4))</f>
        <v/>
      </c>
      <c r="AB12">
        <f>MAX(0,MIN($C12,AB$4+1)-MAX($B12,AB$4))</f>
        <v/>
      </c>
      <c r="AC12">
        <f>MAX(0,MIN($C12,AC$4+1)-MAX($B12,AC$4))</f>
        <v/>
      </c>
      <c r="AD12">
        <f>MAX(0,MIN($C12,AD$4+1)-MAX($B12,AD$4))</f>
        <v/>
      </c>
      <c r="AE12">
        <f>MAX(0,MIN($C12,AE$4+1)-MAX($B12,AE$4))</f>
        <v/>
      </c>
      <c r="AF12">
        <f>MAX(0,MIN($C12,AF$4+1)-MAX($B12,AF$4))</f>
        <v/>
      </c>
      <c r="AG12">
        <f>MAX(0,MIN($C12,AG$4+1)-MAX($B12,AG$4))</f>
        <v/>
      </c>
      <c r="AH12">
        <f>MAX(0,MIN($C12,AH$4+1)-MAX($B12,AH$4))</f>
        <v/>
      </c>
      <c r="AI12">
        <f>MAX(0,MIN($C12,AI$4+1)-MAX($B12,AI$4))</f>
        <v/>
      </c>
      <c r="AJ12">
        <f>MAX(0,MIN($C12,AJ$4+1)-MAX($B12,AJ$4))</f>
        <v/>
      </c>
      <c r="AK12">
        <f>MAX(0,MIN($C12,AK$4+1)-MAX($B12,AK$4))</f>
        <v/>
      </c>
      <c r="AL12">
        <f>MAX(0,MIN($C12,AL$4+1)-MAX($B12,AL$4))</f>
        <v/>
      </c>
      <c r="AM12">
        <f>MAX(0,MIN($C12,AM$4+1)-MAX($B12,AM$4))</f>
        <v/>
      </c>
      <c r="AO12" t="n">
        <v>0</v>
      </c>
      <c r="AP12" t="n">
        <v>0</v>
      </c>
    </row>
    <row r="13">
      <c r="A13" t="inlineStr"/>
      <c r="B13" s="3" t="n">
        <v>0</v>
      </c>
      <c r="C13" s="3" t="n">
        <v>0</v>
      </c>
      <c r="D13" t="inlineStr"/>
      <c r="E13" t="n">
        <v>0</v>
      </c>
      <c r="F1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T13">
        <f>MAX(0,MIN($C13,T$4+1)-MAX($B13,T$4))</f>
        <v/>
      </c>
      <c r="U13">
        <f>MAX(0,MIN($C13,U$4+1)-MAX($B13,U$4))</f>
        <v/>
      </c>
      <c r="V13">
        <f>MAX(0,MIN($C13,V$4+1)-MAX($B13,V$4))</f>
        <v/>
      </c>
      <c r="W13">
        <f>MAX(0,MIN($C13,W$4+1)-MAX($B13,W$4))</f>
        <v/>
      </c>
      <c r="X13">
        <f>MAX(0,MIN($C13,X$4+1)-MAX($B13,X$4))</f>
        <v/>
      </c>
      <c r="Y13">
        <f>MAX(0,MIN($C13,Y$4+1)-MAX($B13,Y$4))</f>
        <v/>
      </c>
      <c r="Z13">
        <f>MAX(0,MIN($C13,Z$4+1)-MAX($B13,Z$4))</f>
        <v/>
      </c>
      <c r="AA13">
        <f>MAX(0,MIN($C13,AA$4+1)-MAX($B13,AA$4))</f>
        <v/>
      </c>
      <c r="AB13">
        <f>MAX(0,MIN($C13,AB$4+1)-MAX($B13,AB$4))</f>
        <v/>
      </c>
      <c r="AC13">
        <f>MAX(0,MIN($C13,AC$4+1)-MAX($B13,AC$4))</f>
        <v/>
      </c>
      <c r="AD13">
        <f>MAX(0,MIN($C13,AD$4+1)-MAX($B13,AD$4))</f>
        <v/>
      </c>
      <c r="AE13">
        <f>MAX(0,MIN($C13,AE$4+1)-MAX($B13,AE$4))</f>
        <v/>
      </c>
      <c r="AF13">
        <f>MAX(0,MIN($C13,AF$4+1)-MAX($B13,AF$4))</f>
        <v/>
      </c>
      <c r="AG13">
        <f>MAX(0,MIN($C13,AG$4+1)-MAX($B13,AG$4))</f>
        <v/>
      </c>
      <c r="AH13">
        <f>MAX(0,MIN($C13,AH$4+1)-MAX($B13,AH$4))</f>
        <v/>
      </c>
      <c r="AI13">
        <f>MAX(0,MIN($C13,AI$4+1)-MAX($B13,AI$4))</f>
        <v/>
      </c>
      <c r="AJ13">
        <f>MAX(0,MIN($C13,AJ$4+1)-MAX($B13,AJ$4))</f>
        <v/>
      </c>
      <c r="AK13">
        <f>MAX(0,MIN($C13,AK$4+1)-MAX($B13,AK$4))</f>
        <v/>
      </c>
      <c r="AL13">
        <f>MAX(0,MIN($C13,AL$4+1)-MAX($B13,AL$4))</f>
        <v/>
      </c>
      <c r="AM13">
        <f>MAX(0,MIN($C13,AM$4+1)-MAX($B13,AM$4))</f>
        <v/>
      </c>
      <c r="AO13" t="n">
        <v>0</v>
      </c>
      <c r="AP13" t="n">
        <v>0</v>
      </c>
    </row>
    <row r="14">
      <c r="A14" t="inlineStr"/>
      <c r="B14" s="3" t="n">
        <v>0</v>
      </c>
      <c r="C14" s="3" t="n">
        <v>0</v>
      </c>
      <c r="D14" t="inlineStr"/>
      <c r="E14" t="n">
        <v>0</v>
      </c>
      <c r="F14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T14">
        <f>MAX(0,MIN($C14,T$4+1)-MAX($B14,T$4))</f>
        <v/>
      </c>
      <c r="U14">
        <f>MAX(0,MIN($C14,U$4+1)-MAX($B14,U$4))</f>
        <v/>
      </c>
      <c r="V14">
        <f>MAX(0,MIN($C14,V$4+1)-MAX($B14,V$4))</f>
        <v/>
      </c>
      <c r="W14">
        <f>MAX(0,MIN($C14,W$4+1)-MAX($B14,W$4))</f>
        <v/>
      </c>
      <c r="X14">
        <f>MAX(0,MIN($C14,X$4+1)-MAX($B14,X$4))</f>
        <v/>
      </c>
      <c r="Y14">
        <f>MAX(0,MIN($C14,Y$4+1)-MAX($B14,Y$4))</f>
        <v/>
      </c>
      <c r="Z14">
        <f>MAX(0,MIN($C14,Z$4+1)-MAX($B14,Z$4))</f>
        <v/>
      </c>
      <c r="AA14">
        <f>MAX(0,MIN($C14,AA$4+1)-MAX($B14,AA$4))</f>
        <v/>
      </c>
      <c r="AB14">
        <f>MAX(0,MIN($C14,AB$4+1)-MAX($B14,AB$4))</f>
        <v/>
      </c>
      <c r="AC14">
        <f>MAX(0,MIN($C14,AC$4+1)-MAX($B14,AC$4))</f>
        <v/>
      </c>
      <c r="AD14">
        <f>MAX(0,MIN($C14,AD$4+1)-MAX($B14,AD$4))</f>
        <v/>
      </c>
      <c r="AE14">
        <f>MAX(0,MIN($C14,AE$4+1)-MAX($B14,AE$4))</f>
        <v/>
      </c>
      <c r="AF14">
        <f>MAX(0,MIN($C14,AF$4+1)-MAX($B14,AF$4))</f>
        <v/>
      </c>
      <c r="AG14">
        <f>MAX(0,MIN($C14,AG$4+1)-MAX($B14,AG$4))</f>
        <v/>
      </c>
      <c r="AH14">
        <f>MAX(0,MIN($C14,AH$4+1)-MAX($B14,AH$4))</f>
        <v/>
      </c>
      <c r="AI14">
        <f>MAX(0,MIN($C14,AI$4+1)-MAX($B14,AI$4))</f>
        <v/>
      </c>
      <c r="AJ14">
        <f>MAX(0,MIN($C14,AJ$4+1)-MAX($B14,AJ$4))</f>
        <v/>
      </c>
      <c r="AK14">
        <f>MAX(0,MIN($C14,AK$4+1)-MAX($B14,AK$4))</f>
        <v/>
      </c>
      <c r="AL14">
        <f>MAX(0,MIN($C14,AL$4+1)-MAX($B14,AL$4))</f>
        <v/>
      </c>
      <c r="AM14">
        <f>MAX(0,MIN($C14,AM$4+1)-MAX($B14,AM$4))</f>
        <v/>
      </c>
      <c r="AO14" t="n">
        <v>0</v>
      </c>
      <c r="AP14" t="n">
        <v>0</v>
      </c>
    </row>
    <row r="15">
      <c r="A15" t="inlineStr"/>
      <c r="B15" s="3" t="n">
        <v>0</v>
      </c>
      <c r="C15" s="3" t="n">
        <v>0</v>
      </c>
      <c r="D15" t="inlineStr"/>
      <c r="E15" t="n">
        <v>0</v>
      </c>
      <c r="F15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T15">
        <f>MAX(0,MIN($C15,T$4+1)-MAX($B15,T$4))</f>
        <v/>
      </c>
      <c r="U15">
        <f>MAX(0,MIN($C15,U$4+1)-MAX($B15,U$4))</f>
        <v/>
      </c>
      <c r="V15">
        <f>MAX(0,MIN($C15,V$4+1)-MAX($B15,V$4))</f>
        <v/>
      </c>
      <c r="W15">
        <f>MAX(0,MIN($C15,W$4+1)-MAX($B15,W$4))</f>
        <v/>
      </c>
      <c r="X15">
        <f>MAX(0,MIN($C15,X$4+1)-MAX($B15,X$4))</f>
        <v/>
      </c>
      <c r="Y15">
        <f>MAX(0,MIN($C15,Y$4+1)-MAX($B15,Y$4))</f>
        <v/>
      </c>
      <c r="Z15">
        <f>MAX(0,MIN($C15,Z$4+1)-MAX($B15,Z$4))</f>
        <v/>
      </c>
      <c r="AA15">
        <f>MAX(0,MIN($C15,AA$4+1)-MAX($B15,AA$4))</f>
        <v/>
      </c>
      <c r="AB15">
        <f>MAX(0,MIN($C15,AB$4+1)-MAX($B15,AB$4))</f>
        <v/>
      </c>
      <c r="AC15">
        <f>MAX(0,MIN($C15,AC$4+1)-MAX($B15,AC$4))</f>
        <v/>
      </c>
      <c r="AD15">
        <f>MAX(0,MIN($C15,AD$4+1)-MAX($B15,AD$4))</f>
        <v/>
      </c>
      <c r="AE15">
        <f>MAX(0,MIN($C15,AE$4+1)-MAX($B15,AE$4))</f>
        <v/>
      </c>
      <c r="AF15">
        <f>MAX(0,MIN($C15,AF$4+1)-MAX($B15,AF$4))</f>
        <v/>
      </c>
      <c r="AG15">
        <f>MAX(0,MIN($C15,AG$4+1)-MAX($B15,AG$4))</f>
        <v/>
      </c>
      <c r="AH15">
        <f>MAX(0,MIN($C15,AH$4+1)-MAX($B15,AH$4))</f>
        <v/>
      </c>
      <c r="AI15">
        <f>MAX(0,MIN($C15,AI$4+1)-MAX($B15,AI$4))</f>
        <v/>
      </c>
      <c r="AJ15">
        <f>MAX(0,MIN($C15,AJ$4+1)-MAX($B15,AJ$4))</f>
        <v/>
      </c>
      <c r="AK15">
        <f>MAX(0,MIN($C15,AK$4+1)-MAX($B15,AK$4))</f>
        <v/>
      </c>
      <c r="AL15">
        <f>MAX(0,MIN($C15,AL$4+1)-MAX($B15,AL$4))</f>
        <v/>
      </c>
      <c r="AM15">
        <f>MAX(0,MIN($C15,AM$4+1)-MAX($B15,AM$4))</f>
        <v/>
      </c>
      <c r="AO15" t="n">
        <v>0</v>
      </c>
      <c r="AP15" t="n">
        <v>0</v>
      </c>
    </row>
    <row r="16">
      <c r="A16" t="inlineStr"/>
      <c r="B16" s="3" t="n">
        <v>0</v>
      </c>
      <c r="C16" s="3" t="n">
        <v>0</v>
      </c>
      <c r="D16" t="inlineStr"/>
      <c r="E16" t="n">
        <v>0</v>
      </c>
      <c r="F16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0</v>
      </c>
      <c r="T16">
        <f>MAX(0,MIN($C16,T$4+1)-MAX($B16,T$4))</f>
        <v/>
      </c>
      <c r="U16">
        <f>MAX(0,MIN($C16,U$4+1)-MAX($B16,U$4))</f>
        <v/>
      </c>
      <c r="V16">
        <f>MAX(0,MIN($C16,V$4+1)-MAX($B16,V$4))</f>
        <v/>
      </c>
      <c r="W16">
        <f>MAX(0,MIN($C16,W$4+1)-MAX($B16,W$4))</f>
        <v/>
      </c>
      <c r="X16">
        <f>MAX(0,MIN($C16,X$4+1)-MAX($B16,X$4))</f>
        <v/>
      </c>
      <c r="Y16">
        <f>MAX(0,MIN($C16,Y$4+1)-MAX($B16,Y$4))</f>
        <v/>
      </c>
      <c r="Z16">
        <f>MAX(0,MIN($C16,Z$4+1)-MAX($B16,Z$4))</f>
        <v/>
      </c>
      <c r="AA16">
        <f>MAX(0,MIN($C16,AA$4+1)-MAX($B16,AA$4))</f>
        <v/>
      </c>
      <c r="AB16">
        <f>MAX(0,MIN($C16,AB$4+1)-MAX($B16,AB$4))</f>
        <v/>
      </c>
      <c r="AC16">
        <f>MAX(0,MIN($C16,AC$4+1)-MAX($B16,AC$4))</f>
        <v/>
      </c>
      <c r="AD16">
        <f>MAX(0,MIN($C16,AD$4+1)-MAX($B16,AD$4))</f>
        <v/>
      </c>
      <c r="AE16">
        <f>MAX(0,MIN($C16,AE$4+1)-MAX($B16,AE$4))</f>
        <v/>
      </c>
      <c r="AF16">
        <f>MAX(0,MIN($C16,AF$4+1)-MAX($B16,AF$4))</f>
        <v/>
      </c>
      <c r="AG16">
        <f>MAX(0,MIN($C16,AG$4+1)-MAX($B16,AG$4))</f>
        <v/>
      </c>
      <c r="AH16">
        <f>MAX(0,MIN($C16,AH$4+1)-MAX($B16,AH$4))</f>
        <v/>
      </c>
      <c r="AI16">
        <f>MAX(0,MIN($C16,AI$4+1)-MAX($B16,AI$4))</f>
        <v/>
      </c>
      <c r="AJ16">
        <f>MAX(0,MIN($C16,AJ$4+1)-MAX($B16,AJ$4))</f>
        <v/>
      </c>
      <c r="AK16">
        <f>MAX(0,MIN($C16,AK$4+1)-MAX($B16,AK$4))</f>
        <v/>
      </c>
      <c r="AL16">
        <f>MAX(0,MIN($C16,AL$4+1)-MAX($B16,AL$4))</f>
        <v/>
      </c>
      <c r="AM16">
        <f>MAX(0,MIN($C16,AM$4+1)-MAX($B16,AM$4))</f>
        <v/>
      </c>
      <c r="AO16" t="n">
        <v>0</v>
      </c>
      <c r="AP16" t="n">
        <v>0</v>
      </c>
    </row>
    <row r="17">
      <c r="A17" t="inlineStr"/>
      <c r="B17" s="3" t="n">
        <v>0</v>
      </c>
      <c r="C17" s="3" t="n">
        <v>0</v>
      </c>
      <c r="D17" t="inlineStr"/>
      <c r="E17" t="n">
        <v>0</v>
      </c>
      <c r="F17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T17">
        <f>MAX(0,MIN($C17,T$4+1)-MAX($B17,T$4))</f>
        <v/>
      </c>
      <c r="U17">
        <f>MAX(0,MIN($C17,U$4+1)-MAX($B17,U$4))</f>
        <v/>
      </c>
      <c r="V17">
        <f>MAX(0,MIN($C17,V$4+1)-MAX($B17,V$4))</f>
        <v/>
      </c>
      <c r="W17">
        <f>MAX(0,MIN($C17,W$4+1)-MAX($B17,W$4))</f>
        <v/>
      </c>
      <c r="X17">
        <f>MAX(0,MIN($C17,X$4+1)-MAX($B17,X$4))</f>
        <v/>
      </c>
      <c r="Y17">
        <f>MAX(0,MIN($C17,Y$4+1)-MAX($B17,Y$4))</f>
        <v/>
      </c>
      <c r="Z17">
        <f>MAX(0,MIN($C17,Z$4+1)-MAX($B17,Z$4))</f>
        <v/>
      </c>
      <c r="AA17">
        <f>MAX(0,MIN($C17,AA$4+1)-MAX($B17,AA$4))</f>
        <v/>
      </c>
      <c r="AB17">
        <f>MAX(0,MIN($C17,AB$4+1)-MAX($B17,AB$4))</f>
        <v/>
      </c>
      <c r="AC17">
        <f>MAX(0,MIN($C17,AC$4+1)-MAX($B17,AC$4))</f>
        <v/>
      </c>
      <c r="AD17">
        <f>MAX(0,MIN($C17,AD$4+1)-MAX($B17,AD$4))</f>
        <v/>
      </c>
      <c r="AE17">
        <f>MAX(0,MIN($C17,AE$4+1)-MAX($B17,AE$4))</f>
        <v/>
      </c>
      <c r="AF17">
        <f>MAX(0,MIN($C17,AF$4+1)-MAX($B17,AF$4))</f>
        <v/>
      </c>
      <c r="AG17">
        <f>MAX(0,MIN($C17,AG$4+1)-MAX($B17,AG$4))</f>
        <v/>
      </c>
      <c r="AH17">
        <f>MAX(0,MIN($C17,AH$4+1)-MAX($B17,AH$4))</f>
        <v/>
      </c>
      <c r="AI17">
        <f>MAX(0,MIN($C17,AI$4+1)-MAX($B17,AI$4))</f>
        <v/>
      </c>
      <c r="AJ17">
        <f>MAX(0,MIN($C17,AJ$4+1)-MAX($B17,AJ$4))</f>
        <v/>
      </c>
      <c r="AK17">
        <f>MAX(0,MIN($C17,AK$4+1)-MAX($B17,AK$4))</f>
        <v/>
      </c>
      <c r="AL17">
        <f>MAX(0,MIN($C17,AL$4+1)-MAX($B17,AL$4))</f>
        <v/>
      </c>
      <c r="AM17">
        <f>MAX(0,MIN($C17,AM$4+1)-MAX($B17,AM$4))</f>
        <v/>
      </c>
      <c r="AO17" t="n">
        <v>0</v>
      </c>
      <c r="AP17" t="n">
        <v>0</v>
      </c>
    </row>
    <row r="18">
      <c r="A18" t="inlineStr"/>
      <c r="B18" s="3" t="n">
        <v>0</v>
      </c>
      <c r="C18" s="3" t="n">
        <v>0</v>
      </c>
      <c r="D18" t="inlineStr"/>
      <c r="E18" t="n">
        <v>0</v>
      </c>
      <c r="F18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T18">
        <f>MAX(0,MIN($C18,T$4+1)-MAX($B18,T$4))</f>
        <v/>
      </c>
      <c r="U18">
        <f>MAX(0,MIN($C18,U$4+1)-MAX($B18,U$4))</f>
        <v/>
      </c>
      <c r="V18">
        <f>MAX(0,MIN($C18,V$4+1)-MAX($B18,V$4))</f>
        <v/>
      </c>
      <c r="W18">
        <f>MAX(0,MIN($C18,W$4+1)-MAX($B18,W$4))</f>
        <v/>
      </c>
      <c r="X18">
        <f>MAX(0,MIN($C18,X$4+1)-MAX($B18,X$4))</f>
        <v/>
      </c>
      <c r="Y18">
        <f>MAX(0,MIN($C18,Y$4+1)-MAX($B18,Y$4))</f>
        <v/>
      </c>
      <c r="Z18">
        <f>MAX(0,MIN($C18,Z$4+1)-MAX($B18,Z$4))</f>
        <v/>
      </c>
      <c r="AA18">
        <f>MAX(0,MIN($C18,AA$4+1)-MAX($B18,AA$4))</f>
        <v/>
      </c>
      <c r="AB18">
        <f>MAX(0,MIN($C18,AB$4+1)-MAX($B18,AB$4))</f>
        <v/>
      </c>
      <c r="AC18">
        <f>MAX(0,MIN($C18,AC$4+1)-MAX($B18,AC$4))</f>
        <v/>
      </c>
      <c r="AD18">
        <f>MAX(0,MIN($C18,AD$4+1)-MAX($B18,AD$4))</f>
        <v/>
      </c>
      <c r="AE18">
        <f>MAX(0,MIN($C18,AE$4+1)-MAX($B18,AE$4))</f>
        <v/>
      </c>
      <c r="AF18">
        <f>MAX(0,MIN($C18,AF$4+1)-MAX($B18,AF$4))</f>
        <v/>
      </c>
      <c r="AG18">
        <f>MAX(0,MIN($C18,AG$4+1)-MAX($B18,AG$4))</f>
        <v/>
      </c>
      <c r="AH18">
        <f>MAX(0,MIN($C18,AH$4+1)-MAX($B18,AH$4))</f>
        <v/>
      </c>
      <c r="AI18">
        <f>MAX(0,MIN($C18,AI$4+1)-MAX($B18,AI$4))</f>
        <v/>
      </c>
      <c r="AJ18">
        <f>MAX(0,MIN($C18,AJ$4+1)-MAX($B18,AJ$4))</f>
        <v/>
      </c>
      <c r="AK18">
        <f>MAX(0,MIN($C18,AK$4+1)-MAX($B18,AK$4))</f>
        <v/>
      </c>
      <c r="AL18">
        <f>MAX(0,MIN($C18,AL$4+1)-MAX($B18,AL$4))</f>
        <v/>
      </c>
      <c r="AM18">
        <f>MAX(0,MIN($C18,AM$4+1)-MAX($B18,AM$4))</f>
        <v/>
      </c>
      <c r="AO18" t="n">
        <v>0</v>
      </c>
      <c r="AP18" t="n">
        <v>0</v>
      </c>
    </row>
    <row r="19">
      <c r="A19" t="inlineStr"/>
      <c r="B19" s="3" t="n">
        <v>0</v>
      </c>
      <c r="C19" s="3" t="n">
        <v>0</v>
      </c>
      <c r="D19" t="inlineStr"/>
      <c r="E19" t="n">
        <v>0</v>
      </c>
      <c r="F19" t="n">
        <v>0</v>
      </c>
      <c r="G19" s="3" t="n">
        <v>0</v>
      </c>
      <c r="H19" s="3" t="n">
        <v>0</v>
      </c>
      <c r="I19" s="3" t="n">
        <v>0</v>
      </c>
      <c r="J19" s="3" t="n">
        <v>0</v>
      </c>
      <c r="K19" s="3" t="n">
        <v>0</v>
      </c>
      <c r="L19" s="3" t="n">
        <v>0</v>
      </c>
      <c r="M19" s="3" t="n">
        <v>0</v>
      </c>
      <c r="N19" s="3" t="n">
        <v>0</v>
      </c>
      <c r="O19" s="3" t="n">
        <v>0</v>
      </c>
      <c r="P19" s="3" t="n">
        <v>0</v>
      </c>
      <c r="Q19" s="3" t="n">
        <v>0</v>
      </c>
      <c r="R19" s="3" t="n">
        <v>0</v>
      </c>
      <c r="T19">
        <f>MAX(0,MIN($C19,T$4+1)-MAX($B19,T$4))</f>
        <v/>
      </c>
      <c r="U19">
        <f>MAX(0,MIN($C19,U$4+1)-MAX($B19,U$4))</f>
        <v/>
      </c>
      <c r="V19">
        <f>MAX(0,MIN($C19,V$4+1)-MAX($B19,V$4))</f>
        <v/>
      </c>
      <c r="W19">
        <f>MAX(0,MIN($C19,W$4+1)-MAX($B19,W$4))</f>
        <v/>
      </c>
      <c r="X19">
        <f>MAX(0,MIN($C19,X$4+1)-MAX($B19,X$4))</f>
        <v/>
      </c>
      <c r="Y19">
        <f>MAX(0,MIN($C19,Y$4+1)-MAX($B19,Y$4))</f>
        <v/>
      </c>
      <c r="Z19">
        <f>MAX(0,MIN($C19,Z$4+1)-MAX($B19,Z$4))</f>
        <v/>
      </c>
      <c r="AA19">
        <f>MAX(0,MIN($C19,AA$4+1)-MAX($B19,AA$4))</f>
        <v/>
      </c>
      <c r="AB19">
        <f>MAX(0,MIN($C19,AB$4+1)-MAX($B19,AB$4))</f>
        <v/>
      </c>
      <c r="AC19">
        <f>MAX(0,MIN($C19,AC$4+1)-MAX($B19,AC$4))</f>
        <v/>
      </c>
      <c r="AD19">
        <f>MAX(0,MIN($C19,AD$4+1)-MAX($B19,AD$4))</f>
        <v/>
      </c>
      <c r="AE19">
        <f>MAX(0,MIN($C19,AE$4+1)-MAX($B19,AE$4))</f>
        <v/>
      </c>
      <c r="AF19">
        <f>MAX(0,MIN($C19,AF$4+1)-MAX($B19,AF$4))</f>
        <v/>
      </c>
      <c r="AG19">
        <f>MAX(0,MIN($C19,AG$4+1)-MAX($B19,AG$4))</f>
        <v/>
      </c>
      <c r="AH19">
        <f>MAX(0,MIN($C19,AH$4+1)-MAX($B19,AH$4))</f>
        <v/>
      </c>
      <c r="AI19">
        <f>MAX(0,MIN($C19,AI$4+1)-MAX($B19,AI$4))</f>
        <v/>
      </c>
      <c r="AJ19">
        <f>MAX(0,MIN($C19,AJ$4+1)-MAX($B19,AJ$4))</f>
        <v/>
      </c>
      <c r="AK19">
        <f>MAX(0,MIN($C19,AK$4+1)-MAX($B19,AK$4))</f>
        <v/>
      </c>
      <c r="AL19">
        <f>MAX(0,MIN($C19,AL$4+1)-MAX($B19,AL$4))</f>
        <v/>
      </c>
      <c r="AM19">
        <f>MAX(0,MIN($C19,AM$4+1)-MAX($B19,AM$4))</f>
        <v/>
      </c>
      <c r="AO19" t="n">
        <v>0</v>
      </c>
      <c r="AP19" t="n">
        <v>0</v>
      </c>
    </row>
    <row r="20">
      <c r="A20" t="inlineStr"/>
      <c r="B20" s="3" t="n">
        <v>0</v>
      </c>
      <c r="C20" s="3" t="n">
        <v>0</v>
      </c>
      <c r="D20" t="inlineStr"/>
      <c r="E20" t="n">
        <v>0</v>
      </c>
      <c r="F20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T20">
        <f>MAX(0,MIN($C20,T$4+1)-MAX($B20,T$4))</f>
        <v/>
      </c>
      <c r="U20">
        <f>MAX(0,MIN($C20,U$4+1)-MAX($B20,U$4))</f>
        <v/>
      </c>
      <c r="V20">
        <f>MAX(0,MIN($C20,V$4+1)-MAX($B20,V$4))</f>
        <v/>
      </c>
      <c r="W20">
        <f>MAX(0,MIN($C20,W$4+1)-MAX($B20,W$4))</f>
        <v/>
      </c>
      <c r="X20">
        <f>MAX(0,MIN($C20,X$4+1)-MAX($B20,X$4))</f>
        <v/>
      </c>
      <c r="Y20">
        <f>MAX(0,MIN($C20,Y$4+1)-MAX($B20,Y$4))</f>
        <v/>
      </c>
      <c r="Z20">
        <f>MAX(0,MIN($C20,Z$4+1)-MAX($B20,Z$4))</f>
        <v/>
      </c>
      <c r="AA20">
        <f>MAX(0,MIN($C20,AA$4+1)-MAX($B20,AA$4))</f>
        <v/>
      </c>
      <c r="AB20">
        <f>MAX(0,MIN($C20,AB$4+1)-MAX($B20,AB$4))</f>
        <v/>
      </c>
      <c r="AC20">
        <f>MAX(0,MIN($C20,AC$4+1)-MAX($B20,AC$4))</f>
        <v/>
      </c>
      <c r="AD20">
        <f>MAX(0,MIN($C20,AD$4+1)-MAX($B20,AD$4))</f>
        <v/>
      </c>
      <c r="AE20">
        <f>MAX(0,MIN($C20,AE$4+1)-MAX($B20,AE$4))</f>
        <v/>
      </c>
      <c r="AF20">
        <f>MAX(0,MIN($C20,AF$4+1)-MAX($B20,AF$4))</f>
        <v/>
      </c>
      <c r="AG20">
        <f>MAX(0,MIN($C20,AG$4+1)-MAX($B20,AG$4))</f>
        <v/>
      </c>
      <c r="AH20">
        <f>MAX(0,MIN($C20,AH$4+1)-MAX($B20,AH$4))</f>
        <v/>
      </c>
      <c r="AI20">
        <f>MAX(0,MIN($C20,AI$4+1)-MAX($B20,AI$4))</f>
        <v/>
      </c>
      <c r="AJ20">
        <f>MAX(0,MIN($C20,AJ$4+1)-MAX($B20,AJ$4))</f>
        <v/>
      </c>
      <c r="AK20">
        <f>MAX(0,MIN($C20,AK$4+1)-MAX($B20,AK$4))</f>
        <v/>
      </c>
      <c r="AL20">
        <f>MAX(0,MIN($C20,AL$4+1)-MAX($B20,AL$4))</f>
        <v/>
      </c>
      <c r="AM20">
        <f>MAX(0,MIN($C20,AM$4+1)-MAX($B20,AM$4))</f>
        <v/>
      </c>
      <c r="AO20" t="n">
        <v>0</v>
      </c>
      <c r="AP20" t="n">
        <v>0</v>
      </c>
    </row>
    <row r="21">
      <c r="A21" t="inlineStr"/>
      <c r="B21" s="3" t="n">
        <v>0</v>
      </c>
      <c r="C21" s="3" t="n">
        <v>0</v>
      </c>
      <c r="D21" t="inlineStr"/>
      <c r="E21" t="n">
        <v>0</v>
      </c>
      <c r="F21" t="n">
        <v>0</v>
      </c>
      <c r="G21" s="3" t="n">
        <v>0</v>
      </c>
      <c r="H21" s="3" t="n">
        <v>0</v>
      </c>
      <c r="I21" s="3" t="n">
        <v>0</v>
      </c>
      <c r="J21" s="3" t="n">
        <v>0</v>
      </c>
      <c r="K21" s="3" t="n">
        <v>0</v>
      </c>
      <c r="L21" s="3" t="n">
        <v>0</v>
      </c>
      <c r="M21" s="3" t="n">
        <v>0</v>
      </c>
      <c r="N21" s="3" t="n">
        <v>0</v>
      </c>
      <c r="O21" s="3" t="n">
        <v>0</v>
      </c>
      <c r="P21" s="3" t="n">
        <v>0</v>
      </c>
      <c r="Q21" s="3" t="n">
        <v>0</v>
      </c>
      <c r="R21" s="3" t="n">
        <v>0</v>
      </c>
      <c r="T21">
        <f>MAX(0,MIN($C21,T$4+1)-MAX($B21,T$4))</f>
        <v/>
      </c>
      <c r="U21">
        <f>MAX(0,MIN($C21,U$4+1)-MAX($B21,U$4))</f>
        <v/>
      </c>
      <c r="V21">
        <f>MAX(0,MIN($C21,V$4+1)-MAX($B21,V$4))</f>
        <v/>
      </c>
      <c r="W21">
        <f>MAX(0,MIN($C21,W$4+1)-MAX($B21,W$4))</f>
        <v/>
      </c>
      <c r="X21">
        <f>MAX(0,MIN($C21,X$4+1)-MAX($B21,X$4))</f>
        <v/>
      </c>
      <c r="Y21">
        <f>MAX(0,MIN($C21,Y$4+1)-MAX($B21,Y$4))</f>
        <v/>
      </c>
      <c r="Z21">
        <f>MAX(0,MIN($C21,Z$4+1)-MAX($B21,Z$4))</f>
        <v/>
      </c>
      <c r="AA21">
        <f>MAX(0,MIN($C21,AA$4+1)-MAX($B21,AA$4))</f>
        <v/>
      </c>
      <c r="AB21">
        <f>MAX(0,MIN($C21,AB$4+1)-MAX($B21,AB$4))</f>
        <v/>
      </c>
      <c r="AC21">
        <f>MAX(0,MIN($C21,AC$4+1)-MAX($B21,AC$4))</f>
        <v/>
      </c>
      <c r="AD21">
        <f>MAX(0,MIN($C21,AD$4+1)-MAX($B21,AD$4))</f>
        <v/>
      </c>
      <c r="AE21">
        <f>MAX(0,MIN($C21,AE$4+1)-MAX($B21,AE$4))</f>
        <v/>
      </c>
      <c r="AF21">
        <f>MAX(0,MIN($C21,AF$4+1)-MAX($B21,AF$4))</f>
        <v/>
      </c>
      <c r="AG21">
        <f>MAX(0,MIN($C21,AG$4+1)-MAX($B21,AG$4))</f>
        <v/>
      </c>
      <c r="AH21">
        <f>MAX(0,MIN($C21,AH$4+1)-MAX($B21,AH$4))</f>
        <v/>
      </c>
      <c r="AI21">
        <f>MAX(0,MIN($C21,AI$4+1)-MAX($B21,AI$4))</f>
        <v/>
      </c>
      <c r="AJ21">
        <f>MAX(0,MIN($C21,AJ$4+1)-MAX($B21,AJ$4))</f>
        <v/>
      </c>
      <c r="AK21">
        <f>MAX(0,MIN($C21,AK$4+1)-MAX($B21,AK$4))</f>
        <v/>
      </c>
      <c r="AL21">
        <f>MAX(0,MIN($C21,AL$4+1)-MAX($B21,AL$4))</f>
        <v/>
      </c>
      <c r="AM21">
        <f>MAX(0,MIN($C21,AM$4+1)-MAX($B21,AM$4))</f>
        <v/>
      </c>
      <c r="AO21" t="n">
        <v>0</v>
      </c>
      <c r="AP21" t="n">
        <v>0</v>
      </c>
    </row>
    <row r="22">
      <c r="A22" t="inlineStr"/>
      <c r="B22" s="3" t="n">
        <v>0</v>
      </c>
      <c r="C22" s="3" t="n">
        <v>0</v>
      </c>
      <c r="D22" t="inlineStr"/>
      <c r="E22" t="n">
        <v>0</v>
      </c>
      <c r="F22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T22">
        <f>MAX(0,MIN($C22,T$4+1)-MAX($B22,T$4))</f>
        <v/>
      </c>
      <c r="U22">
        <f>MAX(0,MIN($C22,U$4+1)-MAX($B22,U$4))</f>
        <v/>
      </c>
      <c r="V22">
        <f>MAX(0,MIN($C22,V$4+1)-MAX($B22,V$4))</f>
        <v/>
      </c>
      <c r="W22">
        <f>MAX(0,MIN($C22,W$4+1)-MAX($B22,W$4))</f>
        <v/>
      </c>
      <c r="X22">
        <f>MAX(0,MIN($C22,X$4+1)-MAX($B22,X$4))</f>
        <v/>
      </c>
      <c r="Y22">
        <f>MAX(0,MIN($C22,Y$4+1)-MAX($B22,Y$4))</f>
        <v/>
      </c>
      <c r="Z22">
        <f>MAX(0,MIN($C22,Z$4+1)-MAX($B22,Z$4))</f>
        <v/>
      </c>
      <c r="AA22">
        <f>MAX(0,MIN($C22,AA$4+1)-MAX($B22,AA$4))</f>
        <v/>
      </c>
      <c r="AB22">
        <f>MAX(0,MIN($C22,AB$4+1)-MAX($B22,AB$4))</f>
        <v/>
      </c>
      <c r="AC22">
        <f>MAX(0,MIN($C22,AC$4+1)-MAX($B22,AC$4))</f>
        <v/>
      </c>
      <c r="AD22">
        <f>MAX(0,MIN($C22,AD$4+1)-MAX($B22,AD$4))</f>
        <v/>
      </c>
      <c r="AE22">
        <f>MAX(0,MIN($C22,AE$4+1)-MAX($B22,AE$4))</f>
        <v/>
      </c>
      <c r="AF22">
        <f>MAX(0,MIN($C22,AF$4+1)-MAX($B22,AF$4))</f>
        <v/>
      </c>
      <c r="AG22">
        <f>MAX(0,MIN($C22,AG$4+1)-MAX($B22,AG$4))</f>
        <v/>
      </c>
      <c r="AH22">
        <f>MAX(0,MIN($C22,AH$4+1)-MAX($B22,AH$4))</f>
        <v/>
      </c>
      <c r="AI22">
        <f>MAX(0,MIN($C22,AI$4+1)-MAX($B22,AI$4))</f>
        <v/>
      </c>
      <c r="AJ22">
        <f>MAX(0,MIN($C22,AJ$4+1)-MAX($B22,AJ$4))</f>
        <v/>
      </c>
      <c r="AK22">
        <f>MAX(0,MIN($C22,AK$4+1)-MAX($B22,AK$4))</f>
        <v/>
      </c>
      <c r="AL22">
        <f>MAX(0,MIN($C22,AL$4+1)-MAX($B22,AL$4))</f>
        <v/>
      </c>
      <c r="AM22">
        <f>MAX(0,MIN($C22,AM$4+1)-MAX($B22,AM$4))</f>
        <v/>
      </c>
      <c r="AO22" t="n">
        <v>0</v>
      </c>
      <c r="AP22" t="n">
        <v>0</v>
      </c>
    </row>
    <row r="23">
      <c r="A23" t="inlineStr"/>
      <c r="B23" s="3" t="n">
        <v>0</v>
      </c>
      <c r="C23" s="3" t="n">
        <v>0</v>
      </c>
      <c r="D23" t="inlineStr"/>
      <c r="E23" t="n">
        <v>0</v>
      </c>
      <c r="F2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T23">
        <f>MAX(0,MIN($C23,T$4+1)-MAX($B23,T$4))</f>
        <v/>
      </c>
      <c r="U23">
        <f>MAX(0,MIN($C23,U$4+1)-MAX($B23,U$4))</f>
        <v/>
      </c>
      <c r="V23">
        <f>MAX(0,MIN($C23,V$4+1)-MAX($B23,V$4))</f>
        <v/>
      </c>
      <c r="W23">
        <f>MAX(0,MIN($C23,W$4+1)-MAX($B23,W$4))</f>
        <v/>
      </c>
      <c r="X23">
        <f>MAX(0,MIN($C23,X$4+1)-MAX($B23,X$4))</f>
        <v/>
      </c>
      <c r="Y23">
        <f>MAX(0,MIN($C23,Y$4+1)-MAX($B23,Y$4))</f>
        <v/>
      </c>
      <c r="Z23">
        <f>MAX(0,MIN($C23,Z$4+1)-MAX($B23,Z$4))</f>
        <v/>
      </c>
      <c r="AA23">
        <f>MAX(0,MIN($C23,AA$4+1)-MAX($B23,AA$4))</f>
        <v/>
      </c>
      <c r="AB23">
        <f>MAX(0,MIN($C23,AB$4+1)-MAX($B23,AB$4))</f>
        <v/>
      </c>
      <c r="AC23">
        <f>MAX(0,MIN($C23,AC$4+1)-MAX($B23,AC$4))</f>
        <v/>
      </c>
      <c r="AD23">
        <f>MAX(0,MIN($C23,AD$4+1)-MAX($B23,AD$4))</f>
        <v/>
      </c>
      <c r="AE23">
        <f>MAX(0,MIN($C23,AE$4+1)-MAX($B23,AE$4))</f>
        <v/>
      </c>
      <c r="AF23">
        <f>MAX(0,MIN($C23,AF$4+1)-MAX($B23,AF$4))</f>
        <v/>
      </c>
      <c r="AG23">
        <f>MAX(0,MIN($C23,AG$4+1)-MAX($B23,AG$4))</f>
        <v/>
      </c>
      <c r="AH23">
        <f>MAX(0,MIN($C23,AH$4+1)-MAX($B23,AH$4))</f>
        <v/>
      </c>
      <c r="AI23">
        <f>MAX(0,MIN($C23,AI$4+1)-MAX($B23,AI$4))</f>
        <v/>
      </c>
      <c r="AJ23">
        <f>MAX(0,MIN($C23,AJ$4+1)-MAX($B23,AJ$4))</f>
        <v/>
      </c>
      <c r="AK23">
        <f>MAX(0,MIN($C23,AK$4+1)-MAX($B23,AK$4))</f>
        <v/>
      </c>
      <c r="AL23">
        <f>MAX(0,MIN($C23,AL$4+1)-MAX($B23,AL$4))</f>
        <v/>
      </c>
      <c r="AM23">
        <f>MAX(0,MIN($C23,AM$4+1)-MAX($B23,AM$4))</f>
        <v/>
      </c>
      <c r="AO23" t="n">
        <v>0</v>
      </c>
      <c r="AP23" t="n">
        <v>0</v>
      </c>
    </row>
    <row r="24">
      <c r="A24" t="inlineStr"/>
      <c r="B24" s="3" t="n">
        <v>0</v>
      </c>
      <c r="C24" s="3" t="n">
        <v>0</v>
      </c>
      <c r="D24" t="inlineStr"/>
      <c r="E24" t="n">
        <v>0</v>
      </c>
      <c r="F24" t="n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  <c r="P24" s="3" t="n">
        <v>0</v>
      </c>
      <c r="Q24" s="3" t="n">
        <v>0</v>
      </c>
      <c r="R24" s="3" t="n">
        <v>0</v>
      </c>
      <c r="T24">
        <f>MAX(0,MIN($C24,T$4+1)-MAX($B24,T$4))</f>
        <v/>
      </c>
      <c r="U24">
        <f>MAX(0,MIN($C24,U$4+1)-MAX($B24,U$4))</f>
        <v/>
      </c>
      <c r="V24">
        <f>MAX(0,MIN($C24,V$4+1)-MAX($B24,V$4))</f>
        <v/>
      </c>
      <c r="W24">
        <f>MAX(0,MIN($C24,W$4+1)-MAX($B24,W$4))</f>
        <v/>
      </c>
      <c r="X24">
        <f>MAX(0,MIN($C24,X$4+1)-MAX($B24,X$4))</f>
        <v/>
      </c>
      <c r="Y24">
        <f>MAX(0,MIN($C24,Y$4+1)-MAX($B24,Y$4))</f>
        <v/>
      </c>
      <c r="Z24">
        <f>MAX(0,MIN($C24,Z$4+1)-MAX($B24,Z$4))</f>
        <v/>
      </c>
      <c r="AA24">
        <f>MAX(0,MIN($C24,AA$4+1)-MAX($B24,AA$4))</f>
        <v/>
      </c>
      <c r="AB24">
        <f>MAX(0,MIN($C24,AB$4+1)-MAX($B24,AB$4))</f>
        <v/>
      </c>
      <c r="AC24">
        <f>MAX(0,MIN($C24,AC$4+1)-MAX($B24,AC$4))</f>
        <v/>
      </c>
      <c r="AD24">
        <f>MAX(0,MIN($C24,AD$4+1)-MAX($B24,AD$4))</f>
        <v/>
      </c>
      <c r="AE24">
        <f>MAX(0,MIN($C24,AE$4+1)-MAX($B24,AE$4))</f>
        <v/>
      </c>
      <c r="AF24">
        <f>MAX(0,MIN($C24,AF$4+1)-MAX($B24,AF$4))</f>
        <v/>
      </c>
      <c r="AG24">
        <f>MAX(0,MIN($C24,AG$4+1)-MAX($B24,AG$4))</f>
        <v/>
      </c>
      <c r="AH24">
        <f>MAX(0,MIN($C24,AH$4+1)-MAX($B24,AH$4))</f>
        <v/>
      </c>
      <c r="AI24">
        <f>MAX(0,MIN($C24,AI$4+1)-MAX($B24,AI$4))</f>
        <v/>
      </c>
      <c r="AJ24">
        <f>MAX(0,MIN($C24,AJ$4+1)-MAX($B24,AJ$4))</f>
        <v/>
      </c>
      <c r="AK24">
        <f>MAX(0,MIN($C24,AK$4+1)-MAX($B24,AK$4))</f>
        <v/>
      </c>
      <c r="AL24">
        <f>MAX(0,MIN($C24,AL$4+1)-MAX($B24,AL$4))</f>
        <v/>
      </c>
      <c r="AM24">
        <f>MAX(0,MIN($C24,AM$4+1)-MAX($B24,AM$4))</f>
        <v/>
      </c>
      <c r="AO24" t="n">
        <v>0</v>
      </c>
      <c r="AP24" t="n">
        <v>0</v>
      </c>
    </row>
    <row r="25">
      <c r="A25" t="inlineStr"/>
      <c r="B25" s="3" t="n">
        <v>0</v>
      </c>
      <c r="C25" s="3" t="n">
        <v>0</v>
      </c>
      <c r="D25" t="inlineStr"/>
      <c r="E25" t="n">
        <v>0</v>
      </c>
      <c r="F25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T25">
        <f>MAX(0,MIN($C25,T$4+1)-MAX($B25,T$4))</f>
        <v/>
      </c>
      <c r="U25">
        <f>MAX(0,MIN($C25,U$4+1)-MAX($B25,U$4))</f>
        <v/>
      </c>
      <c r="V25">
        <f>MAX(0,MIN($C25,V$4+1)-MAX($B25,V$4))</f>
        <v/>
      </c>
      <c r="W25">
        <f>MAX(0,MIN($C25,W$4+1)-MAX($B25,W$4))</f>
        <v/>
      </c>
      <c r="X25">
        <f>MAX(0,MIN($C25,X$4+1)-MAX($B25,X$4))</f>
        <v/>
      </c>
      <c r="Y25">
        <f>MAX(0,MIN($C25,Y$4+1)-MAX($B25,Y$4))</f>
        <v/>
      </c>
      <c r="Z25">
        <f>MAX(0,MIN($C25,Z$4+1)-MAX($B25,Z$4))</f>
        <v/>
      </c>
      <c r="AA25">
        <f>MAX(0,MIN($C25,AA$4+1)-MAX($B25,AA$4))</f>
        <v/>
      </c>
      <c r="AB25">
        <f>MAX(0,MIN($C25,AB$4+1)-MAX($B25,AB$4))</f>
        <v/>
      </c>
      <c r="AC25">
        <f>MAX(0,MIN($C25,AC$4+1)-MAX($B25,AC$4))</f>
        <v/>
      </c>
      <c r="AD25">
        <f>MAX(0,MIN($C25,AD$4+1)-MAX($B25,AD$4))</f>
        <v/>
      </c>
      <c r="AE25">
        <f>MAX(0,MIN($C25,AE$4+1)-MAX($B25,AE$4))</f>
        <v/>
      </c>
      <c r="AF25">
        <f>MAX(0,MIN($C25,AF$4+1)-MAX($B25,AF$4))</f>
        <v/>
      </c>
      <c r="AG25">
        <f>MAX(0,MIN($C25,AG$4+1)-MAX($B25,AG$4))</f>
        <v/>
      </c>
      <c r="AH25">
        <f>MAX(0,MIN($C25,AH$4+1)-MAX($B25,AH$4))</f>
        <v/>
      </c>
      <c r="AI25">
        <f>MAX(0,MIN($C25,AI$4+1)-MAX($B25,AI$4))</f>
        <v/>
      </c>
      <c r="AJ25">
        <f>MAX(0,MIN($C25,AJ$4+1)-MAX($B25,AJ$4))</f>
        <v/>
      </c>
      <c r="AK25">
        <f>MAX(0,MIN($C25,AK$4+1)-MAX($B25,AK$4))</f>
        <v/>
      </c>
      <c r="AL25">
        <f>MAX(0,MIN($C25,AL$4+1)-MAX($B25,AL$4))</f>
        <v/>
      </c>
      <c r="AM25">
        <f>MAX(0,MIN($C25,AM$4+1)-MAX($B25,AM$4))</f>
        <v/>
      </c>
    </row>
    <row r="26">
      <c r="A26" t="inlineStr"/>
      <c r="B26" s="3" t="n">
        <v>0</v>
      </c>
      <c r="C26" s="3" t="n">
        <v>0</v>
      </c>
      <c r="D26" t="inlineStr"/>
      <c r="E26" t="n">
        <v>0</v>
      </c>
      <c r="F26" t="n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  <c r="T26">
        <f>MAX(0,MIN($C26,T$4+1)-MAX($B26,T$4))</f>
        <v/>
      </c>
      <c r="U26">
        <f>MAX(0,MIN($C26,U$4+1)-MAX($B26,U$4))</f>
        <v/>
      </c>
      <c r="V26">
        <f>MAX(0,MIN($C26,V$4+1)-MAX($B26,V$4))</f>
        <v/>
      </c>
      <c r="W26">
        <f>MAX(0,MIN($C26,W$4+1)-MAX($B26,W$4))</f>
        <v/>
      </c>
      <c r="X26">
        <f>MAX(0,MIN($C26,X$4+1)-MAX($B26,X$4))</f>
        <v/>
      </c>
      <c r="Y26">
        <f>MAX(0,MIN($C26,Y$4+1)-MAX($B26,Y$4))</f>
        <v/>
      </c>
      <c r="Z26">
        <f>MAX(0,MIN($C26,Z$4+1)-MAX($B26,Z$4))</f>
        <v/>
      </c>
      <c r="AA26">
        <f>MAX(0,MIN($C26,AA$4+1)-MAX($B26,AA$4))</f>
        <v/>
      </c>
      <c r="AB26">
        <f>MAX(0,MIN($C26,AB$4+1)-MAX($B26,AB$4))</f>
        <v/>
      </c>
      <c r="AC26">
        <f>MAX(0,MIN($C26,AC$4+1)-MAX($B26,AC$4))</f>
        <v/>
      </c>
      <c r="AD26">
        <f>MAX(0,MIN($C26,AD$4+1)-MAX($B26,AD$4))</f>
        <v/>
      </c>
      <c r="AE26">
        <f>MAX(0,MIN($C26,AE$4+1)-MAX($B26,AE$4))</f>
        <v/>
      </c>
      <c r="AF26">
        <f>MAX(0,MIN($C26,AF$4+1)-MAX($B26,AF$4))</f>
        <v/>
      </c>
      <c r="AG26">
        <f>MAX(0,MIN($C26,AG$4+1)-MAX($B26,AG$4))</f>
        <v/>
      </c>
      <c r="AH26">
        <f>MAX(0,MIN($C26,AH$4+1)-MAX($B26,AH$4))</f>
        <v/>
      </c>
      <c r="AI26">
        <f>MAX(0,MIN($C26,AI$4+1)-MAX($B26,AI$4))</f>
        <v/>
      </c>
      <c r="AJ26">
        <f>MAX(0,MIN($C26,AJ$4+1)-MAX($B26,AJ$4))</f>
        <v/>
      </c>
      <c r="AK26">
        <f>MAX(0,MIN($C26,AK$4+1)-MAX($B26,AK$4))</f>
        <v/>
      </c>
      <c r="AL26">
        <f>MAX(0,MIN($C26,AL$4+1)-MAX($B26,AL$4))</f>
        <v/>
      </c>
      <c r="AM26">
        <f>MAX(0,MIN($C26,AM$4+1)-MAX($B26,AM$4))</f>
        <v/>
      </c>
    </row>
    <row r="27">
      <c r="A27" t="inlineStr"/>
      <c r="B27" s="3" t="n">
        <v>0</v>
      </c>
      <c r="C27" s="3" t="n">
        <v>0</v>
      </c>
      <c r="D27" t="inlineStr"/>
      <c r="E27" t="n">
        <v>0</v>
      </c>
      <c r="F27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T27">
        <f>MAX(0,MIN($C27,T$4+1)-MAX($B27,T$4))</f>
        <v/>
      </c>
      <c r="U27">
        <f>MAX(0,MIN($C27,U$4+1)-MAX($B27,U$4))</f>
        <v/>
      </c>
      <c r="V27">
        <f>MAX(0,MIN($C27,V$4+1)-MAX($B27,V$4))</f>
        <v/>
      </c>
      <c r="W27">
        <f>MAX(0,MIN($C27,W$4+1)-MAX($B27,W$4))</f>
        <v/>
      </c>
      <c r="X27">
        <f>MAX(0,MIN($C27,X$4+1)-MAX($B27,X$4))</f>
        <v/>
      </c>
      <c r="Y27">
        <f>MAX(0,MIN($C27,Y$4+1)-MAX($B27,Y$4))</f>
        <v/>
      </c>
      <c r="Z27">
        <f>MAX(0,MIN($C27,Z$4+1)-MAX($B27,Z$4))</f>
        <v/>
      </c>
      <c r="AA27">
        <f>MAX(0,MIN($C27,AA$4+1)-MAX($B27,AA$4))</f>
        <v/>
      </c>
      <c r="AB27">
        <f>MAX(0,MIN($C27,AB$4+1)-MAX($B27,AB$4))</f>
        <v/>
      </c>
      <c r="AC27">
        <f>MAX(0,MIN($C27,AC$4+1)-MAX($B27,AC$4))</f>
        <v/>
      </c>
      <c r="AD27">
        <f>MAX(0,MIN($C27,AD$4+1)-MAX($B27,AD$4))</f>
        <v/>
      </c>
      <c r="AE27">
        <f>MAX(0,MIN($C27,AE$4+1)-MAX($B27,AE$4))</f>
        <v/>
      </c>
      <c r="AF27">
        <f>MAX(0,MIN($C27,AF$4+1)-MAX($B27,AF$4))</f>
        <v/>
      </c>
      <c r="AG27">
        <f>MAX(0,MIN($C27,AG$4+1)-MAX($B27,AG$4))</f>
        <v/>
      </c>
      <c r="AH27">
        <f>MAX(0,MIN($C27,AH$4+1)-MAX($B27,AH$4))</f>
        <v/>
      </c>
      <c r="AI27">
        <f>MAX(0,MIN($C27,AI$4+1)-MAX($B27,AI$4))</f>
        <v/>
      </c>
      <c r="AJ27">
        <f>MAX(0,MIN($C27,AJ$4+1)-MAX($B27,AJ$4))</f>
        <v/>
      </c>
      <c r="AK27">
        <f>MAX(0,MIN($C27,AK$4+1)-MAX($B27,AK$4))</f>
        <v/>
      </c>
      <c r="AL27">
        <f>MAX(0,MIN($C27,AL$4+1)-MAX($B27,AL$4))</f>
        <v/>
      </c>
      <c r="AM27">
        <f>MAX(0,MIN($C27,AM$4+1)-MAX($B27,AM$4))</f>
        <v/>
      </c>
    </row>
    <row r="28">
      <c r="A28" t="inlineStr"/>
      <c r="B28" s="3" t="n">
        <v>0</v>
      </c>
      <c r="C28" s="3" t="n">
        <v>0</v>
      </c>
      <c r="D28" t="inlineStr"/>
      <c r="E28" t="n">
        <v>0</v>
      </c>
      <c r="F28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T28">
        <f>MAX(0,MIN($C28,T$4+1)-MAX($B28,T$4))</f>
        <v/>
      </c>
      <c r="U28">
        <f>MAX(0,MIN($C28,U$4+1)-MAX($B28,U$4))</f>
        <v/>
      </c>
      <c r="V28">
        <f>MAX(0,MIN($C28,V$4+1)-MAX($B28,V$4))</f>
        <v/>
      </c>
      <c r="W28">
        <f>MAX(0,MIN($C28,W$4+1)-MAX($B28,W$4))</f>
        <v/>
      </c>
      <c r="X28">
        <f>MAX(0,MIN($C28,X$4+1)-MAX($B28,X$4))</f>
        <v/>
      </c>
      <c r="Y28">
        <f>MAX(0,MIN($C28,Y$4+1)-MAX($B28,Y$4))</f>
        <v/>
      </c>
      <c r="Z28">
        <f>MAX(0,MIN($C28,Z$4+1)-MAX($B28,Z$4))</f>
        <v/>
      </c>
      <c r="AA28">
        <f>MAX(0,MIN($C28,AA$4+1)-MAX($B28,AA$4))</f>
        <v/>
      </c>
      <c r="AB28">
        <f>MAX(0,MIN($C28,AB$4+1)-MAX($B28,AB$4))</f>
        <v/>
      </c>
      <c r="AC28">
        <f>MAX(0,MIN($C28,AC$4+1)-MAX($B28,AC$4))</f>
        <v/>
      </c>
      <c r="AD28">
        <f>MAX(0,MIN($C28,AD$4+1)-MAX($B28,AD$4))</f>
        <v/>
      </c>
      <c r="AE28">
        <f>MAX(0,MIN($C28,AE$4+1)-MAX($B28,AE$4))</f>
        <v/>
      </c>
      <c r="AF28">
        <f>MAX(0,MIN($C28,AF$4+1)-MAX($B28,AF$4))</f>
        <v/>
      </c>
      <c r="AG28">
        <f>MAX(0,MIN($C28,AG$4+1)-MAX($B28,AG$4))</f>
        <v/>
      </c>
      <c r="AH28">
        <f>MAX(0,MIN($C28,AH$4+1)-MAX($B28,AH$4))</f>
        <v/>
      </c>
      <c r="AI28">
        <f>MAX(0,MIN($C28,AI$4+1)-MAX($B28,AI$4))</f>
        <v/>
      </c>
      <c r="AJ28">
        <f>MAX(0,MIN($C28,AJ$4+1)-MAX($B28,AJ$4))</f>
        <v/>
      </c>
      <c r="AK28">
        <f>MAX(0,MIN($C28,AK$4+1)-MAX($B28,AK$4))</f>
        <v/>
      </c>
      <c r="AL28">
        <f>MAX(0,MIN($C28,AL$4+1)-MAX($B28,AL$4))</f>
        <v/>
      </c>
      <c r="AM28">
        <f>MAX(0,MIN($C28,AM$4+1)-MAX($B28,AM$4))</f>
        <v/>
      </c>
    </row>
    <row r="29">
      <c r="A29" t="inlineStr"/>
      <c r="B29" s="3" t="n">
        <v>0</v>
      </c>
      <c r="C29" s="3" t="n">
        <v>0</v>
      </c>
      <c r="D29" t="inlineStr"/>
      <c r="E29" t="n">
        <v>0</v>
      </c>
      <c r="F29" t="n">
        <v>0</v>
      </c>
      <c r="G29" s="3" t="n">
        <v>0</v>
      </c>
      <c r="H29" s="3" t="n">
        <v>0</v>
      </c>
      <c r="I29" s="3" t="n">
        <v>0</v>
      </c>
      <c r="J29" s="3" t="n">
        <v>0</v>
      </c>
      <c r="K29" s="3" t="n">
        <v>0</v>
      </c>
      <c r="L29" s="3" t="n">
        <v>0</v>
      </c>
      <c r="M29" s="3" t="n">
        <v>0</v>
      </c>
      <c r="N29" s="3" t="n">
        <v>0</v>
      </c>
      <c r="O29" s="3" t="n">
        <v>0</v>
      </c>
      <c r="P29" s="3" t="n">
        <v>0</v>
      </c>
      <c r="Q29" s="3" t="n">
        <v>0</v>
      </c>
      <c r="R29" s="3" t="n">
        <v>0</v>
      </c>
      <c r="T29">
        <f>MAX(0,MIN($C29,T$4+1)-MAX($B29,T$4))</f>
        <v/>
      </c>
      <c r="U29">
        <f>MAX(0,MIN($C29,U$4+1)-MAX($B29,U$4))</f>
        <v/>
      </c>
      <c r="V29">
        <f>MAX(0,MIN($C29,V$4+1)-MAX($B29,V$4))</f>
        <v/>
      </c>
      <c r="W29">
        <f>MAX(0,MIN($C29,W$4+1)-MAX($B29,W$4))</f>
        <v/>
      </c>
      <c r="X29">
        <f>MAX(0,MIN($C29,X$4+1)-MAX($B29,X$4))</f>
        <v/>
      </c>
      <c r="Y29">
        <f>MAX(0,MIN($C29,Y$4+1)-MAX($B29,Y$4))</f>
        <v/>
      </c>
      <c r="Z29">
        <f>MAX(0,MIN($C29,Z$4+1)-MAX($B29,Z$4))</f>
        <v/>
      </c>
      <c r="AA29">
        <f>MAX(0,MIN($C29,AA$4+1)-MAX($B29,AA$4))</f>
        <v/>
      </c>
      <c r="AB29">
        <f>MAX(0,MIN($C29,AB$4+1)-MAX($B29,AB$4))</f>
        <v/>
      </c>
      <c r="AC29">
        <f>MAX(0,MIN($C29,AC$4+1)-MAX($B29,AC$4))</f>
        <v/>
      </c>
      <c r="AD29">
        <f>MAX(0,MIN($C29,AD$4+1)-MAX($B29,AD$4))</f>
        <v/>
      </c>
      <c r="AE29">
        <f>MAX(0,MIN($C29,AE$4+1)-MAX($B29,AE$4))</f>
        <v/>
      </c>
      <c r="AF29">
        <f>MAX(0,MIN($C29,AF$4+1)-MAX($B29,AF$4))</f>
        <v/>
      </c>
      <c r="AG29">
        <f>MAX(0,MIN($C29,AG$4+1)-MAX($B29,AG$4))</f>
        <v/>
      </c>
      <c r="AH29">
        <f>MAX(0,MIN($C29,AH$4+1)-MAX($B29,AH$4))</f>
        <v/>
      </c>
      <c r="AI29">
        <f>MAX(0,MIN($C29,AI$4+1)-MAX($B29,AI$4))</f>
        <v/>
      </c>
      <c r="AJ29">
        <f>MAX(0,MIN($C29,AJ$4+1)-MAX($B29,AJ$4))</f>
        <v/>
      </c>
      <c r="AK29">
        <f>MAX(0,MIN($C29,AK$4+1)-MAX($B29,AK$4))</f>
        <v/>
      </c>
      <c r="AL29">
        <f>MAX(0,MIN($C29,AL$4+1)-MAX($B29,AL$4))</f>
        <v/>
      </c>
      <c r="AM29">
        <f>MAX(0,MIN($C29,AM$4+1)-MAX($B29,AM$4))</f>
        <v/>
      </c>
    </row>
    <row r="31">
      <c r="A31" s="1" t="inlineStr">
        <is>
          <t>Simulación anual (todas las celdas son fórmulas)</t>
        </is>
      </c>
    </row>
    <row r="32">
      <c r="A32" s="5" t="inlineStr">
        <is>
          <t>Año</t>
        </is>
      </c>
      <c r="B32" s="5" t="inlineStr">
        <is>
          <t>k</t>
        </is>
      </c>
      <c r="C32" s="5" t="inlineStr">
        <is>
          <t>Índice inflación</t>
        </is>
      </c>
      <c r="D32" s="5" t="inlineStr">
        <is>
          <t>Salarios W-2</t>
        </is>
      </c>
      <c r="E32" s="5" t="inlineStr">
        <is>
          <t>W-2 con match</t>
        </is>
      </c>
      <c r="F32" s="5" t="inlineStr">
        <is>
          <t>Stipends libres</t>
        </is>
      </c>
      <c r="G32" s="5" t="inlineStr">
        <is>
          <t>Ingreso S-corp</t>
        </is>
      </c>
      <c r="H32" s="5" t="inlineStr">
        <is>
          <t>Autoempleo (LLC/tutoría)</t>
        </is>
      </c>
      <c r="I32" s="5" t="inlineStr">
        <is>
          <t>Matrícula</t>
        </is>
      </c>
      <c r="J32" s="5" t="inlineStr">
        <is>
          <t>Fracción estudio</t>
        </is>
      </c>
      <c r="K32" s="5" t="inlineStr">
        <is>
          <t>Fracción PSLF</t>
        </is>
      </c>
      <c r="L32" s="5" t="inlineStr">
        <is>
          <t>Fracción travel</t>
        </is>
      </c>
      <c r="M32" s="5" t="inlineStr">
        <is>
          <t>Attending</t>
        </is>
      </c>
      <c r="N32" s="5" t="inlineStr">
        <is>
          <t>Hitos (costos)</t>
        </is>
      </c>
      <c r="O32" s="5" t="inlineStr">
        <is>
          <t>Aporte 403b</t>
        </is>
      </c>
      <c r="P32" s="5" t="inlineStr">
        <is>
          <t>Match empleador</t>
        </is>
      </c>
      <c r="Q32" s="5" t="inlineStr">
        <is>
          <t>S-corp neto</t>
        </is>
      </c>
      <c r="R32" s="5" t="inlineStr">
        <is>
          <t>Salario S-corp</t>
        </is>
      </c>
      <c r="S32" s="5" t="inlineStr">
        <is>
          <t>FICA patronal S-corp</t>
        </is>
      </c>
      <c r="T32" s="5" t="inlineStr">
        <is>
          <t>Distribución S-corp</t>
        </is>
      </c>
      <c r="U32" s="5" t="inlineStr">
        <is>
          <t>Salarios totales</t>
        </is>
      </c>
      <c r="V32" s="5" t="inlineStr">
        <is>
          <t>Base autoempleo</t>
        </is>
      </c>
      <c r="W32" s="5" t="inlineStr">
        <is>
          <t>Impuesto autoempleo</t>
        </is>
      </c>
      <c r="X32" s="5" t="inlineStr">
        <is>
          <t>FICA empleado</t>
        </is>
      </c>
      <c r="Y32" s="5" t="inlineStr">
        <is>
          <t>AGI</t>
        </is>
      </c>
      <c r="Z32" s="5" t="inlineStr">
        <is>
          <t>Ingreso gravable antes QBI</t>
        </is>
      </c>
      <c r="AA32" s="5" t="inlineStr">
        <is>
          <t>Deducción QBI</t>
        </is>
      </c>
      <c r="AB32" s="5" t="inlineStr">
        <is>
          <t>Ingreso gravable</t>
        </is>
      </c>
      <c r="AC32" s="5" t="inlineStr">
        <is>
          <t>Impuesto federal</t>
        </is>
      </c>
      <c r="AD32" s="5" t="inlineStr">
        <is>
          <t>Gravable NY</t>
        </is>
      </c>
      <c r="AE32" s="5" t="inlineStr">
        <is>
          <t>Impuesto estatal/local</t>
        </is>
      </c>
      <c r="AF32" s="5" t="inlineStr">
        <is>
          <t>Impuestos totales</t>
        </is>
      </c>
      <c r="AG32" s="5" t="inlineStr">
        <is>
          <t>Ingreso personal bruto en efectivo</t>
        </is>
      </c>
      <c r="AH32" s="5" t="inlineStr">
        <is>
          <t>Efectivo neto (tras impuestos y 403b)</t>
        </is>
      </c>
      <c r="AI32" s="5" t="inlineStr">
        <is>
          <t>Ingreso bruto</t>
        </is>
      </c>
      <c r="AJ32" s="5" t="inlineStr">
        <is>
          <t>Gastos de vida</t>
        </is>
      </c>
      <c r="AK32" s="5" t="inlineStr">
        <is>
          <t>Ahorro líquido inicio</t>
        </is>
      </c>
      <c r="AL32" s="5" t="inlineStr">
        <is>
          <t>Ya era dueño</t>
        </is>
      </c>
      <c r="AM32" s="5" t="inlineStr">
        <is>
          <t>Precio base 2026</t>
        </is>
      </c>
      <c r="AN32" s="5" t="inlineStr">
        <is>
          <t>Precio en el año</t>
        </is>
      </c>
      <c r="AO32" s="5" t="inlineStr">
        <is>
          <t>Physician loan</t>
        </is>
      </c>
      <c r="AP32" s="5" t="inlineStr">
        <is>
          <t>% enganche</t>
        </is>
      </c>
      <c r="AQ32" s="5" t="inlineStr">
        <is>
          <t>Préstamo</t>
        </is>
      </c>
      <c r="AR32" s="5" t="inlineStr">
        <is>
          <t>Cuota P&amp;I mensual</t>
        </is>
      </c>
      <c r="AS32" s="5" t="inlineStr">
        <is>
          <t>Unidades rentadas</t>
        </is>
      </c>
      <c r="AT32" s="5" t="inlineStr">
        <is>
          <t>Renta mensual (cotización)</t>
        </is>
      </c>
      <c r="AU32" s="5" t="inlineStr">
        <is>
          <t>PITI mensual</t>
        </is>
      </c>
      <c r="AV32" s="5" t="inlineStr">
        <is>
          <t>Efectivo requerido</t>
        </is>
      </c>
      <c r="AW32" s="5" t="inlineStr">
        <is>
          <t>Otras deudas mensuales</t>
        </is>
      </c>
      <c r="AX32" s="5" t="inlineStr">
        <is>
          <t>Crédito aporte familiar</t>
        </is>
      </c>
      <c r="AY32" s="5" t="inlineStr">
        <is>
          <t>Carga mensual para DTI</t>
        </is>
      </c>
      <c r="AZ32" s="5" t="inlineStr">
        <is>
          <t>Ingreso mensual para DTI</t>
        </is>
      </c>
      <c r="BA32" s="5" t="inlineStr">
        <is>
          <t>Compra este año</t>
        </is>
      </c>
      <c r="BB32" s="5" t="inlineStr">
        <is>
          <t>Dueño</t>
        </is>
      </c>
      <c r="BC32" s="5" t="inlineStr">
        <is>
          <t>Año de compra</t>
        </is>
      </c>
      <c r="BD32" s="5" t="inlineStr">
        <is>
          <t>Ahorro tras enganche</t>
        </is>
      </c>
      <c r="BE32" s="5" t="inlineStr">
        <is>
          <t>Precio de compra</t>
        </is>
      </c>
      <c r="BF32" s="5" t="inlineStr">
        <is>
          <t>Cuota hipoteca</t>
        </is>
      </c>
      <c r="BG32" s="5" t="inlineStr">
        <is>
          <t>PMI activo (antes)</t>
        </is>
      </c>
      <c r="BH32" s="5" t="inlineStr">
        <is>
          <t>Config. con ADU</t>
        </is>
      </c>
      <c r="BI32" s="5" t="inlineStr">
        <is>
          <t>Construye ADU</t>
        </is>
      </c>
      <c r="BJ32" s="5" t="inlineStr">
        <is>
          <t>ADU construido</t>
        </is>
      </c>
      <c r="BK32" s="5" t="inlineStr">
        <is>
          <t>Cuota ADU</t>
        </is>
      </c>
      <c r="BL32" s="5" t="inlineStr">
        <is>
          <t>Valor vivienda inicio</t>
        </is>
      </c>
      <c r="BM32" s="5" t="inlineStr">
        <is>
          <t>Hipoteca inicio</t>
        </is>
      </c>
      <c r="BN32" s="5" t="inlineStr">
        <is>
          <t>Hipoteca tras 12 pagos</t>
        </is>
      </c>
      <c r="BO32" s="5" t="inlineStr">
        <is>
          <t>Pagado hipoteca</t>
        </is>
      </c>
      <c r="BP32" s="5" t="inlineStr">
        <is>
          <t>Hipoteca tras pagos</t>
        </is>
      </c>
      <c r="BQ32" s="5" t="inlineStr">
        <is>
          <t>ADU inicio</t>
        </is>
      </c>
      <c r="BR32" s="5" t="inlineStr">
        <is>
          <t>ADU tras 12 pagos</t>
        </is>
      </c>
      <c r="BS32" s="5" t="inlineStr">
        <is>
          <t>Pagado ADU</t>
        </is>
      </c>
      <c r="BT32" s="5" t="inlineStr">
        <is>
          <t>ADU tras pagos</t>
        </is>
      </c>
      <c r="BU32" s="5" t="inlineStr">
        <is>
          <t>Seguro</t>
        </is>
      </c>
      <c r="BV32" s="5" t="inlineStr">
        <is>
          <t>Impuesto predial</t>
        </is>
      </c>
      <c r="BW32" s="5" t="inlineStr">
        <is>
          <t>Mantenimiento</t>
        </is>
      </c>
      <c r="BX32" s="5" t="inlineStr">
        <is>
          <t>PMI</t>
        </is>
      </c>
      <c r="BY32" s="5" t="inlineStr">
        <is>
          <t>PMI activo (después)</t>
        </is>
      </c>
      <c r="BZ32" s="5" t="inlineStr">
        <is>
          <t>Renta recibida</t>
        </is>
      </c>
      <c r="CA32" s="5" t="inlineStr">
        <is>
          <t>Costo de vivienda</t>
        </is>
      </c>
      <c r="CB32" s="5" t="inlineStr">
        <is>
          <t>Aporte familiar</t>
        </is>
      </c>
      <c r="CC32" s="5" t="inlineStr">
        <is>
          <t>IRS pagado</t>
        </is>
      </c>
      <c r="CD32" s="5" t="inlineStr">
        <is>
          <t>IRS saldo</t>
        </is>
      </c>
      <c r="CE32" s="5" t="inlineStr">
        <is>
          <t>Federal inicio</t>
        </is>
      </c>
      <c r="CF32" s="5" t="inlineStr">
        <is>
          <t>Tasa federal</t>
        </is>
      </c>
      <c r="CG32" s="5" t="inlineStr">
        <is>
          <t>Años repago fed.</t>
        </is>
      </c>
      <c r="CH32" s="5" t="inlineStr">
        <is>
          <t>En estudios (≥50%)</t>
        </is>
      </c>
      <c r="CI32" s="5" t="inlineStr">
        <is>
          <t>Usa RAP/PSLF</t>
        </is>
      </c>
      <c r="CJ32" s="5" t="inlineStr">
        <is>
          <t>Interés federal</t>
        </is>
      </c>
      <c r="CK32" s="5" t="inlineStr">
        <is>
          <t>Pago RAP</t>
        </is>
      </c>
      <c r="CL32" s="5" t="inlineStr">
        <is>
          <t>Pago federal</t>
        </is>
      </c>
      <c r="CM32" s="5" t="inlineStr">
        <is>
          <t>Federal tras pago</t>
        </is>
      </c>
      <c r="CN32" s="5" t="inlineStr">
        <is>
          <t>Meses PSLF</t>
        </is>
      </c>
      <c r="CO32" s="5" t="inlineStr">
        <is>
          <t>Condonado PSLF</t>
        </is>
      </c>
      <c r="CP32" s="5" t="inlineStr">
        <is>
          <t>Federal tras PSLF</t>
        </is>
      </c>
      <c r="CQ32" s="5" t="inlineStr">
        <is>
          <t>Años repago (tras pago)</t>
        </is>
      </c>
      <c r="CR32" s="5" t="inlineStr">
        <is>
          <t>Privado inicio</t>
        </is>
      </c>
      <c r="CS32" s="5" t="inlineStr">
        <is>
          <t>Tasa privada</t>
        </is>
      </c>
      <c r="CT32" s="5" t="inlineStr">
        <is>
          <t>Años repago priv.</t>
        </is>
      </c>
      <c r="CU32" s="5" t="inlineStr">
        <is>
          <t>Pago privado</t>
        </is>
      </c>
      <c r="CV32" s="5" t="inlineStr">
        <is>
          <t>Privado tras pago</t>
        </is>
      </c>
      <c r="CW32" s="5" t="inlineStr">
        <is>
          <t>Años repago priv. (tras)</t>
        </is>
      </c>
      <c r="CX32" s="5" t="inlineStr">
        <is>
          <t>Consumo tras interés</t>
        </is>
      </c>
      <c r="CY32" s="5" t="inlineStr">
        <is>
          <t>Gasto extra travel</t>
        </is>
      </c>
      <c r="CZ32" s="5" t="inlineStr">
        <is>
          <t>Salidas</t>
        </is>
      </c>
      <c r="DA32" s="5" t="inlineStr">
        <is>
          <t>Excedente (déficit)</t>
        </is>
      </c>
      <c r="DB32" s="5" t="inlineStr">
        <is>
          <t>Flujo acumulado</t>
        </is>
      </c>
      <c r="DC32" s="5" t="inlineStr">
        <is>
          <t>Meta enganche</t>
        </is>
      </c>
      <c r="DD32" s="5" t="inlineStr">
        <is>
          <t>Retorno del ahorro líquido</t>
        </is>
      </c>
      <c r="DE32" s="5" t="inlineStr">
        <is>
          <t>Pago deuda consumo</t>
        </is>
      </c>
      <c r="DF32" s="5" t="inlineStr">
        <is>
          <t>Gasto discrecional</t>
        </is>
      </c>
      <c r="DG32" s="5" t="inlineStr">
        <is>
          <t>Ahorro</t>
        </is>
      </c>
      <c r="DH32" s="5" t="inlineStr">
        <is>
          <t>Roth</t>
        </is>
      </c>
      <c r="DI32" s="5" t="inlineStr">
        <is>
          <t>Prepago</t>
        </is>
      </c>
      <c r="DJ32" s="5" t="inlineStr">
        <is>
          <t>Prepago a hipoteca</t>
        </is>
      </c>
      <c r="DK32" s="5" t="inlineStr">
        <is>
          <t>Retiro del ahorro</t>
        </is>
      </c>
      <c r="DL32" s="5" t="inlineStr">
        <is>
          <t>Déficit por financiar</t>
        </is>
      </c>
      <c r="DM32" s="5" t="inlineStr">
        <is>
          <t>Federal acumulado (antes)</t>
        </is>
      </c>
      <c r="DN32" s="5" t="inlineStr">
        <is>
          <t>Nuevo préstamo federal</t>
        </is>
      </c>
      <c r="DO32" s="5" t="inlineStr">
        <is>
          <t>Nuevo préstamo privado</t>
        </is>
      </c>
      <c r="DP32" s="5" t="inlineStr">
        <is>
          <t>Nueva deuda consumo</t>
        </is>
      </c>
      <c r="DQ32" s="5" t="inlineStr">
        <is>
          <t>Flujo al ahorro líquido</t>
        </is>
      </c>
      <c r="DR32" s="5" t="inlineStr">
        <is>
          <t>Ahorro líquido fin</t>
        </is>
      </c>
      <c r="DS32" s="5" t="inlineStr">
        <is>
          <t>Retiro fin</t>
        </is>
      </c>
      <c r="DT32" s="5" t="inlineStr">
        <is>
          <t>Valor vivienda fin</t>
        </is>
      </c>
      <c r="DU32" s="5" t="inlineStr">
        <is>
          <t>Hipoteca fin</t>
        </is>
      </c>
      <c r="DV32" s="5" t="inlineStr">
        <is>
          <t>ADU fin</t>
        </is>
      </c>
      <c r="DW32" s="5" t="inlineStr">
        <is>
          <t>Federal fin</t>
        </is>
      </c>
      <c r="DX32" s="5" t="inlineStr">
        <is>
          <t>Tasa federal fin</t>
        </is>
      </c>
      <c r="DY32" s="5" t="inlineStr">
        <is>
          <t>Años repago fed. fin</t>
        </is>
      </c>
      <c r="DZ32" s="5" t="inlineStr">
        <is>
          <t>Federal acumulado</t>
        </is>
      </c>
      <c r="EA32" s="5" t="inlineStr">
        <is>
          <t>Privado fin</t>
        </is>
      </c>
      <c r="EB32" s="5" t="inlineStr">
        <is>
          <t>Tasa privada fin</t>
        </is>
      </c>
      <c r="EC32" s="5" t="inlineStr">
        <is>
          <t>Años repago priv. fin</t>
        </is>
      </c>
      <c r="ED32" s="5" t="inlineStr">
        <is>
          <t>Deuda consumo fin</t>
        </is>
      </c>
      <c r="EE32" s="5" t="inlineStr">
        <is>
          <t>Año vivienda pagada</t>
        </is>
      </c>
      <c r="EF32" s="5" t="inlineStr">
        <is>
          <t>Deuda total</t>
        </is>
      </c>
      <c r="EG32" s="9" t="inlineStr">
        <is>
          <t>PATRIMONIO NETO</t>
        </is>
      </c>
      <c r="EH32" s="5" t="inlineStr">
        <is>
          <t>Patrimonio (dólares 2026)</t>
        </is>
      </c>
    </row>
    <row r="33">
      <c r="A33" t="n">
        <v>2027</v>
      </c>
      <c r="B33" t="n">
        <v>0</v>
      </c>
      <c r="C33" s="7">
        <f>(1+g_inf)^(A33-2026)</f>
        <v/>
      </c>
      <c r="D33" s="7">
        <f>SUMPRODUCT($T$5:$T$29,$E$5:$E$29*(1+$F$5:$F$29)^(A33-2026)*$G$5:$G$29*$H$5:$H$29*(1-$N$5:$N$29*$O$5:$O$29))*g_salMult+SUMPRODUCT(($B$5:$B$29&gt;=A33)*($B$5:$B$29&lt;A33+1)*$I$5:$I$29)*g_salMult</f>
        <v/>
      </c>
      <c r="E33" s="7">
        <f>SUMPRODUCT($T$5:$T$29,$E$5:$E$29*(1+$F$5:$F$29)^(A33-2026)*$G$5:$G$29*$H$5:$H$29*$M$5:$M$29)*g_salMult</f>
        <v/>
      </c>
      <c r="F33" s="7">
        <f>SUMPRODUCT($T$5:$T$29,$E$5:$E$29*(1+$F$5:$F$29)^(A33-2026)*$G$5:$G$29*$H$5:$H$29*$N$5:$N$29*$O$5:$O$29)*g_salMult</f>
        <v/>
      </c>
      <c r="G33" s="7">
        <f>SUMPRODUCT($T$5:$T$29,$P$5:$P$29*(1+$F$5:$F$29)^(A33-2026))</f>
        <v/>
      </c>
      <c r="H33" s="7">
        <f>SUMPRODUCT($T$5:$T$29,$Q$5:$Q$29*(1+$F$5:$F$29)^(A33-2026))+IF(personal_llcActivo=1,personal_llcNeto*(1+personal_llcCrecimiento)^0,0)</f>
        <v/>
      </c>
      <c r="I33" s="7">
        <f>SUMPRODUCT($T$5:$T$29,$J$5:$J$29/($C$5:$C$29-$B$5:$B$29+($C$5:$C$29=$B$5:$B$29)))*C33</f>
        <v/>
      </c>
      <c r="J33" s="7">
        <f>SUMPRODUCT($T$5:$T$29,$K$5:$K$29)</f>
        <v/>
      </c>
      <c r="K33" s="7">
        <f>SUMPRODUCT($T$5:$T$29,$L$5:$L$29)</f>
        <v/>
      </c>
      <c r="L33" s="7">
        <f>SUMPRODUCT($T$5:$T$29,$N$5:$N$29)</f>
        <v/>
      </c>
      <c r="M33" s="7">
        <f>IF(SUMPRODUCT($T$5:$T$29,$R$5:$R$29)&gt;0,1,0)</f>
        <v/>
      </c>
      <c r="N33" s="7">
        <f>SUMPRODUCT(($AO$5:$AO$24&gt;=A33)*($AO$5:$AO$24&lt;A33+1)*$AP$5:$AP$24)*C33+IF(0=0,IF(sel_loc&lt;&gt;"miami",personal_costoMudanzaInicial,0),0)</f>
        <v/>
      </c>
      <c r="O33" s="7">
        <f>MIN(personal_aporte403bPct*D33,retiro_limite403b*C33)</f>
        <v/>
      </c>
      <c r="P33" s="7">
        <f>MIN(personal_aporte403bPct,personal_match403bPct)*E33</f>
        <v/>
      </c>
      <c r="Q33" s="7">
        <f>IF(G33&gt;0,MAX(0,G33-impuestos_scorpCostoAnual*C33),0)</f>
        <v/>
      </c>
      <c r="R33" s="7">
        <f>Q33*impuestos_scorpSalarioPct/(1+impuestos_ssTasa+impuestos_medicareTasa)</f>
        <v/>
      </c>
      <c r="S33" s="7">
        <f>impuestos_ssTasa*MIN(R33,MAX(0,impuestos_ssTope*C33-D33))+impuestos_medicareTasa*R33</f>
        <v/>
      </c>
      <c r="T33" s="7">
        <f>Q33-R33-S33</f>
        <v/>
      </c>
      <c r="U33" s="7">
        <f>D33+R33</f>
        <v/>
      </c>
      <c r="V33" s="7">
        <f>H33*0.9235</f>
        <v/>
      </c>
      <c r="W33" s="7">
        <f>IF(H33&gt;0,2*impuestos_ssTasa*MIN(V33,MAX(0,impuestos_ssTope*C33-U33))+2*impuestos_medicareTasa*V33,0)</f>
        <v/>
      </c>
      <c r="X33" s="7">
        <f>impuestos_ssTasa*MIN(U33,impuestos_ssTope*C33)+impuestos_medicareTasa*U33+impuestos_medicareAdicional*MAX(0,U33+H33*0.9235-impuestos_medicareUmbral)</f>
        <v/>
      </c>
      <c r="Y33" s="7">
        <f>MAX(0,D33-O33+R33+T33+H33-W33/2)</f>
        <v/>
      </c>
      <c r="Z33" s="7">
        <f>MAX(0,Y33-impuestos_deduccionEstandar*C33)</f>
        <v/>
      </c>
      <c r="AA33" s="7">
        <f>MIN(0.2*MAX(0,T33+H33-W33/2)*MAX(0,MIN(1,1-(Z33-impuestos_qbiUmbral*C33)/(impuestos_qbiRango*C33))),0.2*Z33)</f>
        <v/>
      </c>
      <c r="AB33" s="7">
        <f>MAX(0,Z33-AA33)</f>
        <v/>
      </c>
      <c r="AC33" s="7">
        <f>SUMPRODUCT((AB33&gt;tb_federalBrackets_lo*C33)*(AB33-tb_federalBrackets_lo*C33)*tb_federalBrackets_dr)</f>
        <v/>
      </c>
      <c r="AD33" s="7">
        <f>MAX(0,Y33-impuestos_nyDeduccion*C33)</f>
        <v/>
      </c>
      <c r="AE33" s="7">
        <f>CHOOSE(loc_taxcode,0,impuestos_ohTasa*MAX(0,Y33-impuestos_ohExento*C33)+impuestos_ohMunicipal*U33,SUMPRODUCT((AD33&gt;tb_nyBrackets_lo*C33)*(AD33-tb_nyBrackets_lo*C33)*tb_nyBrackets_dr)+loc_nyc*SUMPRODUCT((AD33&gt;tb_nycBrackets_lo*C33)*(AD33-tb_nycBrackets_lo*C33)*tb_nycBrackets_dr))</f>
        <v/>
      </c>
      <c r="AF33" s="7">
        <f>AC33+AE33+X33+W33</f>
        <v/>
      </c>
      <c r="AG33" s="7">
        <f>D33+F33+R33+T33+H33</f>
        <v/>
      </c>
      <c r="AH33" s="7">
        <f>AG33-AF33-O33</f>
        <v/>
      </c>
      <c r="AI33" s="7">
        <f>D33+F33+G33+H33</f>
        <v/>
      </c>
      <c r="AJ33" s="7">
        <f>loc_gastosVida*C33*g_gastos</f>
        <v/>
      </c>
      <c r="AK33" s="7">
        <f>IF(0=0,personal_liquidoInicial,DR32)</f>
        <v/>
      </c>
      <c r="AL33" s="7">
        <f>IF(0=0,0,BB32)</f>
        <v/>
      </c>
      <c r="AM33" s="7">
        <f>CHOOSE(sel_cfgIdx,loc_precio_duplex,loc_precio_inlaw,loc_precio_dosCasas,loc_precio_casaAdu,loc_precio_multi)</f>
        <v/>
      </c>
      <c r="AN33" s="7">
        <f>AM33*(1+g_appr)^(A33-2026)</f>
        <v/>
      </c>
      <c r="AO33" s="7">
        <f>IF(AND(M33=1,vivienda_prestamoMedico=1),1,0)</f>
        <v/>
      </c>
      <c r="AP33" s="7">
        <f>IF(AO33=1,0.05,vivienda_enganchePct)</f>
        <v/>
      </c>
      <c r="AQ33" s="7">
        <f>AN33*(1-AP33)</f>
        <v/>
      </c>
      <c r="AR33" s="7">
        <f>PMT(g_mortRate/12,vivienda_plazoHipoteca*12,-AQ33)</f>
        <v/>
      </c>
      <c r="AS33" s="7">
        <f>INDEX(cfg_units,sel_cfgIdx)</f>
        <v/>
      </c>
      <c r="AT33" s="7">
        <f>AS33*loc_rentaUnidad*(1+g_inf)^(A33-2026)*(1-vivienda_vacancia)</f>
        <v/>
      </c>
      <c r="AU33" s="7">
        <f>AR33+AN33*loc_impuestoPropPct/12+AM33*loc_seguroPct*(1+vivienda_inflacionSeguro)^(A33-2026)/12+IF(AND(AO33=0,AP33&lt;0.2),AQ33*vivienda_pmiTasa/12,0)</f>
        <v/>
      </c>
      <c r="AV33" s="7">
        <f>AN33*AP33+AN33*vivienda_cierrePct+general_reservaMeses/12*AJ33</f>
        <v/>
      </c>
      <c r="AW33" s="7">
        <f>(IF(0=0,MIN(personal_irsSaldo,personal_irsPagoMensual*12),MIN(CD32,personal_irsPagoMensual*12))+IF(CE33&gt;0,PMT(CF33,MAX(1,prestamos_plazoAnios-CG33),-CE33),0)+IF(CR33&gt;0,PMT(CS33,MAX(1,prestamos_plazoAnios-CT33),-CR33),0))/12</f>
        <v/>
      </c>
      <c r="AX33" s="7">
        <f>IF(OR(sel_cfg="duplex",sel_cfg="multi",sel_cfg="dosCasas"),0.75*personal_aporteFamiliaMensual,0)</f>
        <v/>
      </c>
      <c r="AY33" s="7">
        <f>AU33-0.75*AT33-AX33+AW33</f>
        <v/>
      </c>
      <c r="AZ33" s="7">
        <f>(D33+G33+H33+0.5*F33)/12</f>
        <v/>
      </c>
      <c r="BA33" s="7">
        <f>IF(AND(AL33=0,A33&gt;=vivienda_anioMinCompra,J33&lt;0.5,AI33&gt;0,AK33&gt;=AV33,AY33&lt;=vivienda_dtiMax*AZ33),1,0)</f>
        <v/>
      </c>
      <c r="BB33" s="7">
        <f>MAX(AL33,BA33)</f>
        <v/>
      </c>
      <c r="BC33" s="7">
        <f>IF(BA33=1,A33,IF(0=0,"",BC32))</f>
        <v/>
      </c>
      <c r="BD33" s="7">
        <f>AK33-IF(BA33=1,AN33*AP33+AN33*vivienda_cierrePct,0)</f>
        <v/>
      </c>
      <c r="BE33" s="7">
        <f>IF(BA33=1,AN33,IF(0=0,0,BE32))</f>
        <v/>
      </c>
      <c r="BF33" s="7">
        <f>IF(BA33=1,AR33,IF(0=0,0,BF32))</f>
        <v/>
      </c>
      <c r="BG33" s="7">
        <f>IF(BA33=1,IF(AND(AO33=0,AP33&lt;0.2),1,0),IF(0=0,0,BY32))</f>
        <v/>
      </c>
      <c r="BH33" s="7">
        <f>IF(sel_cfg="casaAdu",1,0)</f>
        <v/>
      </c>
      <c r="BI33" s="7">
        <f>IF(AND(BB33=1,BH33=1,IF(0=0,0,BJ32)=0,A33&gt;=IF(BC33="",9999,BC33)+vivienda_aduRetrasoAnios),1,0)</f>
        <v/>
      </c>
      <c r="BJ33" s="7">
        <f>MAX(IF(0=0,0,BJ32),BI33)</f>
        <v/>
      </c>
      <c r="BK33" s="7">
        <f>IF(BI33=1,PMT((g_mortRate+0.005)/12,180,-loc_precio_aduCosto*C33),IF(0=0,0,BK32))</f>
        <v/>
      </c>
      <c r="BL33" s="7">
        <f>IF(BA33=1,AN33,IF(0=0,0,DT32))+IF(BI33=1,loc_precio_aduCosto*C33,0)</f>
        <v/>
      </c>
      <c r="BM33" s="7">
        <f>IF(BA33=1,AQ33,IF(0=0,0,DU32))</f>
        <v/>
      </c>
      <c r="BN33" s="7">
        <f>IF(BM33&lt;=0,0,FV(g_mortRate/12,12,BF33,-BM33))</f>
        <v/>
      </c>
      <c r="BO33" s="7">
        <f>IF(BM33&lt;=0,0,12*BF33+MIN(0,BN33))</f>
        <v/>
      </c>
      <c r="BP33" s="7">
        <f>MAX(0,BN33)</f>
        <v/>
      </c>
      <c r="BQ33" s="7">
        <f>IF(BI33=1,loc_precio_aduCosto*C33,IF(0=0,0,DV32))</f>
        <v/>
      </c>
      <c r="BR33" s="7">
        <f>IF(BQ33&lt;=0,0,FV((g_mortRate+0.005)/12,12,BK33,-BQ33))</f>
        <v/>
      </c>
      <c r="BS33" s="7">
        <f>IF(BQ33&lt;=0,0,12*BK33+MIN(0,BR33))</f>
        <v/>
      </c>
      <c r="BT33" s="7">
        <f>MAX(0,BR33)</f>
        <v/>
      </c>
      <c r="BU33" s="7">
        <f>IF(BB33=1,AM33*loc_seguroPct*(1+vivienda_inflacionSeguro)^(A33-2026)*IF(BJ33=1,1+loc_precio_aduCosto/AM33,1),0)</f>
        <v/>
      </c>
      <c r="BV33" s="7">
        <f>BL33*loc_impuestoPropPct</f>
        <v/>
      </c>
      <c r="BW33" s="7">
        <f>BL33*vivienda_mantenimientoPct</f>
        <v/>
      </c>
      <c r="BX33" s="7">
        <f>IF(AND(BG33=1,BP33&gt;0.8*BE33),BE33*(1-vivienda_enganchePct)*vivienda_pmiTasa,0)</f>
        <v/>
      </c>
      <c r="BY33" s="7">
        <f>IF(AND(BG33=1,BP33&gt;0.8*BE33),1,0)</f>
        <v/>
      </c>
      <c r="BZ33" s="7">
        <f>IF(BB33=1,AS33*loc_rentaUnidad*12*C33*(1-vivienda_vacancia)*(1-vivienda_gestionPct),0)</f>
        <v/>
      </c>
      <c r="CA33" s="7">
        <f>IF(BB33=1,BO33+BS33+BU33+BV33+BW33+BX33,loc_rentaMensual*12*C33)</f>
        <v/>
      </c>
      <c r="CB33" s="7">
        <f>IF(BB33=1,personal_aporteFamiliaMensual*12,0)</f>
        <v/>
      </c>
      <c r="CC33" s="7">
        <f>MIN(IF(0=0,personal_irsSaldo,CD32),personal_irsPagoMensual*12)</f>
        <v/>
      </c>
      <c r="CD33" s="7">
        <f>IF(0=0,personal_irsSaldo,CD32)-CC33</f>
        <v/>
      </c>
      <c r="CE33" s="7">
        <f>IF(0=0,IF(personal_deudaEsFederal=1,personal_deudaEstudiantil,0),DW32)</f>
        <v/>
      </c>
      <c r="CF33" s="7">
        <f>IF(0=0,personal_tasaDeudaEstudiantil,DX32)</f>
        <v/>
      </c>
      <c r="CG33" s="7">
        <f>IF(0=0,0,DY32)</f>
        <v/>
      </c>
      <c r="CH33" s="7">
        <f>IF(J33&gt;=0.5,1,0)</f>
        <v/>
      </c>
      <c r="CI33" s="7">
        <f>IF(AND(CH33=0,prestamos_pslfActivo=1,K33&gt;=0.5,CE33&gt;0),1,0)</f>
        <v/>
      </c>
      <c r="CJ33" s="7">
        <f>CE33*CF33</f>
        <v/>
      </c>
      <c r="CK33" s="7">
        <f>MAX(prestamos_rapPagoMinimoAnual,IF(Y33&lt;10000,0,MIN(0.1,INT(Y33/10000)/100))*Y33)</f>
        <v/>
      </c>
      <c r="CL33" s="7">
        <f>IF(CE33&lt;=0,0,IF(CH33=1,0,IF(CI33=1,MIN(CE33+CJ33,CK33),PMT(CF33,MAX(1,prestamos_plazoAnios-CG33),-CE33))))</f>
        <v/>
      </c>
      <c r="CM33" s="7">
        <f>IF(CE33&lt;=0,0,IF(CH33=1,CE33+CJ33,IF(CI33=1,MAX(0,CE33-MAX(CL33-CJ33,MIN(600,CL33))),MAX(0,CE33*(1+CF33)-CL33))))</f>
        <v/>
      </c>
      <c r="CN33" s="7">
        <f>IF(0=0,0,CN32)+IF(CI33=1,12*MIN(1,K33),0)</f>
        <v/>
      </c>
      <c r="CO33" s="7">
        <f>IF(AND(CI33=1,CN33&gt;=prestamos_pslfPagos,CM33&gt;0),CM33,0)</f>
        <v/>
      </c>
      <c r="CP33" s="7">
        <f>CM33-CO33</f>
        <v/>
      </c>
      <c r="CQ33" s="7">
        <f>IF(AND(CE33&gt;0,CH33=0,CI33=0),CG33+1,CG33)</f>
        <v/>
      </c>
      <c r="CR33" s="7">
        <f>IF(0=0,IF(personal_deudaEsFederal=1,0,personal_deudaEstudiantil),EA32)</f>
        <v/>
      </c>
      <c r="CS33" s="7">
        <f>IF(0=0,IF(personal_deudaEsFederal=1,prestamos_tasaPrivada,personal_tasaDeudaEstudiantil),EB32)</f>
        <v/>
      </c>
      <c r="CT33" s="7">
        <f>IF(0=0,0,EC32)</f>
        <v/>
      </c>
      <c r="CU33" s="7">
        <f>IF(OR(CR33&lt;=0,CH33=1),0,PMT(CS33,MAX(1,prestamos_plazoAnios-CT33),-CR33))</f>
        <v/>
      </c>
      <c r="CV33" s="7">
        <f>IF(CR33&lt;=0,0,IF(CH33=1,CR33*(1+CS33),MAX(0,CR33*(1+CS33)-CU33)))</f>
        <v/>
      </c>
      <c r="CW33" s="7">
        <f>IF(AND(CR33&gt;0,CH33=0),CT33+1,CT33)</f>
        <v/>
      </c>
      <c r="CX33" s="7">
        <f>IF(0=0,0,ED32)*(1+general_tasaDeudaConsumo)</f>
        <v/>
      </c>
      <c r="CY33" s="7">
        <f>L33*12*tiempos_travelGastoExtraMes*C33</f>
        <v/>
      </c>
      <c r="CZ33" s="7">
        <f>AJ33+CY33+CA33+CC33+CL33+CU33+I33+N33-BZ33-CB33</f>
        <v/>
      </c>
      <c r="DA33" s="7">
        <f>AH33-CZ33</f>
        <v/>
      </c>
      <c r="DB33" s="7">
        <f>IF(0=0,0,DB32)+DA33</f>
        <v/>
      </c>
      <c r="DC33" s="7">
        <f>AN33*vivienda_enganchePct+AN33*vivienda_cierrePct+general_reservaMeses/12*AJ33</f>
        <v/>
      </c>
      <c r="DD33" s="7">
        <f>IF(BB33=1,g_ret,IF(BD33&gt;0,MIN(1,DC33/BD33),1)*g_cash+(1-IF(BD33&gt;0,MIN(1,DC33/BD33),1))*g_ret)</f>
        <v/>
      </c>
      <c r="DE33" s="7">
        <f>IF(DA33&gt;=0,MIN(CX33,DA33),0)</f>
        <v/>
      </c>
      <c r="DF33" s="7">
        <f>IF(DA33&gt;=0,(1-general_tasaAhorro)*(DA33-DE33),0)</f>
        <v/>
      </c>
      <c r="DG33" s="7">
        <f>IF(DA33&gt;=0,DA33-DE33-DF33,0)</f>
        <v/>
      </c>
      <c r="DH33" s="7">
        <f>MIN(personal_rothAnual,DG33)</f>
        <v/>
      </c>
      <c r="DI33" s="7">
        <f>IF(AND(DA33&gt;=0,BB33=1,BP33+BT33&gt;0),MIN(vivienda_prepagoPct*(DG33-DH33),BP33+BT33),0)</f>
        <v/>
      </c>
      <c r="DJ33" s="7">
        <f>MIN(DI33,BP33)</f>
        <v/>
      </c>
      <c r="DK33" s="7">
        <f>IF(DA33&lt;0,MIN(MAX(0,BD33),-DA33),0)</f>
        <v/>
      </c>
      <c r="DL33" s="7">
        <f>IF(DA33&lt;0,-DA33-DK33,0)</f>
        <v/>
      </c>
      <c r="DM33" s="7">
        <f>IF(0=0,0,DZ32)</f>
        <v/>
      </c>
      <c r="DN33" s="7">
        <f>IF(AND(DL33&gt;0,J33&gt;0),MIN(DL33,MIN(prestamos_topeAnualPosgrado*MIN(1,J33),MAX(0,prestamos_topeTotalPosgrado-DM33))),0)</f>
        <v/>
      </c>
      <c r="DO33" s="7">
        <f>IF(AND(DL33&gt;0,J33&gt;0),DL33-DN33,0)</f>
        <v/>
      </c>
      <c r="DP33" s="7">
        <f>IF(AND(DL33&gt;0,J33&lt;=0),DL33,0)</f>
        <v/>
      </c>
      <c r="DQ33" s="7">
        <f>IF(DA33&gt;=0,DG33-DH33-DI33,-DK33)</f>
        <v/>
      </c>
      <c r="DR33" s="7">
        <f>BD33*(1+DD33)+DQ33*(1+DD33/2)</f>
        <v/>
      </c>
      <c r="DS33" s="7">
        <f>IF(0=0,personal_retiroInicial,DS32)*(1+g_ret)+(O33+P33+DH33)*(1+g_ret/2)</f>
        <v/>
      </c>
      <c r="DT33" s="7">
        <f>IF(BB33=1,BL33*(1+g_appr),0)</f>
        <v/>
      </c>
      <c r="DU33" s="7">
        <f>BP33-DJ33</f>
        <v/>
      </c>
      <c r="DV33" s="7">
        <f>BT33-(DI33-DJ33)</f>
        <v/>
      </c>
      <c r="DW33" s="7">
        <f>CP33+DN33</f>
        <v/>
      </c>
      <c r="DX33" s="7">
        <f>IF(DN33&gt;0,(CP33*CF33+DN33*prestamos_tasaFederalPosgrado)/(CP33+DN33),CF33)</f>
        <v/>
      </c>
      <c r="DY33" s="7">
        <f>IF(DN33&gt;0,0,CQ33)</f>
        <v/>
      </c>
      <c r="DZ33" s="7">
        <f>DM33+DN33</f>
        <v/>
      </c>
      <c r="EA33" s="7">
        <f>CV33+DO33</f>
        <v/>
      </c>
      <c r="EB33" s="7">
        <f>IF(DO33&gt;0,(CV33*CS33+DO33*prestamos_tasaPrivada)/(CV33+DO33),CS33)</f>
        <v/>
      </c>
      <c r="EC33" s="7">
        <f>IF(DO33&gt;0,0,CW33)</f>
        <v/>
      </c>
      <c r="ED33" s="7">
        <f>CX33-DE33+DP33</f>
        <v/>
      </c>
      <c r="EE33" s="7">
        <f>IF(IF(0=0,"",EE32)&lt;&gt;"",EE32,IF(AND(BB33=1,DU33&lt;=0.5,DV33&lt;=0.5,OR(BH33=0,BJ33=1)),A33,""))</f>
        <v/>
      </c>
      <c r="EF33" s="7">
        <f>DU33+DV33+DW33+EA33+ED33+CD33</f>
        <v/>
      </c>
      <c r="EG33" s="7">
        <f>DR33+DS33+DT33-EF33</f>
        <v/>
      </c>
      <c r="EH33" s="7">
        <f>EG33/(1+g_inf)^(A33+1-2026)</f>
        <v/>
      </c>
    </row>
    <row r="34">
      <c r="A34" t="n">
        <v>2028</v>
      </c>
      <c r="B34" t="n">
        <v>1</v>
      </c>
      <c r="C34" s="7">
        <f>(1+g_inf)^(A34-2026)</f>
        <v/>
      </c>
      <c r="D34" s="7">
        <f>SUMPRODUCT($U$5:$U$29,$E$5:$E$29*(1+$F$5:$F$29)^(A34-2026)*$G$5:$G$29*$H$5:$H$29*(1-$N$5:$N$29*$O$5:$O$29))*g_salMult+SUMPRODUCT(($B$5:$B$29&gt;=A34)*($B$5:$B$29&lt;A34+1)*$I$5:$I$29)*g_salMult</f>
        <v/>
      </c>
      <c r="E34" s="7">
        <f>SUMPRODUCT($U$5:$U$29,$E$5:$E$29*(1+$F$5:$F$29)^(A34-2026)*$G$5:$G$29*$H$5:$H$29*$M$5:$M$29)*g_salMult</f>
        <v/>
      </c>
      <c r="F34" s="7">
        <f>SUMPRODUCT($U$5:$U$29,$E$5:$E$29*(1+$F$5:$F$29)^(A34-2026)*$G$5:$G$29*$H$5:$H$29*$N$5:$N$29*$O$5:$O$29)*g_salMult</f>
        <v/>
      </c>
      <c r="G34" s="7">
        <f>SUMPRODUCT($U$5:$U$29,$P$5:$P$29*(1+$F$5:$F$29)^(A34-2026))</f>
        <v/>
      </c>
      <c r="H34" s="7">
        <f>SUMPRODUCT($U$5:$U$29,$Q$5:$Q$29*(1+$F$5:$F$29)^(A34-2026))+IF(personal_llcActivo=1,personal_llcNeto*(1+personal_llcCrecimiento)^1,0)</f>
        <v/>
      </c>
      <c r="I34" s="7">
        <f>SUMPRODUCT($U$5:$U$29,$J$5:$J$29/($C$5:$C$29-$B$5:$B$29+($C$5:$C$29=$B$5:$B$29)))*C34</f>
        <v/>
      </c>
      <c r="J34" s="7">
        <f>SUMPRODUCT($U$5:$U$29,$K$5:$K$29)</f>
        <v/>
      </c>
      <c r="K34" s="7">
        <f>SUMPRODUCT($U$5:$U$29,$L$5:$L$29)</f>
        <v/>
      </c>
      <c r="L34" s="7">
        <f>SUMPRODUCT($U$5:$U$29,$N$5:$N$29)</f>
        <v/>
      </c>
      <c r="M34" s="7">
        <f>IF(SUMPRODUCT($U$5:$U$29,$R$5:$R$29)&gt;0,1,0)</f>
        <v/>
      </c>
      <c r="N34" s="7">
        <f>SUMPRODUCT(($AO$5:$AO$24&gt;=A34)*($AO$5:$AO$24&lt;A34+1)*$AP$5:$AP$24)*C34+IF(1=0,IF(sel_loc&lt;&gt;"miami",personal_costoMudanzaInicial,0),0)</f>
        <v/>
      </c>
      <c r="O34" s="7">
        <f>MIN(personal_aporte403bPct*D34,retiro_limite403b*C34)</f>
        <v/>
      </c>
      <c r="P34" s="7">
        <f>MIN(personal_aporte403bPct,personal_match403bPct)*E34</f>
        <v/>
      </c>
      <c r="Q34" s="7">
        <f>IF(G34&gt;0,MAX(0,G34-impuestos_scorpCostoAnual*C34),0)</f>
        <v/>
      </c>
      <c r="R34" s="7">
        <f>Q34*impuestos_scorpSalarioPct/(1+impuestos_ssTasa+impuestos_medicareTasa)</f>
        <v/>
      </c>
      <c r="S34" s="7">
        <f>impuestos_ssTasa*MIN(R34,MAX(0,impuestos_ssTope*C34-D34))+impuestos_medicareTasa*R34</f>
        <v/>
      </c>
      <c r="T34" s="7">
        <f>Q34-R34-S34</f>
        <v/>
      </c>
      <c r="U34" s="7">
        <f>D34+R34</f>
        <v/>
      </c>
      <c r="V34" s="7">
        <f>H34*0.9235</f>
        <v/>
      </c>
      <c r="W34" s="7">
        <f>IF(H34&gt;0,2*impuestos_ssTasa*MIN(V34,MAX(0,impuestos_ssTope*C34-U34))+2*impuestos_medicareTasa*V34,0)</f>
        <v/>
      </c>
      <c r="X34" s="7">
        <f>impuestos_ssTasa*MIN(U34,impuestos_ssTope*C34)+impuestos_medicareTasa*U34+impuestos_medicareAdicional*MAX(0,U34+H34*0.9235-impuestos_medicareUmbral)</f>
        <v/>
      </c>
      <c r="Y34" s="7">
        <f>MAX(0,D34-O34+R34+T34+H34-W34/2)</f>
        <v/>
      </c>
      <c r="Z34" s="7">
        <f>MAX(0,Y34-impuestos_deduccionEstandar*C34)</f>
        <v/>
      </c>
      <c r="AA34" s="7">
        <f>MIN(0.2*MAX(0,T34+H34-W34/2)*MAX(0,MIN(1,1-(Z34-impuestos_qbiUmbral*C34)/(impuestos_qbiRango*C34))),0.2*Z34)</f>
        <v/>
      </c>
      <c r="AB34" s="7">
        <f>MAX(0,Z34-AA34)</f>
        <v/>
      </c>
      <c r="AC34" s="7">
        <f>SUMPRODUCT((AB34&gt;tb_federalBrackets_lo*C34)*(AB34-tb_federalBrackets_lo*C34)*tb_federalBrackets_dr)</f>
        <v/>
      </c>
      <c r="AD34" s="7">
        <f>MAX(0,Y34-impuestos_nyDeduccion*C34)</f>
        <v/>
      </c>
      <c r="AE34" s="7">
        <f>CHOOSE(loc_taxcode,0,impuestos_ohTasa*MAX(0,Y34-impuestos_ohExento*C34)+impuestos_ohMunicipal*U34,SUMPRODUCT((AD34&gt;tb_nyBrackets_lo*C34)*(AD34-tb_nyBrackets_lo*C34)*tb_nyBrackets_dr)+loc_nyc*SUMPRODUCT((AD34&gt;tb_nycBrackets_lo*C34)*(AD34-tb_nycBrackets_lo*C34)*tb_nycBrackets_dr))</f>
        <v/>
      </c>
      <c r="AF34" s="7">
        <f>AC34+AE34+X34+W34</f>
        <v/>
      </c>
      <c r="AG34" s="7">
        <f>D34+F34+R34+T34+H34</f>
        <v/>
      </c>
      <c r="AH34" s="7">
        <f>AG34-AF34-O34</f>
        <v/>
      </c>
      <c r="AI34" s="7">
        <f>D34+F34+G34+H34</f>
        <v/>
      </c>
      <c r="AJ34" s="7">
        <f>loc_gastosVida*C34*g_gastos</f>
        <v/>
      </c>
      <c r="AK34" s="7">
        <f>IF(1=0,personal_liquidoInicial,DR33)</f>
        <v/>
      </c>
      <c r="AL34" s="7">
        <f>IF(1=0,0,BB33)</f>
        <v/>
      </c>
      <c r="AM34" s="7">
        <f>CHOOSE(sel_cfgIdx,loc_precio_duplex,loc_precio_inlaw,loc_precio_dosCasas,loc_precio_casaAdu,loc_precio_multi)</f>
        <v/>
      </c>
      <c r="AN34" s="7">
        <f>AM34*(1+g_appr)^(A34-2026)</f>
        <v/>
      </c>
      <c r="AO34" s="7">
        <f>IF(AND(M34=1,vivienda_prestamoMedico=1),1,0)</f>
        <v/>
      </c>
      <c r="AP34" s="7">
        <f>IF(AO34=1,0.05,vivienda_enganchePct)</f>
        <v/>
      </c>
      <c r="AQ34" s="7">
        <f>AN34*(1-AP34)</f>
        <v/>
      </c>
      <c r="AR34" s="7">
        <f>PMT(g_mortRate/12,vivienda_plazoHipoteca*12,-AQ34)</f>
        <v/>
      </c>
      <c r="AS34" s="7">
        <f>INDEX(cfg_units,sel_cfgIdx)</f>
        <v/>
      </c>
      <c r="AT34" s="7">
        <f>AS34*loc_rentaUnidad*(1+g_inf)^(A34-2026)*(1-vivienda_vacancia)</f>
        <v/>
      </c>
      <c r="AU34" s="7">
        <f>AR34+AN34*loc_impuestoPropPct/12+AM34*loc_seguroPct*(1+vivienda_inflacionSeguro)^(A34-2026)/12+IF(AND(AO34=0,AP34&lt;0.2),AQ34*vivienda_pmiTasa/12,0)</f>
        <v/>
      </c>
      <c r="AV34" s="7">
        <f>AN34*AP34+AN34*vivienda_cierrePct+general_reservaMeses/12*AJ34</f>
        <v/>
      </c>
      <c r="AW34" s="7">
        <f>(IF(1=0,MIN(personal_irsSaldo,personal_irsPagoMensual*12),MIN(CD33,personal_irsPagoMensual*12))+IF(CE34&gt;0,PMT(CF34,MAX(1,prestamos_plazoAnios-CG34),-CE34),0)+IF(CR34&gt;0,PMT(CS34,MAX(1,prestamos_plazoAnios-CT34),-CR34),0))/12</f>
        <v/>
      </c>
      <c r="AX34" s="7">
        <f>IF(OR(sel_cfg="duplex",sel_cfg="multi",sel_cfg="dosCasas"),0.75*personal_aporteFamiliaMensual,0)</f>
        <v/>
      </c>
      <c r="AY34" s="7">
        <f>AU34-0.75*AT34-AX34+AW34</f>
        <v/>
      </c>
      <c r="AZ34" s="7">
        <f>(D34+G34+H34+0.5*F34)/12</f>
        <v/>
      </c>
      <c r="BA34" s="7">
        <f>IF(AND(AL34=0,A34&gt;=vivienda_anioMinCompra,J34&lt;0.5,AI34&gt;0,AK34&gt;=AV34,AY34&lt;=vivienda_dtiMax*AZ34),1,0)</f>
        <v/>
      </c>
      <c r="BB34" s="7">
        <f>MAX(AL34,BA34)</f>
        <v/>
      </c>
      <c r="BC34" s="7">
        <f>IF(BA34=1,A34,IF(1=0,"",BC33))</f>
        <v/>
      </c>
      <c r="BD34" s="7">
        <f>AK34-IF(BA34=1,AN34*AP34+AN34*vivienda_cierrePct,0)</f>
        <v/>
      </c>
      <c r="BE34" s="7">
        <f>IF(BA34=1,AN34,IF(1=0,0,BE33))</f>
        <v/>
      </c>
      <c r="BF34" s="7">
        <f>IF(BA34=1,AR34,IF(1=0,0,BF33))</f>
        <v/>
      </c>
      <c r="BG34" s="7">
        <f>IF(BA34=1,IF(AND(AO34=0,AP34&lt;0.2),1,0),IF(1=0,0,BY33))</f>
        <v/>
      </c>
      <c r="BH34" s="7">
        <f>IF(sel_cfg="casaAdu",1,0)</f>
        <v/>
      </c>
      <c r="BI34" s="7">
        <f>IF(AND(BB34=1,BH34=1,IF(1=0,0,BJ33)=0,A34&gt;=IF(BC34="",9999,BC34)+vivienda_aduRetrasoAnios),1,0)</f>
        <v/>
      </c>
      <c r="BJ34" s="7">
        <f>MAX(IF(1=0,0,BJ33),BI34)</f>
        <v/>
      </c>
      <c r="BK34" s="7">
        <f>IF(BI34=1,PMT((g_mortRate+0.005)/12,180,-loc_precio_aduCosto*C34),IF(1=0,0,BK33))</f>
        <v/>
      </c>
      <c r="BL34" s="7">
        <f>IF(BA34=1,AN34,IF(1=0,0,DT33))+IF(BI34=1,loc_precio_aduCosto*C34,0)</f>
        <v/>
      </c>
      <c r="BM34" s="7">
        <f>IF(BA34=1,AQ34,IF(1=0,0,DU33))</f>
        <v/>
      </c>
      <c r="BN34" s="7">
        <f>IF(BM34&lt;=0,0,FV(g_mortRate/12,12,BF34,-BM34))</f>
        <v/>
      </c>
      <c r="BO34" s="7">
        <f>IF(BM34&lt;=0,0,12*BF34+MIN(0,BN34))</f>
        <v/>
      </c>
      <c r="BP34" s="7">
        <f>MAX(0,BN34)</f>
        <v/>
      </c>
      <c r="BQ34" s="7">
        <f>IF(BI34=1,loc_precio_aduCosto*C34,IF(1=0,0,DV33))</f>
        <v/>
      </c>
      <c r="BR34" s="7">
        <f>IF(BQ34&lt;=0,0,FV((g_mortRate+0.005)/12,12,BK34,-BQ34))</f>
        <v/>
      </c>
      <c r="BS34" s="7">
        <f>IF(BQ34&lt;=0,0,12*BK34+MIN(0,BR34))</f>
        <v/>
      </c>
      <c r="BT34" s="7">
        <f>MAX(0,BR34)</f>
        <v/>
      </c>
      <c r="BU34" s="7">
        <f>IF(BB34=1,AM34*loc_seguroPct*(1+vivienda_inflacionSeguro)^(A34-2026)*IF(BJ34=1,1+loc_precio_aduCosto/AM34,1),0)</f>
        <v/>
      </c>
      <c r="BV34" s="7">
        <f>BL34*loc_impuestoPropPct</f>
        <v/>
      </c>
      <c r="BW34" s="7">
        <f>BL34*vivienda_mantenimientoPct</f>
        <v/>
      </c>
      <c r="BX34" s="7">
        <f>IF(AND(BG34=1,BP34&gt;0.8*BE34),BE34*(1-vivienda_enganchePct)*vivienda_pmiTasa,0)</f>
        <v/>
      </c>
      <c r="BY34" s="7">
        <f>IF(AND(BG34=1,BP34&gt;0.8*BE34),1,0)</f>
        <v/>
      </c>
      <c r="BZ34" s="7">
        <f>IF(BB34=1,AS34*loc_rentaUnidad*12*C34*(1-vivienda_vacancia)*(1-vivienda_gestionPct),0)</f>
        <v/>
      </c>
      <c r="CA34" s="7">
        <f>IF(BB34=1,BO34+BS34+BU34+BV34+BW34+BX34,loc_rentaMensual*12*C34)</f>
        <v/>
      </c>
      <c r="CB34" s="7">
        <f>IF(BB34=1,personal_aporteFamiliaMensual*12,0)</f>
        <v/>
      </c>
      <c r="CC34" s="7">
        <f>MIN(IF(1=0,personal_irsSaldo,CD33),personal_irsPagoMensual*12)</f>
        <v/>
      </c>
      <c r="CD34" s="7">
        <f>IF(1=0,personal_irsSaldo,CD33)-CC34</f>
        <v/>
      </c>
      <c r="CE34" s="7">
        <f>IF(1=0,IF(personal_deudaEsFederal=1,personal_deudaEstudiantil,0),DW33)</f>
        <v/>
      </c>
      <c r="CF34" s="7">
        <f>IF(1=0,personal_tasaDeudaEstudiantil,DX33)</f>
        <v/>
      </c>
      <c r="CG34" s="7">
        <f>IF(1=0,0,DY33)</f>
        <v/>
      </c>
      <c r="CH34" s="7">
        <f>IF(J34&gt;=0.5,1,0)</f>
        <v/>
      </c>
      <c r="CI34" s="7">
        <f>IF(AND(CH34=0,prestamos_pslfActivo=1,K34&gt;=0.5,CE34&gt;0),1,0)</f>
        <v/>
      </c>
      <c r="CJ34" s="7">
        <f>CE34*CF34</f>
        <v/>
      </c>
      <c r="CK34" s="7">
        <f>MAX(prestamos_rapPagoMinimoAnual,IF(Y34&lt;10000,0,MIN(0.1,INT(Y34/10000)/100))*Y34)</f>
        <v/>
      </c>
      <c r="CL34" s="7">
        <f>IF(CE34&lt;=0,0,IF(CH34=1,0,IF(CI34=1,MIN(CE34+CJ34,CK34),PMT(CF34,MAX(1,prestamos_plazoAnios-CG34),-CE34))))</f>
        <v/>
      </c>
      <c r="CM34" s="7">
        <f>IF(CE34&lt;=0,0,IF(CH34=1,CE34+CJ34,IF(CI34=1,MAX(0,CE34-MAX(CL34-CJ34,MIN(600,CL34))),MAX(0,CE34*(1+CF34)-CL34))))</f>
        <v/>
      </c>
      <c r="CN34" s="7">
        <f>IF(1=0,0,CN33)+IF(CI34=1,12*MIN(1,K34),0)</f>
        <v/>
      </c>
      <c r="CO34" s="7">
        <f>IF(AND(CI34=1,CN34&gt;=prestamos_pslfPagos,CM34&gt;0),CM34,0)</f>
        <v/>
      </c>
      <c r="CP34" s="7">
        <f>CM34-CO34</f>
        <v/>
      </c>
      <c r="CQ34" s="7">
        <f>IF(AND(CE34&gt;0,CH34=0,CI34=0),CG34+1,CG34)</f>
        <v/>
      </c>
      <c r="CR34" s="7">
        <f>IF(1=0,IF(personal_deudaEsFederal=1,0,personal_deudaEstudiantil),EA33)</f>
        <v/>
      </c>
      <c r="CS34" s="7">
        <f>IF(1=0,IF(personal_deudaEsFederal=1,prestamos_tasaPrivada,personal_tasaDeudaEstudiantil),EB33)</f>
        <v/>
      </c>
      <c r="CT34" s="7">
        <f>IF(1=0,0,EC33)</f>
        <v/>
      </c>
      <c r="CU34" s="7">
        <f>IF(OR(CR34&lt;=0,CH34=1),0,PMT(CS34,MAX(1,prestamos_plazoAnios-CT34),-CR34))</f>
        <v/>
      </c>
      <c r="CV34" s="7">
        <f>IF(CR34&lt;=0,0,IF(CH34=1,CR34*(1+CS34),MAX(0,CR34*(1+CS34)-CU34)))</f>
        <v/>
      </c>
      <c r="CW34" s="7">
        <f>IF(AND(CR34&gt;0,CH34=0),CT34+1,CT34)</f>
        <v/>
      </c>
      <c r="CX34" s="7">
        <f>IF(1=0,0,ED33)*(1+general_tasaDeudaConsumo)</f>
        <v/>
      </c>
      <c r="CY34" s="7">
        <f>L34*12*tiempos_travelGastoExtraMes*C34</f>
        <v/>
      </c>
      <c r="CZ34" s="7">
        <f>AJ34+CY34+CA34+CC34+CL34+CU34+I34+N34-BZ34-CB34</f>
        <v/>
      </c>
      <c r="DA34" s="7">
        <f>AH34-CZ34</f>
        <v/>
      </c>
      <c r="DB34" s="7">
        <f>IF(1=0,0,DB33)+DA34</f>
        <v/>
      </c>
      <c r="DC34" s="7">
        <f>AN34*vivienda_enganchePct+AN34*vivienda_cierrePct+general_reservaMeses/12*AJ34</f>
        <v/>
      </c>
      <c r="DD34" s="7">
        <f>IF(BB34=1,g_ret,IF(BD34&gt;0,MIN(1,DC34/BD34),1)*g_cash+(1-IF(BD34&gt;0,MIN(1,DC34/BD34),1))*g_ret)</f>
        <v/>
      </c>
      <c r="DE34" s="7">
        <f>IF(DA34&gt;=0,MIN(CX34,DA34),0)</f>
        <v/>
      </c>
      <c r="DF34" s="7">
        <f>IF(DA34&gt;=0,(1-general_tasaAhorro)*(DA34-DE34),0)</f>
        <v/>
      </c>
      <c r="DG34" s="7">
        <f>IF(DA34&gt;=0,DA34-DE34-DF34,0)</f>
        <v/>
      </c>
      <c r="DH34" s="7">
        <f>MIN(personal_rothAnual,DG34)</f>
        <v/>
      </c>
      <c r="DI34" s="7">
        <f>IF(AND(DA34&gt;=0,BB34=1,BP34+BT34&gt;0),MIN(vivienda_prepagoPct*(DG34-DH34),BP34+BT34),0)</f>
        <v/>
      </c>
      <c r="DJ34" s="7">
        <f>MIN(DI34,BP34)</f>
        <v/>
      </c>
      <c r="DK34" s="7">
        <f>IF(DA34&lt;0,MIN(MAX(0,BD34),-DA34),0)</f>
        <v/>
      </c>
      <c r="DL34" s="7">
        <f>IF(DA34&lt;0,-DA34-DK34,0)</f>
        <v/>
      </c>
      <c r="DM34" s="7">
        <f>IF(1=0,0,DZ33)</f>
        <v/>
      </c>
      <c r="DN34" s="7">
        <f>IF(AND(DL34&gt;0,J34&gt;0),MIN(DL34,MIN(prestamos_topeAnualPosgrado*MIN(1,J34),MAX(0,prestamos_topeTotalPosgrado-DM34))),0)</f>
        <v/>
      </c>
      <c r="DO34" s="7">
        <f>IF(AND(DL34&gt;0,J34&gt;0),DL34-DN34,0)</f>
        <v/>
      </c>
      <c r="DP34" s="7">
        <f>IF(AND(DL34&gt;0,J34&lt;=0),DL34,0)</f>
        <v/>
      </c>
      <c r="DQ34" s="7">
        <f>IF(DA34&gt;=0,DG34-DH34-DI34,-DK34)</f>
        <v/>
      </c>
      <c r="DR34" s="7">
        <f>BD34*(1+DD34)+DQ34*(1+DD34/2)</f>
        <v/>
      </c>
      <c r="DS34" s="7">
        <f>IF(1=0,personal_retiroInicial,DS33)*(1+g_ret)+(O34+P34+DH34)*(1+g_ret/2)</f>
        <v/>
      </c>
      <c r="DT34" s="7">
        <f>IF(BB34=1,BL34*(1+g_appr),0)</f>
        <v/>
      </c>
      <c r="DU34" s="7">
        <f>BP34-DJ34</f>
        <v/>
      </c>
      <c r="DV34" s="7">
        <f>BT34-(DI34-DJ34)</f>
        <v/>
      </c>
      <c r="DW34" s="7">
        <f>CP34+DN34</f>
        <v/>
      </c>
      <c r="DX34" s="7">
        <f>IF(DN34&gt;0,(CP34*CF34+DN34*prestamos_tasaFederalPosgrado)/(CP34+DN34),CF34)</f>
        <v/>
      </c>
      <c r="DY34" s="7">
        <f>IF(DN34&gt;0,0,CQ34)</f>
        <v/>
      </c>
      <c r="DZ34" s="7">
        <f>DM34+DN34</f>
        <v/>
      </c>
      <c r="EA34" s="7">
        <f>CV34+DO34</f>
        <v/>
      </c>
      <c r="EB34" s="7">
        <f>IF(DO34&gt;0,(CV34*CS34+DO34*prestamos_tasaPrivada)/(CV34+DO34),CS34)</f>
        <v/>
      </c>
      <c r="EC34" s="7">
        <f>IF(DO34&gt;0,0,CW34)</f>
        <v/>
      </c>
      <c r="ED34" s="7">
        <f>CX34-DE34+DP34</f>
        <v/>
      </c>
      <c r="EE34" s="7">
        <f>IF(IF(1=0,"",EE33)&lt;&gt;"",EE33,IF(AND(BB34=1,DU34&lt;=0.5,DV34&lt;=0.5,OR(BH34=0,BJ34=1)),A34,""))</f>
        <v/>
      </c>
      <c r="EF34" s="7">
        <f>DU34+DV34+DW34+EA34+ED34+CD34</f>
        <v/>
      </c>
      <c r="EG34" s="7">
        <f>DR34+DS34+DT34-EF34</f>
        <v/>
      </c>
      <c r="EH34" s="7">
        <f>EG34/(1+g_inf)^(A34+1-2026)</f>
        <v/>
      </c>
    </row>
    <row r="35">
      <c r="A35" t="n">
        <v>2029</v>
      </c>
      <c r="B35" t="n">
        <v>2</v>
      </c>
      <c r="C35" s="7">
        <f>(1+g_inf)^(A35-2026)</f>
        <v/>
      </c>
      <c r="D35" s="7">
        <f>SUMPRODUCT($V$5:$V$29,$E$5:$E$29*(1+$F$5:$F$29)^(A35-2026)*$G$5:$G$29*$H$5:$H$29*(1-$N$5:$N$29*$O$5:$O$29))*g_salMult+SUMPRODUCT(($B$5:$B$29&gt;=A35)*($B$5:$B$29&lt;A35+1)*$I$5:$I$29)*g_salMult</f>
        <v/>
      </c>
      <c r="E35" s="7">
        <f>SUMPRODUCT($V$5:$V$29,$E$5:$E$29*(1+$F$5:$F$29)^(A35-2026)*$G$5:$G$29*$H$5:$H$29*$M$5:$M$29)*g_salMult</f>
        <v/>
      </c>
      <c r="F35" s="7">
        <f>SUMPRODUCT($V$5:$V$29,$E$5:$E$29*(1+$F$5:$F$29)^(A35-2026)*$G$5:$G$29*$H$5:$H$29*$N$5:$N$29*$O$5:$O$29)*g_salMult</f>
        <v/>
      </c>
      <c r="G35" s="7">
        <f>SUMPRODUCT($V$5:$V$29,$P$5:$P$29*(1+$F$5:$F$29)^(A35-2026))</f>
        <v/>
      </c>
      <c r="H35" s="7">
        <f>SUMPRODUCT($V$5:$V$29,$Q$5:$Q$29*(1+$F$5:$F$29)^(A35-2026))+IF(personal_llcActivo=1,personal_llcNeto*(1+personal_llcCrecimiento)^2,0)</f>
        <v/>
      </c>
      <c r="I35" s="7">
        <f>SUMPRODUCT($V$5:$V$29,$J$5:$J$29/($C$5:$C$29-$B$5:$B$29+($C$5:$C$29=$B$5:$B$29)))*C35</f>
        <v/>
      </c>
      <c r="J35" s="7">
        <f>SUMPRODUCT($V$5:$V$29,$K$5:$K$29)</f>
        <v/>
      </c>
      <c r="K35" s="7">
        <f>SUMPRODUCT($V$5:$V$29,$L$5:$L$29)</f>
        <v/>
      </c>
      <c r="L35" s="7">
        <f>SUMPRODUCT($V$5:$V$29,$N$5:$N$29)</f>
        <v/>
      </c>
      <c r="M35" s="7">
        <f>IF(SUMPRODUCT($V$5:$V$29,$R$5:$R$29)&gt;0,1,0)</f>
        <v/>
      </c>
      <c r="N35" s="7">
        <f>SUMPRODUCT(($AO$5:$AO$24&gt;=A35)*($AO$5:$AO$24&lt;A35+1)*$AP$5:$AP$24)*C35+IF(2=0,IF(sel_loc&lt;&gt;"miami",personal_costoMudanzaInicial,0),0)</f>
        <v/>
      </c>
      <c r="O35" s="7">
        <f>MIN(personal_aporte403bPct*D35,retiro_limite403b*C35)</f>
        <v/>
      </c>
      <c r="P35" s="7">
        <f>MIN(personal_aporte403bPct,personal_match403bPct)*E35</f>
        <v/>
      </c>
      <c r="Q35" s="7">
        <f>IF(G35&gt;0,MAX(0,G35-impuestos_scorpCostoAnual*C35),0)</f>
        <v/>
      </c>
      <c r="R35" s="7">
        <f>Q35*impuestos_scorpSalarioPct/(1+impuestos_ssTasa+impuestos_medicareTasa)</f>
        <v/>
      </c>
      <c r="S35" s="7">
        <f>impuestos_ssTasa*MIN(R35,MAX(0,impuestos_ssTope*C35-D35))+impuestos_medicareTasa*R35</f>
        <v/>
      </c>
      <c r="T35" s="7">
        <f>Q35-R35-S35</f>
        <v/>
      </c>
      <c r="U35" s="7">
        <f>D35+R35</f>
        <v/>
      </c>
      <c r="V35" s="7">
        <f>H35*0.9235</f>
        <v/>
      </c>
      <c r="W35" s="7">
        <f>IF(H35&gt;0,2*impuestos_ssTasa*MIN(V35,MAX(0,impuestos_ssTope*C35-U35))+2*impuestos_medicareTasa*V35,0)</f>
        <v/>
      </c>
      <c r="X35" s="7">
        <f>impuestos_ssTasa*MIN(U35,impuestos_ssTope*C35)+impuestos_medicareTasa*U35+impuestos_medicareAdicional*MAX(0,U35+H35*0.9235-impuestos_medicareUmbral)</f>
        <v/>
      </c>
      <c r="Y35" s="7">
        <f>MAX(0,D35-O35+R35+T35+H35-W35/2)</f>
        <v/>
      </c>
      <c r="Z35" s="7">
        <f>MAX(0,Y35-impuestos_deduccionEstandar*C35)</f>
        <v/>
      </c>
      <c r="AA35" s="7">
        <f>MIN(0.2*MAX(0,T35+H35-W35/2)*MAX(0,MIN(1,1-(Z35-impuestos_qbiUmbral*C35)/(impuestos_qbiRango*C35))),0.2*Z35)</f>
        <v/>
      </c>
      <c r="AB35" s="7">
        <f>MAX(0,Z35-AA35)</f>
        <v/>
      </c>
      <c r="AC35" s="7">
        <f>SUMPRODUCT((AB35&gt;tb_federalBrackets_lo*C35)*(AB35-tb_federalBrackets_lo*C35)*tb_federalBrackets_dr)</f>
        <v/>
      </c>
      <c r="AD35" s="7">
        <f>MAX(0,Y35-impuestos_nyDeduccion*C35)</f>
        <v/>
      </c>
      <c r="AE35" s="7">
        <f>CHOOSE(loc_taxcode,0,impuestos_ohTasa*MAX(0,Y35-impuestos_ohExento*C35)+impuestos_ohMunicipal*U35,SUMPRODUCT((AD35&gt;tb_nyBrackets_lo*C35)*(AD35-tb_nyBrackets_lo*C35)*tb_nyBrackets_dr)+loc_nyc*SUMPRODUCT((AD35&gt;tb_nycBrackets_lo*C35)*(AD35-tb_nycBrackets_lo*C35)*tb_nycBrackets_dr))</f>
        <v/>
      </c>
      <c r="AF35" s="7">
        <f>AC35+AE35+X35+W35</f>
        <v/>
      </c>
      <c r="AG35" s="7">
        <f>D35+F35+R35+T35+H35</f>
        <v/>
      </c>
      <c r="AH35" s="7">
        <f>AG35-AF35-O35</f>
        <v/>
      </c>
      <c r="AI35" s="7">
        <f>D35+F35+G35+H35</f>
        <v/>
      </c>
      <c r="AJ35" s="7">
        <f>loc_gastosVida*C35*g_gastos</f>
        <v/>
      </c>
      <c r="AK35" s="7">
        <f>IF(2=0,personal_liquidoInicial,DR34)</f>
        <v/>
      </c>
      <c r="AL35" s="7">
        <f>IF(2=0,0,BB34)</f>
        <v/>
      </c>
      <c r="AM35" s="7">
        <f>CHOOSE(sel_cfgIdx,loc_precio_duplex,loc_precio_inlaw,loc_precio_dosCasas,loc_precio_casaAdu,loc_precio_multi)</f>
        <v/>
      </c>
      <c r="AN35" s="7">
        <f>AM35*(1+g_appr)^(A35-2026)</f>
        <v/>
      </c>
      <c r="AO35" s="7">
        <f>IF(AND(M35=1,vivienda_prestamoMedico=1),1,0)</f>
        <v/>
      </c>
      <c r="AP35" s="7">
        <f>IF(AO35=1,0.05,vivienda_enganchePct)</f>
        <v/>
      </c>
      <c r="AQ35" s="7">
        <f>AN35*(1-AP35)</f>
        <v/>
      </c>
      <c r="AR35" s="7">
        <f>PMT(g_mortRate/12,vivienda_plazoHipoteca*12,-AQ35)</f>
        <v/>
      </c>
      <c r="AS35" s="7">
        <f>INDEX(cfg_units,sel_cfgIdx)</f>
        <v/>
      </c>
      <c r="AT35" s="7">
        <f>AS35*loc_rentaUnidad*(1+g_inf)^(A35-2026)*(1-vivienda_vacancia)</f>
        <v/>
      </c>
      <c r="AU35" s="7">
        <f>AR35+AN35*loc_impuestoPropPct/12+AM35*loc_seguroPct*(1+vivienda_inflacionSeguro)^(A35-2026)/12+IF(AND(AO35=0,AP35&lt;0.2),AQ35*vivienda_pmiTasa/12,0)</f>
        <v/>
      </c>
      <c r="AV35" s="7">
        <f>AN35*AP35+AN35*vivienda_cierrePct+general_reservaMeses/12*AJ35</f>
        <v/>
      </c>
      <c r="AW35" s="7">
        <f>(IF(2=0,MIN(personal_irsSaldo,personal_irsPagoMensual*12),MIN(CD34,personal_irsPagoMensual*12))+IF(CE35&gt;0,PMT(CF35,MAX(1,prestamos_plazoAnios-CG35),-CE35),0)+IF(CR35&gt;0,PMT(CS35,MAX(1,prestamos_plazoAnios-CT35),-CR35),0))/12</f>
        <v/>
      </c>
      <c r="AX35" s="7">
        <f>IF(OR(sel_cfg="duplex",sel_cfg="multi",sel_cfg="dosCasas"),0.75*personal_aporteFamiliaMensual,0)</f>
        <v/>
      </c>
      <c r="AY35" s="7">
        <f>AU35-0.75*AT35-AX35+AW35</f>
        <v/>
      </c>
      <c r="AZ35" s="7">
        <f>(D35+G35+H35+0.5*F35)/12</f>
        <v/>
      </c>
      <c r="BA35" s="7">
        <f>IF(AND(AL35=0,A35&gt;=vivienda_anioMinCompra,J35&lt;0.5,AI35&gt;0,AK35&gt;=AV35,AY35&lt;=vivienda_dtiMax*AZ35),1,0)</f>
        <v/>
      </c>
      <c r="BB35" s="7">
        <f>MAX(AL35,BA35)</f>
        <v/>
      </c>
      <c r="BC35" s="7">
        <f>IF(BA35=1,A35,IF(2=0,"",BC34))</f>
        <v/>
      </c>
      <c r="BD35" s="7">
        <f>AK35-IF(BA35=1,AN35*AP35+AN35*vivienda_cierrePct,0)</f>
        <v/>
      </c>
      <c r="BE35" s="7">
        <f>IF(BA35=1,AN35,IF(2=0,0,BE34))</f>
        <v/>
      </c>
      <c r="BF35" s="7">
        <f>IF(BA35=1,AR35,IF(2=0,0,BF34))</f>
        <v/>
      </c>
      <c r="BG35" s="7">
        <f>IF(BA35=1,IF(AND(AO35=0,AP35&lt;0.2),1,0),IF(2=0,0,BY34))</f>
        <v/>
      </c>
      <c r="BH35" s="7">
        <f>IF(sel_cfg="casaAdu",1,0)</f>
        <v/>
      </c>
      <c r="BI35" s="7">
        <f>IF(AND(BB35=1,BH35=1,IF(2=0,0,BJ34)=0,A35&gt;=IF(BC35="",9999,BC35)+vivienda_aduRetrasoAnios),1,0)</f>
        <v/>
      </c>
      <c r="BJ35" s="7">
        <f>MAX(IF(2=0,0,BJ34),BI35)</f>
        <v/>
      </c>
      <c r="BK35" s="7">
        <f>IF(BI35=1,PMT((g_mortRate+0.005)/12,180,-loc_precio_aduCosto*C35),IF(2=0,0,BK34))</f>
        <v/>
      </c>
      <c r="BL35" s="7">
        <f>IF(BA35=1,AN35,IF(2=0,0,DT34))+IF(BI35=1,loc_precio_aduCosto*C35,0)</f>
        <v/>
      </c>
      <c r="BM35" s="7">
        <f>IF(BA35=1,AQ35,IF(2=0,0,DU34))</f>
        <v/>
      </c>
      <c r="BN35" s="7">
        <f>IF(BM35&lt;=0,0,FV(g_mortRate/12,12,BF35,-BM35))</f>
        <v/>
      </c>
      <c r="BO35" s="7">
        <f>IF(BM35&lt;=0,0,12*BF35+MIN(0,BN35))</f>
        <v/>
      </c>
      <c r="BP35" s="7">
        <f>MAX(0,BN35)</f>
        <v/>
      </c>
      <c r="BQ35" s="7">
        <f>IF(BI35=1,loc_precio_aduCosto*C35,IF(2=0,0,DV34))</f>
        <v/>
      </c>
      <c r="BR35" s="7">
        <f>IF(BQ35&lt;=0,0,FV((g_mortRate+0.005)/12,12,BK35,-BQ35))</f>
        <v/>
      </c>
      <c r="BS35" s="7">
        <f>IF(BQ35&lt;=0,0,12*BK35+MIN(0,BR35))</f>
        <v/>
      </c>
      <c r="BT35" s="7">
        <f>MAX(0,BR35)</f>
        <v/>
      </c>
      <c r="BU35" s="7">
        <f>IF(BB35=1,AM35*loc_seguroPct*(1+vivienda_inflacionSeguro)^(A35-2026)*IF(BJ35=1,1+loc_precio_aduCosto/AM35,1),0)</f>
        <v/>
      </c>
      <c r="BV35" s="7">
        <f>BL35*loc_impuestoPropPct</f>
        <v/>
      </c>
      <c r="BW35" s="7">
        <f>BL35*vivienda_mantenimientoPct</f>
        <v/>
      </c>
      <c r="BX35" s="7">
        <f>IF(AND(BG35=1,BP35&gt;0.8*BE35),BE35*(1-vivienda_enganchePct)*vivienda_pmiTasa,0)</f>
        <v/>
      </c>
      <c r="BY35" s="7">
        <f>IF(AND(BG35=1,BP35&gt;0.8*BE35),1,0)</f>
        <v/>
      </c>
      <c r="BZ35" s="7">
        <f>IF(BB35=1,AS35*loc_rentaUnidad*12*C35*(1-vivienda_vacancia)*(1-vivienda_gestionPct),0)</f>
        <v/>
      </c>
      <c r="CA35" s="7">
        <f>IF(BB35=1,BO35+BS35+BU35+BV35+BW35+BX35,loc_rentaMensual*12*C35)</f>
        <v/>
      </c>
      <c r="CB35" s="7">
        <f>IF(BB35=1,personal_aporteFamiliaMensual*12,0)</f>
        <v/>
      </c>
      <c r="CC35" s="7">
        <f>MIN(IF(2=0,personal_irsSaldo,CD34),personal_irsPagoMensual*12)</f>
        <v/>
      </c>
      <c r="CD35" s="7">
        <f>IF(2=0,personal_irsSaldo,CD34)-CC35</f>
        <v/>
      </c>
      <c r="CE35" s="7">
        <f>IF(2=0,IF(personal_deudaEsFederal=1,personal_deudaEstudiantil,0),DW34)</f>
        <v/>
      </c>
      <c r="CF35" s="7">
        <f>IF(2=0,personal_tasaDeudaEstudiantil,DX34)</f>
        <v/>
      </c>
      <c r="CG35" s="7">
        <f>IF(2=0,0,DY34)</f>
        <v/>
      </c>
      <c r="CH35" s="7">
        <f>IF(J35&gt;=0.5,1,0)</f>
        <v/>
      </c>
      <c r="CI35" s="7">
        <f>IF(AND(CH35=0,prestamos_pslfActivo=1,K35&gt;=0.5,CE35&gt;0),1,0)</f>
        <v/>
      </c>
      <c r="CJ35" s="7">
        <f>CE35*CF35</f>
        <v/>
      </c>
      <c r="CK35" s="7">
        <f>MAX(prestamos_rapPagoMinimoAnual,IF(Y35&lt;10000,0,MIN(0.1,INT(Y35/10000)/100))*Y35)</f>
        <v/>
      </c>
      <c r="CL35" s="7">
        <f>IF(CE35&lt;=0,0,IF(CH35=1,0,IF(CI35=1,MIN(CE35+CJ35,CK35),PMT(CF35,MAX(1,prestamos_plazoAnios-CG35),-CE35))))</f>
        <v/>
      </c>
      <c r="CM35" s="7">
        <f>IF(CE35&lt;=0,0,IF(CH35=1,CE35+CJ35,IF(CI35=1,MAX(0,CE35-MAX(CL35-CJ35,MIN(600,CL35))),MAX(0,CE35*(1+CF35)-CL35))))</f>
        <v/>
      </c>
      <c r="CN35" s="7">
        <f>IF(2=0,0,CN34)+IF(CI35=1,12*MIN(1,K35),0)</f>
        <v/>
      </c>
      <c r="CO35" s="7">
        <f>IF(AND(CI35=1,CN35&gt;=prestamos_pslfPagos,CM35&gt;0),CM35,0)</f>
        <v/>
      </c>
      <c r="CP35" s="7">
        <f>CM35-CO35</f>
        <v/>
      </c>
      <c r="CQ35" s="7">
        <f>IF(AND(CE35&gt;0,CH35=0,CI35=0),CG35+1,CG35)</f>
        <v/>
      </c>
      <c r="CR35" s="7">
        <f>IF(2=0,IF(personal_deudaEsFederal=1,0,personal_deudaEstudiantil),EA34)</f>
        <v/>
      </c>
      <c r="CS35" s="7">
        <f>IF(2=0,IF(personal_deudaEsFederal=1,prestamos_tasaPrivada,personal_tasaDeudaEstudiantil),EB34)</f>
        <v/>
      </c>
      <c r="CT35" s="7">
        <f>IF(2=0,0,EC34)</f>
        <v/>
      </c>
      <c r="CU35" s="7">
        <f>IF(OR(CR35&lt;=0,CH35=1),0,PMT(CS35,MAX(1,prestamos_plazoAnios-CT35),-CR35))</f>
        <v/>
      </c>
      <c r="CV35" s="7">
        <f>IF(CR35&lt;=0,0,IF(CH35=1,CR35*(1+CS35),MAX(0,CR35*(1+CS35)-CU35)))</f>
        <v/>
      </c>
      <c r="CW35" s="7">
        <f>IF(AND(CR35&gt;0,CH35=0),CT35+1,CT35)</f>
        <v/>
      </c>
      <c r="CX35" s="7">
        <f>IF(2=0,0,ED34)*(1+general_tasaDeudaConsumo)</f>
        <v/>
      </c>
      <c r="CY35" s="7">
        <f>L35*12*tiempos_travelGastoExtraMes*C35</f>
        <v/>
      </c>
      <c r="CZ35" s="7">
        <f>AJ35+CY35+CA35+CC35+CL35+CU35+I35+N35-BZ35-CB35</f>
        <v/>
      </c>
      <c r="DA35" s="7">
        <f>AH35-CZ35</f>
        <v/>
      </c>
      <c r="DB35" s="7">
        <f>IF(2=0,0,DB34)+DA35</f>
        <v/>
      </c>
      <c r="DC35" s="7">
        <f>AN35*vivienda_enganchePct+AN35*vivienda_cierrePct+general_reservaMeses/12*AJ35</f>
        <v/>
      </c>
      <c r="DD35" s="7">
        <f>IF(BB35=1,g_ret,IF(BD35&gt;0,MIN(1,DC35/BD35),1)*g_cash+(1-IF(BD35&gt;0,MIN(1,DC35/BD35),1))*g_ret)</f>
        <v/>
      </c>
      <c r="DE35" s="7">
        <f>IF(DA35&gt;=0,MIN(CX35,DA35),0)</f>
        <v/>
      </c>
      <c r="DF35" s="7">
        <f>IF(DA35&gt;=0,(1-general_tasaAhorro)*(DA35-DE35),0)</f>
        <v/>
      </c>
      <c r="DG35" s="7">
        <f>IF(DA35&gt;=0,DA35-DE35-DF35,0)</f>
        <v/>
      </c>
      <c r="DH35" s="7">
        <f>MIN(personal_rothAnual,DG35)</f>
        <v/>
      </c>
      <c r="DI35" s="7">
        <f>IF(AND(DA35&gt;=0,BB35=1,BP35+BT35&gt;0),MIN(vivienda_prepagoPct*(DG35-DH35),BP35+BT35),0)</f>
        <v/>
      </c>
      <c r="DJ35" s="7">
        <f>MIN(DI35,BP35)</f>
        <v/>
      </c>
      <c r="DK35" s="7">
        <f>IF(DA35&lt;0,MIN(MAX(0,BD35),-DA35),0)</f>
        <v/>
      </c>
      <c r="DL35" s="7">
        <f>IF(DA35&lt;0,-DA35-DK35,0)</f>
        <v/>
      </c>
      <c r="DM35" s="7">
        <f>IF(2=0,0,DZ34)</f>
        <v/>
      </c>
      <c r="DN35" s="7">
        <f>IF(AND(DL35&gt;0,J35&gt;0),MIN(DL35,MIN(prestamos_topeAnualPosgrado*MIN(1,J35),MAX(0,prestamos_topeTotalPosgrado-DM35))),0)</f>
        <v/>
      </c>
      <c r="DO35" s="7">
        <f>IF(AND(DL35&gt;0,J35&gt;0),DL35-DN35,0)</f>
        <v/>
      </c>
      <c r="DP35" s="7">
        <f>IF(AND(DL35&gt;0,J35&lt;=0),DL35,0)</f>
        <v/>
      </c>
      <c r="DQ35" s="7">
        <f>IF(DA35&gt;=0,DG35-DH35-DI35,-DK35)</f>
        <v/>
      </c>
      <c r="DR35" s="7">
        <f>BD35*(1+DD35)+DQ35*(1+DD35/2)</f>
        <v/>
      </c>
      <c r="DS35" s="7">
        <f>IF(2=0,personal_retiroInicial,DS34)*(1+g_ret)+(O35+P35+DH35)*(1+g_ret/2)</f>
        <v/>
      </c>
      <c r="DT35" s="7">
        <f>IF(BB35=1,BL35*(1+g_appr),0)</f>
        <v/>
      </c>
      <c r="DU35" s="7">
        <f>BP35-DJ35</f>
        <v/>
      </c>
      <c r="DV35" s="7">
        <f>BT35-(DI35-DJ35)</f>
        <v/>
      </c>
      <c r="DW35" s="7">
        <f>CP35+DN35</f>
        <v/>
      </c>
      <c r="DX35" s="7">
        <f>IF(DN35&gt;0,(CP35*CF35+DN35*prestamos_tasaFederalPosgrado)/(CP35+DN35),CF35)</f>
        <v/>
      </c>
      <c r="DY35" s="7">
        <f>IF(DN35&gt;0,0,CQ35)</f>
        <v/>
      </c>
      <c r="DZ35" s="7">
        <f>DM35+DN35</f>
        <v/>
      </c>
      <c r="EA35" s="7">
        <f>CV35+DO35</f>
        <v/>
      </c>
      <c r="EB35" s="7">
        <f>IF(DO35&gt;0,(CV35*CS35+DO35*prestamos_tasaPrivada)/(CV35+DO35),CS35)</f>
        <v/>
      </c>
      <c r="EC35" s="7">
        <f>IF(DO35&gt;0,0,CW35)</f>
        <v/>
      </c>
      <c r="ED35" s="7">
        <f>CX35-DE35+DP35</f>
        <v/>
      </c>
      <c r="EE35" s="7">
        <f>IF(IF(2=0,"",EE34)&lt;&gt;"",EE34,IF(AND(BB35=1,DU35&lt;=0.5,DV35&lt;=0.5,OR(BH35=0,BJ35=1)),A35,""))</f>
        <v/>
      </c>
      <c r="EF35" s="7">
        <f>DU35+DV35+DW35+EA35+ED35+CD35</f>
        <v/>
      </c>
      <c r="EG35" s="7">
        <f>DR35+DS35+DT35-EF35</f>
        <v/>
      </c>
      <c r="EH35" s="7">
        <f>EG35/(1+g_inf)^(A35+1-2026)</f>
        <v/>
      </c>
    </row>
    <row r="36">
      <c r="A36" t="n">
        <v>2030</v>
      </c>
      <c r="B36" t="n">
        <v>3</v>
      </c>
      <c r="C36" s="7">
        <f>(1+g_inf)^(A36-2026)</f>
        <v/>
      </c>
      <c r="D36" s="7">
        <f>SUMPRODUCT($W$5:$W$29,$E$5:$E$29*(1+$F$5:$F$29)^(A36-2026)*$G$5:$G$29*$H$5:$H$29*(1-$N$5:$N$29*$O$5:$O$29))*g_salMult+SUMPRODUCT(($B$5:$B$29&gt;=A36)*($B$5:$B$29&lt;A36+1)*$I$5:$I$29)*g_salMult</f>
        <v/>
      </c>
      <c r="E36" s="7">
        <f>SUMPRODUCT($W$5:$W$29,$E$5:$E$29*(1+$F$5:$F$29)^(A36-2026)*$G$5:$G$29*$H$5:$H$29*$M$5:$M$29)*g_salMult</f>
        <v/>
      </c>
      <c r="F36" s="7">
        <f>SUMPRODUCT($W$5:$W$29,$E$5:$E$29*(1+$F$5:$F$29)^(A36-2026)*$G$5:$G$29*$H$5:$H$29*$N$5:$N$29*$O$5:$O$29)*g_salMult</f>
        <v/>
      </c>
      <c r="G36" s="7">
        <f>SUMPRODUCT($W$5:$W$29,$P$5:$P$29*(1+$F$5:$F$29)^(A36-2026))</f>
        <v/>
      </c>
      <c r="H36" s="7">
        <f>SUMPRODUCT($W$5:$W$29,$Q$5:$Q$29*(1+$F$5:$F$29)^(A36-2026))+IF(personal_llcActivo=1,personal_llcNeto*(1+personal_llcCrecimiento)^3,0)</f>
        <v/>
      </c>
      <c r="I36" s="7">
        <f>SUMPRODUCT($W$5:$W$29,$J$5:$J$29/($C$5:$C$29-$B$5:$B$29+($C$5:$C$29=$B$5:$B$29)))*C36</f>
        <v/>
      </c>
      <c r="J36" s="7">
        <f>SUMPRODUCT($W$5:$W$29,$K$5:$K$29)</f>
        <v/>
      </c>
      <c r="K36" s="7">
        <f>SUMPRODUCT($W$5:$W$29,$L$5:$L$29)</f>
        <v/>
      </c>
      <c r="L36" s="7">
        <f>SUMPRODUCT($W$5:$W$29,$N$5:$N$29)</f>
        <v/>
      </c>
      <c r="M36" s="7">
        <f>IF(SUMPRODUCT($W$5:$W$29,$R$5:$R$29)&gt;0,1,0)</f>
        <v/>
      </c>
      <c r="N36" s="7">
        <f>SUMPRODUCT(($AO$5:$AO$24&gt;=A36)*($AO$5:$AO$24&lt;A36+1)*$AP$5:$AP$24)*C36+IF(3=0,IF(sel_loc&lt;&gt;"miami",personal_costoMudanzaInicial,0),0)</f>
        <v/>
      </c>
      <c r="O36" s="7">
        <f>MIN(personal_aporte403bPct*D36,retiro_limite403b*C36)</f>
        <v/>
      </c>
      <c r="P36" s="7">
        <f>MIN(personal_aporte403bPct,personal_match403bPct)*E36</f>
        <v/>
      </c>
      <c r="Q36" s="7">
        <f>IF(G36&gt;0,MAX(0,G36-impuestos_scorpCostoAnual*C36),0)</f>
        <v/>
      </c>
      <c r="R36" s="7">
        <f>Q36*impuestos_scorpSalarioPct/(1+impuestos_ssTasa+impuestos_medicareTasa)</f>
        <v/>
      </c>
      <c r="S36" s="7">
        <f>impuestos_ssTasa*MIN(R36,MAX(0,impuestos_ssTope*C36-D36))+impuestos_medicareTasa*R36</f>
        <v/>
      </c>
      <c r="T36" s="7">
        <f>Q36-R36-S36</f>
        <v/>
      </c>
      <c r="U36" s="7">
        <f>D36+R36</f>
        <v/>
      </c>
      <c r="V36" s="7">
        <f>H36*0.9235</f>
        <v/>
      </c>
      <c r="W36" s="7">
        <f>IF(H36&gt;0,2*impuestos_ssTasa*MIN(V36,MAX(0,impuestos_ssTope*C36-U36))+2*impuestos_medicareTasa*V36,0)</f>
        <v/>
      </c>
      <c r="X36" s="7">
        <f>impuestos_ssTasa*MIN(U36,impuestos_ssTope*C36)+impuestos_medicareTasa*U36+impuestos_medicareAdicional*MAX(0,U36+H36*0.9235-impuestos_medicareUmbral)</f>
        <v/>
      </c>
      <c r="Y36" s="7">
        <f>MAX(0,D36-O36+R36+T36+H36-W36/2)</f>
        <v/>
      </c>
      <c r="Z36" s="7">
        <f>MAX(0,Y36-impuestos_deduccionEstandar*C36)</f>
        <v/>
      </c>
      <c r="AA36" s="7">
        <f>MIN(0.2*MAX(0,T36+H36-W36/2)*MAX(0,MIN(1,1-(Z36-impuestos_qbiUmbral*C36)/(impuestos_qbiRango*C36))),0.2*Z36)</f>
        <v/>
      </c>
      <c r="AB36" s="7">
        <f>MAX(0,Z36-AA36)</f>
        <v/>
      </c>
      <c r="AC36" s="7">
        <f>SUMPRODUCT((AB36&gt;tb_federalBrackets_lo*C36)*(AB36-tb_federalBrackets_lo*C36)*tb_federalBrackets_dr)</f>
        <v/>
      </c>
      <c r="AD36" s="7">
        <f>MAX(0,Y36-impuestos_nyDeduccion*C36)</f>
        <v/>
      </c>
      <c r="AE36" s="7">
        <f>CHOOSE(loc_taxcode,0,impuestos_ohTasa*MAX(0,Y36-impuestos_ohExento*C36)+impuestos_ohMunicipal*U36,SUMPRODUCT((AD36&gt;tb_nyBrackets_lo*C36)*(AD36-tb_nyBrackets_lo*C36)*tb_nyBrackets_dr)+loc_nyc*SUMPRODUCT((AD36&gt;tb_nycBrackets_lo*C36)*(AD36-tb_nycBrackets_lo*C36)*tb_nycBrackets_dr))</f>
        <v/>
      </c>
      <c r="AF36" s="7">
        <f>AC36+AE36+X36+W36</f>
        <v/>
      </c>
      <c r="AG36" s="7">
        <f>D36+F36+R36+T36+H36</f>
        <v/>
      </c>
      <c r="AH36" s="7">
        <f>AG36-AF36-O36</f>
        <v/>
      </c>
      <c r="AI36" s="7">
        <f>D36+F36+G36+H36</f>
        <v/>
      </c>
      <c r="AJ36" s="7">
        <f>loc_gastosVida*C36*g_gastos</f>
        <v/>
      </c>
      <c r="AK36" s="7">
        <f>IF(3=0,personal_liquidoInicial,DR35)</f>
        <v/>
      </c>
      <c r="AL36" s="7">
        <f>IF(3=0,0,BB35)</f>
        <v/>
      </c>
      <c r="AM36" s="7">
        <f>CHOOSE(sel_cfgIdx,loc_precio_duplex,loc_precio_inlaw,loc_precio_dosCasas,loc_precio_casaAdu,loc_precio_multi)</f>
        <v/>
      </c>
      <c r="AN36" s="7">
        <f>AM36*(1+g_appr)^(A36-2026)</f>
        <v/>
      </c>
      <c r="AO36" s="7">
        <f>IF(AND(M36=1,vivienda_prestamoMedico=1),1,0)</f>
        <v/>
      </c>
      <c r="AP36" s="7">
        <f>IF(AO36=1,0.05,vivienda_enganchePct)</f>
        <v/>
      </c>
      <c r="AQ36" s="7">
        <f>AN36*(1-AP36)</f>
        <v/>
      </c>
      <c r="AR36" s="7">
        <f>PMT(g_mortRate/12,vivienda_plazoHipoteca*12,-AQ36)</f>
        <v/>
      </c>
      <c r="AS36" s="7">
        <f>INDEX(cfg_units,sel_cfgIdx)</f>
        <v/>
      </c>
      <c r="AT36" s="7">
        <f>AS36*loc_rentaUnidad*(1+g_inf)^(A36-2026)*(1-vivienda_vacancia)</f>
        <v/>
      </c>
      <c r="AU36" s="7">
        <f>AR36+AN36*loc_impuestoPropPct/12+AM36*loc_seguroPct*(1+vivienda_inflacionSeguro)^(A36-2026)/12+IF(AND(AO36=0,AP36&lt;0.2),AQ36*vivienda_pmiTasa/12,0)</f>
        <v/>
      </c>
      <c r="AV36" s="7">
        <f>AN36*AP36+AN36*vivienda_cierrePct+general_reservaMeses/12*AJ36</f>
        <v/>
      </c>
      <c r="AW36" s="7">
        <f>(IF(3=0,MIN(personal_irsSaldo,personal_irsPagoMensual*12),MIN(CD35,personal_irsPagoMensual*12))+IF(CE36&gt;0,PMT(CF36,MAX(1,prestamos_plazoAnios-CG36),-CE36),0)+IF(CR36&gt;0,PMT(CS36,MAX(1,prestamos_plazoAnios-CT36),-CR36),0))/12</f>
        <v/>
      </c>
      <c r="AX36" s="7">
        <f>IF(OR(sel_cfg="duplex",sel_cfg="multi",sel_cfg="dosCasas"),0.75*personal_aporteFamiliaMensual,0)</f>
        <v/>
      </c>
      <c r="AY36" s="7">
        <f>AU36-0.75*AT36-AX36+AW36</f>
        <v/>
      </c>
      <c r="AZ36" s="7">
        <f>(D36+G36+H36+0.5*F36)/12</f>
        <v/>
      </c>
      <c r="BA36" s="7">
        <f>IF(AND(AL36=0,A36&gt;=vivienda_anioMinCompra,J36&lt;0.5,AI36&gt;0,AK36&gt;=AV36,AY36&lt;=vivienda_dtiMax*AZ36),1,0)</f>
        <v/>
      </c>
      <c r="BB36" s="7">
        <f>MAX(AL36,BA36)</f>
        <v/>
      </c>
      <c r="BC36" s="7">
        <f>IF(BA36=1,A36,IF(3=0,"",BC35))</f>
        <v/>
      </c>
      <c r="BD36" s="7">
        <f>AK36-IF(BA36=1,AN36*AP36+AN36*vivienda_cierrePct,0)</f>
        <v/>
      </c>
      <c r="BE36" s="7">
        <f>IF(BA36=1,AN36,IF(3=0,0,BE35))</f>
        <v/>
      </c>
      <c r="BF36" s="7">
        <f>IF(BA36=1,AR36,IF(3=0,0,BF35))</f>
        <v/>
      </c>
      <c r="BG36" s="7">
        <f>IF(BA36=1,IF(AND(AO36=0,AP36&lt;0.2),1,0),IF(3=0,0,BY35))</f>
        <v/>
      </c>
      <c r="BH36" s="7">
        <f>IF(sel_cfg="casaAdu",1,0)</f>
        <v/>
      </c>
      <c r="BI36" s="7">
        <f>IF(AND(BB36=1,BH36=1,IF(3=0,0,BJ35)=0,A36&gt;=IF(BC36="",9999,BC36)+vivienda_aduRetrasoAnios),1,0)</f>
        <v/>
      </c>
      <c r="BJ36" s="7">
        <f>MAX(IF(3=0,0,BJ35),BI36)</f>
        <v/>
      </c>
      <c r="BK36" s="7">
        <f>IF(BI36=1,PMT((g_mortRate+0.005)/12,180,-loc_precio_aduCosto*C36),IF(3=0,0,BK35))</f>
        <v/>
      </c>
      <c r="BL36" s="7">
        <f>IF(BA36=1,AN36,IF(3=0,0,DT35))+IF(BI36=1,loc_precio_aduCosto*C36,0)</f>
        <v/>
      </c>
      <c r="BM36" s="7">
        <f>IF(BA36=1,AQ36,IF(3=0,0,DU35))</f>
        <v/>
      </c>
      <c r="BN36" s="7">
        <f>IF(BM36&lt;=0,0,FV(g_mortRate/12,12,BF36,-BM36))</f>
        <v/>
      </c>
      <c r="BO36" s="7">
        <f>IF(BM36&lt;=0,0,12*BF36+MIN(0,BN36))</f>
        <v/>
      </c>
      <c r="BP36" s="7">
        <f>MAX(0,BN36)</f>
        <v/>
      </c>
      <c r="BQ36" s="7">
        <f>IF(BI36=1,loc_precio_aduCosto*C36,IF(3=0,0,DV35))</f>
        <v/>
      </c>
      <c r="BR36" s="7">
        <f>IF(BQ36&lt;=0,0,FV((g_mortRate+0.005)/12,12,BK36,-BQ36))</f>
        <v/>
      </c>
      <c r="BS36" s="7">
        <f>IF(BQ36&lt;=0,0,12*BK36+MIN(0,BR36))</f>
        <v/>
      </c>
      <c r="BT36" s="7">
        <f>MAX(0,BR36)</f>
        <v/>
      </c>
      <c r="BU36" s="7">
        <f>IF(BB36=1,AM36*loc_seguroPct*(1+vivienda_inflacionSeguro)^(A36-2026)*IF(BJ36=1,1+loc_precio_aduCosto/AM36,1),0)</f>
        <v/>
      </c>
      <c r="BV36" s="7">
        <f>BL36*loc_impuestoPropPct</f>
        <v/>
      </c>
      <c r="BW36" s="7">
        <f>BL36*vivienda_mantenimientoPct</f>
        <v/>
      </c>
      <c r="BX36" s="7">
        <f>IF(AND(BG36=1,BP36&gt;0.8*BE36),BE36*(1-vivienda_enganchePct)*vivienda_pmiTasa,0)</f>
        <v/>
      </c>
      <c r="BY36" s="7">
        <f>IF(AND(BG36=1,BP36&gt;0.8*BE36),1,0)</f>
        <v/>
      </c>
      <c r="BZ36" s="7">
        <f>IF(BB36=1,AS36*loc_rentaUnidad*12*C36*(1-vivienda_vacancia)*(1-vivienda_gestionPct),0)</f>
        <v/>
      </c>
      <c r="CA36" s="7">
        <f>IF(BB36=1,BO36+BS36+BU36+BV36+BW36+BX36,loc_rentaMensual*12*C36)</f>
        <v/>
      </c>
      <c r="CB36" s="7">
        <f>IF(BB36=1,personal_aporteFamiliaMensual*12,0)</f>
        <v/>
      </c>
      <c r="CC36" s="7">
        <f>MIN(IF(3=0,personal_irsSaldo,CD35),personal_irsPagoMensual*12)</f>
        <v/>
      </c>
      <c r="CD36" s="7">
        <f>IF(3=0,personal_irsSaldo,CD35)-CC36</f>
        <v/>
      </c>
      <c r="CE36" s="7">
        <f>IF(3=0,IF(personal_deudaEsFederal=1,personal_deudaEstudiantil,0),DW35)</f>
        <v/>
      </c>
      <c r="CF36" s="7">
        <f>IF(3=0,personal_tasaDeudaEstudiantil,DX35)</f>
        <v/>
      </c>
      <c r="CG36" s="7">
        <f>IF(3=0,0,DY35)</f>
        <v/>
      </c>
      <c r="CH36" s="7">
        <f>IF(J36&gt;=0.5,1,0)</f>
        <v/>
      </c>
      <c r="CI36" s="7">
        <f>IF(AND(CH36=0,prestamos_pslfActivo=1,K36&gt;=0.5,CE36&gt;0),1,0)</f>
        <v/>
      </c>
      <c r="CJ36" s="7">
        <f>CE36*CF36</f>
        <v/>
      </c>
      <c r="CK36" s="7">
        <f>MAX(prestamos_rapPagoMinimoAnual,IF(Y36&lt;10000,0,MIN(0.1,INT(Y36/10000)/100))*Y36)</f>
        <v/>
      </c>
      <c r="CL36" s="7">
        <f>IF(CE36&lt;=0,0,IF(CH36=1,0,IF(CI36=1,MIN(CE36+CJ36,CK36),PMT(CF36,MAX(1,prestamos_plazoAnios-CG36),-CE36))))</f>
        <v/>
      </c>
      <c r="CM36" s="7">
        <f>IF(CE36&lt;=0,0,IF(CH36=1,CE36+CJ36,IF(CI36=1,MAX(0,CE36-MAX(CL36-CJ36,MIN(600,CL36))),MAX(0,CE36*(1+CF36)-CL36))))</f>
        <v/>
      </c>
      <c r="CN36" s="7">
        <f>IF(3=0,0,CN35)+IF(CI36=1,12*MIN(1,K36),0)</f>
        <v/>
      </c>
      <c r="CO36" s="7">
        <f>IF(AND(CI36=1,CN36&gt;=prestamos_pslfPagos,CM36&gt;0),CM36,0)</f>
        <v/>
      </c>
      <c r="CP36" s="7">
        <f>CM36-CO36</f>
        <v/>
      </c>
      <c r="CQ36" s="7">
        <f>IF(AND(CE36&gt;0,CH36=0,CI36=0),CG36+1,CG36)</f>
        <v/>
      </c>
      <c r="CR36" s="7">
        <f>IF(3=0,IF(personal_deudaEsFederal=1,0,personal_deudaEstudiantil),EA35)</f>
        <v/>
      </c>
      <c r="CS36" s="7">
        <f>IF(3=0,IF(personal_deudaEsFederal=1,prestamos_tasaPrivada,personal_tasaDeudaEstudiantil),EB35)</f>
        <v/>
      </c>
      <c r="CT36" s="7">
        <f>IF(3=0,0,EC35)</f>
        <v/>
      </c>
      <c r="CU36" s="7">
        <f>IF(OR(CR36&lt;=0,CH36=1),0,PMT(CS36,MAX(1,prestamos_plazoAnios-CT36),-CR36))</f>
        <v/>
      </c>
      <c r="CV36" s="7">
        <f>IF(CR36&lt;=0,0,IF(CH36=1,CR36*(1+CS36),MAX(0,CR36*(1+CS36)-CU36)))</f>
        <v/>
      </c>
      <c r="CW36" s="7">
        <f>IF(AND(CR36&gt;0,CH36=0),CT36+1,CT36)</f>
        <v/>
      </c>
      <c r="CX36" s="7">
        <f>IF(3=0,0,ED35)*(1+general_tasaDeudaConsumo)</f>
        <v/>
      </c>
      <c r="CY36" s="7">
        <f>L36*12*tiempos_travelGastoExtraMes*C36</f>
        <v/>
      </c>
      <c r="CZ36" s="7">
        <f>AJ36+CY36+CA36+CC36+CL36+CU36+I36+N36-BZ36-CB36</f>
        <v/>
      </c>
      <c r="DA36" s="7">
        <f>AH36-CZ36</f>
        <v/>
      </c>
      <c r="DB36" s="7">
        <f>IF(3=0,0,DB35)+DA36</f>
        <v/>
      </c>
      <c r="DC36" s="7">
        <f>AN36*vivienda_enganchePct+AN36*vivienda_cierrePct+general_reservaMeses/12*AJ36</f>
        <v/>
      </c>
      <c r="DD36" s="7">
        <f>IF(BB36=1,g_ret,IF(BD36&gt;0,MIN(1,DC36/BD36),1)*g_cash+(1-IF(BD36&gt;0,MIN(1,DC36/BD36),1))*g_ret)</f>
        <v/>
      </c>
      <c r="DE36" s="7">
        <f>IF(DA36&gt;=0,MIN(CX36,DA36),0)</f>
        <v/>
      </c>
      <c r="DF36" s="7">
        <f>IF(DA36&gt;=0,(1-general_tasaAhorro)*(DA36-DE36),0)</f>
        <v/>
      </c>
      <c r="DG36" s="7">
        <f>IF(DA36&gt;=0,DA36-DE36-DF36,0)</f>
        <v/>
      </c>
      <c r="DH36" s="7">
        <f>MIN(personal_rothAnual,DG36)</f>
        <v/>
      </c>
      <c r="DI36" s="7">
        <f>IF(AND(DA36&gt;=0,BB36=1,BP36+BT36&gt;0),MIN(vivienda_prepagoPct*(DG36-DH36),BP36+BT36),0)</f>
        <v/>
      </c>
      <c r="DJ36" s="7">
        <f>MIN(DI36,BP36)</f>
        <v/>
      </c>
      <c r="DK36" s="7">
        <f>IF(DA36&lt;0,MIN(MAX(0,BD36),-DA36),0)</f>
        <v/>
      </c>
      <c r="DL36" s="7">
        <f>IF(DA36&lt;0,-DA36-DK36,0)</f>
        <v/>
      </c>
      <c r="DM36" s="7">
        <f>IF(3=0,0,DZ35)</f>
        <v/>
      </c>
      <c r="DN36" s="7">
        <f>IF(AND(DL36&gt;0,J36&gt;0),MIN(DL36,MIN(prestamos_topeAnualPosgrado*MIN(1,J36),MAX(0,prestamos_topeTotalPosgrado-DM36))),0)</f>
        <v/>
      </c>
      <c r="DO36" s="7">
        <f>IF(AND(DL36&gt;0,J36&gt;0),DL36-DN36,0)</f>
        <v/>
      </c>
      <c r="DP36" s="7">
        <f>IF(AND(DL36&gt;0,J36&lt;=0),DL36,0)</f>
        <v/>
      </c>
      <c r="DQ36" s="7">
        <f>IF(DA36&gt;=0,DG36-DH36-DI36,-DK36)</f>
        <v/>
      </c>
      <c r="DR36" s="7">
        <f>BD36*(1+DD36)+DQ36*(1+DD36/2)</f>
        <v/>
      </c>
      <c r="DS36" s="7">
        <f>IF(3=0,personal_retiroInicial,DS35)*(1+g_ret)+(O36+P36+DH36)*(1+g_ret/2)</f>
        <v/>
      </c>
      <c r="DT36" s="7">
        <f>IF(BB36=1,BL36*(1+g_appr),0)</f>
        <v/>
      </c>
      <c r="DU36" s="7">
        <f>BP36-DJ36</f>
        <v/>
      </c>
      <c r="DV36" s="7">
        <f>BT36-(DI36-DJ36)</f>
        <v/>
      </c>
      <c r="DW36" s="7">
        <f>CP36+DN36</f>
        <v/>
      </c>
      <c r="DX36" s="7">
        <f>IF(DN36&gt;0,(CP36*CF36+DN36*prestamos_tasaFederalPosgrado)/(CP36+DN36),CF36)</f>
        <v/>
      </c>
      <c r="DY36" s="7">
        <f>IF(DN36&gt;0,0,CQ36)</f>
        <v/>
      </c>
      <c r="DZ36" s="7">
        <f>DM36+DN36</f>
        <v/>
      </c>
      <c r="EA36" s="7">
        <f>CV36+DO36</f>
        <v/>
      </c>
      <c r="EB36" s="7">
        <f>IF(DO36&gt;0,(CV36*CS36+DO36*prestamos_tasaPrivada)/(CV36+DO36),CS36)</f>
        <v/>
      </c>
      <c r="EC36" s="7">
        <f>IF(DO36&gt;0,0,CW36)</f>
        <v/>
      </c>
      <c r="ED36" s="7">
        <f>CX36-DE36+DP36</f>
        <v/>
      </c>
      <c r="EE36" s="7">
        <f>IF(IF(3=0,"",EE35)&lt;&gt;"",EE35,IF(AND(BB36=1,DU36&lt;=0.5,DV36&lt;=0.5,OR(BH36=0,BJ36=1)),A36,""))</f>
        <v/>
      </c>
      <c r="EF36" s="7">
        <f>DU36+DV36+DW36+EA36+ED36+CD36</f>
        <v/>
      </c>
      <c r="EG36" s="7">
        <f>DR36+DS36+DT36-EF36</f>
        <v/>
      </c>
      <c r="EH36" s="7">
        <f>EG36/(1+g_inf)^(A36+1-2026)</f>
        <v/>
      </c>
    </row>
    <row r="37">
      <c r="A37" t="n">
        <v>2031</v>
      </c>
      <c r="B37" t="n">
        <v>4</v>
      </c>
      <c r="C37" s="7">
        <f>(1+g_inf)^(A37-2026)</f>
        <v/>
      </c>
      <c r="D37" s="7">
        <f>SUMPRODUCT($X$5:$X$29,$E$5:$E$29*(1+$F$5:$F$29)^(A37-2026)*$G$5:$G$29*$H$5:$H$29*(1-$N$5:$N$29*$O$5:$O$29))*g_salMult+SUMPRODUCT(($B$5:$B$29&gt;=A37)*($B$5:$B$29&lt;A37+1)*$I$5:$I$29)*g_salMult</f>
        <v/>
      </c>
      <c r="E37" s="7">
        <f>SUMPRODUCT($X$5:$X$29,$E$5:$E$29*(1+$F$5:$F$29)^(A37-2026)*$G$5:$G$29*$H$5:$H$29*$M$5:$M$29)*g_salMult</f>
        <v/>
      </c>
      <c r="F37" s="7">
        <f>SUMPRODUCT($X$5:$X$29,$E$5:$E$29*(1+$F$5:$F$29)^(A37-2026)*$G$5:$G$29*$H$5:$H$29*$N$5:$N$29*$O$5:$O$29)*g_salMult</f>
        <v/>
      </c>
      <c r="G37" s="7">
        <f>SUMPRODUCT($X$5:$X$29,$P$5:$P$29*(1+$F$5:$F$29)^(A37-2026))</f>
        <v/>
      </c>
      <c r="H37" s="7">
        <f>SUMPRODUCT($X$5:$X$29,$Q$5:$Q$29*(1+$F$5:$F$29)^(A37-2026))+IF(personal_llcActivo=1,personal_llcNeto*(1+personal_llcCrecimiento)^4,0)</f>
        <v/>
      </c>
      <c r="I37" s="7">
        <f>SUMPRODUCT($X$5:$X$29,$J$5:$J$29/($C$5:$C$29-$B$5:$B$29+($C$5:$C$29=$B$5:$B$29)))*C37</f>
        <v/>
      </c>
      <c r="J37" s="7">
        <f>SUMPRODUCT($X$5:$X$29,$K$5:$K$29)</f>
        <v/>
      </c>
      <c r="K37" s="7">
        <f>SUMPRODUCT($X$5:$X$29,$L$5:$L$29)</f>
        <v/>
      </c>
      <c r="L37" s="7">
        <f>SUMPRODUCT($X$5:$X$29,$N$5:$N$29)</f>
        <v/>
      </c>
      <c r="M37" s="7">
        <f>IF(SUMPRODUCT($X$5:$X$29,$R$5:$R$29)&gt;0,1,0)</f>
        <v/>
      </c>
      <c r="N37" s="7">
        <f>SUMPRODUCT(($AO$5:$AO$24&gt;=A37)*($AO$5:$AO$24&lt;A37+1)*$AP$5:$AP$24)*C37+IF(4=0,IF(sel_loc&lt;&gt;"miami",personal_costoMudanzaInicial,0),0)</f>
        <v/>
      </c>
      <c r="O37" s="7">
        <f>MIN(personal_aporte403bPct*D37,retiro_limite403b*C37)</f>
        <v/>
      </c>
      <c r="P37" s="7">
        <f>MIN(personal_aporte403bPct,personal_match403bPct)*E37</f>
        <v/>
      </c>
      <c r="Q37" s="7">
        <f>IF(G37&gt;0,MAX(0,G37-impuestos_scorpCostoAnual*C37),0)</f>
        <v/>
      </c>
      <c r="R37" s="7">
        <f>Q37*impuestos_scorpSalarioPct/(1+impuestos_ssTasa+impuestos_medicareTasa)</f>
        <v/>
      </c>
      <c r="S37" s="7">
        <f>impuestos_ssTasa*MIN(R37,MAX(0,impuestos_ssTope*C37-D37))+impuestos_medicareTasa*R37</f>
        <v/>
      </c>
      <c r="T37" s="7">
        <f>Q37-R37-S37</f>
        <v/>
      </c>
      <c r="U37" s="7">
        <f>D37+R37</f>
        <v/>
      </c>
      <c r="V37" s="7">
        <f>H37*0.9235</f>
        <v/>
      </c>
      <c r="W37" s="7">
        <f>IF(H37&gt;0,2*impuestos_ssTasa*MIN(V37,MAX(0,impuestos_ssTope*C37-U37))+2*impuestos_medicareTasa*V37,0)</f>
        <v/>
      </c>
      <c r="X37" s="7">
        <f>impuestos_ssTasa*MIN(U37,impuestos_ssTope*C37)+impuestos_medicareTasa*U37+impuestos_medicareAdicional*MAX(0,U37+H37*0.9235-impuestos_medicareUmbral)</f>
        <v/>
      </c>
      <c r="Y37" s="7">
        <f>MAX(0,D37-O37+R37+T37+H37-W37/2)</f>
        <v/>
      </c>
      <c r="Z37" s="7">
        <f>MAX(0,Y37-impuestos_deduccionEstandar*C37)</f>
        <v/>
      </c>
      <c r="AA37" s="7">
        <f>MIN(0.2*MAX(0,T37+H37-W37/2)*MAX(0,MIN(1,1-(Z37-impuestos_qbiUmbral*C37)/(impuestos_qbiRango*C37))),0.2*Z37)</f>
        <v/>
      </c>
      <c r="AB37" s="7">
        <f>MAX(0,Z37-AA37)</f>
        <v/>
      </c>
      <c r="AC37" s="7">
        <f>SUMPRODUCT((AB37&gt;tb_federalBrackets_lo*C37)*(AB37-tb_federalBrackets_lo*C37)*tb_federalBrackets_dr)</f>
        <v/>
      </c>
      <c r="AD37" s="7">
        <f>MAX(0,Y37-impuestos_nyDeduccion*C37)</f>
        <v/>
      </c>
      <c r="AE37" s="7">
        <f>CHOOSE(loc_taxcode,0,impuestos_ohTasa*MAX(0,Y37-impuestos_ohExento*C37)+impuestos_ohMunicipal*U37,SUMPRODUCT((AD37&gt;tb_nyBrackets_lo*C37)*(AD37-tb_nyBrackets_lo*C37)*tb_nyBrackets_dr)+loc_nyc*SUMPRODUCT((AD37&gt;tb_nycBrackets_lo*C37)*(AD37-tb_nycBrackets_lo*C37)*tb_nycBrackets_dr))</f>
        <v/>
      </c>
      <c r="AF37" s="7">
        <f>AC37+AE37+X37+W37</f>
        <v/>
      </c>
      <c r="AG37" s="7">
        <f>D37+F37+R37+T37+H37</f>
        <v/>
      </c>
      <c r="AH37" s="7">
        <f>AG37-AF37-O37</f>
        <v/>
      </c>
      <c r="AI37" s="7">
        <f>D37+F37+G37+H37</f>
        <v/>
      </c>
      <c r="AJ37" s="7">
        <f>loc_gastosVida*C37*g_gastos</f>
        <v/>
      </c>
      <c r="AK37" s="7">
        <f>IF(4=0,personal_liquidoInicial,DR36)</f>
        <v/>
      </c>
      <c r="AL37" s="7">
        <f>IF(4=0,0,BB36)</f>
        <v/>
      </c>
      <c r="AM37" s="7">
        <f>CHOOSE(sel_cfgIdx,loc_precio_duplex,loc_precio_inlaw,loc_precio_dosCasas,loc_precio_casaAdu,loc_precio_multi)</f>
        <v/>
      </c>
      <c r="AN37" s="7">
        <f>AM37*(1+g_appr)^(A37-2026)</f>
        <v/>
      </c>
      <c r="AO37" s="7">
        <f>IF(AND(M37=1,vivienda_prestamoMedico=1),1,0)</f>
        <v/>
      </c>
      <c r="AP37" s="7">
        <f>IF(AO37=1,0.05,vivienda_enganchePct)</f>
        <v/>
      </c>
      <c r="AQ37" s="7">
        <f>AN37*(1-AP37)</f>
        <v/>
      </c>
      <c r="AR37" s="7">
        <f>PMT(g_mortRate/12,vivienda_plazoHipoteca*12,-AQ37)</f>
        <v/>
      </c>
      <c r="AS37" s="7">
        <f>INDEX(cfg_units,sel_cfgIdx)</f>
        <v/>
      </c>
      <c r="AT37" s="7">
        <f>AS37*loc_rentaUnidad*(1+g_inf)^(A37-2026)*(1-vivienda_vacancia)</f>
        <v/>
      </c>
      <c r="AU37" s="7">
        <f>AR37+AN37*loc_impuestoPropPct/12+AM37*loc_seguroPct*(1+vivienda_inflacionSeguro)^(A37-2026)/12+IF(AND(AO37=0,AP37&lt;0.2),AQ37*vivienda_pmiTasa/12,0)</f>
        <v/>
      </c>
      <c r="AV37" s="7">
        <f>AN37*AP37+AN37*vivienda_cierrePct+general_reservaMeses/12*AJ37</f>
        <v/>
      </c>
      <c r="AW37" s="7">
        <f>(IF(4=0,MIN(personal_irsSaldo,personal_irsPagoMensual*12),MIN(CD36,personal_irsPagoMensual*12))+IF(CE37&gt;0,PMT(CF37,MAX(1,prestamos_plazoAnios-CG37),-CE37),0)+IF(CR37&gt;0,PMT(CS37,MAX(1,prestamos_plazoAnios-CT37),-CR37),0))/12</f>
        <v/>
      </c>
      <c r="AX37" s="7">
        <f>IF(OR(sel_cfg="duplex",sel_cfg="multi",sel_cfg="dosCasas"),0.75*personal_aporteFamiliaMensual,0)</f>
        <v/>
      </c>
      <c r="AY37" s="7">
        <f>AU37-0.75*AT37-AX37+AW37</f>
        <v/>
      </c>
      <c r="AZ37" s="7">
        <f>(D37+G37+H37+0.5*F37)/12</f>
        <v/>
      </c>
      <c r="BA37" s="7">
        <f>IF(AND(AL37=0,A37&gt;=vivienda_anioMinCompra,J37&lt;0.5,AI37&gt;0,AK37&gt;=AV37,AY37&lt;=vivienda_dtiMax*AZ37),1,0)</f>
        <v/>
      </c>
      <c r="BB37" s="7">
        <f>MAX(AL37,BA37)</f>
        <v/>
      </c>
      <c r="BC37" s="7">
        <f>IF(BA37=1,A37,IF(4=0,"",BC36))</f>
        <v/>
      </c>
      <c r="BD37" s="7">
        <f>AK37-IF(BA37=1,AN37*AP37+AN37*vivienda_cierrePct,0)</f>
        <v/>
      </c>
      <c r="BE37" s="7">
        <f>IF(BA37=1,AN37,IF(4=0,0,BE36))</f>
        <v/>
      </c>
      <c r="BF37" s="7">
        <f>IF(BA37=1,AR37,IF(4=0,0,BF36))</f>
        <v/>
      </c>
      <c r="BG37" s="7">
        <f>IF(BA37=1,IF(AND(AO37=0,AP37&lt;0.2),1,0),IF(4=0,0,BY36))</f>
        <v/>
      </c>
      <c r="BH37" s="7">
        <f>IF(sel_cfg="casaAdu",1,0)</f>
        <v/>
      </c>
      <c r="BI37" s="7">
        <f>IF(AND(BB37=1,BH37=1,IF(4=0,0,BJ36)=0,A37&gt;=IF(BC37="",9999,BC37)+vivienda_aduRetrasoAnios),1,0)</f>
        <v/>
      </c>
      <c r="BJ37" s="7">
        <f>MAX(IF(4=0,0,BJ36),BI37)</f>
        <v/>
      </c>
      <c r="BK37" s="7">
        <f>IF(BI37=1,PMT((g_mortRate+0.005)/12,180,-loc_precio_aduCosto*C37),IF(4=0,0,BK36))</f>
        <v/>
      </c>
      <c r="BL37" s="7">
        <f>IF(BA37=1,AN37,IF(4=0,0,DT36))+IF(BI37=1,loc_precio_aduCosto*C37,0)</f>
        <v/>
      </c>
      <c r="BM37" s="7">
        <f>IF(BA37=1,AQ37,IF(4=0,0,DU36))</f>
        <v/>
      </c>
      <c r="BN37" s="7">
        <f>IF(BM37&lt;=0,0,FV(g_mortRate/12,12,BF37,-BM37))</f>
        <v/>
      </c>
      <c r="BO37" s="7">
        <f>IF(BM37&lt;=0,0,12*BF37+MIN(0,BN37))</f>
        <v/>
      </c>
      <c r="BP37" s="7">
        <f>MAX(0,BN37)</f>
        <v/>
      </c>
      <c r="BQ37" s="7">
        <f>IF(BI37=1,loc_precio_aduCosto*C37,IF(4=0,0,DV36))</f>
        <v/>
      </c>
      <c r="BR37" s="7">
        <f>IF(BQ37&lt;=0,0,FV((g_mortRate+0.005)/12,12,BK37,-BQ37))</f>
        <v/>
      </c>
      <c r="BS37" s="7">
        <f>IF(BQ37&lt;=0,0,12*BK37+MIN(0,BR37))</f>
        <v/>
      </c>
      <c r="BT37" s="7">
        <f>MAX(0,BR37)</f>
        <v/>
      </c>
      <c r="BU37" s="7">
        <f>IF(BB37=1,AM37*loc_seguroPct*(1+vivienda_inflacionSeguro)^(A37-2026)*IF(BJ37=1,1+loc_precio_aduCosto/AM37,1),0)</f>
        <v/>
      </c>
      <c r="BV37" s="7">
        <f>BL37*loc_impuestoPropPct</f>
        <v/>
      </c>
      <c r="BW37" s="7">
        <f>BL37*vivienda_mantenimientoPct</f>
        <v/>
      </c>
      <c r="BX37" s="7">
        <f>IF(AND(BG37=1,BP37&gt;0.8*BE37),BE37*(1-vivienda_enganchePct)*vivienda_pmiTasa,0)</f>
        <v/>
      </c>
      <c r="BY37" s="7">
        <f>IF(AND(BG37=1,BP37&gt;0.8*BE37),1,0)</f>
        <v/>
      </c>
      <c r="BZ37" s="7">
        <f>IF(BB37=1,AS37*loc_rentaUnidad*12*C37*(1-vivienda_vacancia)*(1-vivienda_gestionPct),0)</f>
        <v/>
      </c>
      <c r="CA37" s="7">
        <f>IF(BB37=1,BO37+BS37+BU37+BV37+BW37+BX37,loc_rentaMensual*12*C37)</f>
        <v/>
      </c>
      <c r="CB37" s="7">
        <f>IF(BB37=1,personal_aporteFamiliaMensual*12,0)</f>
        <v/>
      </c>
      <c r="CC37" s="7">
        <f>MIN(IF(4=0,personal_irsSaldo,CD36),personal_irsPagoMensual*12)</f>
        <v/>
      </c>
      <c r="CD37" s="7">
        <f>IF(4=0,personal_irsSaldo,CD36)-CC37</f>
        <v/>
      </c>
      <c r="CE37" s="7">
        <f>IF(4=0,IF(personal_deudaEsFederal=1,personal_deudaEstudiantil,0),DW36)</f>
        <v/>
      </c>
      <c r="CF37" s="7">
        <f>IF(4=0,personal_tasaDeudaEstudiantil,DX36)</f>
        <v/>
      </c>
      <c r="CG37" s="7">
        <f>IF(4=0,0,DY36)</f>
        <v/>
      </c>
      <c r="CH37" s="7">
        <f>IF(J37&gt;=0.5,1,0)</f>
        <v/>
      </c>
      <c r="CI37" s="7">
        <f>IF(AND(CH37=0,prestamos_pslfActivo=1,K37&gt;=0.5,CE37&gt;0),1,0)</f>
        <v/>
      </c>
      <c r="CJ37" s="7">
        <f>CE37*CF37</f>
        <v/>
      </c>
      <c r="CK37" s="7">
        <f>MAX(prestamos_rapPagoMinimoAnual,IF(Y37&lt;10000,0,MIN(0.1,INT(Y37/10000)/100))*Y37)</f>
        <v/>
      </c>
      <c r="CL37" s="7">
        <f>IF(CE37&lt;=0,0,IF(CH37=1,0,IF(CI37=1,MIN(CE37+CJ37,CK37),PMT(CF37,MAX(1,prestamos_plazoAnios-CG37),-CE37))))</f>
        <v/>
      </c>
      <c r="CM37" s="7">
        <f>IF(CE37&lt;=0,0,IF(CH37=1,CE37+CJ37,IF(CI37=1,MAX(0,CE37-MAX(CL37-CJ37,MIN(600,CL37))),MAX(0,CE37*(1+CF37)-CL37))))</f>
        <v/>
      </c>
      <c r="CN37" s="7">
        <f>IF(4=0,0,CN36)+IF(CI37=1,12*MIN(1,K37),0)</f>
        <v/>
      </c>
      <c r="CO37" s="7">
        <f>IF(AND(CI37=1,CN37&gt;=prestamos_pslfPagos,CM37&gt;0),CM37,0)</f>
        <v/>
      </c>
      <c r="CP37" s="7">
        <f>CM37-CO37</f>
        <v/>
      </c>
      <c r="CQ37" s="7">
        <f>IF(AND(CE37&gt;0,CH37=0,CI37=0),CG37+1,CG37)</f>
        <v/>
      </c>
      <c r="CR37" s="7">
        <f>IF(4=0,IF(personal_deudaEsFederal=1,0,personal_deudaEstudiantil),EA36)</f>
        <v/>
      </c>
      <c r="CS37" s="7">
        <f>IF(4=0,IF(personal_deudaEsFederal=1,prestamos_tasaPrivada,personal_tasaDeudaEstudiantil),EB36)</f>
        <v/>
      </c>
      <c r="CT37" s="7">
        <f>IF(4=0,0,EC36)</f>
        <v/>
      </c>
      <c r="CU37" s="7">
        <f>IF(OR(CR37&lt;=0,CH37=1),0,PMT(CS37,MAX(1,prestamos_plazoAnios-CT37),-CR37))</f>
        <v/>
      </c>
      <c r="CV37" s="7">
        <f>IF(CR37&lt;=0,0,IF(CH37=1,CR37*(1+CS37),MAX(0,CR37*(1+CS37)-CU37)))</f>
        <v/>
      </c>
      <c r="CW37" s="7">
        <f>IF(AND(CR37&gt;0,CH37=0),CT37+1,CT37)</f>
        <v/>
      </c>
      <c r="CX37" s="7">
        <f>IF(4=0,0,ED36)*(1+general_tasaDeudaConsumo)</f>
        <v/>
      </c>
      <c r="CY37" s="7">
        <f>L37*12*tiempos_travelGastoExtraMes*C37</f>
        <v/>
      </c>
      <c r="CZ37" s="7">
        <f>AJ37+CY37+CA37+CC37+CL37+CU37+I37+N37-BZ37-CB37</f>
        <v/>
      </c>
      <c r="DA37" s="7">
        <f>AH37-CZ37</f>
        <v/>
      </c>
      <c r="DB37" s="7">
        <f>IF(4=0,0,DB36)+DA37</f>
        <v/>
      </c>
      <c r="DC37" s="7">
        <f>AN37*vivienda_enganchePct+AN37*vivienda_cierrePct+general_reservaMeses/12*AJ37</f>
        <v/>
      </c>
      <c r="DD37" s="7">
        <f>IF(BB37=1,g_ret,IF(BD37&gt;0,MIN(1,DC37/BD37),1)*g_cash+(1-IF(BD37&gt;0,MIN(1,DC37/BD37),1))*g_ret)</f>
        <v/>
      </c>
      <c r="DE37" s="7">
        <f>IF(DA37&gt;=0,MIN(CX37,DA37),0)</f>
        <v/>
      </c>
      <c r="DF37" s="7">
        <f>IF(DA37&gt;=0,(1-general_tasaAhorro)*(DA37-DE37),0)</f>
        <v/>
      </c>
      <c r="DG37" s="7">
        <f>IF(DA37&gt;=0,DA37-DE37-DF37,0)</f>
        <v/>
      </c>
      <c r="DH37" s="7">
        <f>MIN(personal_rothAnual,DG37)</f>
        <v/>
      </c>
      <c r="DI37" s="7">
        <f>IF(AND(DA37&gt;=0,BB37=1,BP37+BT37&gt;0),MIN(vivienda_prepagoPct*(DG37-DH37),BP37+BT37),0)</f>
        <v/>
      </c>
      <c r="DJ37" s="7">
        <f>MIN(DI37,BP37)</f>
        <v/>
      </c>
      <c r="DK37" s="7">
        <f>IF(DA37&lt;0,MIN(MAX(0,BD37),-DA37),0)</f>
        <v/>
      </c>
      <c r="DL37" s="7">
        <f>IF(DA37&lt;0,-DA37-DK37,0)</f>
        <v/>
      </c>
      <c r="DM37" s="7">
        <f>IF(4=0,0,DZ36)</f>
        <v/>
      </c>
      <c r="DN37" s="7">
        <f>IF(AND(DL37&gt;0,J37&gt;0),MIN(DL37,MIN(prestamos_topeAnualPosgrado*MIN(1,J37),MAX(0,prestamos_topeTotalPosgrado-DM37))),0)</f>
        <v/>
      </c>
      <c r="DO37" s="7">
        <f>IF(AND(DL37&gt;0,J37&gt;0),DL37-DN37,0)</f>
        <v/>
      </c>
      <c r="DP37" s="7">
        <f>IF(AND(DL37&gt;0,J37&lt;=0),DL37,0)</f>
        <v/>
      </c>
      <c r="DQ37" s="7">
        <f>IF(DA37&gt;=0,DG37-DH37-DI37,-DK37)</f>
        <v/>
      </c>
      <c r="DR37" s="7">
        <f>BD37*(1+DD37)+DQ37*(1+DD37/2)</f>
        <v/>
      </c>
      <c r="DS37" s="7">
        <f>IF(4=0,personal_retiroInicial,DS36)*(1+g_ret)+(O37+P37+DH37)*(1+g_ret/2)</f>
        <v/>
      </c>
      <c r="DT37" s="7">
        <f>IF(BB37=1,BL37*(1+g_appr),0)</f>
        <v/>
      </c>
      <c r="DU37" s="7">
        <f>BP37-DJ37</f>
        <v/>
      </c>
      <c r="DV37" s="7">
        <f>BT37-(DI37-DJ37)</f>
        <v/>
      </c>
      <c r="DW37" s="7">
        <f>CP37+DN37</f>
        <v/>
      </c>
      <c r="DX37" s="7">
        <f>IF(DN37&gt;0,(CP37*CF37+DN37*prestamos_tasaFederalPosgrado)/(CP37+DN37),CF37)</f>
        <v/>
      </c>
      <c r="DY37" s="7">
        <f>IF(DN37&gt;0,0,CQ37)</f>
        <v/>
      </c>
      <c r="DZ37" s="7">
        <f>DM37+DN37</f>
        <v/>
      </c>
      <c r="EA37" s="7">
        <f>CV37+DO37</f>
        <v/>
      </c>
      <c r="EB37" s="7">
        <f>IF(DO37&gt;0,(CV37*CS37+DO37*prestamos_tasaPrivada)/(CV37+DO37),CS37)</f>
        <v/>
      </c>
      <c r="EC37" s="7">
        <f>IF(DO37&gt;0,0,CW37)</f>
        <v/>
      </c>
      <c r="ED37" s="7">
        <f>CX37-DE37+DP37</f>
        <v/>
      </c>
      <c r="EE37" s="7">
        <f>IF(IF(4=0,"",EE36)&lt;&gt;"",EE36,IF(AND(BB37=1,DU37&lt;=0.5,DV37&lt;=0.5,OR(BH37=0,BJ37=1)),A37,""))</f>
        <v/>
      </c>
      <c r="EF37" s="7">
        <f>DU37+DV37+DW37+EA37+ED37+CD37</f>
        <v/>
      </c>
      <c r="EG37" s="7">
        <f>DR37+DS37+DT37-EF37</f>
        <v/>
      </c>
      <c r="EH37" s="7">
        <f>EG37/(1+g_inf)^(A37+1-2026)</f>
        <v/>
      </c>
    </row>
    <row r="38">
      <c r="A38" t="n">
        <v>2032</v>
      </c>
      <c r="B38" t="n">
        <v>5</v>
      </c>
      <c r="C38" s="7">
        <f>(1+g_inf)^(A38-2026)</f>
        <v/>
      </c>
      <c r="D38" s="7">
        <f>SUMPRODUCT($Y$5:$Y$29,$E$5:$E$29*(1+$F$5:$F$29)^(A38-2026)*$G$5:$G$29*$H$5:$H$29*(1-$N$5:$N$29*$O$5:$O$29))*g_salMult+SUMPRODUCT(($B$5:$B$29&gt;=A38)*($B$5:$B$29&lt;A38+1)*$I$5:$I$29)*g_salMult</f>
        <v/>
      </c>
      <c r="E38" s="7">
        <f>SUMPRODUCT($Y$5:$Y$29,$E$5:$E$29*(1+$F$5:$F$29)^(A38-2026)*$G$5:$G$29*$H$5:$H$29*$M$5:$M$29)*g_salMult</f>
        <v/>
      </c>
      <c r="F38" s="7">
        <f>SUMPRODUCT($Y$5:$Y$29,$E$5:$E$29*(1+$F$5:$F$29)^(A38-2026)*$G$5:$G$29*$H$5:$H$29*$N$5:$N$29*$O$5:$O$29)*g_salMult</f>
        <v/>
      </c>
      <c r="G38" s="7">
        <f>SUMPRODUCT($Y$5:$Y$29,$P$5:$P$29*(1+$F$5:$F$29)^(A38-2026))</f>
        <v/>
      </c>
      <c r="H38" s="7">
        <f>SUMPRODUCT($Y$5:$Y$29,$Q$5:$Q$29*(1+$F$5:$F$29)^(A38-2026))+IF(personal_llcActivo=1,personal_llcNeto*(1+personal_llcCrecimiento)^5,0)</f>
        <v/>
      </c>
      <c r="I38" s="7">
        <f>SUMPRODUCT($Y$5:$Y$29,$J$5:$J$29/($C$5:$C$29-$B$5:$B$29+($C$5:$C$29=$B$5:$B$29)))*C38</f>
        <v/>
      </c>
      <c r="J38" s="7">
        <f>SUMPRODUCT($Y$5:$Y$29,$K$5:$K$29)</f>
        <v/>
      </c>
      <c r="K38" s="7">
        <f>SUMPRODUCT($Y$5:$Y$29,$L$5:$L$29)</f>
        <v/>
      </c>
      <c r="L38" s="7">
        <f>SUMPRODUCT($Y$5:$Y$29,$N$5:$N$29)</f>
        <v/>
      </c>
      <c r="M38" s="7">
        <f>IF(SUMPRODUCT($Y$5:$Y$29,$R$5:$R$29)&gt;0,1,0)</f>
        <v/>
      </c>
      <c r="N38" s="7">
        <f>SUMPRODUCT(($AO$5:$AO$24&gt;=A38)*($AO$5:$AO$24&lt;A38+1)*$AP$5:$AP$24)*C38+IF(5=0,IF(sel_loc&lt;&gt;"miami",personal_costoMudanzaInicial,0),0)</f>
        <v/>
      </c>
      <c r="O38" s="7">
        <f>MIN(personal_aporte403bPct*D38,retiro_limite403b*C38)</f>
        <v/>
      </c>
      <c r="P38" s="7">
        <f>MIN(personal_aporte403bPct,personal_match403bPct)*E38</f>
        <v/>
      </c>
      <c r="Q38" s="7">
        <f>IF(G38&gt;0,MAX(0,G38-impuestos_scorpCostoAnual*C38),0)</f>
        <v/>
      </c>
      <c r="R38" s="7">
        <f>Q38*impuestos_scorpSalarioPct/(1+impuestos_ssTasa+impuestos_medicareTasa)</f>
        <v/>
      </c>
      <c r="S38" s="7">
        <f>impuestos_ssTasa*MIN(R38,MAX(0,impuestos_ssTope*C38-D38))+impuestos_medicareTasa*R38</f>
        <v/>
      </c>
      <c r="T38" s="7">
        <f>Q38-R38-S38</f>
        <v/>
      </c>
      <c r="U38" s="7">
        <f>D38+R38</f>
        <v/>
      </c>
      <c r="V38" s="7">
        <f>H38*0.9235</f>
        <v/>
      </c>
      <c r="W38" s="7">
        <f>IF(H38&gt;0,2*impuestos_ssTasa*MIN(V38,MAX(0,impuestos_ssTope*C38-U38))+2*impuestos_medicareTasa*V38,0)</f>
        <v/>
      </c>
      <c r="X38" s="7">
        <f>impuestos_ssTasa*MIN(U38,impuestos_ssTope*C38)+impuestos_medicareTasa*U38+impuestos_medicareAdicional*MAX(0,U38+H38*0.9235-impuestos_medicareUmbral)</f>
        <v/>
      </c>
      <c r="Y38" s="7">
        <f>MAX(0,D38-O38+R38+T38+H38-W38/2)</f>
        <v/>
      </c>
      <c r="Z38" s="7">
        <f>MAX(0,Y38-impuestos_deduccionEstandar*C38)</f>
        <v/>
      </c>
      <c r="AA38" s="7">
        <f>MIN(0.2*MAX(0,T38+H38-W38/2)*MAX(0,MIN(1,1-(Z38-impuestos_qbiUmbral*C38)/(impuestos_qbiRango*C38))),0.2*Z38)</f>
        <v/>
      </c>
      <c r="AB38" s="7">
        <f>MAX(0,Z38-AA38)</f>
        <v/>
      </c>
      <c r="AC38" s="7">
        <f>SUMPRODUCT((AB38&gt;tb_federalBrackets_lo*C38)*(AB38-tb_federalBrackets_lo*C38)*tb_federalBrackets_dr)</f>
        <v/>
      </c>
      <c r="AD38" s="7">
        <f>MAX(0,Y38-impuestos_nyDeduccion*C38)</f>
        <v/>
      </c>
      <c r="AE38" s="7">
        <f>CHOOSE(loc_taxcode,0,impuestos_ohTasa*MAX(0,Y38-impuestos_ohExento*C38)+impuestos_ohMunicipal*U38,SUMPRODUCT((AD38&gt;tb_nyBrackets_lo*C38)*(AD38-tb_nyBrackets_lo*C38)*tb_nyBrackets_dr)+loc_nyc*SUMPRODUCT((AD38&gt;tb_nycBrackets_lo*C38)*(AD38-tb_nycBrackets_lo*C38)*tb_nycBrackets_dr))</f>
        <v/>
      </c>
      <c r="AF38" s="7">
        <f>AC38+AE38+X38+W38</f>
        <v/>
      </c>
      <c r="AG38" s="7">
        <f>D38+F38+R38+T38+H38</f>
        <v/>
      </c>
      <c r="AH38" s="7">
        <f>AG38-AF38-O38</f>
        <v/>
      </c>
      <c r="AI38" s="7">
        <f>D38+F38+G38+H38</f>
        <v/>
      </c>
      <c r="AJ38" s="7">
        <f>loc_gastosVida*C38*g_gastos</f>
        <v/>
      </c>
      <c r="AK38" s="7">
        <f>IF(5=0,personal_liquidoInicial,DR37)</f>
        <v/>
      </c>
      <c r="AL38" s="7">
        <f>IF(5=0,0,BB37)</f>
        <v/>
      </c>
      <c r="AM38" s="7">
        <f>CHOOSE(sel_cfgIdx,loc_precio_duplex,loc_precio_inlaw,loc_precio_dosCasas,loc_precio_casaAdu,loc_precio_multi)</f>
        <v/>
      </c>
      <c r="AN38" s="7">
        <f>AM38*(1+g_appr)^(A38-2026)</f>
        <v/>
      </c>
      <c r="AO38" s="7">
        <f>IF(AND(M38=1,vivienda_prestamoMedico=1),1,0)</f>
        <v/>
      </c>
      <c r="AP38" s="7">
        <f>IF(AO38=1,0.05,vivienda_enganchePct)</f>
        <v/>
      </c>
      <c r="AQ38" s="7">
        <f>AN38*(1-AP38)</f>
        <v/>
      </c>
      <c r="AR38" s="7">
        <f>PMT(g_mortRate/12,vivienda_plazoHipoteca*12,-AQ38)</f>
        <v/>
      </c>
      <c r="AS38" s="7">
        <f>INDEX(cfg_units,sel_cfgIdx)</f>
        <v/>
      </c>
      <c r="AT38" s="7">
        <f>AS38*loc_rentaUnidad*(1+g_inf)^(A38-2026)*(1-vivienda_vacancia)</f>
        <v/>
      </c>
      <c r="AU38" s="7">
        <f>AR38+AN38*loc_impuestoPropPct/12+AM38*loc_seguroPct*(1+vivienda_inflacionSeguro)^(A38-2026)/12+IF(AND(AO38=0,AP38&lt;0.2),AQ38*vivienda_pmiTasa/12,0)</f>
        <v/>
      </c>
      <c r="AV38" s="7">
        <f>AN38*AP38+AN38*vivienda_cierrePct+general_reservaMeses/12*AJ38</f>
        <v/>
      </c>
      <c r="AW38" s="7">
        <f>(IF(5=0,MIN(personal_irsSaldo,personal_irsPagoMensual*12),MIN(CD37,personal_irsPagoMensual*12))+IF(CE38&gt;0,PMT(CF38,MAX(1,prestamos_plazoAnios-CG38),-CE38),0)+IF(CR38&gt;0,PMT(CS38,MAX(1,prestamos_plazoAnios-CT38),-CR38),0))/12</f>
        <v/>
      </c>
      <c r="AX38" s="7">
        <f>IF(OR(sel_cfg="duplex",sel_cfg="multi",sel_cfg="dosCasas"),0.75*personal_aporteFamiliaMensual,0)</f>
        <v/>
      </c>
      <c r="AY38" s="7">
        <f>AU38-0.75*AT38-AX38+AW38</f>
        <v/>
      </c>
      <c r="AZ38" s="7">
        <f>(D38+G38+H38+0.5*F38)/12</f>
        <v/>
      </c>
      <c r="BA38" s="7">
        <f>IF(AND(AL38=0,A38&gt;=vivienda_anioMinCompra,J38&lt;0.5,AI38&gt;0,AK38&gt;=AV38,AY38&lt;=vivienda_dtiMax*AZ38),1,0)</f>
        <v/>
      </c>
      <c r="BB38" s="7">
        <f>MAX(AL38,BA38)</f>
        <v/>
      </c>
      <c r="BC38" s="7">
        <f>IF(BA38=1,A38,IF(5=0,"",BC37))</f>
        <v/>
      </c>
      <c r="BD38" s="7">
        <f>AK38-IF(BA38=1,AN38*AP38+AN38*vivienda_cierrePct,0)</f>
        <v/>
      </c>
      <c r="BE38" s="7">
        <f>IF(BA38=1,AN38,IF(5=0,0,BE37))</f>
        <v/>
      </c>
      <c r="BF38" s="7">
        <f>IF(BA38=1,AR38,IF(5=0,0,BF37))</f>
        <v/>
      </c>
      <c r="BG38" s="7">
        <f>IF(BA38=1,IF(AND(AO38=0,AP38&lt;0.2),1,0),IF(5=0,0,BY37))</f>
        <v/>
      </c>
      <c r="BH38" s="7">
        <f>IF(sel_cfg="casaAdu",1,0)</f>
        <v/>
      </c>
      <c r="BI38" s="7">
        <f>IF(AND(BB38=1,BH38=1,IF(5=0,0,BJ37)=0,A38&gt;=IF(BC38="",9999,BC38)+vivienda_aduRetrasoAnios),1,0)</f>
        <v/>
      </c>
      <c r="BJ38" s="7">
        <f>MAX(IF(5=0,0,BJ37),BI38)</f>
        <v/>
      </c>
      <c r="BK38" s="7">
        <f>IF(BI38=1,PMT((g_mortRate+0.005)/12,180,-loc_precio_aduCosto*C38),IF(5=0,0,BK37))</f>
        <v/>
      </c>
      <c r="BL38" s="7">
        <f>IF(BA38=1,AN38,IF(5=0,0,DT37))+IF(BI38=1,loc_precio_aduCosto*C38,0)</f>
        <v/>
      </c>
      <c r="BM38" s="7">
        <f>IF(BA38=1,AQ38,IF(5=0,0,DU37))</f>
        <v/>
      </c>
      <c r="BN38" s="7">
        <f>IF(BM38&lt;=0,0,FV(g_mortRate/12,12,BF38,-BM38))</f>
        <v/>
      </c>
      <c r="BO38" s="7">
        <f>IF(BM38&lt;=0,0,12*BF38+MIN(0,BN38))</f>
        <v/>
      </c>
      <c r="BP38" s="7">
        <f>MAX(0,BN38)</f>
        <v/>
      </c>
      <c r="BQ38" s="7">
        <f>IF(BI38=1,loc_precio_aduCosto*C38,IF(5=0,0,DV37))</f>
        <v/>
      </c>
      <c r="BR38" s="7">
        <f>IF(BQ38&lt;=0,0,FV((g_mortRate+0.005)/12,12,BK38,-BQ38))</f>
        <v/>
      </c>
      <c r="BS38" s="7">
        <f>IF(BQ38&lt;=0,0,12*BK38+MIN(0,BR38))</f>
        <v/>
      </c>
      <c r="BT38" s="7">
        <f>MAX(0,BR38)</f>
        <v/>
      </c>
      <c r="BU38" s="7">
        <f>IF(BB38=1,AM38*loc_seguroPct*(1+vivienda_inflacionSeguro)^(A38-2026)*IF(BJ38=1,1+loc_precio_aduCosto/AM38,1),0)</f>
        <v/>
      </c>
      <c r="BV38" s="7">
        <f>BL38*loc_impuestoPropPct</f>
        <v/>
      </c>
      <c r="BW38" s="7">
        <f>BL38*vivienda_mantenimientoPct</f>
        <v/>
      </c>
      <c r="BX38" s="7">
        <f>IF(AND(BG38=1,BP38&gt;0.8*BE38),BE38*(1-vivienda_enganchePct)*vivienda_pmiTasa,0)</f>
        <v/>
      </c>
      <c r="BY38" s="7">
        <f>IF(AND(BG38=1,BP38&gt;0.8*BE38),1,0)</f>
        <v/>
      </c>
      <c r="BZ38" s="7">
        <f>IF(BB38=1,AS38*loc_rentaUnidad*12*C38*(1-vivienda_vacancia)*(1-vivienda_gestionPct),0)</f>
        <v/>
      </c>
      <c r="CA38" s="7">
        <f>IF(BB38=1,BO38+BS38+BU38+BV38+BW38+BX38,loc_rentaMensual*12*C38)</f>
        <v/>
      </c>
      <c r="CB38" s="7">
        <f>IF(BB38=1,personal_aporteFamiliaMensual*12,0)</f>
        <v/>
      </c>
      <c r="CC38" s="7">
        <f>MIN(IF(5=0,personal_irsSaldo,CD37),personal_irsPagoMensual*12)</f>
        <v/>
      </c>
      <c r="CD38" s="7">
        <f>IF(5=0,personal_irsSaldo,CD37)-CC38</f>
        <v/>
      </c>
      <c r="CE38" s="7">
        <f>IF(5=0,IF(personal_deudaEsFederal=1,personal_deudaEstudiantil,0),DW37)</f>
        <v/>
      </c>
      <c r="CF38" s="7">
        <f>IF(5=0,personal_tasaDeudaEstudiantil,DX37)</f>
        <v/>
      </c>
      <c r="CG38" s="7">
        <f>IF(5=0,0,DY37)</f>
        <v/>
      </c>
      <c r="CH38" s="7">
        <f>IF(J38&gt;=0.5,1,0)</f>
        <v/>
      </c>
      <c r="CI38" s="7">
        <f>IF(AND(CH38=0,prestamos_pslfActivo=1,K38&gt;=0.5,CE38&gt;0),1,0)</f>
        <v/>
      </c>
      <c r="CJ38" s="7">
        <f>CE38*CF38</f>
        <v/>
      </c>
      <c r="CK38" s="7">
        <f>MAX(prestamos_rapPagoMinimoAnual,IF(Y38&lt;10000,0,MIN(0.1,INT(Y38/10000)/100))*Y38)</f>
        <v/>
      </c>
      <c r="CL38" s="7">
        <f>IF(CE38&lt;=0,0,IF(CH38=1,0,IF(CI38=1,MIN(CE38+CJ38,CK38),PMT(CF38,MAX(1,prestamos_plazoAnios-CG38),-CE38))))</f>
        <v/>
      </c>
      <c r="CM38" s="7">
        <f>IF(CE38&lt;=0,0,IF(CH38=1,CE38+CJ38,IF(CI38=1,MAX(0,CE38-MAX(CL38-CJ38,MIN(600,CL38))),MAX(0,CE38*(1+CF38)-CL38))))</f>
        <v/>
      </c>
      <c r="CN38" s="7">
        <f>IF(5=0,0,CN37)+IF(CI38=1,12*MIN(1,K38),0)</f>
        <v/>
      </c>
      <c r="CO38" s="7">
        <f>IF(AND(CI38=1,CN38&gt;=prestamos_pslfPagos,CM38&gt;0),CM38,0)</f>
        <v/>
      </c>
      <c r="CP38" s="7">
        <f>CM38-CO38</f>
        <v/>
      </c>
      <c r="CQ38" s="7">
        <f>IF(AND(CE38&gt;0,CH38=0,CI38=0),CG38+1,CG38)</f>
        <v/>
      </c>
      <c r="CR38" s="7">
        <f>IF(5=0,IF(personal_deudaEsFederal=1,0,personal_deudaEstudiantil),EA37)</f>
        <v/>
      </c>
      <c r="CS38" s="7">
        <f>IF(5=0,IF(personal_deudaEsFederal=1,prestamos_tasaPrivada,personal_tasaDeudaEstudiantil),EB37)</f>
        <v/>
      </c>
      <c r="CT38" s="7">
        <f>IF(5=0,0,EC37)</f>
        <v/>
      </c>
      <c r="CU38" s="7">
        <f>IF(OR(CR38&lt;=0,CH38=1),0,PMT(CS38,MAX(1,prestamos_plazoAnios-CT38),-CR38))</f>
        <v/>
      </c>
      <c r="CV38" s="7">
        <f>IF(CR38&lt;=0,0,IF(CH38=1,CR38*(1+CS38),MAX(0,CR38*(1+CS38)-CU38)))</f>
        <v/>
      </c>
      <c r="CW38" s="7">
        <f>IF(AND(CR38&gt;0,CH38=0),CT38+1,CT38)</f>
        <v/>
      </c>
      <c r="CX38" s="7">
        <f>IF(5=0,0,ED37)*(1+general_tasaDeudaConsumo)</f>
        <v/>
      </c>
      <c r="CY38" s="7">
        <f>L38*12*tiempos_travelGastoExtraMes*C38</f>
        <v/>
      </c>
      <c r="CZ38" s="7">
        <f>AJ38+CY38+CA38+CC38+CL38+CU38+I38+N38-BZ38-CB38</f>
        <v/>
      </c>
      <c r="DA38" s="7">
        <f>AH38-CZ38</f>
        <v/>
      </c>
      <c r="DB38" s="7">
        <f>IF(5=0,0,DB37)+DA38</f>
        <v/>
      </c>
      <c r="DC38" s="7">
        <f>AN38*vivienda_enganchePct+AN38*vivienda_cierrePct+general_reservaMeses/12*AJ38</f>
        <v/>
      </c>
      <c r="DD38" s="7">
        <f>IF(BB38=1,g_ret,IF(BD38&gt;0,MIN(1,DC38/BD38),1)*g_cash+(1-IF(BD38&gt;0,MIN(1,DC38/BD38),1))*g_ret)</f>
        <v/>
      </c>
      <c r="DE38" s="7">
        <f>IF(DA38&gt;=0,MIN(CX38,DA38),0)</f>
        <v/>
      </c>
      <c r="DF38" s="7">
        <f>IF(DA38&gt;=0,(1-general_tasaAhorro)*(DA38-DE38),0)</f>
        <v/>
      </c>
      <c r="DG38" s="7">
        <f>IF(DA38&gt;=0,DA38-DE38-DF38,0)</f>
        <v/>
      </c>
      <c r="DH38" s="7">
        <f>MIN(personal_rothAnual,DG38)</f>
        <v/>
      </c>
      <c r="DI38" s="7">
        <f>IF(AND(DA38&gt;=0,BB38=1,BP38+BT38&gt;0),MIN(vivienda_prepagoPct*(DG38-DH38),BP38+BT38),0)</f>
        <v/>
      </c>
      <c r="DJ38" s="7">
        <f>MIN(DI38,BP38)</f>
        <v/>
      </c>
      <c r="DK38" s="7">
        <f>IF(DA38&lt;0,MIN(MAX(0,BD38),-DA38),0)</f>
        <v/>
      </c>
      <c r="DL38" s="7">
        <f>IF(DA38&lt;0,-DA38-DK38,0)</f>
        <v/>
      </c>
      <c r="DM38" s="7">
        <f>IF(5=0,0,DZ37)</f>
        <v/>
      </c>
      <c r="DN38" s="7">
        <f>IF(AND(DL38&gt;0,J38&gt;0),MIN(DL38,MIN(prestamos_topeAnualPosgrado*MIN(1,J38),MAX(0,prestamos_topeTotalPosgrado-DM38))),0)</f>
        <v/>
      </c>
      <c r="DO38" s="7">
        <f>IF(AND(DL38&gt;0,J38&gt;0),DL38-DN38,0)</f>
        <v/>
      </c>
      <c r="DP38" s="7">
        <f>IF(AND(DL38&gt;0,J38&lt;=0),DL38,0)</f>
        <v/>
      </c>
      <c r="DQ38" s="7">
        <f>IF(DA38&gt;=0,DG38-DH38-DI38,-DK38)</f>
        <v/>
      </c>
      <c r="DR38" s="7">
        <f>BD38*(1+DD38)+DQ38*(1+DD38/2)</f>
        <v/>
      </c>
      <c r="DS38" s="7">
        <f>IF(5=0,personal_retiroInicial,DS37)*(1+g_ret)+(O38+P38+DH38)*(1+g_ret/2)</f>
        <v/>
      </c>
      <c r="DT38" s="7">
        <f>IF(BB38=1,BL38*(1+g_appr),0)</f>
        <v/>
      </c>
      <c r="DU38" s="7">
        <f>BP38-DJ38</f>
        <v/>
      </c>
      <c r="DV38" s="7">
        <f>BT38-(DI38-DJ38)</f>
        <v/>
      </c>
      <c r="DW38" s="7">
        <f>CP38+DN38</f>
        <v/>
      </c>
      <c r="DX38" s="7">
        <f>IF(DN38&gt;0,(CP38*CF38+DN38*prestamos_tasaFederalPosgrado)/(CP38+DN38),CF38)</f>
        <v/>
      </c>
      <c r="DY38" s="7">
        <f>IF(DN38&gt;0,0,CQ38)</f>
        <v/>
      </c>
      <c r="DZ38" s="7">
        <f>DM38+DN38</f>
        <v/>
      </c>
      <c r="EA38" s="7">
        <f>CV38+DO38</f>
        <v/>
      </c>
      <c r="EB38" s="7">
        <f>IF(DO38&gt;0,(CV38*CS38+DO38*prestamos_tasaPrivada)/(CV38+DO38),CS38)</f>
        <v/>
      </c>
      <c r="EC38" s="7">
        <f>IF(DO38&gt;0,0,CW38)</f>
        <v/>
      </c>
      <c r="ED38" s="7">
        <f>CX38-DE38+DP38</f>
        <v/>
      </c>
      <c r="EE38" s="7">
        <f>IF(IF(5=0,"",EE37)&lt;&gt;"",EE37,IF(AND(BB38=1,DU38&lt;=0.5,DV38&lt;=0.5,OR(BH38=0,BJ38=1)),A38,""))</f>
        <v/>
      </c>
      <c r="EF38" s="7">
        <f>DU38+DV38+DW38+EA38+ED38+CD38</f>
        <v/>
      </c>
      <c r="EG38" s="7">
        <f>DR38+DS38+DT38-EF38</f>
        <v/>
      </c>
      <c r="EH38" s="7">
        <f>EG38/(1+g_inf)^(A38+1-2026)</f>
        <v/>
      </c>
    </row>
    <row r="39">
      <c r="A39" t="n">
        <v>2033</v>
      </c>
      <c r="B39" t="n">
        <v>6</v>
      </c>
      <c r="C39" s="7">
        <f>(1+g_inf)^(A39-2026)</f>
        <v/>
      </c>
      <c r="D39" s="7">
        <f>SUMPRODUCT($Z$5:$Z$29,$E$5:$E$29*(1+$F$5:$F$29)^(A39-2026)*$G$5:$G$29*$H$5:$H$29*(1-$N$5:$N$29*$O$5:$O$29))*g_salMult+SUMPRODUCT(($B$5:$B$29&gt;=A39)*($B$5:$B$29&lt;A39+1)*$I$5:$I$29)*g_salMult</f>
        <v/>
      </c>
      <c r="E39" s="7">
        <f>SUMPRODUCT($Z$5:$Z$29,$E$5:$E$29*(1+$F$5:$F$29)^(A39-2026)*$G$5:$G$29*$H$5:$H$29*$M$5:$M$29)*g_salMult</f>
        <v/>
      </c>
      <c r="F39" s="7">
        <f>SUMPRODUCT($Z$5:$Z$29,$E$5:$E$29*(1+$F$5:$F$29)^(A39-2026)*$G$5:$G$29*$H$5:$H$29*$N$5:$N$29*$O$5:$O$29)*g_salMult</f>
        <v/>
      </c>
      <c r="G39" s="7">
        <f>SUMPRODUCT($Z$5:$Z$29,$P$5:$P$29*(1+$F$5:$F$29)^(A39-2026))</f>
        <v/>
      </c>
      <c r="H39" s="7">
        <f>SUMPRODUCT($Z$5:$Z$29,$Q$5:$Q$29*(1+$F$5:$F$29)^(A39-2026))+IF(personal_llcActivo=1,personal_llcNeto*(1+personal_llcCrecimiento)^6,0)</f>
        <v/>
      </c>
      <c r="I39" s="7">
        <f>SUMPRODUCT($Z$5:$Z$29,$J$5:$J$29/($C$5:$C$29-$B$5:$B$29+($C$5:$C$29=$B$5:$B$29)))*C39</f>
        <v/>
      </c>
      <c r="J39" s="7">
        <f>SUMPRODUCT($Z$5:$Z$29,$K$5:$K$29)</f>
        <v/>
      </c>
      <c r="K39" s="7">
        <f>SUMPRODUCT($Z$5:$Z$29,$L$5:$L$29)</f>
        <v/>
      </c>
      <c r="L39" s="7">
        <f>SUMPRODUCT($Z$5:$Z$29,$N$5:$N$29)</f>
        <v/>
      </c>
      <c r="M39" s="7">
        <f>IF(SUMPRODUCT($Z$5:$Z$29,$R$5:$R$29)&gt;0,1,0)</f>
        <v/>
      </c>
      <c r="N39" s="7">
        <f>SUMPRODUCT(($AO$5:$AO$24&gt;=A39)*($AO$5:$AO$24&lt;A39+1)*$AP$5:$AP$24)*C39+IF(6=0,IF(sel_loc&lt;&gt;"miami",personal_costoMudanzaInicial,0),0)</f>
        <v/>
      </c>
      <c r="O39" s="7">
        <f>MIN(personal_aporte403bPct*D39,retiro_limite403b*C39)</f>
        <v/>
      </c>
      <c r="P39" s="7">
        <f>MIN(personal_aporte403bPct,personal_match403bPct)*E39</f>
        <v/>
      </c>
      <c r="Q39" s="7">
        <f>IF(G39&gt;0,MAX(0,G39-impuestos_scorpCostoAnual*C39),0)</f>
        <v/>
      </c>
      <c r="R39" s="7">
        <f>Q39*impuestos_scorpSalarioPct/(1+impuestos_ssTasa+impuestos_medicareTasa)</f>
        <v/>
      </c>
      <c r="S39" s="7">
        <f>impuestos_ssTasa*MIN(R39,MAX(0,impuestos_ssTope*C39-D39))+impuestos_medicareTasa*R39</f>
        <v/>
      </c>
      <c r="T39" s="7">
        <f>Q39-R39-S39</f>
        <v/>
      </c>
      <c r="U39" s="7">
        <f>D39+R39</f>
        <v/>
      </c>
      <c r="V39" s="7">
        <f>H39*0.9235</f>
        <v/>
      </c>
      <c r="W39" s="7">
        <f>IF(H39&gt;0,2*impuestos_ssTasa*MIN(V39,MAX(0,impuestos_ssTope*C39-U39))+2*impuestos_medicareTasa*V39,0)</f>
        <v/>
      </c>
      <c r="X39" s="7">
        <f>impuestos_ssTasa*MIN(U39,impuestos_ssTope*C39)+impuestos_medicareTasa*U39+impuestos_medicareAdicional*MAX(0,U39+H39*0.9235-impuestos_medicareUmbral)</f>
        <v/>
      </c>
      <c r="Y39" s="7">
        <f>MAX(0,D39-O39+R39+T39+H39-W39/2)</f>
        <v/>
      </c>
      <c r="Z39" s="7">
        <f>MAX(0,Y39-impuestos_deduccionEstandar*C39)</f>
        <v/>
      </c>
      <c r="AA39" s="7">
        <f>MIN(0.2*MAX(0,T39+H39-W39/2)*MAX(0,MIN(1,1-(Z39-impuestos_qbiUmbral*C39)/(impuestos_qbiRango*C39))),0.2*Z39)</f>
        <v/>
      </c>
      <c r="AB39" s="7">
        <f>MAX(0,Z39-AA39)</f>
        <v/>
      </c>
      <c r="AC39" s="7">
        <f>SUMPRODUCT((AB39&gt;tb_federalBrackets_lo*C39)*(AB39-tb_federalBrackets_lo*C39)*tb_federalBrackets_dr)</f>
        <v/>
      </c>
      <c r="AD39" s="7">
        <f>MAX(0,Y39-impuestos_nyDeduccion*C39)</f>
        <v/>
      </c>
      <c r="AE39" s="7">
        <f>CHOOSE(loc_taxcode,0,impuestos_ohTasa*MAX(0,Y39-impuestos_ohExento*C39)+impuestos_ohMunicipal*U39,SUMPRODUCT((AD39&gt;tb_nyBrackets_lo*C39)*(AD39-tb_nyBrackets_lo*C39)*tb_nyBrackets_dr)+loc_nyc*SUMPRODUCT((AD39&gt;tb_nycBrackets_lo*C39)*(AD39-tb_nycBrackets_lo*C39)*tb_nycBrackets_dr))</f>
        <v/>
      </c>
      <c r="AF39" s="7">
        <f>AC39+AE39+X39+W39</f>
        <v/>
      </c>
      <c r="AG39" s="7">
        <f>D39+F39+R39+T39+H39</f>
        <v/>
      </c>
      <c r="AH39" s="7">
        <f>AG39-AF39-O39</f>
        <v/>
      </c>
      <c r="AI39" s="7">
        <f>D39+F39+G39+H39</f>
        <v/>
      </c>
      <c r="AJ39" s="7">
        <f>loc_gastosVida*C39*g_gastos</f>
        <v/>
      </c>
      <c r="AK39" s="7">
        <f>IF(6=0,personal_liquidoInicial,DR38)</f>
        <v/>
      </c>
      <c r="AL39" s="7">
        <f>IF(6=0,0,BB38)</f>
        <v/>
      </c>
      <c r="AM39" s="7">
        <f>CHOOSE(sel_cfgIdx,loc_precio_duplex,loc_precio_inlaw,loc_precio_dosCasas,loc_precio_casaAdu,loc_precio_multi)</f>
        <v/>
      </c>
      <c r="AN39" s="7">
        <f>AM39*(1+g_appr)^(A39-2026)</f>
        <v/>
      </c>
      <c r="AO39" s="7">
        <f>IF(AND(M39=1,vivienda_prestamoMedico=1),1,0)</f>
        <v/>
      </c>
      <c r="AP39" s="7">
        <f>IF(AO39=1,0.05,vivienda_enganchePct)</f>
        <v/>
      </c>
      <c r="AQ39" s="7">
        <f>AN39*(1-AP39)</f>
        <v/>
      </c>
      <c r="AR39" s="7">
        <f>PMT(g_mortRate/12,vivienda_plazoHipoteca*12,-AQ39)</f>
        <v/>
      </c>
      <c r="AS39" s="7">
        <f>INDEX(cfg_units,sel_cfgIdx)</f>
        <v/>
      </c>
      <c r="AT39" s="7">
        <f>AS39*loc_rentaUnidad*(1+g_inf)^(A39-2026)*(1-vivienda_vacancia)</f>
        <v/>
      </c>
      <c r="AU39" s="7">
        <f>AR39+AN39*loc_impuestoPropPct/12+AM39*loc_seguroPct*(1+vivienda_inflacionSeguro)^(A39-2026)/12+IF(AND(AO39=0,AP39&lt;0.2),AQ39*vivienda_pmiTasa/12,0)</f>
        <v/>
      </c>
      <c r="AV39" s="7">
        <f>AN39*AP39+AN39*vivienda_cierrePct+general_reservaMeses/12*AJ39</f>
        <v/>
      </c>
      <c r="AW39" s="7">
        <f>(IF(6=0,MIN(personal_irsSaldo,personal_irsPagoMensual*12),MIN(CD38,personal_irsPagoMensual*12))+IF(CE39&gt;0,PMT(CF39,MAX(1,prestamos_plazoAnios-CG39),-CE39),0)+IF(CR39&gt;0,PMT(CS39,MAX(1,prestamos_plazoAnios-CT39),-CR39),0))/12</f>
        <v/>
      </c>
      <c r="AX39" s="7">
        <f>IF(OR(sel_cfg="duplex",sel_cfg="multi",sel_cfg="dosCasas"),0.75*personal_aporteFamiliaMensual,0)</f>
        <v/>
      </c>
      <c r="AY39" s="7">
        <f>AU39-0.75*AT39-AX39+AW39</f>
        <v/>
      </c>
      <c r="AZ39" s="7">
        <f>(D39+G39+H39+0.5*F39)/12</f>
        <v/>
      </c>
      <c r="BA39" s="7">
        <f>IF(AND(AL39=0,A39&gt;=vivienda_anioMinCompra,J39&lt;0.5,AI39&gt;0,AK39&gt;=AV39,AY39&lt;=vivienda_dtiMax*AZ39),1,0)</f>
        <v/>
      </c>
      <c r="BB39" s="7">
        <f>MAX(AL39,BA39)</f>
        <v/>
      </c>
      <c r="BC39" s="7">
        <f>IF(BA39=1,A39,IF(6=0,"",BC38))</f>
        <v/>
      </c>
      <c r="BD39" s="7">
        <f>AK39-IF(BA39=1,AN39*AP39+AN39*vivienda_cierrePct,0)</f>
        <v/>
      </c>
      <c r="BE39" s="7">
        <f>IF(BA39=1,AN39,IF(6=0,0,BE38))</f>
        <v/>
      </c>
      <c r="BF39" s="7">
        <f>IF(BA39=1,AR39,IF(6=0,0,BF38))</f>
        <v/>
      </c>
      <c r="BG39" s="7">
        <f>IF(BA39=1,IF(AND(AO39=0,AP39&lt;0.2),1,0),IF(6=0,0,BY38))</f>
        <v/>
      </c>
      <c r="BH39" s="7">
        <f>IF(sel_cfg="casaAdu",1,0)</f>
        <v/>
      </c>
      <c r="BI39" s="7">
        <f>IF(AND(BB39=1,BH39=1,IF(6=0,0,BJ38)=0,A39&gt;=IF(BC39="",9999,BC39)+vivienda_aduRetrasoAnios),1,0)</f>
        <v/>
      </c>
      <c r="BJ39" s="7">
        <f>MAX(IF(6=0,0,BJ38),BI39)</f>
        <v/>
      </c>
      <c r="BK39" s="7">
        <f>IF(BI39=1,PMT((g_mortRate+0.005)/12,180,-loc_precio_aduCosto*C39),IF(6=0,0,BK38))</f>
        <v/>
      </c>
      <c r="BL39" s="7">
        <f>IF(BA39=1,AN39,IF(6=0,0,DT38))+IF(BI39=1,loc_precio_aduCosto*C39,0)</f>
        <v/>
      </c>
      <c r="BM39" s="7">
        <f>IF(BA39=1,AQ39,IF(6=0,0,DU38))</f>
        <v/>
      </c>
      <c r="BN39" s="7">
        <f>IF(BM39&lt;=0,0,FV(g_mortRate/12,12,BF39,-BM39))</f>
        <v/>
      </c>
      <c r="BO39" s="7">
        <f>IF(BM39&lt;=0,0,12*BF39+MIN(0,BN39))</f>
        <v/>
      </c>
      <c r="BP39" s="7">
        <f>MAX(0,BN39)</f>
        <v/>
      </c>
      <c r="BQ39" s="7">
        <f>IF(BI39=1,loc_precio_aduCosto*C39,IF(6=0,0,DV38))</f>
        <v/>
      </c>
      <c r="BR39" s="7">
        <f>IF(BQ39&lt;=0,0,FV((g_mortRate+0.005)/12,12,BK39,-BQ39))</f>
        <v/>
      </c>
      <c r="BS39" s="7">
        <f>IF(BQ39&lt;=0,0,12*BK39+MIN(0,BR39))</f>
        <v/>
      </c>
      <c r="BT39" s="7">
        <f>MAX(0,BR39)</f>
        <v/>
      </c>
      <c r="BU39" s="7">
        <f>IF(BB39=1,AM39*loc_seguroPct*(1+vivienda_inflacionSeguro)^(A39-2026)*IF(BJ39=1,1+loc_precio_aduCosto/AM39,1),0)</f>
        <v/>
      </c>
      <c r="BV39" s="7">
        <f>BL39*loc_impuestoPropPct</f>
        <v/>
      </c>
      <c r="BW39" s="7">
        <f>BL39*vivienda_mantenimientoPct</f>
        <v/>
      </c>
      <c r="BX39" s="7">
        <f>IF(AND(BG39=1,BP39&gt;0.8*BE39),BE39*(1-vivienda_enganchePct)*vivienda_pmiTasa,0)</f>
        <v/>
      </c>
      <c r="BY39" s="7">
        <f>IF(AND(BG39=1,BP39&gt;0.8*BE39),1,0)</f>
        <v/>
      </c>
      <c r="BZ39" s="7">
        <f>IF(BB39=1,AS39*loc_rentaUnidad*12*C39*(1-vivienda_vacancia)*(1-vivienda_gestionPct),0)</f>
        <v/>
      </c>
      <c r="CA39" s="7">
        <f>IF(BB39=1,BO39+BS39+BU39+BV39+BW39+BX39,loc_rentaMensual*12*C39)</f>
        <v/>
      </c>
      <c r="CB39" s="7">
        <f>IF(BB39=1,personal_aporteFamiliaMensual*12,0)</f>
        <v/>
      </c>
      <c r="CC39" s="7">
        <f>MIN(IF(6=0,personal_irsSaldo,CD38),personal_irsPagoMensual*12)</f>
        <v/>
      </c>
      <c r="CD39" s="7">
        <f>IF(6=0,personal_irsSaldo,CD38)-CC39</f>
        <v/>
      </c>
      <c r="CE39" s="7">
        <f>IF(6=0,IF(personal_deudaEsFederal=1,personal_deudaEstudiantil,0),DW38)</f>
        <v/>
      </c>
      <c r="CF39" s="7">
        <f>IF(6=0,personal_tasaDeudaEstudiantil,DX38)</f>
        <v/>
      </c>
      <c r="CG39" s="7">
        <f>IF(6=0,0,DY38)</f>
        <v/>
      </c>
      <c r="CH39" s="7">
        <f>IF(J39&gt;=0.5,1,0)</f>
        <v/>
      </c>
      <c r="CI39" s="7">
        <f>IF(AND(CH39=0,prestamos_pslfActivo=1,K39&gt;=0.5,CE39&gt;0),1,0)</f>
        <v/>
      </c>
      <c r="CJ39" s="7">
        <f>CE39*CF39</f>
        <v/>
      </c>
      <c r="CK39" s="7">
        <f>MAX(prestamos_rapPagoMinimoAnual,IF(Y39&lt;10000,0,MIN(0.1,INT(Y39/10000)/100))*Y39)</f>
        <v/>
      </c>
      <c r="CL39" s="7">
        <f>IF(CE39&lt;=0,0,IF(CH39=1,0,IF(CI39=1,MIN(CE39+CJ39,CK39),PMT(CF39,MAX(1,prestamos_plazoAnios-CG39),-CE39))))</f>
        <v/>
      </c>
      <c r="CM39" s="7">
        <f>IF(CE39&lt;=0,0,IF(CH39=1,CE39+CJ39,IF(CI39=1,MAX(0,CE39-MAX(CL39-CJ39,MIN(600,CL39))),MAX(0,CE39*(1+CF39)-CL39))))</f>
        <v/>
      </c>
      <c r="CN39" s="7">
        <f>IF(6=0,0,CN38)+IF(CI39=1,12*MIN(1,K39),0)</f>
        <v/>
      </c>
      <c r="CO39" s="7">
        <f>IF(AND(CI39=1,CN39&gt;=prestamos_pslfPagos,CM39&gt;0),CM39,0)</f>
        <v/>
      </c>
      <c r="CP39" s="7">
        <f>CM39-CO39</f>
        <v/>
      </c>
      <c r="CQ39" s="7">
        <f>IF(AND(CE39&gt;0,CH39=0,CI39=0),CG39+1,CG39)</f>
        <v/>
      </c>
      <c r="CR39" s="7">
        <f>IF(6=0,IF(personal_deudaEsFederal=1,0,personal_deudaEstudiantil),EA38)</f>
        <v/>
      </c>
      <c r="CS39" s="7">
        <f>IF(6=0,IF(personal_deudaEsFederal=1,prestamos_tasaPrivada,personal_tasaDeudaEstudiantil),EB38)</f>
        <v/>
      </c>
      <c r="CT39" s="7">
        <f>IF(6=0,0,EC38)</f>
        <v/>
      </c>
      <c r="CU39" s="7">
        <f>IF(OR(CR39&lt;=0,CH39=1),0,PMT(CS39,MAX(1,prestamos_plazoAnios-CT39),-CR39))</f>
        <v/>
      </c>
      <c r="CV39" s="7">
        <f>IF(CR39&lt;=0,0,IF(CH39=1,CR39*(1+CS39),MAX(0,CR39*(1+CS39)-CU39)))</f>
        <v/>
      </c>
      <c r="CW39" s="7">
        <f>IF(AND(CR39&gt;0,CH39=0),CT39+1,CT39)</f>
        <v/>
      </c>
      <c r="CX39" s="7">
        <f>IF(6=0,0,ED38)*(1+general_tasaDeudaConsumo)</f>
        <v/>
      </c>
      <c r="CY39" s="7">
        <f>L39*12*tiempos_travelGastoExtraMes*C39</f>
        <v/>
      </c>
      <c r="CZ39" s="7">
        <f>AJ39+CY39+CA39+CC39+CL39+CU39+I39+N39-BZ39-CB39</f>
        <v/>
      </c>
      <c r="DA39" s="7">
        <f>AH39-CZ39</f>
        <v/>
      </c>
      <c r="DB39" s="7">
        <f>IF(6=0,0,DB38)+DA39</f>
        <v/>
      </c>
      <c r="DC39" s="7">
        <f>AN39*vivienda_enganchePct+AN39*vivienda_cierrePct+general_reservaMeses/12*AJ39</f>
        <v/>
      </c>
      <c r="DD39" s="7">
        <f>IF(BB39=1,g_ret,IF(BD39&gt;0,MIN(1,DC39/BD39),1)*g_cash+(1-IF(BD39&gt;0,MIN(1,DC39/BD39),1))*g_ret)</f>
        <v/>
      </c>
      <c r="DE39" s="7">
        <f>IF(DA39&gt;=0,MIN(CX39,DA39),0)</f>
        <v/>
      </c>
      <c r="DF39" s="7">
        <f>IF(DA39&gt;=0,(1-general_tasaAhorro)*(DA39-DE39),0)</f>
        <v/>
      </c>
      <c r="DG39" s="7">
        <f>IF(DA39&gt;=0,DA39-DE39-DF39,0)</f>
        <v/>
      </c>
      <c r="DH39" s="7">
        <f>MIN(personal_rothAnual,DG39)</f>
        <v/>
      </c>
      <c r="DI39" s="7">
        <f>IF(AND(DA39&gt;=0,BB39=1,BP39+BT39&gt;0),MIN(vivienda_prepagoPct*(DG39-DH39),BP39+BT39),0)</f>
        <v/>
      </c>
      <c r="DJ39" s="7">
        <f>MIN(DI39,BP39)</f>
        <v/>
      </c>
      <c r="DK39" s="7">
        <f>IF(DA39&lt;0,MIN(MAX(0,BD39),-DA39),0)</f>
        <v/>
      </c>
      <c r="DL39" s="7">
        <f>IF(DA39&lt;0,-DA39-DK39,0)</f>
        <v/>
      </c>
      <c r="DM39" s="7">
        <f>IF(6=0,0,DZ38)</f>
        <v/>
      </c>
      <c r="DN39" s="7">
        <f>IF(AND(DL39&gt;0,J39&gt;0),MIN(DL39,MIN(prestamos_topeAnualPosgrado*MIN(1,J39),MAX(0,prestamos_topeTotalPosgrado-DM39))),0)</f>
        <v/>
      </c>
      <c r="DO39" s="7">
        <f>IF(AND(DL39&gt;0,J39&gt;0),DL39-DN39,0)</f>
        <v/>
      </c>
      <c r="DP39" s="7">
        <f>IF(AND(DL39&gt;0,J39&lt;=0),DL39,0)</f>
        <v/>
      </c>
      <c r="DQ39" s="7">
        <f>IF(DA39&gt;=0,DG39-DH39-DI39,-DK39)</f>
        <v/>
      </c>
      <c r="DR39" s="7">
        <f>BD39*(1+DD39)+DQ39*(1+DD39/2)</f>
        <v/>
      </c>
      <c r="DS39" s="7">
        <f>IF(6=0,personal_retiroInicial,DS38)*(1+g_ret)+(O39+P39+DH39)*(1+g_ret/2)</f>
        <v/>
      </c>
      <c r="DT39" s="7">
        <f>IF(BB39=1,BL39*(1+g_appr),0)</f>
        <v/>
      </c>
      <c r="DU39" s="7">
        <f>BP39-DJ39</f>
        <v/>
      </c>
      <c r="DV39" s="7">
        <f>BT39-(DI39-DJ39)</f>
        <v/>
      </c>
      <c r="DW39" s="7">
        <f>CP39+DN39</f>
        <v/>
      </c>
      <c r="DX39" s="7">
        <f>IF(DN39&gt;0,(CP39*CF39+DN39*prestamos_tasaFederalPosgrado)/(CP39+DN39),CF39)</f>
        <v/>
      </c>
      <c r="DY39" s="7">
        <f>IF(DN39&gt;0,0,CQ39)</f>
        <v/>
      </c>
      <c r="DZ39" s="7">
        <f>DM39+DN39</f>
        <v/>
      </c>
      <c r="EA39" s="7">
        <f>CV39+DO39</f>
        <v/>
      </c>
      <c r="EB39" s="7">
        <f>IF(DO39&gt;0,(CV39*CS39+DO39*prestamos_tasaPrivada)/(CV39+DO39),CS39)</f>
        <v/>
      </c>
      <c r="EC39" s="7">
        <f>IF(DO39&gt;0,0,CW39)</f>
        <v/>
      </c>
      <c r="ED39" s="7">
        <f>CX39-DE39+DP39</f>
        <v/>
      </c>
      <c r="EE39" s="7">
        <f>IF(IF(6=0,"",EE38)&lt;&gt;"",EE38,IF(AND(BB39=1,DU39&lt;=0.5,DV39&lt;=0.5,OR(BH39=0,BJ39=1)),A39,""))</f>
        <v/>
      </c>
      <c r="EF39" s="7">
        <f>DU39+DV39+DW39+EA39+ED39+CD39</f>
        <v/>
      </c>
      <c r="EG39" s="7">
        <f>DR39+DS39+DT39-EF39</f>
        <v/>
      </c>
      <c r="EH39" s="7">
        <f>EG39/(1+g_inf)^(A39+1-2026)</f>
        <v/>
      </c>
    </row>
    <row r="40">
      <c r="A40" t="n">
        <v>2034</v>
      </c>
      <c r="B40" t="n">
        <v>7</v>
      </c>
      <c r="C40" s="7">
        <f>(1+g_inf)^(A40-2026)</f>
        <v/>
      </c>
      <c r="D40" s="7">
        <f>SUMPRODUCT($AA$5:$AA$29,$E$5:$E$29*(1+$F$5:$F$29)^(A40-2026)*$G$5:$G$29*$H$5:$H$29*(1-$N$5:$N$29*$O$5:$O$29))*g_salMult+SUMPRODUCT(($B$5:$B$29&gt;=A40)*($B$5:$B$29&lt;A40+1)*$I$5:$I$29)*g_salMult</f>
        <v/>
      </c>
      <c r="E40" s="7">
        <f>SUMPRODUCT($AA$5:$AA$29,$E$5:$E$29*(1+$F$5:$F$29)^(A40-2026)*$G$5:$G$29*$H$5:$H$29*$M$5:$M$29)*g_salMult</f>
        <v/>
      </c>
      <c r="F40" s="7">
        <f>SUMPRODUCT($AA$5:$AA$29,$E$5:$E$29*(1+$F$5:$F$29)^(A40-2026)*$G$5:$G$29*$H$5:$H$29*$N$5:$N$29*$O$5:$O$29)*g_salMult</f>
        <v/>
      </c>
      <c r="G40" s="7">
        <f>SUMPRODUCT($AA$5:$AA$29,$P$5:$P$29*(1+$F$5:$F$29)^(A40-2026))</f>
        <v/>
      </c>
      <c r="H40" s="7">
        <f>SUMPRODUCT($AA$5:$AA$29,$Q$5:$Q$29*(1+$F$5:$F$29)^(A40-2026))+IF(personal_llcActivo=1,personal_llcNeto*(1+personal_llcCrecimiento)^7,0)</f>
        <v/>
      </c>
      <c r="I40" s="7">
        <f>SUMPRODUCT($AA$5:$AA$29,$J$5:$J$29/($C$5:$C$29-$B$5:$B$29+($C$5:$C$29=$B$5:$B$29)))*C40</f>
        <v/>
      </c>
      <c r="J40" s="7">
        <f>SUMPRODUCT($AA$5:$AA$29,$K$5:$K$29)</f>
        <v/>
      </c>
      <c r="K40" s="7">
        <f>SUMPRODUCT($AA$5:$AA$29,$L$5:$L$29)</f>
        <v/>
      </c>
      <c r="L40" s="7">
        <f>SUMPRODUCT($AA$5:$AA$29,$N$5:$N$29)</f>
        <v/>
      </c>
      <c r="M40" s="7">
        <f>IF(SUMPRODUCT($AA$5:$AA$29,$R$5:$R$29)&gt;0,1,0)</f>
        <v/>
      </c>
      <c r="N40" s="7">
        <f>SUMPRODUCT(($AO$5:$AO$24&gt;=A40)*($AO$5:$AO$24&lt;A40+1)*$AP$5:$AP$24)*C40+IF(7=0,IF(sel_loc&lt;&gt;"miami",personal_costoMudanzaInicial,0),0)</f>
        <v/>
      </c>
      <c r="O40" s="7">
        <f>MIN(personal_aporte403bPct*D40,retiro_limite403b*C40)</f>
        <v/>
      </c>
      <c r="P40" s="7">
        <f>MIN(personal_aporte403bPct,personal_match403bPct)*E40</f>
        <v/>
      </c>
      <c r="Q40" s="7">
        <f>IF(G40&gt;0,MAX(0,G40-impuestos_scorpCostoAnual*C40),0)</f>
        <v/>
      </c>
      <c r="R40" s="7">
        <f>Q40*impuestos_scorpSalarioPct/(1+impuestos_ssTasa+impuestos_medicareTasa)</f>
        <v/>
      </c>
      <c r="S40" s="7">
        <f>impuestos_ssTasa*MIN(R40,MAX(0,impuestos_ssTope*C40-D40))+impuestos_medicareTasa*R40</f>
        <v/>
      </c>
      <c r="T40" s="7">
        <f>Q40-R40-S40</f>
        <v/>
      </c>
      <c r="U40" s="7">
        <f>D40+R40</f>
        <v/>
      </c>
      <c r="V40" s="7">
        <f>H40*0.9235</f>
        <v/>
      </c>
      <c r="W40" s="7">
        <f>IF(H40&gt;0,2*impuestos_ssTasa*MIN(V40,MAX(0,impuestos_ssTope*C40-U40))+2*impuestos_medicareTasa*V40,0)</f>
        <v/>
      </c>
      <c r="X40" s="7">
        <f>impuestos_ssTasa*MIN(U40,impuestos_ssTope*C40)+impuestos_medicareTasa*U40+impuestos_medicareAdicional*MAX(0,U40+H40*0.9235-impuestos_medicareUmbral)</f>
        <v/>
      </c>
      <c r="Y40" s="7">
        <f>MAX(0,D40-O40+R40+T40+H40-W40/2)</f>
        <v/>
      </c>
      <c r="Z40" s="7">
        <f>MAX(0,Y40-impuestos_deduccionEstandar*C40)</f>
        <v/>
      </c>
      <c r="AA40" s="7">
        <f>MIN(0.2*MAX(0,T40+H40-W40/2)*MAX(0,MIN(1,1-(Z40-impuestos_qbiUmbral*C40)/(impuestos_qbiRango*C40))),0.2*Z40)</f>
        <v/>
      </c>
      <c r="AB40" s="7">
        <f>MAX(0,Z40-AA40)</f>
        <v/>
      </c>
      <c r="AC40" s="7">
        <f>SUMPRODUCT((AB40&gt;tb_federalBrackets_lo*C40)*(AB40-tb_federalBrackets_lo*C40)*tb_federalBrackets_dr)</f>
        <v/>
      </c>
      <c r="AD40" s="7">
        <f>MAX(0,Y40-impuestos_nyDeduccion*C40)</f>
        <v/>
      </c>
      <c r="AE40" s="7">
        <f>CHOOSE(loc_taxcode,0,impuestos_ohTasa*MAX(0,Y40-impuestos_ohExento*C40)+impuestos_ohMunicipal*U40,SUMPRODUCT((AD40&gt;tb_nyBrackets_lo*C40)*(AD40-tb_nyBrackets_lo*C40)*tb_nyBrackets_dr)+loc_nyc*SUMPRODUCT((AD40&gt;tb_nycBrackets_lo*C40)*(AD40-tb_nycBrackets_lo*C40)*tb_nycBrackets_dr))</f>
        <v/>
      </c>
      <c r="AF40" s="7">
        <f>AC40+AE40+X40+W40</f>
        <v/>
      </c>
      <c r="AG40" s="7">
        <f>D40+F40+R40+T40+H40</f>
        <v/>
      </c>
      <c r="AH40" s="7">
        <f>AG40-AF40-O40</f>
        <v/>
      </c>
      <c r="AI40" s="7">
        <f>D40+F40+G40+H40</f>
        <v/>
      </c>
      <c r="AJ40" s="7">
        <f>loc_gastosVida*C40*g_gastos</f>
        <v/>
      </c>
      <c r="AK40" s="7">
        <f>IF(7=0,personal_liquidoInicial,DR39)</f>
        <v/>
      </c>
      <c r="AL40" s="7">
        <f>IF(7=0,0,BB39)</f>
        <v/>
      </c>
      <c r="AM40" s="7">
        <f>CHOOSE(sel_cfgIdx,loc_precio_duplex,loc_precio_inlaw,loc_precio_dosCasas,loc_precio_casaAdu,loc_precio_multi)</f>
        <v/>
      </c>
      <c r="AN40" s="7">
        <f>AM40*(1+g_appr)^(A40-2026)</f>
        <v/>
      </c>
      <c r="AO40" s="7">
        <f>IF(AND(M40=1,vivienda_prestamoMedico=1),1,0)</f>
        <v/>
      </c>
      <c r="AP40" s="7">
        <f>IF(AO40=1,0.05,vivienda_enganchePct)</f>
        <v/>
      </c>
      <c r="AQ40" s="7">
        <f>AN40*(1-AP40)</f>
        <v/>
      </c>
      <c r="AR40" s="7">
        <f>PMT(g_mortRate/12,vivienda_plazoHipoteca*12,-AQ40)</f>
        <v/>
      </c>
      <c r="AS40" s="7">
        <f>INDEX(cfg_units,sel_cfgIdx)</f>
        <v/>
      </c>
      <c r="AT40" s="7">
        <f>AS40*loc_rentaUnidad*(1+g_inf)^(A40-2026)*(1-vivienda_vacancia)</f>
        <v/>
      </c>
      <c r="AU40" s="7">
        <f>AR40+AN40*loc_impuestoPropPct/12+AM40*loc_seguroPct*(1+vivienda_inflacionSeguro)^(A40-2026)/12+IF(AND(AO40=0,AP40&lt;0.2),AQ40*vivienda_pmiTasa/12,0)</f>
        <v/>
      </c>
      <c r="AV40" s="7">
        <f>AN40*AP40+AN40*vivienda_cierrePct+general_reservaMeses/12*AJ40</f>
        <v/>
      </c>
      <c r="AW40" s="7">
        <f>(IF(7=0,MIN(personal_irsSaldo,personal_irsPagoMensual*12),MIN(CD39,personal_irsPagoMensual*12))+IF(CE40&gt;0,PMT(CF40,MAX(1,prestamos_plazoAnios-CG40),-CE40),0)+IF(CR40&gt;0,PMT(CS40,MAX(1,prestamos_plazoAnios-CT40),-CR40),0))/12</f>
        <v/>
      </c>
      <c r="AX40" s="7">
        <f>IF(OR(sel_cfg="duplex",sel_cfg="multi",sel_cfg="dosCasas"),0.75*personal_aporteFamiliaMensual,0)</f>
        <v/>
      </c>
      <c r="AY40" s="7">
        <f>AU40-0.75*AT40-AX40+AW40</f>
        <v/>
      </c>
      <c r="AZ40" s="7">
        <f>(D40+G40+H40+0.5*F40)/12</f>
        <v/>
      </c>
      <c r="BA40" s="7">
        <f>IF(AND(AL40=0,A40&gt;=vivienda_anioMinCompra,J40&lt;0.5,AI40&gt;0,AK40&gt;=AV40,AY40&lt;=vivienda_dtiMax*AZ40),1,0)</f>
        <v/>
      </c>
      <c r="BB40" s="7">
        <f>MAX(AL40,BA40)</f>
        <v/>
      </c>
      <c r="BC40" s="7">
        <f>IF(BA40=1,A40,IF(7=0,"",BC39))</f>
        <v/>
      </c>
      <c r="BD40" s="7">
        <f>AK40-IF(BA40=1,AN40*AP40+AN40*vivienda_cierrePct,0)</f>
        <v/>
      </c>
      <c r="BE40" s="7">
        <f>IF(BA40=1,AN40,IF(7=0,0,BE39))</f>
        <v/>
      </c>
      <c r="BF40" s="7">
        <f>IF(BA40=1,AR40,IF(7=0,0,BF39))</f>
        <v/>
      </c>
      <c r="BG40" s="7">
        <f>IF(BA40=1,IF(AND(AO40=0,AP40&lt;0.2),1,0),IF(7=0,0,BY39))</f>
        <v/>
      </c>
      <c r="BH40" s="7">
        <f>IF(sel_cfg="casaAdu",1,0)</f>
        <v/>
      </c>
      <c r="BI40" s="7">
        <f>IF(AND(BB40=1,BH40=1,IF(7=0,0,BJ39)=0,A40&gt;=IF(BC40="",9999,BC40)+vivienda_aduRetrasoAnios),1,0)</f>
        <v/>
      </c>
      <c r="BJ40" s="7">
        <f>MAX(IF(7=0,0,BJ39),BI40)</f>
        <v/>
      </c>
      <c r="BK40" s="7">
        <f>IF(BI40=1,PMT((g_mortRate+0.005)/12,180,-loc_precio_aduCosto*C40),IF(7=0,0,BK39))</f>
        <v/>
      </c>
      <c r="BL40" s="7">
        <f>IF(BA40=1,AN40,IF(7=0,0,DT39))+IF(BI40=1,loc_precio_aduCosto*C40,0)</f>
        <v/>
      </c>
      <c r="BM40" s="7">
        <f>IF(BA40=1,AQ40,IF(7=0,0,DU39))</f>
        <v/>
      </c>
      <c r="BN40" s="7">
        <f>IF(BM40&lt;=0,0,FV(g_mortRate/12,12,BF40,-BM40))</f>
        <v/>
      </c>
      <c r="BO40" s="7">
        <f>IF(BM40&lt;=0,0,12*BF40+MIN(0,BN40))</f>
        <v/>
      </c>
      <c r="BP40" s="7">
        <f>MAX(0,BN40)</f>
        <v/>
      </c>
      <c r="BQ40" s="7">
        <f>IF(BI40=1,loc_precio_aduCosto*C40,IF(7=0,0,DV39))</f>
        <v/>
      </c>
      <c r="BR40" s="7">
        <f>IF(BQ40&lt;=0,0,FV((g_mortRate+0.005)/12,12,BK40,-BQ40))</f>
        <v/>
      </c>
      <c r="BS40" s="7">
        <f>IF(BQ40&lt;=0,0,12*BK40+MIN(0,BR40))</f>
        <v/>
      </c>
      <c r="BT40" s="7">
        <f>MAX(0,BR40)</f>
        <v/>
      </c>
      <c r="BU40" s="7">
        <f>IF(BB40=1,AM40*loc_seguroPct*(1+vivienda_inflacionSeguro)^(A40-2026)*IF(BJ40=1,1+loc_precio_aduCosto/AM40,1),0)</f>
        <v/>
      </c>
      <c r="BV40" s="7">
        <f>BL40*loc_impuestoPropPct</f>
        <v/>
      </c>
      <c r="BW40" s="7">
        <f>BL40*vivienda_mantenimientoPct</f>
        <v/>
      </c>
      <c r="BX40" s="7">
        <f>IF(AND(BG40=1,BP40&gt;0.8*BE40),BE40*(1-vivienda_enganchePct)*vivienda_pmiTasa,0)</f>
        <v/>
      </c>
      <c r="BY40" s="7">
        <f>IF(AND(BG40=1,BP40&gt;0.8*BE40),1,0)</f>
        <v/>
      </c>
      <c r="BZ40" s="7">
        <f>IF(BB40=1,AS40*loc_rentaUnidad*12*C40*(1-vivienda_vacancia)*(1-vivienda_gestionPct),0)</f>
        <v/>
      </c>
      <c r="CA40" s="7">
        <f>IF(BB40=1,BO40+BS40+BU40+BV40+BW40+BX40,loc_rentaMensual*12*C40)</f>
        <v/>
      </c>
      <c r="CB40" s="7">
        <f>IF(BB40=1,personal_aporteFamiliaMensual*12,0)</f>
        <v/>
      </c>
      <c r="CC40" s="7">
        <f>MIN(IF(7=0,personal_irsSaldo,CD39),personal_irsPagoMensual*12)</f>
        <v/>
      </c>
      <c r="CD40" s="7">
        <f>IF(7=0,personal_irsSaldo,CD39)-CC40</f>
        <v/>
      </c>
      <c r="CE40" s="7">
        <f>IF(7=0,IF(personal_deudaEsFederal=1,personal_deudaEstudiantil,0),DW39)</f>
        <v/>
      </c>
      <c r="CF40" s="7">
        <f>IF(7=0,personal_tasaDeudaEstudiantil,DX39)</f>
        <v/>
      </c>
      <c r="CG40" s="7">
        <f>IF(7=0,0,DY39)</f>
        <v/>
      </c>
      <c r="CH40" s="7">
        <f>IF(J40&gt;=0.5,1,0)</f>
        <v/>
      </c>
      <c r="CI40" s="7">
        <f>IF(AND(CH40=0,prestamos_pslfActivo=1,K40&gt;=0.5,CE40&gt;0),1,0)</f>
        <v/>
      </c>
      <c r="CJ40" s="7">
        <f>CE40*CF40</f>
        <v/>
      </c>
      <c r="CK40" s="7">
        <f>MAX(prestamos_rapPagoMinimoAnual,IF(Y40&lt;10000,0,MIN(0.1,INT(Y40/10000)/100))*Y40)</f>
        <v/>
      </c>
      <c r="CL40" s="7">
        <f>IF(CE40&lt;=0,0,IF(CH40=1,0,IF(CI40=1,MIN(CE40+CJ40,CK40),PMT(CF40,MAX(1,prestamos_plazoAnios-CG40),-CE40))))</f>
        <v/>
      </c>
      <c r="CM40" s="7">
        <f>IF(CE40&lt;=0,0,IF(CH40=1,CE40+CJ40,IF(CI40=1,MAX(0,CE40-MAX(CL40-CJ40,MIN(600,CL40))),MAX(0,CE40*(1+CF40)-CL40))))</f>
        <v/>
      </c>
      <c r="CN40" s="7">
        <f>IF(7=0,0,CN39)+IF(CI40=1,12*MIN(1,K40),0)</f>
        <v/>
      </c>
      <c r="CO40" s="7">
        <f>IF(AND(CI40=1,CN40&gt;=prestamos_pslfPagos,CM40&gt;0),CM40,0)</f>
        <v/>
      </c>
      <c r="CP40" s="7">
        <f>CM40-CO40</f>
        <v/>
      </c>
      <c r="CQ40" s="7">
        <f>IF(AND(CE40&gt;0,CH40=0,CI40=0),CG40+1,CG40)</f>
        <v/>
      </c>
      <c r="CR40" s="7">
        <f>IF(7=0,IF(personal_deudaEsFederal=1,0,personal_deudaEstudiantil),EA39)</f>
        <v/>
      </c>
      <c r="CS40" s="7">
        <f>IF(7=0,IF(personal_deudaEsFederal=1,prestamos_tasaPrivada,personal_tasaDeudaEstudiantil),EB39)</f>
        <v/>
      </c>
      <c r="CT40" s="7">
        <f>IF(7=0,0,EC39)</f>
        <v/>
      </c>
      <c r="CU40" s="7">
        <f>IF(OR(CR40&lt;=0,CH40=1),0,PMT(CS40,MAX(1,prestamos_plazoAnios-CT40),-CR40))</f>
        <v/>
      </c>
      <c r="CV40" s="7">
        <f>IF(CR40&lt;=0,0,IF(CH40=1,CR40*(1+CS40),MAX(0,CR40*(1+CS40)-CU40)))</f>
        <v/>
      </c>
      <c r="CW40" s="7">
        <f>IF(AND(CR40&gt;0,CH40=0),CT40+1,CT40)</f>
        <v/>
      </c>
      <c r="CX40" s="7">
        <f>IF(7=0,0,ED39)*(1+general_tasaDeudaConsumo)</f>
        <v/>
      </c>
      <c r="CY40" s="7">
        <f>L40*12*tiempos_travelGastoExtraMes*C40</f>
        <v/>
      </c>
      <c r="CZ40" s="7">
        <f>AJ40+CY40+CA40+CC40+CL40+CU40+I40+N40-BZ40-CB40</f>
        <v/>
      </c>
      <c r="DA40" s="7">
        <f>AH40-CZ40</f>
        <v/>
      </c>
      <c r="DB40" s="7">
        <f>IF(7=0,0,DB39)+DA40</f>
        <v/>
      </c>
      <c r="DC40" s="7">
        <f>AN40*vivienda_enganchePct+AN40*vivienda_cierrePct+general_reservaMeses/12*AJ40</f>
        <v/>
      </c>
      <c r="DD40" s="7">
        <f>IF(BB40=1,g_ret,IF(BD40&gt;0,MIN(1,DC40/BD40),1)*g_cash+(1-IF(BD40&gt;0,MIN(1,DC40/BD40),1))*g_ret)</f>
        <v/>
      </c>
      <c r="DE40" s="7">
        <f>IF(DA40&gt;=0,MIN(CX40,DA40),0)</f>
        <v/>
      </c>
      <c r="DF40" s="7">
        <f>IF(DA40&gt;=0,(1-general_tasaAhorro)*(DA40-DE40),0)</f>
        <v/>
      </c>
      <c r="DG40" s="7">
        <f>IF(DA40&gt;=0,DA40-DE40-DF40,0)</f>
        <v/>
      </c>
      <c r="DH40" s="7">
        <f>MIN(personal_rothAnual,DG40)</f>
        <v/>
      </c>
      <c r="DI40" s="7">
        <f>IF(AND(DA40&gt;=0,BB40=1,BP40+BT40&gt;0),MIN(vivienda_prepagoPct*(DG40-DH40),BP40+BT40),0)</f>
        <v/>
      </c>
      <c r="DJ40" s="7">
        <f>MIN(DI40,BP40)</f>
        <v/>
      </c>
      <c r="DK40" s="7">
        <f>IF(DA40&lt;0,MIN(MAX(0,BD40),-DA40),0)</f>
        <v/>
      </c>
      <c r="DL40" s="7">
        <f>IF(DA40&lt;0,-DA40-DK40,0)</f>
        <v/>
      </c>
      <c r="DM40" s="7">
        <f>IF(7=0,0,DZ39)</f>
        <v/>
      </c>
      <c r="DN40" s="7">
        <f>IF(AND(DL40&gt;0,J40&gt;0),MIN(DL40,MIN(prestamos_topeAnualPosgrado*MIN(1,J40),MAX(0,prestamos_topeTotalPosgrado-DM40))),0)</f>
        <v/>
      </c>
      <c r="DO40" s="7">
        <f>IF(AND(DL40&gt;0,J40&gt;0),DL40-DN40,0)</f>
        <v/>
      </c>
      <c r="DP40" s="7">
        <f>IF(AND(DL40&gt;0,J40&lt;=0),DL40,0)</f>
        <v/>
      </c>
      <c r="DQ40" s="7">
        <f>IF(DA40&gt;=0,DG40-DH40-DI40,-DK40)</f>
        <v/>
      </c>
      <c r="DR40" s="7">
        <f>BD40*(1+DD40)+DQ40*(1+DD40/2)</f>
        <v/>
      </c>
      <c r="DS40" s="7">
        <f>IF(7=0,personal_retiroInicial,DS39)*(1+g_ret)+(O40+P40+DH40)*(1+g_ret/2)</f>
        <v/>
      </c>
      <c r="DT40" s="7">
        <f>IF(BB40=1,BL40*(1+g_appr),0)</f>
        <v/>
      </c>
      <c r="DU40" s="7">
        <f>BP40-DJ40</f>
        <v/>
      </c>
      <c r="DV40" s="7">
        <f>BT40-(DI40-DJ40)</f>
        <v/>
      </c>
      <c r="DW40" s="7">
        <f>CP40+DN40</f>
        <v/>
      </c>
      <c r="DX40" s="7">
        <f>IF(DN40&gt;0,(CP40*CF40+DN40*prestamos_tasaFederalPosgrado)/(CP40+DN40),CF40)</f>
        <v/>
      </c>
      <c r="DY40" s="7">
        <f>IF(DN40&gt;0,0,CQ40)</f>
        <v/>
      </c>
      <c r="DZ40" s="7">
        <f>DM40+DN40</f>
        <v/>
      </c>
      <c r="EA40" s="7">
        <f>CV40+DO40</f>
        <v/>
      </c>
      <c r="EB40" s="7">
        <f>IF(DO40&gt;0,(CV40*CS40+DO40*prestamos_tasaPrivada)/(CV40+DO40),CS40)</f>
        <v/>
      </c>
      <c r="EC40" s="7">
        <f>IF(DO40&gt;0,0,CW40)</f>
        <v/>
      </c>
      <c r="ED40" s="7">
        <f>CX40-DE40+DP40</f>
        <v/>
      </c>
      <c r="EE40" s="7">
        <f>IF(IF(7=0,"",EE39)&lt;&gt;"",EE39,IF(AND(BB40=1,DU40&lt;=0.5,DV40&lt;=0.5,OR(BH40=0,BJ40=1)),A40,""))</f>
        <v/>
      </c>
      <c r="EF40" s="7">
        <f>DU40+DV40+DW40+EA40+ED40+CD40</f>
        <v/>
      </c>
      <c r="EG40" s="7">
        <f>DR40+DS40+DT40-EF40</f>
        <v/>
      </c>
      <c r="EH40" s="7">
        <f>EG40/(1+g_inf)^(A40+1-2026)</f>
        <v/>
      </c>
    </row>
    <row r="41">
      <c r="A41" t="n">
        <v>2035</v>
      </c>
      <c r="B41" t="n">
        <v>8</v>
      </c>
      <c r="C41" s="7">
        <f>(1+g_inf)^(A41-2026)</f>
        <v/>
      </c>
      <c r="D41" s="7">
        <f>SUMPRODUCT($AB$5:$AB$29,$E$5:$E$29*(1+$F$5:$F$29)^(A41-2026)*$G$5:$G$29*$H$5:$H$29*(1-$N$5:$N$29*$O$5:$O$29))*g_salMult+SUMPRODUCT(($B$5:$B$29&gt;=A41)*($B$5:$B$29&lt;A41+1)*$I$5:$I$29)*g_salMult</f>
        <v/>
      </c>
      <c r="E41" s="7">
        <f>SUMPRODUCT($AB$5:$AB$29,$E$5:$E$29*(1+$F$5:$F$29)^(A41-2026)*$G$5:$G$29*$H$5:$H$29*$M$5:$M$29)*g_salMult</f>
        <v/>
      </c>
      <c r="F41" s="7">
        <f>SUMPRODUCT($AB$5:$AB$29,$E$5:$E$29*(1+$F$5:$F$29)^(A41-2026)*$G$5:$G$29*$H$5:$H$29*$N$5:$N$29*$O$5:$O$29)*g_salMult</f>
        <v/>
      </c>
      <c r="G41" s="7">
        <f>SUMPRODUCT($AB$5:$AB$29,$P$5:$P$29*(1+$F$5:$F$29)^(A41-2026))</f>
        <v/>
      </c>
      <c r="H41" s="7">
        <f>SUMPRODUCT($AB$5:$AB$29,$Q$5:$Q$29*(1+$F$5:$F$29)^(A41-2026))+IF(personal_llcActivo=1,personal_llcNeto*(1+personal_llcCrecimiento)^8,0)</f>
        <v/>
      </c>
      <c r="I41" s="7">
        <f>SUMPRODUCT($AB$5:$AB$29,$J$5:$J$29/($C$5:$C$29-$B$5:$B$29+($C$5:$C$29=$B$5:$B$29)))*C41</f>
        <v/>
      </c>
      <c r="J41" s="7">
        <f>SUMPRODUCT($AB$5:$AB$29,$K$5:$K$29)</f>
        <v/>
      </c>
      <c r="K41" s="7">
        <f>SUMPRODUCT($AB$5:$AB$29,$L$5:$L$29)</f>
        <v/>
      </c>
      <c r="L41" s="7">
        <f>SUMPRODUCT($AB$5:$AB$29,$N$5:$N$29)</f>
        <v/>
      </c>
      <c r="M41" s="7">
        <f>IF(SUMPRODUCT($AB$5:$AB$29,$R$5:$R$29)&gt;0,1,0)</f>
        <v/>
      </c>
      <c r="N41" s="7">
        <f>SUMPRODUCT(($AO$5:$AO$24&gt;=A41)*($AO$5:$AO$24&lt;A41+1)*$AP$5:$AP$24)*C41+IF(8=0,IF(sel_loc&lt;&gt;"miami",personal_costoMudanzaInicial,0),0)</f>
        <v/>
      </c>
      <c r="O41" s="7">
        <f>MIN(personal_aporte403bPct*D41,retiro_limite403b*C41)</f>
        <v/>
      </c>
      <c r="P41" s="7">
        <f>MIN(personal_aporte403bPct,personal_match403bPct)*E41</f>
        <v/>
      </c>
      <c r="Q41" s="7">
        <f>IF(G41&gt;0,MAX(0,G41-impuestos_scorpCostoAnual*C41),0)</f>
        <v/>
      </c>
      <c r="R41" s="7">
        <f>Q41*impuestos_scorpSalarioPct/(1+impuestos_ssTasa+impuestos_medicareTasa)</f>
        <v/>
      </c>
      <c r="S41" s="7">
        <f>impuestos_ssTasa*MIN(R41,MAX(0,impuestos_ssTope*C41-D41))+impuestos_medicareTasa*R41</f>
        <v/>
      </c>
      <c r="T41" s="7">
        <f>Q41-R41-S41</f>
        <v/>
      </c>
      <c r="U41" s="7">
        <f>D41+R41</f>
        <v/>
      </c>
      <c r="V41" s="7">
        <f>H41*0.9235</f>
        <v/>
      </c>
      <c r="W41" s="7">
        <f>IF(H41&gt;0,2*impuestos_ssTasa*MIN(V41,MAX(0,impuestos_ssTope*C41-U41))+2*impuestos_medicareTasa*V41,0)</f>
        <v/>
      </c>
      <c r="X41" s="7">
        <f>impuestos_ssTasa*MIN(U41,impuestos_ssTope*C41)+impuestos_medicareTasa*U41+impuestos_medicareAdicional*MAX(0,U41+H41*0.9235-impuestos_medicareUmbral)</f>
        <v/>
      </c>
      <c r="Y41" s="7">
        <f>MAX(0,D41-O41+R41+T41+H41-W41/2)</f>
        <v/>
      </c>
      <c r="Z41" s="7">
        <f>MAX(0,Y41-impuestos_deduccionEstandar*C41)</f>
        <v/>
      </c>
      <c r="AA41" s="7">
        <f>MIN(0.2*MAX(0,T41+H41-W41/2)*MAX(0,MIN(1,1-(Z41-impuestos_qbiUmbral*C41)/(impuestos_qbiRango*C41))),0.2*Z41)</f>
        <v/>
      </c>
      <c r="AB41" s="7">
        <f>MAX(0,Z41-AA41)</f>
        <v/>
      </c>
      <c r="AC41" s="7">
        <f>SUMPRODUCT((AB41&gt;tb_federalBrackets_lo*C41)*(AB41-tb_federalBrackets_lo*C41)*tb_federalBrackets_dr)</f>
        <v/>
      </c>
      <c r="AD41" s="7">
        <f>MAX(0,Y41-impuestos_nyDeduccion*C41)</f>
        <v/>
      </c>
      <c r="AE41" s="7">
        <f>CHOOSE(loc_taxcode,0,impuestos_ohTasa*MAX(0,Y41-impuestos_ohExento*C41)+impuestos_ohMunicipal*U41,SUMPRODUCT((AD41&gt;tb_nyBrackets_lo*C41)*(AD41-tb_nyBrackets_lo*C41)*tb_nyBrackets_dr)+loc_nyc*SUMPRODUCT((AD41&gt;tb_nycBrackets_lo*C41)*(AD41-tb_nycBrackets_lo*C41)*tb_nycBrackets_dr))</f>
        <v/>
      </c>
      <c r="AF41" s="7">
        <f>AC41+AE41+X41+W41</f>
        <v/>
      </c>
      <c r="AG41" s="7">
        <f>D41+F41+R41+T41+H41</f>
        <v/>
      </c>
      <c r="AH41" s="7">
        <f>AG41-AF41-O41</f>
        <v/>
      </c>
      <c r="AI41" s="7">
        <f>D41+F41+G41+H41</f>
        <v/>
      </c>
      <c r="AJ41" s="7">
        <f>loc_gastosVida*C41*g_gastos</f>
        <v/>
      </c>
      <c r="AK41" s="7">
        <f>IF(8=0,personal_liquidoInicial,DR40)</f>
        <v/>
      </c>
      <c r="AL41" s="7">
        <f>IF(8=0,0,BB40)</f>
        <v/>
      </c>
      <c r="AM41" s="7">
        <f>CHOOSE(sel_cfgIdx,loc_precio_duplex,loc_precio_inlaw,loc_precio_dosCasas,loc_precio_casaAdu,loc_precio_multi)</f>
        <v/>
      </c>
      <c r="AN41" s="7">
        <f>AM41*(1+g_appr)^(A41-2026)</f>
        <v/>
      </c>
      <c r="AO41" s="7">
        <f>IF(AND(M41=1,vivienda_prestamoMedico=1),1,0)</f>
        <v/>
      </c>
      <c r="AP41" s="7">
        <f>IF(AO41=1,0.05,vivienda_enganchePct)</f>
        <v/>
      </c>
      <c r="AQ41" s="7">
        <f>AN41*(1-AP41)</f>
        <v/>
      </c>
      <c r="AR41" s="7">
        <f>PMT(g_mortRate/12,vivienda_plazoHipoteca*12,-AQ41)</f>
        <v/>
      </c>
      <c r="AS41" s="7">
        <f>INDEX(cfg_units,sel_cfgIdx)</f>
        <v/>
      </c>
      <c r="AT41" s="7">
        <f>AS41*loc_rentaUnidad*(1+g_inf)^(A41-2026)*(1-vivienda_vacancia)</f>
        <v/>
      </c>
      <c r="AU41" s="7">
        <f>AR41+AN41*loc_impuestoPropPct/12+AM41*loc_seguroPct*(1+vivienda_inflacionSeguro)^(A41-2026)/12+IF(AND(AO41=0,AP41&lt;0.2),AQ41*vivienda_pmiTasa/12,0)</f>
        <v/>
      </c>
      <c r="AV41" s="7">
        <f>AN41*AP41+AN41*vivienda_cierrePct+general_reservaMeses/12*AJ41</f>
        <v/>
      </c>
      <c r="AW41" s="7">
        <f>(IF(8=0,MIN(personal_irsSaldo,personal_irsPagoMensual*12),MIN(CD40,personal_irsPagoMensual*12))+IF(CE41&gt;0,PMT(CF41,MAX(1,prestamos_plazoAnios-CG41),-CE41),0)+IF(CR41&gt;0,PMT(CS41,MAX(1,prestamos_plazoAnios-CT41),-CR41),0))/12</f>
        <v/>
      </c>
      <c r="AX41" s="7">
        <f>IF(OR(sel_cfg="duplex",sel_cfg="multi",sel_cfg="dosCasas"),0.75*personal_aporteFamiliaMensual,0)</f>
        <v/>
      </c>
      <c r="AY41" s="7">
        <f>AU41-0.75*AT41-AX41+AW41</f>
        <v/>
      </c>
      <c r="AZ41" s="7">
        <f>(D41+G41+H41+0.5*F41)/12</f>
        <v/>
      </c>
      <c r="BA41" s="7">
        <f>IF(AND(AL41=0,A41&gt;=vivienda_anioMinCompra,J41&lt;0.5,AI41&gt;0,AK41&gt;=AV41,AY41&lt;=vivienda_dtiMax*AZ41),1,0)</f>
        <v/>
      </c>
      <c r="BB41" s="7">
        <f>MAX(AL41,BA41)</f>
        <v/>
      </c>
      <c r="BC41" s="7">
        <f>IF(BA41=1,A41,IF(8=0,"",BC40))</f>
        <v/>
      </c>
      <c r="BD41" s="7">
        <f>AK41-IF(BA41=1,AN41*AP41+AN41*vivienda_cierrePct,0)</f>
        <v/>
      </c>
      <c r="BE41" s="7">
        <f>IF(BA41=1,AN41,IF(8=0,0,BE40))</f>
        <v/>
      </c>
      <c r="BF41" s="7">
        <f>IF(BA41=1,AR41,IF(8=0,0,BF40))</f>
        <v/>
      </c>
      <c r="BG41" s="7">
        <f>IF(BA41=1,IF(AND(AO41=0,AP41&lt;0.2),1,0),IF(8=0,0,BY40))</f>
        <v/>
      </c>
      <c r="BH41" s="7">
        <f>IF(sel_cfg="casaAdu",1,0)</f>
        <v/>
      </c>
      <c r="BI41" s="7">
        <f>IF(AND(BB41=1,BH41=1,IF(8=0,0,BJ40)=0,A41&gt;=IF(BC41="",9999,BC41)+vivienda_aduRetrasoAnios),1,0)</f>
        <v/>
      </c>
      <c r="BJ41" s="7">
        <f>MAX(IF(8=0,0,BJ40),BI41)</f>
        <v/>
      </c>
      <c r="BK41" s="7">
        <f>IF(BI41=1,PMT((g_mortRate+0.005)/12,180,-loc_precio_aduCosto*C41),IF(8=0,0,BK40))</f>
        <v/>
      </c>
      <c r="BL41" s="7">
        <f>IF(BA41=1,AN41,IF(8=0,0,DT40))+IF(BI41=1,loc_precio_aduCosto*C41,0)</f>
        <v/>
      </c>
      <c r="BM41" s="7">
        <f>IF(BA41=1,AQ41,IF(8=0,0,DU40))</f>
        <v/>
      </c>
      <c r="BN41" s="7">
        <f>IF(BM41&lt;=0,0,FV(g_mortRate/12,12,BF41,-BM41))</f>
        <v/>
      </c>
      <c r="BO41" s="7">
        <f>IF(BM41&lt;=0,0,12*BF41+MIN(0,BN41))</f>
        <v/>
      </c>
      <c r="BP41" s="7">
        <f>MAX(0,BN41)</f>
        <v/>
      </c>
      <c r="BQ41" s="7">
        <f>IF(BI41=1,loc_precio_aduCosto*C41,IF(8=0,0,DV40))</f>
        <v/>
      </c>
      <c r="BR41" s="7">
        <f>IF(BQ41&lt;=0,0,FV((g_mortRate+0.005)/12,12,BK41,-BQ41))</f>
        <v/>
      </c>
      <c r="BS41" s="7">
        <f>IF(BQ41&lt;=0,0,12*BK41+MIN(0,BR41))</f>
        <v/>
      </c>
      <c r="BT41" s="7">
        <f>MAX(0,BR41)</f>
        <v/>
      </c>
      <c r="BU41" s="7">
        <f>IF(BB41=1,AM41*loc_seguroPct*(1+vivienda_inflacionSeguro)^(A41-2026)*IF(BJ41=1,1+loc_precio_aduCosto/AM41,1),0)</f>
        <v/>
      </c>
      <c r="BV41" s="7">
        <f>BL41*loc_impuestoPropPct</f>
        <v/>
      </c>
      <c r="BW41" s="7">
        <f>BL41*vivienda_mantenimientoPct</f>
        <v/>
      </c>
      <c r="BX41" s="7">
        <f>IF(AND(BG41=1,BP41&gt;0.8*BE41),BE41*(1-vivienda_enganchePct)*vivienda_pmiTasa,0)</f>
        <v/>
      </c>
      <c r="BY41" s="7">
        <f>IF(AND(BG41=1,BP41&gt;0.8*BE41),1,0)</f>
        <v/>
      </c>
      <c r="BZ41" s="7">
        <f>IF(BB41=1,AS41*loc_rentaUnidad*12*C41*(1-vivienda_vacancia)*(1-vivienda_gestionPct),0)</f>
        <v/>
      </c>
      <c r="CA41" s="7">
        <f>IF(BB41=1,BO41+BS41+BU41+BV41+BW41+BX41,loc_rentaMensual*12*C41)</f>
        <v/>
      </c>
      <c r="CB41" s="7">
        <f>IF(BB41=1,personal_aporteFamiliaMensual*12,0)</f>
        <v/>
      </c>
      <c r="CC41" s="7">
        <f>MIN(IF(8=0,personal_irsSaldo,CD40),personal_irsPagoMensual*12)</f>
        <v/>
      </c>
      <c r="CD41" s="7">
        <f>IF(8=0,personal_irsSaldo,CD40)-CC41</f>
        <v/>
      </c>
      <c r="CE41" s="7">
        <f>IF(8=0,IF(personal_deudaEsFederal=1,personal_deudaEstudiantil,0),DW40)</f>
        <v/>
      </c>
      <c r="CF41" s="7">
        <f>IF(8=0,personal_tasaDeudaEstudiantil,DX40)</f>
        <v/>
      </c>
      <c r="CG41" s="7">
        <f>IF(8=0,0,DY40)</f>
        <v/>
      </c>
      <c r="CH41" s="7">
        <f>IF(J41&gt;=0.5,1,0)</f>
        <v/>
      </c>
      <c r="CI41" s="7">
        <f>IF(AND(CH41=0,prestamos_pslfActivo=1,K41&gt;=0.5,CE41&gt;0),1,0)</f>
        <v/>
      </c>
      <c r="CJ41" s="7">
        <f>CE41*CF41</f>
        <v/>
      </c>
      <c r="CK41" s="7">
        <f>MAX(prestamos_rapPagoMinimoAnual,IF(Y41&lt;10000,0,MIN(0.1,INT(Y41/10000)/100))*Y41)</f>
        <v/>
      </c>
      <c r="CL41" s="7">
        <f>IF(CE41&lt;=0,0,IF(CH41=1,0,IF(CI41=1,MIN(CE41+CJ41,CK41),PMT(CF41,MAX(1,prestamos_plazoAnios-CG41),-CE41))))</f>
        <v/>
      </c>
      <c r="CM41" s="7">
        <f>IF(CE41&lt;=0,0,IF(CH41=1,CE41+CJ41,IF(CI41=1,MAX(0,CE41-MAX(CL41-CJ41,MIN(600,CL41))),MAX(0,CE41*(1+CF41)-CL41))))</f>
        <v/>
      </c>
      <c r="CN41" s="7">
        <f>IF(8=0,0,CN40)+IF(CI41=1,12*MIN(1,K41),0)</f>
        <v/>
      </c>
      <c r="CO41" s="7">
        <f>IF(AND(CI41=1,CN41&gt;=prestamos_pslfPagos,CM41&gt;0),CM41,0)</f>
        <v/>
      </c>
      <c r="CP41" s="7">
        <f>CM41-CO41</f>
        <v/>
      </c>
      <c r="CQ41" s="7">
        <f>IF(AND(CE41&gt;0,CH41=0,CI41=0),CG41+1,CG41)</f>
        <v/>
      </c>
      <c r="CR41" s="7">
        <f>IF(8=0,IF(personal_deudaEsFederal=1,0,personal_deudaEstudiantil),EA40)</f>
        <v/>
      </c>
      <c r="CS41" s="7">
        <f>IF(8=0,IF(personal_deudaEsFederal=1,prestamos_tasaPrivada,personal_tasaDeudaEstudiantil),EB40)</f>
        <v/>
      </c>
      <c r="CT41" s="7">
        <f>IF(8=0,0,EC40)</f>
        <v/>
      </c>
      <c r="CU41" s="7">
        <f>IF(OR(CR41&lt;=0,CH41=1),0,PMT(CS41,MAX(1,prestamos_plazoAnios-CT41),-CR41))</f>
        <v/>
      </c>
      <c r="CV41" s="7">
        <f>IF(CR41&lt;=0,0,IF(CH41=1,CR41*(1+CS41),MAX(0,CR41*(1+CS41)-CU41)))</f>
        <v/>
      </c>
      <c r="CW41" s="7">
        <f>IF(AND(CR41&gt;0,CH41=0),CT41+1,CT41)</f>
        <v/>
      </c>
      <c r="CX41" s="7">
        <f>IF(8=0,0,ED40)*(1+general_tasaDeudaConsumo)</f>
        <v/>
      </c>
      <c r="CY41" s="7">
        <f>L41*12*tiempos_travelGastoExtraMes*C41</f>
        <v/>
      </c>
      <c r="CZ41" s="7">
        <f>AJ41+CY41+CA41+CC41+CL41+CU41+I41+N41-BZ41-CB41</f>
        <v/>
      </c>
      <c r="DA41" s="7">
        <f>AH41-CZ41</f>
        <v/>
      </c>
      <c r="DB41" s="7">
        <f>IF(8=0,0,DB40)+DA41</f>
        <v/>
      </c>
      <c r="DC41" s="7">
        <f>AN41*vivienda_enganchePct+AN41*vivienda_cierrePct+general_reservaMeses/12*AJ41</f>
        <v/>
      </c>
      <c r="DD41" s="7">
        <f>IF(BB41=1,g_ret,IF(BD41&gt;0,MIN(1,DC41/BD41),1)*g_cash+(1-IF(BD41&gt;0,MIN(1,DC41/BD41),1))*g_ret)</f>
        <v/>
      </c>
      <c r="DE41" s="7">
        <f>IF(DA41&gt;=0,MIN(CX41,DA41),0)</f>
        <v/>
      </c>
      <c r="DF41" s="7">
        <f>IF(DA41&gt;=0,(1-general_tasaAhorro)*(DA41-DE41),0)</f>
        <v/>
      </c>
      <c r="DG41" s="7">
        <f>IF(DA41&gt;=0,DA41-DE41-DF41,0)</f>
        <v/>
      </c>
      <c r="DH41" s="7">
        <f>MIN(personal_rothAnual,DG41)</f>
        <v/>
      </c>
      <c r="DI41" s="7">
        <f>IF(AND(DA41&gt;=0,BB41=1,BP41+BT41&gt;0),MIN(vivienda_prepagoPct*(DG41-DH41),BP41+BT41),0)</f>
        <v/>
      </c>
      <c r="DJ41" s="7">
        <f>MIN(DI41,BP41)</f>
        <v/>
      </c>
      <c r="DK41" s="7">
        <f>IF(DA41&lt;0,MIN(MAX(0,BD41),-DA41),0)</f>
        <v/>
      </c>
      <c r="DL41" s="7">
        <f>IF(DA41&lt;0,-DA41-DK41,0)</f>
        <v/>
      </c>
      <c r="DM41" s="7">
        <f>IF(8=0,0,DZ40)</f>
        <v/>
      </c>
      <c r="DN41" s="7">
        <f>IF(AND(DL41&gt;0,J41&gt;0),MIN(DL41,MIN(prestamos_topeAnualPosgrado*MIN(1,J41),MAX(0,prestamos_topeTotalPosgrado-DM41))),0)</f>
        <v/>
      </c>
      <c r="DO41" s="7">
        <f>IF(AND(DL41&gt;0,J41&gt;0),DL41-DN41,0)</f>
        <v/>
      </c>
      <c r="DP41" s="7">
        <f>IF(AND(DL41&gt;0,J41&lt;=0),DL41,0)</f>
        <v/>
      </c>
      <c r="DQ41" s="7">
        <f>IF(DA41&gt;=0,DG41-DH41-DI41,-DK41)</f>
        <v/>
      </c>
      <c r="DR41" s="7">
        <f>BD41*(1+DD41)+DQ41*(1+DD41/2)</f>
        <v/>
      </c>
      <c r="DS41" s="7">
        <f>IF(8=0,personal_retiroInicial,DS40)*(1+g_ret)+(O41+P41+DH41)*(1+g_ret/2)</f>
        <v/>
      </c>
      <c r="DT41" s="7">
        <f>IF(BB41=1,BL41*(1+g_appr),0)</f>
        <v/>
      </c>
      <c r="DU41" s="7">
        <f>BP41-DJ41</f>
        <v/>
      </c>
      <c r="DV41" s="7">
        <f>BT41-(DI41-DJ41)</f>
        <v/>
      </c>
      <c r="DW41" s="7">
        <f>CP41+DN41</f>
        <v/>
      </c>
      <c r="DX41" s="7">
        <f>IF(DN41&gt;0,(CP41*CF41+DN41*prestamos_tasaFederalPosgrado)/(CP41+DN41),CF41)</f>
        <v/>
      </c>
      <c r="DY41" s="7">
        <f>IF(DN41&gt;0,0,CQ41)</f>
        <v/>
      </c>
      <c r="DZ41" s="7">
        <f>DM41+DN41</f>
        <v/>
      </c>
      <c r="EA41" s="7">
        <f>CV41+DO41</f>
        <v/>
      </c>
      <c r="EB41" s="7">
        <f>IF(DO41&gt;0,(CV41*CS41+DO41*prestamos_tasaPrivada)/(CV41+DO41),CS41)</f>
        <v/>
      </c>
      <c r="EC41" s="7">
        <f>IF(DO41&gt;0,0,CW41)</f>
        <v/>
      </c>
      <c r="ED41" s="7">
        <f>CX41-DE41+DP41</f>
        <v/>
      </c>
      <c r="EE41" s="7">
        <f>IF(IF(8=0,"",EE40)&lt;&gt;"",EE40,IF(AND(BB41=1,DU41&lt;=0.5,DV41&lt;=0.5,OR(BH41=0,BJ41=1)),A41,""))</f>
        <v/>
      </c>
      <c r="EF41" s="7">
        <f>DU41+DV41+DW41+EA41+ED41+CD41</f>
        <v/>
      </c>
      <c r="EG41" s="7">
        <f>DR41+DS41+DT41-EF41</f>
        <v/>
      </c>
      <c r="EH41" s="7">
        <f>EG41/(1+g_inf)^(A41+1-2026)</f>
        <v/>
      </c>
    </row>
    <row r="42">
      <c r="A42" t="n">
        <v>2036</v>
      </c>
      <c r="B42" t="n">
        <v>9</v>
      </c>
      <c r="C42" s="7">
        <f>(1+g_inf)^(A42-2026)</f>
        <v/>
      </c>
      <c r="D42" s="7">
        <f>SUMPRODUCT($AC$5:$AC$29,$E$5:$E$29*(1+$F$5:$F$29)^(A42-2026)*$G$5:$G$29*$H$5:$H$29*(1-$N$5:$N$29*$O$5:$O$29))*g_salMult+SUMPRODUCT(($B$5:$B$29&gt;=A42)*($B$5:$B$29&lt;A42+1)*$I$5:$I$29)*g_salMult</f>
        <v/>
      </c>
      <c r="E42" s="7">
        <f>SUMPRODUCT($AC$5:$AC$29,$E$5:$E$29*(1+$F$5:$F$29)^(A42-2026)*$G$5:$G$29*$H$5:$H$29*$M$5:$M$29)*g_salMult</f>
        <v/>
      </c>
      <c r="F42" s="7">
        <f>SUMPRODUCT($AC$5:$AC$29,$E$5:$E$29*(1+$F$5:$F$29)^(A42-2026)*$G$5:$G$29*$H$5:$H$29*$N$5:$N$29*$O$5:$O$29)*g_salMult</f>
        <v/>
      </c>
      <c r="G42" s="7">
        <f>SUMPRODUCT($AC$5:$AC$29,$P$5:$P$29*(1+$F$5:$F$29)^(A42-2026))</f>
        <v/>
      </c>
      <c r="H42" s="7">
        <f>SUMPRODUCT($AC$5:$AC$29,$Q$5:$Q$29*(1+$F$5:$F$29)^(A42-2026))+IF(personal_llcActivo=1,personal_llcNeto*(1+personal_llcCrecimiento)^9,0)</f>
        <v/>
      </c>
      <c r="I42" s="7">
        <f>SUMPRODUCT($AC$5:$AC$29,$J$5:$J$29/($C$5:$C$29-$B$5:$B$29+($C$5:$C$29=$B$5:$B$29)))*C42</f>
        <v/>
      </c>
      <c r="J42" s="7">
        <f>SUMPRODUCT($AC$5:$AC$29,$K$5:$K$29)</f>
        <v/>
      </c>
      <c r="K42" s="7">
        <f>SUMPRODUCT($AC$5:$AC$29,$L$5:$L$29)</f>
        <v/>
      </c>
      <c r="L42" s="7">
        <f>SUMPRODUCT($AC$5:$AC$29,$N$5:$N$29)</f>
        <v/>
      </c>
      <c r="M42" s="7">
        <f>IF(SUMPRODUCT($AC$5:$AC$29,$R$5:$R$29)&gt;0,1,0)</f>
        <v/>
      </c>
      <c r="N42" s="7">
        <f>SUMPRODUCT(($AO$5:$AO$24&gt;=A42)*($AO$5:$AO$24&lt;A42+1)*$AP$5:$AP$24)*C42+IF(9=0,IF(sel_loc&lt;&gt;"miami",personal_costoMudanzaInicial,0),0)</f>
        <v/>
      </c>
      <c r="O42" s="7">
        <f>MIN(personal_aporte403bPct*D42,retiro_limite403b*C42)</f>
        <v/>
      </c>
      <c r="P42" s="7">
        <f>MIN(personal_aporte403bPct,personal_match403bPct)*E42</f>
        <v/>
      </c>
      <c r="Q42" s="7">
        <f>IF(G42&gt;0,MAX(0,G42-impuestos_scorpCostoAnual*C42),0)</f>
        <v/>
      </c>
      <c r="R42" s="7">
        <f>Q42*impuestos_scorpSalarioPct/(1+impuestos_ssTasa+impuestos_medicareTasa)</f>
        <v/>
      </c>
      <c r="S42" s="7">
        <f>impuestos_ssTasa*MIN(R42,MAX(0,impuestos_ssTope*C42-D42))+impuestos_medicareTasa*R42</f>
        <v/>
      </c>
      <c r="T42" s="7">
        <f>Q42-R42-S42</f>
        <v/>
      </c>
      <c r="U42" s="7">
        <f>D42+R42</f>
        <v/>
      </c>
      <c r="V42" s="7">
        <f>H42*0.9235</f>
        <v/>
      </c>
      <c r="W42" s="7">
        <f>IF(H42&gt;0,2*impuestos_ssTasa*MIN(V42,MAX(0,impuestos_ssTope*C42-U42))+2*impuestos_medicareTasa*V42,0)</f>
        <v/>
      </c>
      <c r="X42" s="7">
        <f>impuestos_ssTasa*MIN(U42,impuestos_ssTope*C42)+impuestos_medicareTasa*U42+impuestos_medicareAdicional*MAX(0,U42+H42*0.9235-impuestos_medicareUmbral)</f>
        <v/>
      </c>
      <c r="Y42" s="7">
        <f>MAX(0,D42-O42+R42+T42+H42-W42/2)</f>
        <v/>
      </c>
      <c r="Z42" s="7">
        <f>MAX(0,Y42-impuestos_deduccionEstandar*C42)</f>
        <v/>
      </c>
      <c r="AA42" s="7">
        <f>MIN(0.2*MAX(0,T42+H42-W42/2)*MAX(0,MIN(1,1-(Z42-impuestos_qbiUmbral*C42)/(impuestos_qbiRango*C42))),0.2*Z42)</f>
        <v/>
      </c>
      <c r="AB42" s="7">
        <f>MAX(0,Z42-AA42)</f>
        <v/>
      </c>
      <c r="AC42" s="7">
        <f>SUMPRODUCT((AB42&gt;tb_federalBrackets_lo*C42)*(AB42-tb_federalBrackets_lo*C42)*tb_federalBrackets_dr)</f>
        <v/>
      </c>
      <c r="AD42" s="7">
        <f>MAX(0,Y42-impuestos_nyDeduccion*C42)</f>
        <v/>
      </c>
      <c r="AE42" s="7">
        <f>CHOOSE(loc_taxcode,0,impuestos_ohTasa*MAX(0,Y42-impuestos_ohExento*C42)+impuestos_ohMunicipal*U42,SUMPRODUCT((AD42&gt;tb_nyBrackets_lo*C42)*(AD42-tb_nyBrackets_lo*C42)*tb_nyBrackets_dr)+loc_nyc*SUMPRODUCT((AD42&gt;tb_nycBrackets_lo*C42)*(AD42-tb_nycBrackets_lo*C42)*tb_nycBrackets_dr))</f>
        <v/>
      </c>
      <c r="AF42" s="7">
        <f>AC42+AE42+X42+W42</f>
        <v/>
      </c>
      <c r="AG42" s="7">
        <f>D42+F42+R42+T42+H42</f>
        <v/>
      </c>
      <c r="AH42" s="7">
        <f>AG42-AF42-O42</f>
        <v/>
      </c>
      <c r="AI42" s="7">
        <f>D42+F42+G42+H42</f>
        <v/>
      </c>
      <c r="AJ42" s="7">
        <f>loc_gastosVida*C42*g_gastos</f>
        <v/>
      </c>
      <c r="AK42" s="7">
        <f>IF(9=0,personal_liquidoInicial,DR41)</f>
        <v/>
      </c>
      <c r="AL42" s="7">
        <f>IF(9=0,0,BB41)</f>
        <v/>
      </c>
      <c r="AM42" s="7">
        <f>CHOOSE(sel_cfgIdx,loc_precio_duplex,loc_precio_inlaw,loc_precio_dosCasas,loc_precio_casaAdu,loc_precio_multi)</f>
        <v/>
      </c>
      <c r="AN42" s="7">
        <f>AM42*(1+g_appr)^(A42-2026)</f>
        <v/>
      </c>
      <c r="AO42" s="7">
        <f>IF(AND(M42=1,vivienda_prestamoMedico=1),1,0)</f>
        <v/>
      </c>
      <c r="AP42" s="7">
        <f>IF(AO42=1,0.05,vivienda_enganchePct)</f>
        <v/>
      </c>
      <c r="AQ42" s="7">
        <f>AN42*(1-AP42)</f>
        <v/>
      </c>
      <c r="AR42" s="7">
        <f>PMT(g_mortRate/12,vivienda_plazoHipoteca*12,-AQ42)</f>
        <v/>
      </c>
      <c r="AS42" s="7">
        <f>INDEX(cfg_units,sel_cfgIdx)</f>
        <v/>
      </c>
      <c r="AT42" s="7">
        <f>AS42*loc_rentaUnidad*(1+g_inf)^(A42-2026)*(1-vivienda_vacancia)</f>
        <v/>
      </c>
      <c r="AU42" s="7">
        <f>AR42+AN42*loc_impuestoPropPct/12+AM42*loc_seguroPct*(1+vivienda_inflacionSeguro)^(A42-2026)/12+IF(AND(AO42=0,AP42&lt;0.2),AQ42*vivienda_pmiTasa/12,0)</f>
        <v/>
      </c>
      <c r="AV42" s="7">
        <f>AN42*AP42+AN42*vivienda_cierrePct+general_reservaMeses/12*AJ42</f>
        <v/>
      </c>
      <c r="AW42" s="7">
        <f>(IF(9=0,MIN(personal_irsSaldo,personal_irsPagoMensual*12),MIN(CD41,personal_irsPagoMensual*12))+IF(CE42&gt;0,PMT(CF42,MAX(1,prestamos_plazoAnios-CG42),-CE42),0)+IF(CR42&gt;0,PMT(CS42,MAX(1,prestamos_plazoAnios-CT42),-CR42),0))/12</f>
        <v/>
      </c>
      <c r="AX42" s="7">
        <f>IF(OR(sel_cfg="duplex",sel_cfg="multi",sel_cfg="dosCasas"),0.75*personal_aporteFamiliaMensual,0)</f>
        <v/>
      </c>
      <c r="AY42" s="7">
        <f>AU42-0.75*AT42-AX42+AW42</f>
        <v/>
      </c>
      <c r="AZ42" s="7">
        <f>(D42+G42+H42+0.5*F42)/12</f>
        <v/>
      </c>
      <c r="BA42" s="7">
        <f>IF(AND(AL42=0,A42&gt;=vivienda_anioMinCompra,J42&lt;0.5,AI42&gt;0,AK42&gt;=AV42,AY42&lt;=vivienda_dtiMax*AZ42),1,0)</f>
        <v/>
      </c>
      <c r="BB42" s="7">
        <f>MAX(AL42,BA42)</f>
        <v/>
      </c>
      <c r="BC42" s="7">
        <f>IF(BA42=1,A42,IF(9=0,"",BC41))</f>
        <v/>
      </c>
      <c r="BD42" s="7">
        <f>AK42-IF(BA42=1,AN42*AP42+AN42*vivienda_cierrePct,0)</f>
        <v/>
      </c>
      <c r="BE42" s="7">
        <f>IF(BA42=1,AN42,IF(9=0,0,BE41))</f>
        <v/>
      </c>
      <c r="BF42" s="7">
        <f>IF(BA42=1,AR42,IF(9=0,0,BF41))</f>
        <v/>
      </c>
      <c r="BG42" s="7">
        <f>IF(BA42=1,IF(AND(AO42=0,AP42&lt;0.2),1,0),IF(9=0,0,BY41))</f>
        <v/>
      </c>
      <c r="BH42" s="7">
        <f>IF(sel_cfg="casaAdu",1,0)</f>
        <v/>
      </c>
      <c r="BI42" s="7">
        <f>IF(AND(BB42=1,BH42=1,IF(9=0,0,BJ41)=0,A42&gt;=IF(BC42="",9999,BC42)+vivienda_aduRetrasoAnios),1,0)</f>
        <v/>
      </c>
      <c r="BJ42" s="7">
        <f>MAX(IF(9=0,0,BJ41),BI42)</f>
        <v/>
      </c>
      <c r="BK42" s="7">
        <f>IF(BI42=1,PMT((g_mortRate+0.005)/12,180,-loc_precio_aduCosto*C42),IF(9=0,0,BK41))</f>
        <v/>
      </c>
      <c r="BL42" s="7">
        <f>IF(BA42=1,AN42,IF(9=0,0,DT41))+IF(BI42=1,loc_precio_aduCosto*C42,0)</f>
        <v/>
      </c>
      <c r="BM42" s="7">
        <f>IF(BA42=1,AQ42,IF(9=0,0,DU41))</f>
        <v/>
      </c>
      <c r="BN42" s="7">
        <f>IF(BM42&lt;=0,0,FV(g_mortRate/12,12,BF42,-BM42))</f>
        <v/>
      </c>
      <c r="BO42" s="7">
        <f>IF(BM42&lt;=0,0,12*BF42+MIN(0,BN42))</f>
        <v/>
      </c>
      <c r="BP42" s="7">
        <f>MAX(0,BN42)</f>
        <v/>
      </c>
      <c r="BQ42" s="7">
        <f>IF(BI42=1,loc_precio_aduCosto*C42,IF(9=0,0,DV41))</f>
        <v/>
      </c>
      <c r="BR42" s="7">
        <f>IF(BQ42&lt;=0,0,FV((g_mortRate+0.005)/12,12,BK42,-BQ42))</f>
        <v/>
      </c>
      <c r="BS42" s="7">
        <f>IF(BQ42&lt;=0,0,12*BK42+MIN(0,BR42))</f>
        <v/>
      </c>
      <c r="BT42" s="7">
        <f>MAX(0,BR42)</f>
        <v/>
      </c>
      <c r="BU42" s="7">
        <f>IF(BB42=1,AM42*loc_seguroPct*(1+vivienda_inflacionSeguro)^(A42-2026)*IF(BJ42=1,1+loc_precio_aduCosto/AM42,1),0)</f>
        <v/>
      </c>
      <c r="BV42" s="7">
        <f>BL42*loc_impuestoPropPct</f>
        <v/>
      </c>
      <c r="BW42" s="7">
        <f>BL42*vivienda_mantenimientoPct</f>
        <v/>
      </c>
      <c r="BX42" s="7">
        <f>IF(AND(BG42=1,BP42&gt;0.8*BE42),BE42*(1-vivienda_enganchePct)*vivienda_pmiTasa,0)</f>
        <v/>
      </c>
      <c r="BY42" s="7">
        <f>IF(AND(BG42=1,BP42&gt;0.8*BE42),1,0)</f>
        <v/>
      </c>
      <c r="BZ42" s="7">
        <f>IF(BB42=1,AS42*loc_rentaUnidad*12*C42*(1-vivienda_vacancia)*(1-vivienda_gestionPct),0)</f>
        <v/>
      </c>
      <c r="CA42" s="7">
        <f>IF(BB42=1,BO42+BS42+BU42+BV42+BW42+BX42,loc_rentaMensual*12*C42)</f>
        <v/>
      </c>
      <c r="CB42" s="7">
        <f>IF(BB42=1,personal_aporteFamiliaMensual*12,0)</f>
        <v/>
      </c>
      <c r="CC42" s="7">
        <f>MIN(IF(9=0,personal_irsSaldo,CD41),personal_irsPagoMensual*12)</f>
        <v/>
      </c>
      <c r="CD42" s="7">
        <f>IF(9=0,personal_irsSaldo,CD41)-CC42</f>
        <v/>
      </c>
      <c r="CE42" s="7">
        <f>IF(9=0,IF(personal_deudaEsFederal=1,personal_deudaEstudiantil,0),DW41)</f>
        <v/>
      </c>
      <c r="CF42" s="7">
        <f>IF(9=0,personal_tasaDeudaEstudiantil,DX41)</f>
        <v/>
      </c>
      <c r="CG42" s="7">
        <f>IF(9=0,0,DY41)</f>
        <v/>
      </c>
      <c r="CH42" s="7">
        <f>IF(J42&gt;=0.5,1,0)</f>
        <v/>
      </c>
      <c r="CI42" s="7">
        <f>IF(AND(CH42=0,prestamos_pslfActivo=1,K42&gt;=0.5,CE42&gt;0),1,0)</f>
        <v/>
      </c>
      <c r="CJ42" s="7">
        <f>CE42*CF42</f>
        <v/>
      </c>
      <c r="CK42" s="7">
        <f>MAX(prestamos_rapPagoMinimoAnual,IF(Y42&lt;10000,0,MIN(0.1,INT(Y42/10000)/100))*Y42)</f>
        <v/>
      </c>
      <c r="CL42" s="7">
        <f>IF(CE42&lt;=0,0,IF(CH42=1,0,IF(CI42=1,MIN(CE42+CJ42,CK42),PMT(CF42,MAX(1,prestamos_plazoAnios-CG42),-CE42))))</f>
        <v/>
      </c>
      <c r="CM42" s="7">
        <f>IF(CE42&lt;=0,0,IF(CH42=1,CE42+CJ42,IF(CI42=1,MAX(0,CE42-MAX(CL42-CJ42,MIN(600,CL42))),MAX(0,CE42*(1+CF42)-CL42))))</f>
        <v/>
      </c>
      <c r="CN42" s="7">
        <f>IF(9=0,0,CN41)+IF(CI42=1,12*MIN(1,K42),0)</f>
        <v/>
      </c>
      <c r="CO42" s="7">
        <f>IF(AND(CI42=1,CN42&gt;=prestamos_pslfPagos,CM42&gt;0),CM42,0)</f>
        <v/>
      </c>
      <c r="CP42" s="7">
        <f>CM42-CO42</f>
        <v/>
      </c>
      <c r="CQ42" s="7">
        <f>IF(AND(CE42&gt;0,CH42=0,CI42=0),CG42+1,CG42)</f>
        <v/>
      </c>
      <c r="CR42" s="7">
        <f>IF(9=0,IF(personal_deudaEsFederal=1,0,personal_deudaEstudiantil),EA41)</f>
        <v/>
      </c>
      <c r="CS42" s="7">
        <f>IF(9=0,IF(personal_deudaEsFederal=1,prestamos_tasaPrivada,personal_tasaDeudaEstudiantil),EB41)</f>
        <v/>
      </c>
      <c r="CT42" s="7">
        <f>IF(9=0,0,EC41)</f>
        <v/>
      </c>
      <c r="CU42" s="7">
        <f>IF(OR(CR42&lt;=0,CH42=1),0,PMT(CS42,MAX(1,prestamos_plazoAnios-CT42),-CR42))</f>
        <v/>
      </c>
      <c r="CV42" s="7">
        <f>IF(CR42&lt;=0,0,IF(CH42=1,CR42*(1+CS42),MAX(0,CR42*(1+CS42)-CU42)))</f>
        <v/>
      </c>
      <c r="CW42" s="7">
        <f>IF(AND(CR42&gt;0,CH42=0),CT42+1,CT42)</f>
        <v/>
      </c>
      <c r="CX42" s="7">
        <f>IF(9=0,0,ED41)*(1+general_tasaDeudaConsumo)</f>
        <v/>
      </c>
      <c r="CY42" s="7">
        <f>L42*12*tiempos_travelGastoExtraMes*C42</f>
        <v/>
      </c>
      <c r="CZ42" s="7">
        <f>AJ42+CY42+CA42+CC42+CL42+CU42+I42+N42-BZ42-CB42</f>
        <v/>
      </c>
      <c r="DA42" s="7">
        <f>AH42-CZ42</f>
        <v/>
      </c>
      <c r="DB42" s="7">
        <f>IF(9=0,0,DB41)+DA42</f>
        <v/>
      </c>
      <c r="DC42" s="7">
        <f>AN42*vivienda_enganchePct+AN42*vivienda_cierrePct+general_reservaMeses/12*AJ42</f>
        <v/>
      </c>
      <c r="DD42" s="7">
        <f>IF(BB42=1,g_ret,IF(BD42&gt;0,MIN(1,DC42/BD42),1)*g_cash+(1-IF(BD42&gt;0,MIN(1,DC42/BD42),1))*g_ret)</f>
        <v/>
      </c>
      <c r="DE42" s="7">
        <f>IF(DA42&gt;=0,MIN(CX42,DA42),0)</f>
        <v/>
      </c>
      <c r="DF42" s="7">
        <f>IF(DA42&gt;=0,(1-general_tasaAhorro)*(DA42-DE42),0)</f>
        <v/>
      </c>
      <c r="DG42" s="7">
        <f>IF(DA42&gt;=0,DA42-DE42-DF42,0)</f>
        <v/>
      </c>
      <c r="DH42" s="7">
        <f>MIN(personal_rothAnual,DG42)</f>
        <v/>
      </c>
      <c r="DI42" s="7">
        <f>IF(AND(DA42&gt;=0,BB42=1,BP42+BT42&gt;0),MIN(vivienda_prepagoPct*(DG42-DH42),BP42+BT42),0)</f>
        <v/>
      </c>
      <c r="DJ42" s="7">
        <f>MIN(DI42,BP42)</f>
        <v/>
      </c>
      <c r="DK42" s="7">
        <f>IF(DA42&lt;0,MIN(MAX(0,BD42),-DA42),0)</f>
        <v/>
      </c>
      <c r="DL42" s="7">
        <f>IF(DA42&lt;0,-DA42-DK42,0)</f>
        <v/>
      </c>
      <c r="DM42" s="7">
        <f>IF(9=0,0,DZ41)</f>
        <v/>
      </c>
      <c r="DN42" s="7">
        <f>IF(AND(DL42&gt;0,J42&gt;0),MIN(DL42,MIN(prestamos_topeAnualPosgrado*MIN(1,J42),MAX(0,prestamos_topeTotalPosgrado-DM42))),0)</f>
        <v/>
      </c>
      <c r="DO42" s="7">
        <f>IF(AND(DL42&gt;0,J42&gt;0),DL42-DN42,0)</f>
        <v/>
      </c>
      <c r="DP42" s="7">
        <f>IF(AND(DL42&gt;0,J42&lt;=0),DL42,0)</f>
        <v/>
      </c>
      <c r="DQ42" s="7">
        <f>IF(DA42&gt;=0,DG42-DH42-DI42,-DK42)</f>
        <v/>
      </c>
      <c r="DR42" s="7">
        <f>BD42*(1+DD42)+DQ42*(1+DD42/2)</f>
        <v/>
      </c>
      <c r="DS42" s="7">
        <f>IF(9=0,personal_retiroInicial,DS41)*(1+g_ret)+(O42+P42+DH42)*(1+g_ret/2)</f>
        <v/>
      </c>
      <c r="DT42" s="7">
        <f>IF(BB42=1,BL42*(1+g_appr),0)</f>
        <v/>
      </c>
      <c r="DU42" s="7">
        <f>BP42-DJ42</f>
        <v/>
      </c>
      <c r="DV42" s="7">
        <f>BT42-(DI42-DJ42)</f>
        <v/>
      </c>
      <c r="DW42" s="7">
        <f>CP42+DN42</f>
        <v/>
      </c>
      <c r="DX42" s="7">
        <f>IF(DN42&gt;0,(CP42*CF42+DN42*prestamos_tasaFederalPosgrado)/(CP42+DN42),CF42)</f>
        <v/>
      </c>
      <c r="DY42" s="7">
        <f>IF(DN42&gt;0,0,CQ42)</f>
        <v/>
      </c>
      <c r="DZ42" s="7">
        <f>DM42+DN42</f>
        <v/>
      </c>
      <c r="EA42" s="7">
        <f>CV42+DO42</f>
        <v/>
      </c>
      <c r="EB42" s="7">
        <f>IF(DO42&gt;0,(CV42*CS42+DO42*prestamos_tasaPrivada)/(CV42+DO42),CS42)</f>
        <v/>
      </c>
      <c r="EC42" s="7">
        <f>IF(DO42&gt;0,0,CW42)</f>
        <v/>
      </c>
      <c r="ED42" s="7">
        <f>CX42-DE42+DP42</f>
        <v/>
      </c>
      <c r="EE42" s="7">
        <f>IF(IF(9=0,"",EE41)&lt;&gt;"",EE41,IF(AND(BB42=1,DU42&lt;=0.5,DV42&lt;=0.5,OR(BH42=0,BJ42=1)),A42,""))</f>
        <v/>
      </c>
      <c r="EF42" s="7">
        <f>DU42+DV42+DW42+EA42+ED42+CD42</f>
        <v/>
      </c>
      <c r="EG42" s="7">
        <f>DR42+DS42+DT42-EF42</f>
        <v/>
      </c>
      <c r="EH42" s="7">
        <f>EG42/(1+g_inf)^(A42+1-2026)</f>
        <v/>
      </c>
    </row>
    <row r="43">
      <c r="A43" t="n">
        <v>2037</v>
      </c>
      <c r="B43" t="n">
        <v>10</v>
      </c>
      <c r="C43" s="7">
        <f>(1+g_inf)^(A43-2026)</f>
        <v/>
      </c>
      <c r="D43" s="7">
        <f>SUMPRODUCT($AD$5:$AD$29,$E$5:$E$29*(1+$F$5:$F$29)^(A43-2026)*$G$5:$G$29*$H$5:$H$29*(1-$N$5:$N$29*$O$5:$O$29))*g_salMult+SUMPRODUCT(($B$5:$B$29&gt;=A43)*($B$5:$B$29&lt;A43+1)*$I$5:$I$29)*g_salMult</f>
        <v/>
      </c>
      <c r="E43" s="7">
        <f>SUMPRODUCT($AD$5:$AD$29,$E$5:$E$29*(1+$F$5:$F$29)^(A43-2026)*$G$5:$G$29*$H$5:$H$29*$M$5:$M$29)*g_salMult</f>
        <v/>
      </c>
      <c r="F43" s="7">
        <f>SUMPRODUCT($AD$5:$AD$29,$E$5:$E$29*(1+$F$5:$F$29)^(A43-2026)*$G$5:$G$29*$H$5:$H$29*$N$5:$N$29*$O$5:$O$29)*g_salMult</f>
        <v/>
      </c>
      <c r="G43" s="7">
        <f>SUMPRODUCT($AD$5:$AD$29,$P$5:$P$29*(1+$F$5:$F$29)^(A43-2026))</f>
        <v/>
      </c>
      <c r="H43" s="7">
        <f>SUMPRODUCT($AD$5:$AD$29,$Q$5:$Q$29*(1+$F$5:$F$29)^(A43-2026))+IF(personal_llcActivo=1,personal_llcNeto*(1+personal_llcCrecimiento)^10,0)</f>
        <v/>
      </c>
      <c r="I43" s="7">
        <f>SUMPRODUCT($AD$5:$AD$29,$J$5:$J$29/($C$5:$C$29-$B$5:$B$29+($C$5:$C$29=$B$5:$B$29)))*C43</f>
        <v/>
      </c>
      <c r="J43" s="7">
        <f>SUMPRODUCT($AD$5:$AD$29,$K$5:$K$29)</f>
        <v/>
      </c>
      <c r="K43" s="7">
        <f>SUMPRODUCT($AD$5:$AD$29,$L$5:$L$29)</f>
        <v/>
      </c>
      <c r="L43" s="7">
        <f>SUMPRODUCT($AD$5:$AD$29,$N$5:$N$29)</f>
        <v/>
      </c>
      <c r="M43" s="7">
        <f>IF(SUMPRODUCT($AD$5:$AD$29,$R$5:$R$29)&gt;0,1,0)</f>
        <v/>
      </c>
      <c r="N43" s="7">
        <f>SUMPRODUCT(($AO$5:$AO$24&gt;=A43)*($AO$5:$AO$24&lt;A43+1)*$AP$5:$AP$24)*C43+IF(10=0,IF(sel_loc&lt;&gt;"miami",personal_costoMudanzaInicial,0),0)</f>
        <v/>
      </c>
      <c r="O43" s="7">
        <f>MIN(personal_aporte403bPct*D43,retiro_limite403b*C43)</f>
        <v/>
      </c>
      <c r="P43" s="7">
        <f>MIN(personal_aporte403bPct,personal_match403bPct)*E43</f>
        <v/>
      </c>
      <c r="Q43" s="7">
        <f>IF(G43&gt;0,MAX(0,G43-impuestos_scorpCostoAnual*C43),0)</f>
        <v/>
      </c>
      <c r="R43" s="7">
        <f>Q43*impuestos_scorpSalarioPct/(1+impuestos_ssTasa+impuestos_medicareTasa)</f>
        <v/>
      </c>
      <c r="S43" s="7">
        <f>impuestos_ssTasa*MIN(R43,MAX(0,impuestos_ssTope*C43-D43))+impuestos_medicareTasa*R43</f>
        <v/>
      </c>
      <c r="T43" s="7">
        <f>Q43-R43-S43</f>
        <v/>
      </c>
      <c r="U43" s="7">
        <f>D43+R43</f>
        <v/>
      </c>
      <c r="V43" s="7">
        <f>H43*0.9235</f>
        <v/>
      </c>
      <c r="W43" s="7">
        <f>IF(H43&gt;0,2*impuestos_ssTasa*MIN(V43,MAX(0,impuestos_ssTope*C43-U43))+2*impuestos_medicareTasa*V43,0)</f>
        <v/>
      </c>
      <c r="X43" s="7">
        <f>impuestos_ssTasa*MIN(U43,impuestos_ssTope*C43)+impuestos_medicareTasa*U43+impuestos_medicareAdicional*MAX(0,U43+H43*0.9235-impuestos_medicareUmbral)</f>
        <v/>
      </c>
      <c r="Y43" s="7">
        <f>MAX(0,D43-O43+R43+T43+H43-W43/2)</f>
        <v/>
      </c>
      <c r="Z43" s="7">
        <f>MAX(0,Y43-impuestos_deduccionEstandar*C43)</f>
        <v/>
      </c>
      <c r="AA43" s="7">
        <f>MIN(0.2*MAX(0,T43+H43-W43/2)*MAX(0,MIN(1,1-(Z43-impuestos_qbiUmbral*C43)/(impuestos_qbiRango*C43))),0.2*Z43)</f>
        <v/>
      </c>
      <c r="AB43" s="7">
        <f>MAX(0,Z43-AA43)</f>
        <v/>
      </c>
      <c r="AC43" s="7">
        <f>SUMPRODUCT((AB43&gt;tb_federalBrackets_lo*C43)*(AB43-tb_federalBrackets_lo*C43)*tb_federalBrackets_dr)</f>
        <v/>
      </c>
      <c r="AD43" s="7">
        <f>MAX(0,Y43-impuestos_nyDeduccion*C43)</f>
        <v/>
      </c>
      <c r="AE43" s="7">
        <f>CHOOSE(loc_taxcode,0,impuestos_ohTasa*MAX(0,Y43-impuestos_ohExento*C43)+impuestos_ohMunicipal*U43,SUMPRODUCT((AD43&gt;tb_nyBrackets_lo*C43)*(AD43-tb_nyBrackets_lo*C43)*tb_nyBrackets_dr)+loc_nyc*SUMPRODUCT((AD43&gt;tb_nycBrackets_lo*C43)*(AD43-tb_nycBrackets_lo*C43)*tb_nycBrackets_dr))</f>
        <v/>
      </c>
      <c r="AF43" s="7">
        <f>AC43+AE43+X43+W43</f>
        <v/>
      </c>
      <c r="AG43" s="7">
        <f>D43+F43+R43+T43+H43</f>
        <v/>
      </c>
      <c r="AH43" s="7">
        <f>AG43-AF43-O43</f>
        <v/>
      </c>
      <c r="AI43" s="7">
        <f>D43+F43+G43+H43</f>
        <v/>
      </c>
      <c r="AJ43" s="7">
        <f>loc_gastosVida*C43*g_gastos</f>
        <v/>
      </c>
      <c r="AK43" s="7">
        <f>IF(10=0,personal_liquidoInicial,DR42)</f>
        <v/>
      </c>
      <c r="AL43" s="7">
        <f>IF(10=0,0,BB42)</f>
        <v/>
      </c>
      <c r="AM43" s="7">
        <f>CHOOSE(sel_cfgIdx,loc_precio_duplex,loc_precio_inlaw,loc_precio_dosCasas,loc_precio_casaAdu,loc_precio_multi)</f>
        <v/>
      </c>
      <c r="AN43" s="7">
        <f>AM43*(1+g_appr)^(A43-2026)</f>
        <v/>
      </c>
      <c r="AO43" s="7">
        <f>IF(AND(M43=1,vivienda_prestamoMedico=1),1,0)</f>
        <v/>
      </c>
      <c r="AP43" s="7">
        <f>IF(AO43=1,0.05,vivienda_enganchePct)</f>
        <v/>
      </c>
      <c r="AQ43" s="7">
        <f>AN43*(1-AP43)</f>
        <v/>
      </c>
      <c r="AR43" s="7">
        <f>PMT(g_mortRate/12,vivienda_plazoHipoteca*12,-AQ43)</f>
        <v/>
      </c>
      <c r="AS43" s="7">
        <f>INDEX(cfg_units,sel_cfgIdx)</f>
        <v/>
      </c>
      <c r="AT43" s="7">
        <f>AS43*loc_rentaUnidad*(1+g_inf)^(A43-2026)*(1-vivienda_vacancia)</f>
        <v/>
      </c>
      <c r="AU43" s="7">
        <f>AR43+AN43*loc_impuestoPropPct/12+AM43*loc_seguroPct*(1+vivienda_inflacionSeguro)^(A43-2026)/12+IF(AND(AO43=0,AP43&lt;0.2),AQ43*vivienda_pmiTasa/12,0)</f>
        <v/>
      </c>
      <c r="AV43" s="7">
        <f>AN43*AP43+AN43*vivienda_cierrePct+general_reservaMeses/12*AJ43</f>
        <v/>
      </c>
      <c r="AW43" s="7">
        <f>(IF(10=0,MIN(personal_irsSaldo,personal_irsPagoMensual*12),MIN(CD42,personal_irsPagoMensual*12))+IF(CE43&gt;0,PMT(CF43,MAX(1,prestamos_plazoAnios-CG43),-CE43),0)+IF(CR43&gt;0,PMT(CS43,MAX(1,prestamos_plazoAnios-CT43),-CR43),0))/12</f>
        <v/>
      </c>
      <c r="AX43" s="7">
        <f>IF(OR(sel_cfg="duplex",sel_cfg="multi",sel_cfg="dosCasas"),0.75*personal_aporteFamiliaMensual,0)</f>
        <v/>
      </c>
      <c r="AY43" s="7">
        <f>AU43-0.75*AT43-AX43+AW43</f>
        <v/>
      </c>
      <c r="AZ43" s="7">
        <f>(D43+G43+H43+0.5*F43)/12</f>
        <v/>
      </c>
      <c r="BA43" s="7">
        <f>IF(AND(AL43=0,A43&gt;=vivienda_anioMinCompra,J43&lt;0.5,AI43&gt;0,AK43&gt;=AV43,AY43&lt;=vivienda_dtiMax*AZ43),1,0)</f>
        <v/>
      </c>
      <c r="BB43" s="7">
        <f>MAX(AL43,BA43)</f>
        <v/>
      </c>
      <c r="BC43" s="7">
        <f>IF(BA43=1,A43,IF(10=0,"",BC42))</f>
        <v/>
      </c>
      <c r="BD43" s="7">
        <f>AK43-IF(BA43=1,AN43*AP43+AN43*vivienda_cierrePct,0)</f>
        <v/>
      </c>
      <c r="BE43" s="7">
        <f>IF(BA43=1,AN43,IF(10=0,0,BE42))</f>
        <v/>
      </c>
      <c r="BF43" s="7">
        <f>IF(BA43=1,AR43,IF(10=0,0,BF42))</f>
        <v/>
      </c>
      <c r="BG43" s="7">
        <f>IF(BA43=1,IF(AND(AO43=0,AP43&lt;0.2),1,0),IF(10=0,0,BY42))</f>
        <v/>
      </c>
      <c r="BH43" s="7">
        <f>IF(sel_cfg="casaAdu",1,0)</f>
        <v/>
      </c>
      <c r="BI43" s="7">
        <f>IF(AND(BB43=1,BH43=1,IF(10=0,0,BJ42)=0,A43&gt;=IF(BC43="",9999,BC43)+vivienda_aduRetrasoAnios),1,0)</f>
        <v/>
      </c>
      <c r="BJ43" s="7">
        <f>MAX(IF(10=0,0,BJ42),BI43)</f>
        <v/>
      </c>
      <c r="BK43" s="7">
        <f>IF(BI43=1,PMT((g_mortRate+0.005)/12,180,-loc_precio_aduCosto*C43),IF(10=0,0,BK42))</f>
        <v/>
      </c>
      <c r="BL43" s="7">
        <f>IF(BA43=1,AN43,IF(10=0,0,DT42))+IF(BI43=1,loc_precio_aduCosto*C43,0)</f>
        <v/>
      </c>
      <c r="BM43" s="7">
        <f>IF(BA43=1,AQ43,IF(10=0,0,DU42))</f>
        <v/>
      </c>
      <c r="BN43" s="7">
        <f>IF(BM43&lt;=0,0,FV(g_mortRate/12,12,BF43,-BM43))</f>
        <v/>
      </c>
      <c r="BO43" s="7">
        <f>IF(BM43&lt;=0,0,12*BF43+MIN(0,BN43))</f>
        <v/>
      </c>
      <c r="BP43" s="7">
        <f>MAX(0,BN43)</f>
        <v/>
      </c>
      <c r="BQ43" s="7">
        <f>IF(BI43=1,loc_precio_aduCosto*C43,IF(10=0,0,DV42))</f>
        <v/>
      </c>
      <c r="BR43" s="7">
        <f>IF(BQ43&lt;=0,0,FV((g_mortRate+0.005)/12,12,BK43,-BQ43))</f>
        <v/>
      </c>
      <c r="BS43" s="7">
        <f>IF(BQ43&lt;=0,0,12*BK43+MIN(0,BR43))</f>
        <v/>
      </c>
      <c r="BT43" s="7">
        <f>MAX(0,BR43)</f>
        <v/>
      </c>
      <c r="BU43" s="7">
        <f>IF(BB43=1,AM43*loc_seguroPct*(1+vivienda_inflacionSeguro)^(A43-2026)*IF(BJ43=1,1+loc_precio_aduCosto/AM43,1),0)</f>
        <v/>
      </c>
      <c r="BV43" s="7">
        <f>BL43*loc_impuestoPropPct</f>
        <v/>
      </c>
      <c r="BW43" s="7">
        <f>BL43*vivienda_mantenimientoPct</f>
        <v/>
      </c>
      <c r="BX43" s="7">
        <f>IF(AND(BG43=1,BP43&gt;0.8*BE43),BE43*(1-vivienda_enganchePct)*vivienda_pmiTasa,0)</f>
        <v/>
      </c>
      <c r="BY43" s="7">
        <f>IF(AND(BG43=1,BP43&gt;0.8*BE43),1,0)</f>
        <v/>
      </c>
      <c r="BZ43" s="7">
        <f>IF(BB43=1,AS43*loc_rentaUnidad*12*C43*(1-vivienda_vacancia)*(1-vivienda_gestionPct),0)</f>
        <v/>
      </c>
      <c r="CA43" s="7">
        <f>IF(BB43=1,BO43+BS43+BU43+BV43+BW43+BX43,loc_rentaMensual*12*C43)</f>
        <v/>
      </c>
      <c r="CB43" s="7">
        <f>IF(BB43=1,personal_aporteFamiliaMensual*12,0)</f>
        <v/>
      </c>
      <c r="CC43" s="7">
        <f>MIN(IF(10=0,personal_irsSaldo,CD42),personal_irsPagoMensual*12)</f>
        <v/>
      </c>
      <c r="CD43" s="7">
        <f>IF(10=0,personal_irsSaldo,CD42)-CC43</f>
        <v/>
      </c>
      <c r="CE43" s="7">
        <f>IF(10=0,IF(personal_deudaEsFederal=1,personal_deudaEstudiantil,0),DW42)</f>
        <v/>
      </c>
      <c r="CF43" s="7">
        <f>IF(10=0,personal_tasaDeudaEstudiantil,DX42)</f>
        <v/>
      </c>
      <c r="CG43" s="7">
        <f>IF(10=0,0,DY42)</f>
        <v/>
      </c>
      <c r="CH43" s="7">
        <f>IF(J43&gt;=0.5,1,0)</f>
        <v/>
      </c>
      <c r="CI43" s="7">
        <f>IF(AND(CH43=0,prestamos_pslfActivo=1,K43&gt;=0.5,CE43&gt;0),1,0)</f>
        <v/>
      </c>
      <c r="CJ43" s="7">
        <f>CE43*CF43</f>
        <v/>
      </c>
      <c r="CK43" s="7">
        <f>MAX(prestamos_rapPagoMinimoAnual,IF(Y43&lt;10000,0,MIN(0.1,INT(Y43/10000)/100))*Y43)</f>
        <v/>
      </c>
      <c r="CL43" s="7">
        <f>IF(CE43&lt;=0,0,IF(CH43=1,0,IF(CI43=1,MIN(CE43+CJ43,CK43),PMT(CF43,MAX(1,prestamos_plazoAnios-CG43),-CE43))))</f>
        <v/>
      </c>
      <c r="CM43" s="7">
        <f>IF(CE43&lt;=0,0,IF(CH43=1,CE43+CJ43,IF(CI43=1,MAX(0,CE43-MAX(CL43-CJ43,MIN(600,CL43))),MAX(0,CE43*(1+CF43)-CL43))))</f>
        <v/>
      </c>
      <c r="CN43" s="7">
        <f>IF(10=0,0,CN42)+IF(CI43=1,12*MIN(1,K43),0)</f>
        <v/>
      </c>
      <c r="CO43" s="7">
        <f>IF(AND(CI43=1,CN43&gt;=prestamos_pslfPagos,CM43&gt;0),CM43,0)</f>
        <v/>
      </c>
      <c r="CP43" s="7">
        <f>CM43-CO43</f>
        <v/>
      </c>
      <c r="CQ43" s="7">
        <f>IF(AND(CE43&gt;0,CH43=0,CI43=0),CG43+1,CG43)</f>
        <v/>
      </c>
      <c r="CR43" s="7">
        <f>IF(10=0,IF(personal_deudaEsFederal=1,0,personal_deudaEstudiantil),EA42)</f>
        <v/>
      </c>
      <c r="CS43" s="7">
        <f>IF(10=0,IF(personal_deudaEsFederal=1,prestamos_tasaPrivada,personal_tasaDeudaEstudiantil),EB42)</f>
        <v/>
      </c>
      <c r="CT43" s="7">
        <f>IF(10=0,0,EC42)</f>
        <v/>
      </c>
      <c r="CU43" s="7">
        <f>IF(OR(CR43&lt;=0,CH43=1),0,PMT(CS43,MAX(1,prestamos_plazoAnios-CT43),-CR43))</f>
        <v/>
      </c>
      <c r="CV43" s="7">
        <f>IF(CR43&lt;=0,0,IF(CH43=1,CR43*(1+CS43),MAX(0,CR43*(1+CS43)-CU43)))</f>
        <v/>
      </c>
      <c r="CW43" s="7">
        <f>IF(AND(CR43&gt;0,CH43=0),CT43+1,CT43)</f>
        <v/>
      </c>
      <c r="CX43" s="7">
        <f>IF(10=0,0,ED42)*(1+general_tasaDeudaConsumo)</f>
        <v/>
      </c>
      <c r="CY43" s="7">
        <f>L43*12*tiempos_travelGastoExtraMes*C43</f>
        <v/>
      </c>
      <c r="CZ43" s="7">
        <f>AJ43+CY43+CA43+CC43+CL43+CU43+I43+N43-BZ43-CB43</f>
        <v/>
      </c>
      <c r="DA43" s="7">
        <f>AH43-CZ43</f>
        <v/>
      </c>
      <c r="DB43" s="7">
        <f>IF(10=0,0,DB42)+DA43</f>
        <v/>
      </c>
      <c r="DC43" s="7">
        <f>AN43*vivienda_enganchePct+AN43*vivienda_cierrePct+general_reservaMeses/12*AJ43</f>
        <v/>
      </c>
      <c r="DD43" s="7">
        <f>IF(BB43=1,g_ret,IF(BD43&gt;0,MIN(1,DC43/BD43),1)*g_cash+(1-IF(BD43&gt;0,MIN(1,DC43/BD43),1))*g_ret)</f>
        <v/>
      </c>
      <c r="DE43" s="7">
        <f>IF(DA43&gt;=0,MIN(CX43,DA43),0)</f>
        <v/>
      </c>
      <c r="DF43" s="7">
        <f>IF(DA43&gt;=0,(1-general_tasaAhorro)*(DA43-DE43),0)</f>
        <v/>
      </c>
      <c r="DG43" s="7">
        <f>IF(DA43&gt;=0,DA43-DE43-DF43,0)</f>
        <v/>
      </c>
      <c r="DH43" s="7">
        <f>MIN(personal_rothAnual,DG43)</f>
        <v/>
      </c>
      <c r="DI43" s="7">
        <f>IF(AND(DA43&gt;=0,BB43=1,BP43+BT43&gt;0),MIN(vivienda_prepagoPct*(DG43-DH43),BP43+BT43),0)</f>
        <v/>
      </c>
      <c r="DJ43" s="7">
        <f>MIN(DI43,BP43)</f>
        <v/>
      </c>
      <c r="DK43" s="7">
        <f>IF(DA43&lt;0,MIN(MAX(0,BD43),-DA43),0)</f>
        <v/>
      </c>
      <c r="DL43" s="7">
        <f>IF(DA43&lt;0,-DA43-DK43,0)</f>
        <v/>
      </c>
      <c r="DM43" s="7">
        <f>IF(10=0,0,DZ42)</f>
        <v/>
      </c>
      <c r="DN43" s="7">
        <f>IF(AND(DL43&gt;0,J43&gt;0),MIN(DL43,MIN(prestamos_topeAnualPosgrado*MIN(1,J43),MAX(0,prestamos_topeTotalPosgrado-DM43))),0)</f>
        <v/>
      </c>
      <c r="DO43" s="7">
        <f>IF(AND(DL43&gt;0,J43&gt;0),DL43-DN43,0)</f>
        <v/>
      </c>
      <c r="DP43" s="7">
        <f>IF(AND(DL43&gt;0,J43&lt;=0),DL43,0)</f>
        <v/>
      </c>
      <c r="DQ43" s="7">
        <f>IF(DA43&gt;=0,DG43-DH43-DI43,-DK43)</f>
        <v/>
      </c>
      <c r="DR43" s="7">
        <f>BD43*(1+DD43)+DQ43*(1+DD43/2)</f>
        <v/>
      </c>
      <c r="DS43" s="7">
        <f>IF(10=0,personal_retiroInicial,DS42)*(1+g_ret)+(O43+P43+DH43)*(1+g_ret/2)</f>
        <v/>
      </c>
      <c r="DT43" s="7">
        <f>IF(BB43=1,BL43*(1+g_appr),0)</f>
        <v/>
      </c>
      <c r="DU43" s="7">
        <f>BP43-DJ43</f>
        <v/>
      </c>
      <c r="DV43" s="7">
        <f>BT43-(DI43-DJ43)</f>
        <v/>
      </c>
      <c r="DW43" s="7">
        <f>CP43+DN43</f>
        <v/>
      </c>
      <c r="DX43" s="7">
        <f>IF(DN43&gt;0,(CP43*CF43+DN43*prestamos_tasaFederalPosgrado)/(CP43+DN43),CF43)</f>
        <v/>
      </c>
      <c r="DY43" s="7">
        <f>IF(DN43&gt;0,0,CQ43)</f>
        <v/>
      </c>
      <c r="DZ43" s="7">
        <f>DM43+DN43</f>
        <v/>
      </c>
      <c r="EA43" s="7">
        <f>CV43+DO43</f>
        <v/>
      </c>
      <c r="EB43" s="7">
        <f>IF(DO43&gt;0,(CV43*CS43+DO43*prestamos_tasaPrivada)/(CV43+DO43),CS43)</f>
        <v/>
      </c>
      <c r="EC43" s="7">
        <f>IF(DO43&gt;0,0,CW43)</f>
        <v/>
      </c>
      <c r="ED43" s="7">
        <f>CX43-DE43+DP43</f>
        <v/>
      </c>
      <c r="EE43" s="7">
        <f>IF(IF(10=0,"",EE42)&lt;&gt;"",EE42,IF(AND(BB43=1,DU43&lt;=0.5,DV43&lt;=0.5,OR(BH43=0,BJ43=1)),A43,""))</f>
        <v/>
      </c>
      <c r="EF43" s="7">
        <f>DU43+DV43+DW43+EA43+ED43+CD43</f>
        <v/>
      </c>
      <c r="EG43" s="7">
        <f>DR43+DS43+DT43-EF43</f>
        <v/>
      </c>
      <c r="EH43" s="7">
        <f>EG43/(1+g_inf)^(A43+1-2026)</f>
        <v/>
      </c>
    </row>
    <row r="44">
      <c r="A44" t="n">
        <v>2038</v>
      </c>
      <c r="B44" t="n">
        <v>11</v>
      </c>
      <c r="C44" s="7">
        <f>(1+g_inf)^(A44-2026)</f>
        <v/>
      </c>
      <c r="D44" s="7">
        <f>SUMPRODUCT($AE$5:$AE$29,$E$5:$E$29*(1+$F$5:$F$29)^(A44-2026)*$G$5:$G$29*$H$5:$H$29*(1-$N$5:$N$29*$O$5:$O$29))*g_salMult+SUMPRODUCT(($B$5:$B$29&gt;=A44)*($B$5:$B$29&lt;A44+1)*$I$5:$I$29)*g_salMult</f>
        <v/>
      </c>
      <c r="E44" s="7">
        <f>SUMPRODUCT($AE$5:$AE$29,$E$5:$E$29*(1+$F$5:$F$29)^(A44-2026)*$G$5:$G$29*$H$5:$H$29*$M$5:$M$29)*g_salMult</f>
        <v/>
      </c>
      <c r="F44" s="7">
        <f>SUMPRODUCT($AE$5:$AE$29,$E$5:$E$29*(1+$F$5:$F$29)^(A44-2026)*$G$5:$G$29*$H$5:$H$29*$N$5:$N$29*$O$5:$O$29)*g_salMult</f>
        <v/>
      </c>
      <c r="G44" s="7">
        <f>SUMPRODUCT($AE$5:$AE$29,$P$5:$P$29*(1+$F$5:$F$29)^(A44-2026))</f>
        <v/>
      </c>
      <c r="H44" s="7">
        <f>SUMPRODUCT($AE$5:$AE$29,$Q$5:$Q$29*(1+$F$5:$F$29)^(A44-2026))+IF(personal_llcActivo=1,personal_llcNeto*(1+personal_llcCrecimiento)^11,0)</f>
        <v/>
      </c>
      <c r="I44" s="7">
        <f>SUMPRODUCT($AE$5:$AE$29,$J$5:$J$29/($C$5:$C$29-$B$5:$B$29+($C$5:$C$29=$B$5:$B$29)))*C44</f>
        <v/>
      </c>
      <c r="J44" s="7">
        <f>SUMPRODUCT($AE$5:$AE$29,$K$5:$K$29)</f>
        <v/>
      </c>
      <c r="K44" s="7">
        <f>SUMPRODUCT($AE$5:$AE$29,$L$5:$L$29)</f>
        <v/>
      </c>
      <c r="L44" s="7">
        <f>SUMPRODUCT($AE$5:$AE$29,$N$5:$N$29)</f>
        <v/>
      </c>
      <c r="M44" s="7">
        <f>IF(SUMPRODUCT($AE$5:$AE$29,$R$5:$R$29)&gt;0,1,0)</f>
        <v/>
      </c>
      <c r="N44" s="7">
        <f>SUMPRODUCT(($AO$5:$AO$24&gt;=A44)*($AO$5:$AO$24&lt;A44+1)*$AP$5:$AP$24)*C44+IF(11=0,IF(sel_loc&lt;&gt;"miami",personal_costoMudanzaInicial,0),0)</f>
        <v/>
      </c>
      <c r="O44" s="7">
        <f>MIN(personal_aporte403bPct*D44,retiro_limite403b*C44)</f>
        <v/>
      </c>
      <c r="P44" s="7">
        <f>MIN(personal_aporte403bPct,personal_match403bPct)*E44</f>
        <v/>
      </c>
      <c r="Q44" s="7">
        <f>IF(G44&gt;0,MAX(0,G44-impuestos_scorpCostoAnual*C44),0)</f>
        <v/>
      </c>
      <c r="R44" s="7">
        <f>Q44*impuestos_scorpSalarioPct/(1+impuestos_ssTasa+impuestos_medicareTasa)</f>
        <v/>
      </c>
      <c r="S44" s="7">
        <f>impuestos_ssTasa*MIN(R44,MAX(0,impuestos_ssTope*C44-D44))+impuestos_medicareTasa*R44</f>
        <v/>
      </c>
      <c r="T44" s="7">
        <f>Q44-R44-S44</f>
        <v/>
      </c>
      <c r="U44" s="7">
        <f>D44+R44</f>
        <v/>
      </c>
      <c r="V44" s="7">
        <f>H44*0.9235</f>
        <v/>
      </c>
      <c r="W44" s="7">
        <f>IF(H44&gt;0,2*impuestos_ssTasa*MIN(V44,MAX(0,impuestos_ssTope*C44-U44))+2*impuestos_medicareTasa*V44,0)</f>
        <v/>
      </c>
      <c r="X44" s="7">
        <f>impuestos_ssTasa*MIN(U44,impuestos_ssTope*C44)+impuestos_medicareTasa*U44+impuestos_medicareAdicional*MAX(0,U44+H44*0.9235-impuestos_medicareUmbral)</f>
        <v/>
      </c>
      <c r="Y44" s="7">
        <f>MAX(0,D44-O44+R44+T44+H44-W44/2)</f>
        <v/>
      </c>
      <c r="Z44" s="7">
        <f>MAX(0,Y44-impuestos_deduccionEstandar*C44)</f>
        <v/>
      </c>
      <c r="AA44" s="7">
        <f>MIN(0.2*MAX(0,T44+H44-W44/2)*MAX(0,MIN(1,1-(Z44-impuestos_qbiUmbral*C44)/(impuestos_qbiRango*C44))),0.2*Z44)</f>
        <v/>
      </c>
      <c r="AB44" s="7">
        <f>MAX(0,Z44-AA44)</f>
        <v/>
      </c>
      <c r="AC44" s="7">
        <f>SUMPRODUCT((AB44&gt;tb_federalBrackets_lo*C44)*(AB44-tb_federalBrackets_lo*C44)*tb_federalBrackets_dr)</f>
        <v/>
      </c>
      <c r="AD44" s="7">
        <f>MAX(0,Y44-impuestos_nyDeduccion*C44)</f>
        <v/>
      </c>
      <c r="AE44" s="7">
        <f>CHOOSE(loc_taxcode,0,impuestos_ohTasa*MAX(0,Y44-impuestos_ohExento*C44)+impuestos_ohMunicipal*U44,SUMPRODUCT((AD44&gt;tb_nyBrackets_lo*C44)*(AD44-tb_nyBrackets_lo*C44)*tb_nyBrackets_dr)+loc_nyc*SUMPRODUCT((AD44&gt;tb_nycBrackets_lo*C44)*(AD44-tb_nycBrackets_lo*C44)*tb_nycBrackets_dr))</f>
        <v/>
      </c>
      <c r="AF44" s="7">
        <f>AC44+AE44+X44+W44</f>
        <v/>
      </c>
      <c r="AG44" s="7">
        <f>D44+F44+R44+T44+H44</f>
        <v/>
      </c>
      <c r="AH44" s="7">
        <f>AG44-AF44-O44</f>
        <v/>
      </c>
      <c r="AI44" s="7">
        <f>D44+F44+G44+H44</f>
        <v/>
      </c>
      <c r="AJ44" s="7">
        <f>loc_gastosVida*C44*g_gastos</f>
        <v/>
      </c>
      <c r="AK44" s="7">
        <f>IF(11=0,personal_liquidoInicial,DR43)</f>
        <v/>
      </c>
      <c r="AL44" s="7">
        <f>IF(11=0,0,BB43)</f>
        <v/>
      </c>
      <c r="AM44" s="7">
        <f>CHOOSE(sel_cfgIdx,loc_precio_duplex,loc_precio_inlaw,loc_precio_dosCasas,loc_precio_casaAdu,loc_precio_multi)</f>
        <v/>
      </c>
      <c r="AN44" s="7">
        <f>AM44*(1+g_appr)^(A44-2026)</f>
        <v/>
      </c>
      <c r="AO44" s="7">
        <f>IF(AND(M44=1,vivienda_prestamoMedico=1),1,0)</f>
        <v/>
      </c>
      <c r="AP44" s="7">
        <f>IF(AO44=1,0.05,vivienda_enganchePct)</f>
        <v/>
      </c>
      <c r="AQ44" s="7">
        <f>AN44*(1-AP44)</f>
        <v/>
      </c>
      <c r="AR44" s="7">
        <f>PMT(g_mortRate/12,vivienda_plazoHipoteca*12,-AQ44)</f>
        <v/>
      </c>
      <c r="AS44" s="7">
        <f>INDEX(cfg_units,sel_cfgIdx)</f>
        <v/>
      </c>
      <c r="AT44" s="7">
        <f>AS44*loc_rentaUnidad*(1+g_inf)^(A44-2026)*(1-vivienda_vacancia)</f>
        <v/>
      </c>
      <c r="AU44" s="7">
        <f>AR44+AN44*loc_impuestoPropPct/12+AM44*loc_seguroPct*(1+vivienda_inflacionSeguro)^(A44-2026)/12+IF(AND(AO44=0,AP44&lt;0.2),AQ44*vivienda_pmiTasa/12,0)</f>
        <v/>
      </c>
      <c r="AV44" s="7">
        <f>AN44*AP44+AN44*vivienda_cierrePct+general_reservaMeses/12*AJ44</f>
        <v/>
      </c>
      <c r="AW44" s="7">
        <f>(IF(11=0,MIN(personal_irsSaldo,personal_irsPagoMensual*12),MIN(CD43,personal_irsPagoMensual*12))+IF(CE44&gt;0,PMT(CF44,MAX(1,prestamos_plazoAnios-CG44),-CE44),0)+IF(CR44&gt;0,PMT(CS44,MAX(1,prestamos_plazoAnios-CT44),-CR44),0))/12</f>
        <v/>
      </c>
      <c r="AX44" s="7">
        <f>IF(OR(sel_cfg="duplex",sel_cfg="multi",sel_cfg="dosCasas"),0.75*personal_aporteFamiliaMensual,0)</f>
        <v/>
      </c>
      <c r="AY44" s="7">
        <f>AU44-0.75*AT44-AX44+AW44</f>
        <v/>
      </c>
      <c r="AZ44" s="7">
        <f>(D44+G44+H44+0.5*F44)/12</f>
        <v/>
      </c>
      <c r="BA44" s="7">
        <f>IF(AND(AL44=0,A44&gt;=vivienda_anioMinCompra,J44&lt;0.5,AI44&gt;0,AK44&gt;=AV44,AY44&lt;=vivienda_dtiMax*AZ44),1,0)</f>
        <v/>
      </c>
      <c r="BB44" s="7">
        <f>MAX(AL44,BA44)</f>
        <v/>
      </c>
      <c r="BC44" s="7">
        <f>IF(BA44=1,A44,IF(11=0,"",BC43))</f>
        <v/>
      </c>
      <c r="BD44" s="7">
        <f>AK44-IF(BA44=1,AN44*AP44+AN44*vivienda_cierrePct,0)</f>
        <v/>
      </c>
      <c r="BE44" s="7">
        <f>IF(BA44=1,AN44,IF(11=0,0,BE43))</f>
        <v/>
      </c>
      <c r="BF44" s="7">
        <f>IF(BA44=1,AR44,IF(11=0,0,BF43))</f>
        <v/>
      </c>
      <c r="BG44" s="7">
        <f>IF(BA44=1,IF(AND(AO44=0,AP44&lt;0.2),1,0),IF(11=0,0,BY43))</f>
        <v/>
      </c>
      <c r="BH44" s="7">
        <f>IF(sel_cfg="casaAdu",1,0)</f>
        <v/>
      </c>
      <c r="BI44" s="7">
        <f>IF(AND(BB44=1,BH44=1,IF(11=0,0,BJ43)=0,A44&gt;=IF(BC44="",9999,BC44)+vivienda_aduRetrasoAnios),1,0)</f>
        <v/>
      </c>
      <c r="BJ44" s="7">
        <f>MAX(IF(11=0,0,BJ43),BI44)</f>
        <v/>
      </c>
      <c r="BK44" s="7">
        <f>IF(BI44=1,PMT((g_mortRate+0.005)/12,180,-loc_precio_aduCosto*C44),IF(11=0,0,BK43))</f>
        <v/>
      </c>
      <c r="BL44" s="7">
        <f>IF(BA44=1,AN44,IF(11=0,0,DT43))+IF(BI44=1,loc_precio_aduCosto*C44,0)</f>
        <v/>
      </c>
      <c r="BM44" s="7">
        <f>IF(BA44=1,AQ44,IF(11=0,0,DU43))</f>
        <v/>
      </c>
      <c r="BN44" s="7">
        <f>IF(BM44&lt;=0,0,FV(g_mortRate/12,12,BF44,-BM44))</f>
        <v/>
      </c>
      <c r="BO44" s="7">
        <f>IF(BM44&lt;=0,0,12*BF44+MIN(0,BN44))</f>
        <v/>
      </c>
      <c r="BP44" s="7">
        <f>MAX(0,BN44)</f>
        <v/>
      </c>
      <c r="BQ44" s="7">
        <f>IF(BI44=1,loc_precio_aduCosto*C44,IF(11=0,0,DV43))</f>
        <v/>
      </c>
      <c r="BR44" s="7">
        <f>IF(BQ44&lt;=0,0,FV((g_mortRate+0.005)/12,12,BK44,-BQ44))</f>
        <v/>
      </c>
      <c r="BS44" s="7">
        <f>IF(BQ44&lt;=0,0,12*BK44+MIN(0,BR44))</f>
        <v/>
      </c>
      <c r="BT44" s="7">
        <f>MAX(0,BR44)</f>
        <v/>
      </c>
      <c r="BU44" s="7">
        <f>IF(BB44=1,AM44*loc_seguroPct*(1+vivienda_inflacionSeguro)^(A44-2026)*IF(BJ44=1,1+loc_precio_aduCosto/AM44,1),0)</f>
        <v/>
      </c>
      <c r="BV44" s="7">
        <f>BL44*loc_impuestoPropPct</f>
        <v/>
      </c>
      <c r="BW44" s="7">
        <f>BL44*vivienda_mantenimientoPct</f>
        <v/>
      </c>
      <c r="BX44" s="7">
        <f>IF(AND(BG44=1,BP44&gt;0.8*BE44),BE44*(1-vivienda_enganchePct)*vivienda_pmiTasa,0)</f>
        <v/>
      </c>
      <c r="BY44" s="7">
        <f>IF(AND(BG44=1,BP44&gt;0.8*BE44),1,0)</f>
        <v/>
      </c>
      <c r="BZ44" s="7">
        <f>IF(BB44=1,AS44*loc_rentaUnidad*12*C44*(1-vivienda_vacancia)*(1-vivienda_gestionPct),0)</f>
        <v/>
      </c>
      <c r="CA44" s="7">
        <f>IF(BB44=1,BO44+BS44+BU44+BV44+BW44+BX44,loc_rentaMensual*12*C44)</f>
        <v/>
      </c>
      <c r="CB44" s="7">
        <f>IF(BB44=1,personal_aporteFamiliaMensual*12,0)</f>
        <v/>
      </c>
      <c r="CC44" s="7">
        <f>MIN(IF(11=0,personal_irsSaldo,CD43),personal_irsPagoMensual*12)</f>
        <v/>
      </c>
      <c r="CD44" s="7">
        <f>IF(11=0,personal_irsSaldo,CD43)-CC44</f>
        <v/>
      </c>
      <c r="CE44" s="7">
        <f>IF(11=0,IF(personal_deudaEsFederal=1,personal_deudaEstudiantil,0),DW43)</f>
        <v/>
      </c>
      <c r="CF44" s="7">
        <f>IF(11=0,personal_tasaDeudaEstudiantil,DX43)</f>
        <v/>
      </c>
      <c r="CG44" s="7">
        <f>IF(11=0,0,DY43)</f>
        <v/>
      </c>
      <c r="CH44" s="7">
        <f>IF(J44&gt;=0.5,1,0)</f>
        <v/>
      </c>
      <c r="CI44" s="7">
        <f>IF(AND(CH44=0,prestamos_pslfActivo=1,K44&gt;=0.5,CE44&gt;0),1,0)</f>
        <v/>
      </c>
      <c r="CJ44" s="7">
        <f>CE44*CF44</f>
        <v/>
      </c>
      <c r="CK44" s="7">
        <f>MAX(prestamos_rapPagoMinimoAnual,IF(Y44&lt;10000,0,MIN(0.1,INT(Y44/10000)/100))*Y44)</f>
        <v/>
      </c>
      <c r="CL44" s="7">
        <f>IF(CE44&lt;=0,0,IF(CH44=1,0,IF(CI44=1,MIN(CE44+CJ44,CK44),PMT(CF44,MAX(1,prestamos_plazoAnios-CG44),-CE44))))</f>
        <v/>
      </c>
      <c r="CM44" s="7">
        <f>IF(CE44&lt;=0,0,IF(CH44=1,CE44+CJ44,IF(CI44=1,MAX(0,CE44-MAX(CL44-CJ44,MIN(600,CL44))),MAX(0,CE44*(1+CF44)-CL44))))</f>
        <v/>
      </c>
      <c r="CN44" s="7">
        <f>IF(11=0,0,CN43)+IF(CI44=1,12*MIN(1,K44),0)</f>
        <v/>
      </c>
      <c r="CO44" s="7">
        <f>IF(AND(CI44=1,CN44&gt;=prestamos_pslfPagos,CM44&gt;0),CM44,0)</f>
        <v/>
      </c>
      <c r="CP44" s="7">
        <f>CM44-CO44</f>
        <v/>
      </c>
      <c r="CQ44" s="7">
        <f>IF(AND(CE44&gt;0,CH44=0,CI44=0),CG44+1,CG44)</f>
        <v/>
      </c>
      <c r="CR44" s="7">
        <f>IF(11=0,IF(personal_deudaEsFederal=1,0,personal_deudaEstudiantil),EA43)</f>
        <v/>
      </c>
      <c r="CS44" s="7">
        <f>IF(11=0,IF(personal_deudaEsFederal=1,prestamos_tasaPrivada,personal_tasaDeudaEstudiantil),EB43)</f>
        <v/>
      </c>
      <c r="CT44" s="7">
        <f>IF(11=0,0,EC43)</f>
        <v/>
      </c>
      <c r="CU44" s="7">
        <f>IF(OR(CR44&lt;=0,CH44=1),0,PMT(CS44,MAX(1,prestamos_plazoAnios-CT44),-CR44))</f>
        <v/>
      </c>
      <c r="CV44" s="7">
        <f>IF(CR44&lt;=0,0,IF(CH44=1,CR44*(1+CS44),MAX(0,CR44*(1+CS44)-CU44)))</f>
        <v/>
      </c>
      <c r="CW44" s="7">
        <f>IF(AND(CR44&gt;0,CH44=0),CT44+1,CT44)</f>
        <v/>
      </c>
      <c r="CX44" s="7">
        <f>IF(11=0,0,ED43)*(1+general_tasaDeudaConsumo)</f>
        <v/>
      </c>
      <c r="CY44" s="7">
        <f>L44*12*tiempos_travelGastoExtraMes*C44</f>
        <v/>
      </c>
      <c r="CZ44" s="7">
        <f>AJ44+CY44+CA44+CC44+CL44+CU44+I44+N44-BZ44-CB44</f>
        <v/>
      </c>
      <c r="DA44" s="7">
        <f>AH44-CZ44</f>
        <v/>
      </c>
      <c r="DB44" s="7">
        <f>IF(11=0,0,DB43)+DA44</f>
        <v/>
      </c>
      <c r="DC44" s="7">
        <f>AN44*vivienda_enganchePct+AN44*vivienda_cierrePct+general_reservaMeses/12*AJ44</f>
        <v/>
      </c>
      <c r="DD44" s="7">
        <f>IF(BB44=1,g_ret,IF(BD44&gt;0,MIN(1,DC44/BD44),1)*g_cash+(1-IF(BD44&gt;0,MIN(1,DC44/BD44),1))*g_ret)</f>
        <v/>
      </c>
      <c r="DE44" s="7">
        <f>IF(DA44&gt;=0,MIN(CX44,DA44),0)</f>
        <v/>
      </c>
      <c r="DF44" s="7">
        <f>IF(DA44&gt;=0,(1-general_tasaAhorro)*(DA44-DE44),0)</f>
        <v/>
      </c>
      <c r="DG44" s="7">
        <f>IF(DA44&gt;=0,DA44-DE44-DF44,0)</f>
        <v/>
      </c>
      <c r="DH44" s="7">
        <f>MIN(personal_rothAnual,DG44)</f>
        <v/>
      </c>
      <c r="DI44" s="7">
        <f>IF(AND(DA44&gt;=0,BB44=1,BP44+BT44&gt;0),MIN(vivienda_prepagoPct*(DG44-DH44),BP44+BT44),0)</f>
        <v/>
      </c>
      <c r="DJ44" s="7">
        <f>MIN(DI44,BP44)</f>
        <v/>
      </c>
      <c r="DK44" s="7">
        <f>IF(DA44&lt;0,MIN(MAX(0,BD44),-DA44),0)</f>
        <v/>
      </c>
      <c r="DL44" s="7">
        <f>IF(DA44&lt;0,-DA44-DK44,0)</f>
        <v/>
      </c>
      <c r="DM44" s="7">
        <f>IF(11=0,0,DZ43)</f>
        <v/>
      </c>
      <c r="DN44" s="7">
        <f>IF(AND(DL44&gt;0,J44&gt;0),MIN(DL44,MIN(prestamos_topeAnualPosgrado*MIN(1,J44),MAX(0,prestamos_topeTotalPosgrado-DM44))),0)</f>
        <v/>
      </c>
      <c r="DO44" s="7">
        <f>IF(AND(DL44&gt;0,J44&gt;0),DL44-DN44,0)</f>
        <v/>
      </c>
      <c r="DP44" s="7">
        <f>IF(AND(DL44&gt;0,J44&lt;=0),DL44,0)</f>
        <v/>
      </c>
      <c r="DQ44" s="7">
        <f>IF(DA44&gt;=0,DG44-DH44-DI44,-DK44)</f>
        <v/>
      </c>
      <c r="DR44" s="7">
        <f>BD44*(1+DD44)+DQ44*(1+DD44/2)</f>
        <v/>
      </c>
      <c r="DS44" s="7">
        <f>IF(11=0,personal_retiroInicial,DS43)*(1+g_ret)+(O44+P44+DH44)*(1+g_ret/2)</f>
        <v/>
      </c>
      <c r="DT44" s="7">
        <f>IF(BB44=1,BL44*(1+g_appr),0)</f>
        <v/>
      </c>
      <c r="DU44" s="7">
        <f>BP44-DJ44</f>
        <v/>
      </c>
      <c r="DV44" s="7">
        <f>BT44-(DI44-DJ44)</f>
        <v/>
      </c>
      <c r="DW44" s="7">
        <f>CP44+DN44</f>
        <v/>
      </c>
      <c r="DX44" s="7">
        <f>IF(DN44&gt;0,(CP44*CF44+DN44*prestamos_tasaFederalPosgrado)/(CP44+DN44),CF44)</f>
        <v/>
      </c>
      <c r="DY44" s="7">
        <f>IF(DN44&gt;0,0,CQ44)</f>
        <v/>
      </c>
      <c r="DZ44" s="7">
        <f>DM44+DN44</f>
        <v/>
      </c>
      <c r="EA44" s="7">
        <f>CV44+DO44</f>
        <v/>
      </c>
      <c r="EB44" s="7">
        <f>IF(DO44&gt;0,(CV44*CS44+DO44*prestamos_tasaPrivada)/(CV44+DO44),CS44)</f>
        <v/>
      </c>
      <c r="EC44" s="7">
        <f>IF(DO44&gt;0,0,CW44)</f>
        <v/>
      </c>
      <c r="ED44" s="7">
        <f>CX44-DE44+DP44</f>
        <v/>
      </c>
      <c r="EE44" s="7">
        <f>IF(IF(11=0,"",EE43)&lt;&gt;"",EE43,IF(AND(BB44=1,DU44&lt;=0.5,DV44&lt;=0.5,OR(BH44=0,BJ44=1)),A44,""))</f>
        <v/>
      </c>
      <c r="EF44" s="7">
        <f>DU44+DV44+DW44+EA44+ED44+CD44</f>
        <v/>
      </c>
      <c r="EG44" s="7">
        <f>DR44+DS44+DT44-EF44</f>
        <v/>
      </c>
      <c r="EH44" s="7">
        <f>EG44/(1+g_inf)^(A44+1-2026)</f>
        <v/>
      </c>
    </row>
    <row r="45">
      <c r="A45" t="n">
        <v>2039</v>
      </c>
      <c r="B45" t="n">
        <v>12</v>
      </c>
      <c r="C45" s="7">
        <f>(1+g_inf)^(A45-2026)</f>
        <v/>
      </c>
      <c r="D45" s="7">
        <f>SUMPRODUCT($AF$5:$AF$29,$E$5:$E$29*(1+$F$5:$F$29)^(A45-2026)*$G$5:$G$29*$H$5:$H$29*(1-$N$5:$N$29*$O$5:$O$29))*g_salMult+SUMPRODUCT(($B$5:$B$29&gt;=A45)*($B$5:$B$29&lt;A45+1)*$I$5:$I$29)*g_salMult</f>
        <v/>
      </c>
      <c r="E45" s="7">
        <f>SUMPRODUCT($AF$5:$AF$29,$E$5:$E$29*(1+$F$5:$F$29)^(A45-2026)*$G$5:$G$29*$H$5:$H$29*$M$5:$M$29)*g_salMult</f>
        <v/>
      </c>
      <c r="F45" s="7">
        <f>SUMPRODUCT($AF$5:$AF$29,$E$5:$E$29*(1+$F$5:$F$29)^(A45-2026)*$G$5:$G$29*$H$5:$H$29*$N$5:$N$29*$O$5:$O$29)*g_salMult</f>
        <v/>
      </c>
      <c r="G45" s="7">
        <f>SUMPRODUCT($AF$5:$AF$29,$P$5:$P$29*(1+$F$5:$F$29)^(A45-2026))</f>
        <v/>
      </c>
      <c r="H45" s="7">
        <f>SUMPRODUCT($AF$5:$AF$29,$Q$5:$Q$29*(1+$F$5:$F$29)^(A45-2026))+IF(personal_llcActivo=1,personal_llcNeto*(1+personal_llcCrecimiento)^12,0)</f>
        <v/>
      </c>
      <c r="I45" s="7">
        <f>SUMPRODUCT($AF$5:$AF$29,$J$5:$J$29/($C$5:$C$29-$B$5:$B$29+($C$5:$C$29=$B$5:$B$29)))*C45</f>
        <v/>
      </c>
      <c r="J45" s="7">
        <f>SUMPRODUCT($AF$5:$AF$29,$K$5:$K$29)</f>
        <v/>
      </c>
      <c r="K45" s="7">
        <f>SUMPRODUCT($AF$5:$AF$29,$L$5:$L$29)</f>
        <v/>
      </c>
      <c r="L45" s="7">
        <f>SUMPRODUCT($AF$5:$AF$29,$N$5:$N$29)</f>
        <v/>
      </c>
      <c r="M45" s="7">
        <f>IF(SUMPRODUCT($AF$5:$AF$29,$R$5:$R$29)&gt;0,1,0)</f>
        <v/>
      </c>
      <c r="N45" s="7">
        <f>SUMPRODUCT(($AO$5:$AO$24&gt;=A45)*($AO$5:$AO$24&lt;A45+1)*$AP$5:$AP$24)*C45+IF(12=0,IF(sel_loc&lt;&gt;"miami",personal_costoMudanzaInicial,0),0)</f>
        <v/>
      </c>
      <c r="O45" s="7">
        <f>MIN(personal_aporte403bPct*D45,retiro_limite403b*C45)</f>
        <v/>
      </c>
      <c r="P45" s="7">
        <f>MIN(personal_aporte403bPct,personal_match403bPct)*E45</f>
        <v/>
      </c>
      <c r="Q45" s="7">
        <f>IF(G45&gt;0,MAX(0,G45-impuestos_scorpCostoAnual*C45),0)</f>
        <v/>
      </c>
      <c r="R45" s="7">
        <f>Q45*impuestos_scorpSalarioPct/(1+impuestos_ssTasa+impuestos_medicareTasa)</f>
        <v/>
      </c>
      <c r="S45" s="7">
        <f>impuestos_ssTasa*MIN(R45,MAX(0,impuestos_ssTope*C45-D45))+impuestos_medicareTasa*R45</f>
        <v/>
      </c>
      <c r="T45" s="7">
        <f>Q45-R45-S45</f>
        <v/>
      </c>
      <c r="U45" s="7">
        <f>D45+R45</f>
        <v/>
      </c>
      <c r="V45" s="7">
        <f>H45*0.9235</f>
        <v/>
      </c>
      <c r="W45" s="7">
        <f>IF(H45&gt;0,2*impuestos_ssTasa*MIN(V45,MAX(0,impuestos_ssTope*C45-U45))+2*impuestos_medicareTasa*V45,0)</f>
        <v/>
      </c>
      <c r="X45" s="7">
        <f>impuestos_ssTasa*MIN(U45,impuestos_ssTope*C45)+impuestos_medicareTasa*U45+impuestos_medicareAdicional*MAX(0,U45+H45*0.9235-impuestos_medicareUmbral)</f>
        <v/>
      </c>
      <c r="Y45" s="7">
        <f>MAX(0,D45-O45+R45+T45+H45-W45/2)</f>
        <v/>
      </c>
      <c r="Z45" s="7">
        <f>MAX(0,Y45-impuestos_deduccionEstandar*C45)</f>
        <v/>
      </c>
      <c r="AA45" s="7">
        <f>MIN(0.2*MAX(0,T45+H45-W45/2)*MAX(0,MIN(1,1-(Z45-impuestos_qbiUmbral*C45)/(impuestos_qbiRango*C45))),0.2*Z45)</f>
        <v/>
      </c>
      <c r="AB45" s="7">
        <f>MAX(0,Z45-AA45)</f>
        <v/>
      </c>
      <c r="AC45" s="7">
        <f>SUMPRODUCT((AB45&gt;tb_federalBrackets_lo*C45)*(AB45-tb_federalBrackets_lo*C45)*tb_federalBrackets_dr)</f>
        <v/>
      </c>
      <c r="AD45" s="7">
        <f>MAX(0,Y45-impuestos_nyDeduccion*C45)</f>
        <v/>
      </c>
      <c r="AE45" s="7">
        <f>CHOOSE(loc_taxcode,0,impuestos_ohTasa*MAX(0,Y45-impuestos_ohExento*C45)+impuestos_ohMunicipal*U45,SUMPRODUCT((AD45&gt;tb_nyBrackets_lo*C45)*(AD45-tb_nyBrackets_lo*C45)*tb_nyBrackets_dr)+loc_nyc*SUMPRODUCT((AD45&gt;tb_nycBrackets_lo*C45)*(AD45-tb_nycBrackets_lo*C45)*tb_nycBrackets_dr))</f>
        <v/>
      </c>
      <c r="AF45" s="7">
        <f>AC45+AE45+X45+W45</f>
        <v/>
      </c>
      <c r="AG45" s="7">
        <f>D45+F45+R45+T45+H45</f>
        <v/>
      </c>
      <c r="AH45" s="7">
        <f>AG45-AF45-O45</f>
        <v/>
      </c>
      <c r="AI45" s="7">
        <f>D45+F45+G45+H45</f>
        <v/>
      </c>
      <c r="AJ45" s="7">
        <f>loc_gastosVida*C45*g_gastos</f>
        <v/>
      </c>
      <c r="AK45" s="7">
        <f>IF(12=0,personal_liquidoInicial,DR44)</f>
        <v/>
      </c>
      <c r="AL45" s="7">
        <f>IF(12=0,0,BB44)</f>
        <v/>
      </c>
      <c r="AM45" s="7">
        <f>CHOOSE(sel_cfgIdx,loc_precio_duplex,loc_precio_inlaw,loc_precio_dosCasas,loc_precio_casaAdu,loc_precio_multi)</f>
        <v/>
      </c>
      <c r="AN45" s="7">
        <f>AM45*(1+g_appr)^(A45-2026)</f>
        <v/>
      </c>
      <c r="AO45" s="7">
        <f>IF(AND(M45=1,vivienda_prestamoMedico=1),1,0)</f>
        <v/>
      </c>
      <c r="AP45" s="7">
        <f>IF(AO45=1,0.05,vivienda_enganchePct)</f>
        <v/>
      </c>
      <c r="AQ45" s="7">
        <f>AN45*(1-AP45)</f>
        <v/>
      </c>
      <c r="AR45" s="7">
        <f>PMT(g_mortRate/12,vivienda_plazoHipoteca*12,-AQ45)</f>
        <v/>
      </c>
      <c r="AS45" s="7">
        <f>INDEX(cfg_units,sel_cfgIdx)</f>
        <v/>
      </c>
      <c r="AT45" s="7">
        <f>AS45*loc_rentaUnidad*(1+g_inf)^(A45-2026)*(1-vivienda_vacancia)</f>
        <v/>
      </c>
      <c r="AU45" s="7">
        <f>AR45+AN45*loc_impuestoPropPct/12+AM45*loc_seguroPct*(1+vivienda_inflacionSeguro)^(A45-2026)/12+IF(AND(AO45=0,AP45&lt;0.2),AQ45*vivienda_pmiTasa/12,0)</f>
        <v/>
      </c>
      <c r="AV45" s="7">
        <f>AN45*AP45+AN45*vivienda_cierrePct+general_reservaMeses/12*AJ45</f>
        <v/>
      </c>
      <c r="AW45" s="7">
        <f>(IF(12=0,MIN(personal_irsSaldo,personal_irsPagoMensual*12),MIN(CD44,personal_irsPagoMensual*12))+IF(CE45&gt;0,PMT(CF45,MAX(1,prestamos_plazoAnios-CG45),-CE45),0)+IF(CR45&gt;0,PMT(CS45,MAX(1,prestamos_plazoAnios-CT45),-CR45),0))/12</f>
        <v/>
      </c>
      <c r="AX45" s="7">
        <f>IF(OR(sel_cfg="duplex",sel_cfg="multi",sel_cfg="dosCasas"),0.75*personal_aporteFamiliaMensual,0)</f>
        <v/>
      </c>
      <c r="AY45" s="7">
        <f>AU45-0.75*AT45-AX45+AW45</f>
        <v/>
      </c>
      <c r="AZ45" s="7">
        <f>(D45+G45+H45+0.5*F45)/12</f>
        <v/>
      </c>
      <c r="BA45" s="7">
        <f>IF(AND(AL45=0,A45&gt;=vivienda_anioMinCompra,J45&lt;0.5,AI45&gt;0,AK45&gt;=AV45,AY45&lt;=vivienda_dtiMax*AZ45),1,0)</f>
        <v/>
      </c>
      <c r="BB45" s="7">
        <f>MAX(AL45,BA45)</f>
        <v/>
      </c>
      <c r="BC45" s="7">
        <f>IF(BA45=1,A45,IF(12=0,"",BC44))</f>
        <v/>
      </c>
      <c r="BD45" s="7">
        <f>AK45-IF(BA45=1,AN45*AP45+AN45*vivienda_cierrePct,0)</f>
        <v/>
      </c>
      <c r="BE45" s="7">
        <f>IF(BA45=1,AN45,IF(12=0,0,BE44))</f>
        <v/>
      </c>
      <c r="BF45" s="7">
        <f>IF(BA45=1,AR45,IF(12=0,0,BF44))</f>
        <v/>
      </c>
      <c r="BG45" s="7">
        <f>IF(BA45=1,IF(AND(AO45=0,AP45&lt;0.2),1,0),IF(12=0,0,BY44))</f>
        <v/>
      </c>
      <c r="BH45" s="7">
        <f>IF(sel_cfg="casaAdu",1,0)</f>
        <v/>
      </c>
      <c r="BI45" s="7">
        <f>IF(AND(BB45=1,BH45=1,IF(12=0,0,BJ44)=0,A45&gt;=IF(BC45="",9999,BC45)+vivienda_aduRetrasoAnios),1,0)</f>
        <v/>
      </c>
      <c r="BJ45" s="7">
        <f>MAX(IF(12=0,0,BJ44),BI45)</f>
        <v/>
      </c>
      <c r="BK45" s="7">
        <f>IF(BI45=1,PMT((g_mortRate+0.005)/12,180,-loc_precio_aduCosto*C45),IF(12=0,0,BK44))</f>
        <v/>
      </c>
      <c r="BL45" s="7">
        <f>IF(BA45=1,AN45,IF(12=0,0,DT44))+IF(BI45=1,loc_precio_aduCosto*C45,0)</f>
        <v/>
      </c>
      <c r="BM45" s="7">
        <f>IF(BA45=1,AQ45,IF(12=0,0,DU44))</f>
        <v/>
      </c>
      <c r="BN45" s="7">
        <f>IF(BM45&lt;=0,0,FV(g_mortRate/12,12,BF45,-BM45))</f>
        <v/>
      </c>
      <c r="BO45" s="7">
        <f>IF(BM45&lt;=0,0,12*BF45+MIN(0,BN45))</f>
        <v/>
      </c>
      <c r="BP45" s="7">
        <f>MAX(0,BN45)</f>
        <v/>
      </c>
      <c r="BQ45" s="7">
        <f>IF(BI45=1,loc_precio_aduCosto*C45,IF(12=0,0,DV44))</f>
        <v/>
      </c>
      <c r="BR45" s="7">
        <f>IF(BQ45&lt;=0,0,FV((g_mortRate+0.005)/12,12,BK45,-BQ45))</f>
        <v/>
      </c>
      <c r="BS45" s="7">
        <f>IF(BQ45&lt;=0,0,12*BK45+MIN(0,BR45))</f>
        <v/>
      </c>
      <c r="BT45" s="7">
        <f>MAX(0,BR45)</f>
        <v/>
      </c>
      <c r="BU45" s="7">
        <f>IF(BB45=1,AM45*loc_seguroPct*(1+vivienda_inflacionSeguro)^(A45-2026)*IF(BJ45=1,1+loc_precio_aduCosto/AM45,1),0)</f>
        <v/>
      </c>
      <c r="BV45" s="7">
        <f>BL45*loc_impuestoPropPct</f>
        <v/>
      </c>
      <c r="BW45" s="7">
        <f>BL45*vivienda_mantenimientoPct</f>
        <v/>
      </c>
      <c r="BX45" s="7">
        <f>IF(AND(BG45=1,BP45&gt;0.8*BE45),BE45*(1-vivienda_enganchePct)*vivienda_pmiTasa,0)</f>
        <v/>
      </c>
      <c r="BY45" s="7">
        <f>IF(AND(BG45=1,BP45&gt;0.8*BE45),1,0)</f>
        <v/>
      </c>
      <c r="BZ45" s="7">
        <f>IF(BB45=1,AS45*loc_rentaUnidad*12*C45*(1-vivienda_vacancia)*(1-vivienda_gestionPct),0)</f>
        <v/>
      </c>
      <c r="CA45" s="7">
        <f>IF(BB45=1,BO45+BS45+BU45+BV45+BW45+BX45,loc_rentaMensual*12*C45)</f>
        <v/>
      </c>
      <c r="CB45" s="7">
        <f>IF(BB45=1,personal_aporteFamiliaMensual*12,0)</f>
        <v/>
      </c>
      <c r="CC45" s="7">
        <f>MIN(IF(12=0,personal_irsSaldo,CD44),personal_irsPagoMensual*12)</f>
        <v/>
      </c>
      <c r="CD45" s="7">
        <f>IF(12=0,personal_irsSaldo,CD44)-CC45</f>
        <v/>
      </c>
      <c r="CE45" s="7">
        <f>IF(12=0,IF(personal_deudaEsFederal=1,personal_deudaEstudiantil,0),DW44)</f>
        <v/>
      </c>
      <c r="CF45" s="7">
        <f>IF(12=0,personal_tasaDeudaEstudiantil,DX44)</f>
        <v/>
      </c>
      <c r="CG45" s="7">
        <f>IF(12=0,0,DY44)</f>
        <v/>
      </c>
      <c r="CH45" s="7">
        <f>IF(J45&gt;=0.5,1,0)</f>
        <v/>
      </c>
      <c r="CI45" s="7">
        <f>IF(AND(CH45=0,prestamos_pslfActivo=1,K45&gt;=0.5,CE45&gt;0),1,0)</f>
        <v/>
      </c>
      <c r="CJ45" s="7">
        <f>CE45*CF45</f>
        <v/>
      </c>
      <c r="CK45" s="7">
        <f>MAX(prestamos_rapPagoMinimoAnual,IF(Y45&lt;10000,0,MIN(0.1,INT(Y45/10000)/100))*Y45)</f>
        <v/>
      </c>
      <c r="CL45" s="7">
        <f>IF(CE45&lt;=0,0,IF(CH45=1,0,IF(CI45=1,MIN(CE45+CJ45,CK45),PMT(CF45,MAX(1,prestamos_plazoAnios-CG45),-CE45))))</f>
        <v/>
      </c>
      <c r="CM45" s="7">
        <f>IF(CE45&lt;=0,0,IF(CH45=1,CE45+CJ45,IF(CI45=1,MAX(0,CE45-MAX(CL45-CJ45,MIN(600,CL45))),MAX(0,CE45*(1+CF45)-CL45))))</f>
        <v/>
      </c>
      <c r="CN45" s="7">
        <f>IF(12=0,0,CN44)+IF(CI45=1,12*MIN(1,K45),0)</f>
        <v/>
      </c>
      <c r="CO45" s="7">
        <f>IF(AND(CI45=1,CN45&gt;=prestamos_pslfPagos,CM45&gt;0),CM45,0)</f>
        <v/>
      </c>
      <c r="CP45" s="7">
        <f>CM45-CO45</f>
        <v/>
      </c>
      <c r="CQ45" s="7">
        <f>IF(AND(CE45&gt;0,CH45=0,CI45=0),CG45+1,CG45)</f>
        <v/>
      </c>
      <c r="CR45" s="7">
        <f>IF(12=0,IF(personal_deudaEsFederal=1,0,personal_deudaEstudiantil),EA44)</f>
        <v/>
      </c>
      <c r="CS45" s="7">
        <f>IF(12=0,IF(personal_deudaEsFederal=1,prestamos_tasaPrivada,personal_tasaDeudaEstudiantil),EB44)</f>
        <v/>
      </c>
      <c r="CT45" s="7">
        <f>IF(12=0,0,EC44)</f>
        <v/>
      </c>
      <c r="CU45" s="7">
        <f>IF(OR(CR45&lt;=0,CH45=1),0,PMT(CS45,MAX(1,prestamos_plazoAnios-CT45),-CR45))</f>
        <v/>
      </c>
      <c r="CV45" s="7">
        <f>IF(CR45&lt;=0,0,IF(CH45=1,CR45*(1+CS45),MAX(0,CR45*(1+CS45)-CU45)))</f>
        <v/>
      </c>
      <c r="CW45" s="7">
        <f>IF(AND(CR45&gt;0,CH45=0),CT45+1,CT45)</f>
        <v/>
      </c>
      <c r="CX45" s="7">
        <f>IF(12=0,0,ED44)*(1+general_tasaDeudaConsumo)</f>
        <v/>
      </c>
      <c r="CY45" s="7">
        <f>L45*12*tiempos_travelGastoExtraMes*C45</f>
        <v/>
      </c>
      <c r="CZ45" s="7">
        <f>AJ45+CY45+CA45+CC45+CL45+CU45+I45+N45-BZ45-CB45</f>
        <v/>
      </c>
      <c r="DA45" s="7">
        <f>AH45-CZ45</f>
        <v/>
      </c>
      <c r="DB45" s="7">
        <f>IF(12=0,0,DB44)+DA45</f>
        <v/>
      </c>
      <c r="DC45" s="7">
        <f>AN45*vivienda_enganchePct+AN45*vivienda_cierrePct+general_reservaMeses/12*AJ45</f>
        <v/>
      </c>
      <c r="DD45" s="7">
        <f>IF(BB45=1,g_ret,IF(BD45&gt;0,MIN(1,DC45/BD45),1)*g_cash+(1-IF(BD45&gt;0,MIN(1,DC45/BD45),1))*g_ret)</f>
        <v/>
      </c>
      <c r="DE45" s="7">
        <f>IF(DA45&gt;=0,MIN(CX45,DA45),0)</f>
        <v/>
      </c>
      <c r="DF45" s="7">
        <f>IF(DA45&gt;=0,(1-general_tasaAhorro)*(DA45-DE45),0)</f>
        <v/>
      </c>
      <c r="DG45" s="7">
        <f>IF(DA45&gt;=0,DA45-DE45-DF45,0)</f>
        <v/>
      </c>
      <c r="DH45" s="7">
        <f>MIN(personal_rothAnual,DG45)</f>
        <v/>
      </c>
      <c r="DI45" s="7">
        <f>IF(AND(DA45&gt;=0,BB45=1,BP45+BT45&gt;0),MIN(vivienda_prepagoPct*(DG45-DH45),BP45+BT45),0)</f>
        <v/>
      </c>
      <c r="DJ45" s="7">
        <f>MIN(DI45,BP45)</f>
        <v/>
      </c>
      <c r="DK45" s="7">
        <f>IF(DA45&lt;0,MIN(MAX(0,BD45),-DA45),0)</f>
        <v/>
      </c>
      <c r="DL45" s="7">
        <f>IF(DA45&lt;0,-DA45-DK45,0)</f>
        <v/>
      </c>
      <c r="DM45" s="7">
        <f>IF(12=0,0,DZ44)</f>
        <v/>
      </c>
      <c r="DN45" s="7">
        <f>IF(AND(DL45&gt;0,J45&gt;0),MIN(DL45,MIN(prestamos_topeAnualPosgrado*MIN(1,J45),MAX(0,prestamos_topeTotalPosgrado-DM45))),0)</f>
        <v/>
      </c>
      <c r="DO45" s="7">
        <f>IF(AND(DL45&gt;0,J45&gt;0),DL45-DN45,0)</f>
        <v/>
      </c>
      <c r="DP45" s="7">
        <f>IF(AND(DL45&gt;0,J45&lt;=0),DL45,0)</f>
        <v/>
      </c>
      <c r="DQ45" s="7">
        <f>IF(DA45&gt;=0,DG45-DH45-DI45,-DK45)</f>
        <v/>
      </c>
      <c r="DR45" s="7">
        <f>BD45*(1+DD45)+DQ45*(1+DD45/2)</f>
        <v/>
      </c>
      <c r="DS45" s="7">
        <f>IF(12=0,personal_retiroInicial,DS44)*(1+g_ret)+(O45+P45+DH45)*(1+g_ret/2)</f>
        <v/>
      </c>
      <c r="DT45" s="7">
        <f>IF(BB45=1,BL45*(1+g_appr),0)</f>
        <v/>
      </c>
      <c r="DU45" s="7">
        <f>BP45-DJ45</f>
        <v/>
      </c>
      <c r="DV45" s="7">
        <f>BT45-(DI45-DJ45)</f>
        <v/>
      </c>
      <c r="DW45" s="7">
        <f>CP45+DN45</f>
        <v/>
      </c>
      <c r="DX45" s="7">
        <f>IF(DN45&gt;0,(CP45*CF45+DN45*prestamos_tasaFederalPosgrado)/(CP45+DN45),CF45)</f>
        <v/>
      </c>
      <c r="DY45" s="7">
        <f>IF(DN45&gt;0,0,CQ45)</f>
        <v/>
      </c>
      <c r="DZ45" s="7">
        <f>DM45+DN45</f>
        <v/>
      </c>
      <c r="EA45" s="7">
        <f>CV45+DO45</f>
        <v/>
      </c>
      <c r="EB45" s="7">
        <f>IF(DO45&gt;0,(CV45*CS45+DO45*prestamos_tasaPrivada)/(CV45+DO45),CS45)</f>
        <v/>
      </c>
      <c r="EC45" s="7">
        <f>IF(DO45&gt;0,0,CW45)</f>
        <v/>
      </c>
      <c r="ED45" s="7">
        <f>CX45-DE45+DP45</f>
        <v/>
      </c>
      <c r="EE45" s="7">
        <f>IF(IF(12=0,"",EE44)&lt;&gt;"",EE44,IF(AND(BB45=1,DU45&lt;=0.5,DV45&lt;=0.5,OR(BH45=0,BJ45=1)),A45,""))</f>
        <v/>
      </c>
      <c r="EF45" s="7">
        <f>DU45+DV45+DW45+EA45+ED45+CD45</f>
        <v/>
      </c>
      <c r="EG45" s="7">
        <f>DR45+DS45+DT45-EF45</f>
        <v/>
      </c>
      <c r="EH45" s="7">
        <f>EG45/(1+g_inf)^(A45+1-2026)</f>
        <v/>
      </c>
    </row>
    <row r="46">
      <c r="A46" t="n">
        <v>2040</v>
      </c>
      <c r="B46" t="n">
        <v>13</v>
      </c>
      <c r="C46" s="7">
        <f>(1+g_inf)^(A46-2026)</f>
        <v/>
      </c>
      <c r="D46" s="7">
        <f>SUMPRODUCT($AG$5:$AG$29,$E$5:$E$29*(1+$F$5:$F$29)^(A46-2026)*$G$5:$G$29*$H$5:$H$29*(1-$N$5:$N$29*$O$5:$O$29))*g_salMult+SUMPRODUCT(($B$5:$B$29&gt;=A46)*($B$5:$B$29&lt;A46+1)*$I$5:$I$29)*g_salMult</f>
        <v/>
      </c>
      <c r="E46" s="7">
        <f>SUMPRODUCT($AG$5:$AG$29,$E$5:$E$29*(1+$F$5:$F$29)^(A46-2026)*$G$5:$G$29*$H$5:$H$29*$M$5:$M$29)*g_salMult</f>
        <v/>
      </c>
      <c r="F46" s="7">
        <f>SUMPRODUCT($AG$5:$AG$29,$E$5:$E$29*(1+$F$5:$F$29)^(A46-2026)*$G$5:$G$29*$H$5:$H$29*$N$5:$N$29*$O$5:$O$29)*g_salMult</f>
        <v/>
      </c>
      <c r="G46" s="7">
        <f>SUMPRODUCT($AG$5:$AG$29,$P$5:$P$29*(1+$F$5:$F$29)^(A46-2026))</f>
        <v/>
      </c>
      <c r="H46" s="7">
        <f>SUMPRODUCT($AG$5:$AG$29,$Q$5:$Q$29*(1+$F$5:$F$29)^(A46-2026))+IF(personal_llcActivo=1,personal_llcNeto*(1+personal_llcCrecimiento)^13,0)</f>
        <v/>
      </c>
      <c r="I46" s="7">
        <f>SUMPRODUCT($AG$5:$AG$29,$J$5:$J$29/($C$5:$C$29-$B$5:$B$29+($C$5:$C$29=$B$5:$B$29)))*C46</f>
        <v/>
      </c>
      <c r="J46" s="7">
        <f>SUMPRODUCT($AG$5:$AG$29,$K$5:$K$29)</f>
        <v/>
      </c>
      <c r="K46" s="7">
        <f>SUMPRODUCT($AG$5:$AG$29,$L$5:$L$29)</f>
        <v/>
      </c>
      <c r="L46" s="7">
        <f>SUMPRODUCT($AG$5:$AG$29,$N$5:$N$29)</f>
        <v/>
      </c>
      <c r="M46" s="7">
        <f>IF(SUMPRODUCT($AG$5:$AG$29,$R$5:$R$29)&gt;0,1,0)</f>
        <v/>
      </c>
      <c r="N46" s="7">
        <f>SUMPRODUCT(($AO$5:$AO$24&gt;=A46)*($AO$5:$AO$24&lt;A46+1)*$AP$5:$AP$24)*C46+IF(13=0,IF(sel_loc&lt;&gt;"miami",personal_costoMudanzaInicial,0),0)</f>
        <v/>
      </c>
      <c r="O46" s="7">
        <f>MIN(personal_aporte403bPct*D46,retiro_limite403b*C46)</f>
        <v/>
      </c>
      <c r="P46" s="7">
        <f>MIN(personal_aporte403bPct,personal_match403bPct)*E46</f>
        <v/>
      </c>
      <c r="Q46" s="7">
        <f>IF(G46&gt;0,MAX(0,G46-impuestos_scorpCostoAnual*C46),0)</f>
        <v/>
      </c>
      <c r="R46" s="7">
        <f>Q46*impuestos_scorpSalarioPct/(1+impuestos_ssTasa+impuestos_medicareTasa)</f>
        <v/>
      </c>
      <c r="S46" s="7">
        <f>impuestos_ssTasa*MIN(R46,MAX(0,impuestos_ssTope*C46-D46))+impuestos_medicareTasa*R46</f>
        <v/>
      </c>
      <c r="T46" s="7">
        <f>Q46-R46-S46</f>
        <v/>
      </c>
      <c r="U46" s="7">
        <f>D46+R46</f>
        <v/>
      </c>
      <c r="V46" s="7">
        <f>H46*0.9235</f>
        <v/>
      </c>
      <c r="W46" s="7">
        <f>IF(H46&gt;0,2*impuestos_ssTasa*MIN(V46,MAX(0,impuestos_ssTope*C46-U46))+2*impuestos_medicareTasa*V46,0)</f>
        <v/>
      </c>
      <c r="X46" s="7">
        <f>impuestos_ssTasa*MIN(U46,impuestos_ssTope*C46)+impuestos_medicareTasa*U46+impuestos_medicareAdicional*MAX(0,U46+H46*0.9235-impuestos_medicareUmbral)</f>
        <v/>
      </c>
      <c r="Y46" s="7">
        <f>MAX(0,D46-O46+R46+T46+H46-W46/2)</f>
        <v/>
      </c>
      <c r="Z46" s="7">
        <f>MAX(0,Y46-impuestos_deduccionEstandar*C46)</f>
        <v/>
      </c>
      <c r="AA46" s="7">
        <f>MIN(0.2*MAX(0,T46+H46-W46/2)*MAX(0,MIN(1,1-(Z46-impuestos_qbiUmbral*C46)/(impuestos_qbiRango*C46))),0.2*Z46)</f>
        <v/>
      </c>
      <c r="AB46" s="7">
        <f>MAX(0,Z46-AA46)</f>
        <v/>
      </c>
      <c r="AC46" s="7">
        <f>SUMPRODUCT((AB46&gt;tb_federalBrackets_lo*C46)*(AB46-tb_federalBrackets_lo*C46)*tb_federalBrackets_dr)</f>
        <v/>
      </c>
      <c r="AD46" s="7">
        <f>MAX(0,Y46-impuestos_nyDeduccion*C46)</f>
        <v/>
      </c>
      <c r="AE46" s="7">
        <f>CHOOSE(loc_taxcode,0,impuestos_ohTasa*MAX(0,Y46-impuestos_ohExento*C46)+impuestos_ohMunicipal*U46,SUMPRODUCT((AD46&gt;tb_nyBrackets_lo*C46)*(AD46-tb_nyBrackets_lo*C46)*tb_nyBrackets_dr)+loc_nyc*SUMPRODUCT((AD46&gt;tb_nycBrackets_lo*C46)*(AD46-tb_nycBrackets_lo*C46)*tb_nycBrackets_dr))</f>
        <v/>
      </c>
      <c r="AF46" s="7">
        <f>AC46+AE46+X46+W46</f>
        <v/>
      </c>
      <c r="AG46" s="7">
        <f>D46+F46+R46+T46+H46</f>
        <v/>
      </c>
      <c r="AH46" s="7">
        <f>AG46-AF46-O46</f>
        <v/>
      </c>
      <c r="AI46" s="7">
        <f>D46+F46+G46+H46</f>
        <v/>
      </c>
      <c r="AJ46" s="7">
        <f>loc_gastosVida*C46*g_gastos</f>
        <v/>
      </c>
      <c r="AK46" s="7">
        <f>IF(13=0,personal_liquidoInicial,DR45)</f>
        <v/>
      </c>
      <c r="AL46" s="7">
        <f>IF(13=0,0,BB45)</f>
        <v/>
      </c>
      <c r="AM46" s="7">
        <f>CHOOSE(sel_cfgIdx,loc_precio_duplex,loc_precio_inlaw,loc_precio_dosCasas,loc_precio_casaAdu,loc_precio_multi)</f>
        <v/>
      </c>
      <c r="AN46" s="7">
        <f>AM46*(1+g_appr)^(A46-2026)</f>
        <v/>
      </c>
      <c r="AO46" s="7">
        <f>IF(AND(M46=1,vivienda_prestamoMedico=1),1,0)</f>
        <v/>
      </c>
      <c r="AP46" s="7">
        <f>IF(AO46=1,0.05,vivienda_enganchePct)</f>
        <v/>
      </c>
      <c r="AQ46" s="7">
        <f>AN46*(1-AP46)</f>
        <v/>
      </c>
      <c r="AR46" s="7">
        <f>PMT(g_mortRate/12,vivienda_plazoHipoteca*12,-AQ46)</f>
        <v/>
      </c>
      <c r="AS46" s="7">
        <f>INDEX(cfg_units,sel_cfgIdx)</f>
        <v/>
      </c>
      <c r="AT46" s="7">
        <f>AS46*loc_rentaUnidad*(1+g_inf)^(A46-2026)*(1-vivienda_vacancia)</f>
        <v/>
      </c>
      <c r="AU46" s="7">
        <f>AR46+AN46*loc_impuestoPropPct/12+AM46*loc_seguroPct*(1+vivienda_inflacionSeguro)^(A46-2026)/12+IF(AND(AO46=0,AP46&lt;0.2),AQ46*vivienda_pmiTasa/12,0)</f>
        <v/>
      </c>
      <c r="AV46" s="7">
        <f>AN46*AP46+AN46*vivienda_cierrePct+general_reservaMeses/12*AJ46</f>
        <v/>
      </c>
      <c r="AW46" s="7">
        <f>(IF(13=0,MIN(personal_irsSaldo,personal_irsPagoMensual*12),MIN(CD45,personal_irsPagoMensual*12))+IF(CE46&gt;0,PMT(CF46,MAX(1,prestamos_plazoAnios-CG46),-CE46),0)+IF(CR46&gt;0,PMT(CS46,MAX(1,prestamos_plazoAnios-CT46),-CR46),0))/12</f>
        <v/>
      </c>
      <c r="AX46" s="7">
        <f>IF(OR(sel_cfg="duplex",sel_cfg="multi",sel_cfg="dosCasas"),0.75*personal_aporteFamiliaMensual,0)</f>
        <v/>
      </c>
      <c r="AY46" s="7">
        <f>AU46-0.75*AT46-AX46+AW46</f>
        <v/>
      </c>
      <c r="AZ46" s="7">
        <f>(D46+G46+H46+0.5*F46)/12</f>
        <v/>
      </c>
      <c r="BA46" s="7">
        <f>IF(AND(AL46=0,A46&gt;=vivienda_anioMinCompra,J46&lt;0.5,AI46&gt;0,AK46&gt;=AV46,AY46&lt;=vivienda_dtiMax*AZ46),1,0)</f>
        <v/>
      </c>
      <c r="BB46" s="7">
        <f>MAX(AL46,BA46)</f>
        <v/>
      </c>
      <c r="BC46" s="7">
        <f>IF(BA46=1,A46,IF(13=0,"",BC45))</f>
        <v/>
      </c>
      <c r="BD46" s="7">
        <f>AK46-IF(BA46=1,AN46*AP46+AN46*vivienda_cierrePct,0)</f>
        <v/>
      </c>
      <c r="BE46" s="7">
        <f>IF(BA46=1,AN46,IF(13=0,0,BE45))</f>
        <v/>
      </c>
      <c r="BF46" s="7">
        <f>IF(BA46=1,AR46,IF(13=0,0,BF45))</f>
        <v/>
      </c>
      <c r="BG46" s="7">
        <f>IF(BA46=1,IF(AND(AO46=0,AP46&lt;0.2),1,0),IF(13=0,0,BY45))</f>
        <v/>
      </c>
      <c r="BH46" s="7">
        <f>IF(sel_cfg="casaAdu",1,0)</f>
        <v/>
      </c>
      <c r="BI46" s="7">
        <f>IF(AND(BB46=1,BH46=1,IF(13=0,0,BJ45)=0,A46&gt;=IF(BC46="",9999,BC46)+vivienda_aduRetrasoAnios),1,0)</f>
        <v/>
      </c>
      <c r="BJ46" s="7">
        <f>MAX(IF(13=0,0,BJ45),BI46)</f>
        <v/>
      </c>
      <c r="BK46" s="7">
        <f>IF(BI46=1,PMT((g_mortRate+0.005)/12,180,-loc_precio_aduCosto*C46),IF(13=0,0,BK45))</f>
        <v/>
      </c>
      <c r="BL46" s="7">
        <f>IF(BA46=1,AN46,IF(13=0,0,DT45))+IF(BI46=1,loc_precio_aduCosto*C46,0)</f>
        <v/>
      </c>
      <c r="BM46" s="7">
        <f>IF(BA46=1,AQ46,IF(13=0,0,DU45))</f>
        <v/>
      </c>
      <c r="BN46" s="7">
        <f>IF(BM46&lt;=0,0,FV(g_mortRate/12,12,BF46,-BM46))</f>
        <v/>
      </c>
      <c r="BO46" s="7">
        <f>IF(BM46&lt;=0,0,12*BF46+MIN(0,BN46))</f>
        <v/>
      </c>
      <c r="BP46" s="7">
        <f>MAX(0,BN46)</f>
        <v/>
      </c>
      <c r="BQ46" s="7">
        <f>IF(BI46=1,loc_precio_aduCosto*C46,IF(13=0,0,DV45))</f>
        <v/>
      </c>
      <c r="BR46" s="7">
        <f>IF(BQ46&lt;=0,0,FV((g_mortRate+0.005)/12,12,BK46,-BQ46))</f>
        <v/>
      </c>
      <c r="BS46" s="7">
        <f>IF(BQ46&lt;=0,0,12*BK46+MIN(0,BR46))</f>
        <v/>
      </c>
      <c r="BT46" s="7">
        <f>MAX(0,BR46)</f>
        <v/>
      </c>
      <c r="BU46" s="7">
        <f>IF(BB46=1,AM46*loc_seguroPct*(1+vivienda_inflacionSeguro)^(A46-2026)*IF(BJ46=1,1+loc_precio_aduCosto/AM46,1),0)</f>
        <v/>
      </c>
      <c r="BV46" s="7">
        <f>BL46*loc_impuestoPropPct</f>
        <v/>
      </c>
      <c r="BW46" s="7">
        <f>BL46*vivienda_mantenimientoPct</f>
        <v/>
      </c>
      <c r="BX46" s="7">
        <f>IF(AND(BG46=1,BP46&gt;0.8*BE46),BE46*(1-vivienda_enganchePct)*vivienda_pmiTasa,0)</f>
        <v/>
      </c>
      <c r="BY46" s="7">
        <f>IF(AND(BG46=1,BP46&gt;0.8*BE46),1,0)</f>
        <v/>
      </c>
      <c r="BZ46" s="7">
        <f>IF(BB46=1,AS46*loc_rentaUnidad*12*C46*(1-vivienda_vacancia)*(1-vivienda_gestionPct),0)</f>
        <v/>
      </c>
      <c r="CA46" s="7">
        <f>IF(BB46=1,BO46+BS46+BU46+BV46+BW46+BX46,loc_rentaMensual*12*C46)</f>
        <v/>
      </c>
      <c r="CB46" s="7">
        <f>IF(BB46=1,personal_aporteFamiliaMensual*12,0)</f>
        <v/>
      </c>
      <c r="CC46" s="7">
        <f>MIN(IF(13=0,personal_irsSaldo,CD45),personal_irsPagoMensual*12)</f>
        <v/>
      </c>
      <c r="CD46" s="7">
        <f>IF(13=0,personal_irsSaldo,CD45)-CC46</f>
        <v/>
      </c>
      <c r="CE46" s="7">
        <f>IF(13=0,IF(personal_deudaEsFederal=1,personal_deudaEstudiantil,0),DW45)</f>
        <v/>
      </c>
      <c r="CF46" s="7">
        <f>IF(13=0,personal_tasaDeudaEstudiantil,DX45)</f>
        <v/>
      </c>
      <c r="CG46" s="7">
        <f>IF(13=0,0,DY45)</f>
        <v/>
      </c>
      <c r="CH46" s="7">
        <f>IF(J46&gt;=0.5,1,0)</f>
        <v/>
      </c>
      <c r="CI46" s="7">
        <f>IF(AND(CH46=0,prestamos_pslfActivo=1,K46&gt;=0.5,CE46&gt;0),1,0)</f>
        <v/>
      </c>
      <c r="CJ46" s="7">
        <f>CE46*CF46</f>
        <v/>
      </c>
      <c r="CK46" s="7">
        <f>MAX(prestamos_rapPagoMinimoAnual,IF(Y46&lt;10000,0,MIN(0.1,INT(Y46/10000)/100))*Y46)</f>
        <v/>
      </c>
      <c r="CL46" s="7">
        <f>IF(CE46&lt;=0,0,IF(CH46=1,0,IF(CI46=1,MIN(CE46+CJ46,CK46),PMT(CF46,MAX(1,prestamos_plazoAnios-CG46),-CE46))))</f>
        <v/>
      </c>
      <c r="CM46" s="7">
        <f>IF(CE46&lt;=0,0,IF(CH46=1,CE46+CJ46,IF(CI46=1,MAX(0,CE46-MAX(CL46-CJ46,MIN(600,CL46))),MAX(0,CE46*(1+CF46)-CL46))))</f>
        <v/>
      </c>
      <c r="CN46" s="7">
        <f>IF(13=0,0,CN45)+IF(CI46=1,12*MIN(1,K46),0)</f>
        <v/>
      </c>
      <c r="CO46" s="7">
        <f>IF(AND(CI46=1,CN46&gt;=prestamos_pslfPagos,CM46&gt;0),CM46,0)</f>
        <v/>
      </c>
      <c r="CP46" s="7">
        <f>CM46-CO46</f>
        <v/>
      </c>
      <c r="CQ46" s="7">
        <f>IF(AND(CE46&gt;0,CH46=0,CI46=0),CG46+1,CG46)</f>
        <v/>
      </c>
      <c r="CR46" s="7">
        <f>IF(13=0,IF(personal_deudaEsFederal=1,0,personal_deudaEstudiantil),EA45)</f>
        <v/>
      </c>
      <c r="CS46" s="7">
        <f>IF(13=0,IF(personal_deudaEsFederal=1,prestamos_tasaPrivada,personal_tasaDeudaEstudiantil),EB45)</f>
        <v/>
      </c>
      <c r="CT46" s="7">
        <f>IF(13=0,0,EC45)</f>
        <v/>
      </c>
      <c r="CU46" s="7">
        <f>IF(OR(CR46&lt;=0,CH46=1),0,PMT(CS46,MAX(1,prestamos_plazoAnios-CT46),-CR46))</f>
        <v/>
      </c>
      <c r="CV46" s="7">
        <f>IF(CR46&lt;=0,0,IF(CH46=1,CR46*(1+CS46),MAX(0,CR46*(1+CS46)-CU46)))</f>
        <v/>
      </c>
      <c r="CW46" s="7">
        <f>IF(AND(CR46&gt;0,CH46=0),CT46+1,CT46)</f>
        <v/>
      </c>
      <c r="CX46" s="7">
        <f>IF(13=0,0,ED45)*(1+general_tasaDeudaConsumo)</f>
        <v/>
      </c>
      <c r="CY46" s="7">
        <f>L46*12*tiempos_travelGastoExtraMes*C46</f>
        <v/>
      </c>
      <c r="CZ46" s="7">
        <f>AJ46+CY46+CA46+CC46+CL46+CU46+I46+N46-BZ46-CB46</f>
        <v/>
      </c>
      <c r="DA46" s="7">
        <f>AH46-CZ46</f>
        <v/>
      </c>
      <c r="DB46" s="7">
        <f>IF(13=0,0,DB45)+DA46</f>
        <v/>
      </c>
      <c r="DC46" s="7">
        <f>AN46*vivienda_enganchePct+AN46*vivienda_cierrePct+general_reservaMeses/12*AJ46</f>
        <v/>
      </c>
      <c r="DD46" s="7">
        <f>IF(BB46=1,g_ret,IF(BD46&gt;0,MIN(1,DC46/BD46),1)*g_cash+(1-IF(BD46&gt;0,MIN(1,DC46/BD46),1))*g_ret)</f>
        <v/>
      </c>
      <c r="DE46" s="7">
        <f>IF(DA46&gt;=0,MIN(CX46,DA46),0)</f>
        <v/>
      </c>
      <c r="DF46" s="7">
        <f>IF(DA46&gt;=0,(1-general_tasaAhorro)*(DA46-DE46),0)</f>
        <v/>
      </c>
      <c r="DG46" s="7">
        <f>IF(DA46&gt;=0,DA46-DE46-DF46,0)</f>
        <v/>
      </c>
      <c r="DH46" s="7">
        <f>MIN(personal_rothAnual,DG46)</f>
        <v/>
      </c>
      <c r="DI46" s="7">
        <f>IF(AND(DA46&gt;=0,BB46=1,BP46+BT46&gt;0),MIN(vivienda_prepagoPct*(DG46-DH46),BP46+BT46),0)</f>
        <v/>
      </c>
      <c r="DJ46" s="7">
        <f>MIN(DI46,BP46)</f>
        <v/>
      </c>
      <c r="DK46" s="7">
        <f>IF(DA46&lt;0,MIN(MAX(0,BD46),-DA46),0)</f>
        <v/>
      </c>
      <c r="DL46" s="7">
        <f>IF(DA46&lt;0,-DA46-DK46,0)</f>
        <v/>
      </c>
      <c r="DM46" s="7">
        <f>IF(13=0,0,DZ45)</f>
        <v/>
      </c>
      <c r="DN46" s="7">
        <f>IF(AND(DL46&gt;0,J46&gt;0),MIN(DL46,MIN(prestamos_topeAnualPosgrado*MIN(1,J46),MAX(0,prestamos_topeTotalPosgrado-DM46))),0)</f>
        <v/>
      </c>
      <c r="DO46" s="7">
        <f>IF(AND(DL46&gt;0,J46&gt;0),DL46-DN46,0)</f>
        <v/>
      </c>
      <c r="DP46" s="7">
        <f>IF(AND(DL46&gt;0,J46&lt;=0),DL46,0)</f>
        <v/>
      </c>
      <c r="DQ46" s="7">
        <f>IF(DA46&gt;=0,DG46-DH46-DI46,-DK46)</f>
        <v/>
      </c>
      <c r="DR46" s="7">
        <f>BD46*(1+DD46)+DQ46*(1+DD46/2)</f>
        <v/>
      </c>
      <c r="DS46" s="7">
        <f>IF(13=0,personal_retiroInicial,DS45)*(1+g_ret)+(O46+P46+DH46)*(1+g_ret/2)</f>
        <v/>
      </c>
      <c r="DT46" s="7">
        <f>IF(BB46=1,BL46*(1+g_appr),0)</f>
        <v/>
      </c>
      <c r="DU46" s="7">
        <f>BP46-DJ46</f>
        <v/>
      </c>
      <c r="DV46" s="7">
        <f>BT46-(DI46-DJ46)</f>
        <v/>
      </c>
      <c r="DW46" s="7">
        <f>CP46+DN46</f>
        <v/>
      </c>
      <c r="DX46" s="7">
        <f>IF(DN46&gt;0,(CP46*CF46+DN46*prestamos_tasaFederalPosgrado)/(CP46+DN46),CF46)</f>
        <v/>
      </c>
      <c r="DY46" s="7">
        <f>IF(DN46&gt;0,0,CQ46)</f>
        <v/>
      </c>
      <c r="DZ46" s="7">
        <f>DM46+DN46</f>
        <v/>
      </c>
      <c r="EA46" s="7">
        <f>CV46+DO46</f>
        <v/>
      </c>
      <c r="EB46" s="7">
        <f>IF(DO46&gt;0,(CV46*CS46+DO46*prestamos_tasaPrivada)/(CV46+DO46),CS46)</f>
        <v/>
      </c>
      <c r="EC46" s="7">
        <f>IF(DO46&gt;0,0,CW46)</f>
        <v/>
      </c>
      <c r="ED46" s="7">
        <f>CX46-DE46+DP46</f>
        <v/>
      </c>
      <c r="EE46" s="7">
        <f>IF(IF(13=0,"",EE45)&lt;&gt;"",EE45,IF(AND(BB46=1,DU46&lt;=0.5,DV46&lt;=0.5,OR(BH46=0,BJ46=1)),A46,""))</f>
        <v/>
      </c>
      <c r="EF46" s="7">
        <f>DU46+DV46+DW46+EA46+ED46+CD46</f>
        <v/>
      </c>
      <c r="EG46" s="7">
        <f>DR46+DS46+DT46-EF46</f>
        <v/>
      </c>
      <c r="EH46" s="7">
        <f>EG46/(1+g_inf)^(A46+1-2026)</f>
        <v/>
      </c>
    </row>
    <row r="47">
      <c r="A47" t="n">
        <v>2041</v>
      </c>
      <c r="B47" t="n">
        <v>14</v>
      </c>
      <c r="C47" s="7">
        <f>(1+g_inf)^(A47-2026)</f>
        <v/>
      </c>
      <c r="D47" s="7">
        <f>SUMPRODUCT($AH$5:$AH$29,$E$5:$E$29*(1+$F$5:$F$29)^(A47-2026)*$G$5:$G$29*$H$5:$H$29*(1-$N$5:$N$29*$O$5:$O$29))*g_salMult+SUMPRODUCT(($B$5:$B$29&gt;=A47)*($B$5:$B$29&lt;A47+1)*$I$5:$I$29)*g_salMult</f>
        <v/>
      </c>
      <c r="E47" s="7">
        <f>SUMPRODUCT($AH$5:$AH$29,$E$5:$E$29*(1+$F$5:$F$29)^(A47-2026)*$G$5:$G$29*$H$5:$H$29*$M$5:$M$29)*g_salMult</f>
        <v/>
      </c>
      <c r="F47" s="7">
        <f>SUMPRODUCT($AH$5:$AH$29,$E$5:$E$29*(1+$F$5:$F$29)^(A47-2026)*$G$5:$G$29*$H$5:$H$29*$N$5:$N$29*$O$5:$O$29)*g_salMult</f>
        <v/>
      </c>
      <c r="G47" s="7">
        <f>SUMPRODUCT($AH$5:$AH$29,$P$5:$P$29*(1+$F$5:$F$29)^(A47-2026))</f>
        <v/>
      </c>
      <c r="H47" s="7">
        <f>SUMPRODUCT($AH$5:$AH$29,$Q$5:$Q$29*(1+$F$5:$F$29)^(A47-2026))+IF(personal_llcActivo=1,personal_llcNeto*(1+personal_llcCrecimiento)^14,0)</f>
        <v/>
      </c>
      <c r="I47" s="7">
        <f>SUMPRODUCT($AH$5:$AH$29,$J$5:$J$29/($C$5:$C$29-$B$5:$B$29+($C$5:$C$29=$B$5:$B$29)))*C47</f>
        <v/>
      </c>
      <c r="J47" s="7">
        <f>SUMPRODUCT($AH$5:$AH$29,$K$5:$K$29)</f>
        <v/>
      </c>
      <c r="K47" s="7">
        <f>SUMPRODUCT($AH$5:$AH$29,$L$5:$L$29)</f>
        <v/>
      </c>
      <c r="L47" s="7">
        <f>SUMPRODUCT($AH$5:$AH$29,$N$5:$N$29)</f>
        <v/>
      </c>
      <c r="M47" s="7">
        <f>IF(SUMPRODUCT($AH$5:$AH$29,$R$5:$R$29)&gt;0,1,0)</f>
        <v/>
      </c>
      <c r="N47" s="7">
        <f>SUMPRODUCT(($AO$5:$AO$24&gt;=A47)*($AO$5:$AO$24&lt;A47+1)*$AP$5:$AP$24)*C47+IF(14=0,IF(sel_loc&lt;&gt;"miami",personal_costoMudanzaInicial,0),0)</f>
        <v/>
      </c>
      <c r="O47" s="7">
        <f>MIN(personal_aporte403bPct*D47,retiro_limite403b*C47)</f>
        <v/>
      </c>
      <c r="P47" s="7">
        <f>MIN(personal_aporte403bPct,personal_match403bPct)*E47</f>
        <v/>
      </c>
      <c r="Q47" s="7">
        <f>IF(G47&gt;0,MAX(0,G47-impuestos_scorpCostoAnual*C47),0)</f>
        <v/>
      </c>
      <c r="R47" s="7">
        <f>Q47*impuestos_scorpSalarioPct/(1+impuestos_ssTasa+impuestos_medicareTasa)</f>
        <v/>
      </c>
      <c r="S47" s="7">
        <f>impuestos_ssTasa*MIN(R47,MAX(0,impuestos_ssTope*C47-D47))+impuestos_medicareTasa*R47</f>
        <v/>
      </c>
      <c r="T47" s="7">
        <f>Q47-R47-S47</f>
        <v/>
      </c>
      <c r="U47" s="7">
        <f>D47+R47</f>
        <v/>
      </c>
      <c r="V47" s="7">
        <f>H47*0.9235</f>
        <v/>
      </c>
      <c r="W47" s="7">
        <f>IF(H47&gt;0,2*impuestos_ssTasa*MIN(V47,MAX(0,impuestos_ssTope*C47-U47))+2*impuestos_medicareTasa*V47,0)</f>
        <v/>
      </c>
      <c r="X47" s="7">
        <f>impuestos_ssTasa*MIN(U47,impuestos_ssTope*C47)+impuestos_medicareTasa*U47+impuestos_medicareAdicional*MAX(0,U47+H47*0.9235-impuestos_medicareUmbral)</f>
        <v/>
      </c>
      <c r="Y47" s="7">
        <f>MAX(0,D47-O47+R47+T47+H47-W47/2)</f>
        <v/>
      </c>
      <c r="Z47" s="7">
        <f>MAX(0,Y47-impuestos_deduccionEstandar*C47)</f>
        <v/>
      </c>
      <c r="AA47" s="7">
        <f>MIN(0.2*MAX(0,T47+H47-W47/2)*MAX(0,MIN(1,1-(Z47-impuestos_qbiUmbral*C47)/(impuestos_qbiRango*C47))),0.2*Z47)</f>
        <v/>
      </c>
      <c r="AB47" s="7">
        <f>MAX(0,Z47-AA47)</f>
        <v/>
      </c>
      <c r="AC47" s="7">
        <f>SUMPRODUCT((AB47&gt;tb_federalBrackets_lo*C47)*(AB47-tb_federalBrackets_lo*C47)*tb_federalBrackets_dr)</f>
        <v/>
      </c>
      <c r="AD47" s="7">
        <f>MAX(0,Y47-impuestos_nyDeduccion*C47)</f>
        <v/>
      </c>
      <c r="AE47" s="7">
        <f>CHOOSE(loc_taxcode,0,impuestos_ohTasa*MAX(0,Y47-impuestos_ohExento*C47)+impuestos_ohMunicipal*U47,SUMPRODUCT((AD47&gt;tb_nyBrackets_lo*C47)*(AD47-tb_nyBrackets_lo*C47)*tb_nyBrackets_dr)+loc_nyc*SUMPRODUCT((AD47&gt;tb_nycBrackets_lo*C47)*(AD47-tb_nycBrackets_lo*C47)*tb_nycBrackets_dr))</f>
        <v/>
      </c>
      <c r="AF47" s="7">
        <f>AC47+AE47+X47+W47</f>
        <v/>
      </c>
      <c r="AG47" s="7">
        <f>D47+F47+R47+T47+H47</f>
        <v/>
      </c>
      <c r="AH47" s="7">
        <f>AG47-AF47-O47</f>
        <v/>
      </c>
      <c r="AI47" s="7">
        <f>D47+F47+G47+H47</f>
        <v/>
      </c>
      <c r="AJ47" s="7">
        <f>loc_gastosVida*C47*g_gastos</f>
        <v/>
      </c>
      <c r="AK47" s="7">
        <f>IF(14=0,personal_liquidoInicial,DR46)</f>
        <v/>
      </c>
      <c r="AL47" s="7">
        <f>IF(14=0,0,BB46)</f>
        <v/>
      </c>
      <c r="AM47" s="7">
        <f>CHOOSE(sel_cfgIdx,loc_precio_duplex,loc_precio_inlaw,loc_precio_dosCasas,loc_precio_casaAdu,loc_precio_multi)</f>
        <v/>
      </c>
      <c r="AN47" s="7">
        <f>AM47*(1+g_appr)^(A47-2026)</f>
        <v/>
      </c>
      <c r="AO47" s="7">
        <f>IF(AND(M47=1,vivienda_prestamoMedico=1),1,0)</f>
        <v/>
      </c>
      <c r="AP47" s="7">
        <f>IF(AO47=1,0.05,vivienda_enganchePct)</f>
        <v/>
      </c>
      <c r="AQ47" s="7">
        <f>AN47*(1-AP47)</f>
        <v/>
      </c>
      <c r="AR47" s="7">
        <f>PMT(g_mortRate/12,vivienda_plazoHipoteca*12,-AQ47)</f>
        <v/>
      </c>
      <c r="AS47" s="7">
        <f>INDEX(cfg_units,sel_cfgIdx)</f>
        <v/>
      </c>
      <c r="AT47" s="7">
        <f>AS47*loc_rentaUnidad*(1+g_inf)^(A47-2026)*(1-vivienda_vacancia)</f>
        <v/>
      </c>
      <c r="AU47" s="7">
        <f>AR47+AN47*loc_impuestoPropPct/12+AM47*loc_seguroPct*(1+vivienda_inflacionSeguro)^(A47-2026)/12+IF(AND(AO47=0,AP47&lt;0.2),AQ47*vivienda_pmiTasa/12,0)</f>
        <v/>
      </c>
      <c r="AV47" s="7">
        <f>AN47*AP47+AN47*vivienda_cierrePct+general_reservaMeses/12*AJ47</f>
        <v/>
      </c>
      <c r="AW47" s="7">
        <f>(IF(14=0,MIN(personal_irsSaldo,personal_irsPagoMensual*12),MIN(CD46,personal_irsPagoMensual*12))+IF(CE47&gt;0,PMT(CF47,MAX(1,prestamos_plazoAnios-CG47),-CE47),0)+IF(CR47&gt;0,PMT(CS47,MAX(1,prestamos_plazoAnios-CT47),-CR47),0))/12</f>
        <v/>
      </c>
      <c r="AX47" s="7">
        <f>IF(OR(sel_cfg="duplex",sel_cfg="multi",sel_cfg="dosCasas"),0.75*personal_aporteFamiliaMensual,0)</f>
        <v/>
      </c>
      <c r="AY47" s="7">
        <f>AU47-0.75*AT47-AX47+AW47</f>
        <v/>
      </c>
      <c r="AZ47" s="7">
        <f>(D47+G47+H47+0.5*F47)/12</f>
        <v/>
      </c>
      <c r="BA47" s="7">
        <f>IF(AND(AL47=0,A47&gt;=vivienda_anioMinCompra,J47&lt;0.5,AI47&gt;0,AK47&gt;=AV47,AY47&lt;=vivienda_dtiMax*AZ47),1,0)</f>
        <v/>
      </c>
      <c r="BB47" s="7">
        <f>MAX(AL47,BA47)</f>
        <v/>
      </c>
      <c r="BC47" s="7">
        <f>IF(BA47=1,A47,IF(14=0,"",BC46))</f>
        <v/>
      </c>
      <c r="BD47" s="7">
        <f>AK47-IF(BA47=1,AN47*AP47+AN47*vivienda_cierrePct,0)</f>
        <v/>
      </c>
      <c r="BE47" s="7">
        <f>IF(BA47=1,AN47,IF(14=0,0,BE46))</f>
        <v/>
      </c>
      <c r="BF47" s="7">
        <f>IF(BA47=1,AR47,IF(14=0,0,BF46))</f>
        <v/>
      </c>
      <c r="BG47" s="7">
        <f>IF(BA47=1,IF(AND(AO47=0,AP47&lt;0.2),1,0),IF(14=0,0,BY46))</f>
        <v/>
      </c>
      <c r="BH47" s="7">
        <f>IF(sel_cfg="casaAdu",1,0)</f>
        <v/>
      </c>
      <c r="BI47" s="7">
        <f>IF(AND(BB47=1,BH47=1,IF(14=0,0,BJ46)=0,A47&gt;=IF(BC47="",9999,BC47)+vivienda_aduRetrasoAnios),1,0)</f>
        <v/>
      </c>
      <c r="BJ47" s="7">
        <f>MAX(IF(14=0,0,BJ46),BI47)</f>
        <v/>
      </c>
      <c r="BK47" s="7">
        <f>IF(BI47=1,PMT((g_mortRate+0.005)/12,180,-loc_precio_aduCosto*C47),IF(14=0,0,BK46))</f>
        <v/>
      </c>
      <c r="BL47" s="7">
        <f>IF(BA47=1,AN47,IF(14=0,0,DT46))+IF(BI47=1,loc_precio_aduCosto*C47,0)</f>
        <v/>
      </c>
      <c r="BM47" s="7">
        <f>IF(BA47=1,AQ47,IF(14=0,0,DU46))</f>
        <v/>
      </c>
      <c r="BN47" s="7">
        <f>IF(BM47&lt;=0,0,FV(g_mortRate/12,12,BF47,-BM47))</f>
        <v/>
      </c>
      <c r="BO47" s="7">
        <f>IF(BM47&lt;=0,0,12*BF47+MIN(0,BN47))</f>
        <v/>
      </c>
      <c r="BP47" s="7">
        <f>MAX(0,BN47)</f>
        <v/>
      </c>
      <c r="BQ47" s="7">
        <f>IF(BI47=1,loc_precio_aduCosto*C47,IF(14=0,0,DV46))</f>
        <v/>
      </c>
      <c r="BR47" s="7">
        <f>IF(BQ47&lt;=0,0,FV((g_mortRate+0.005)/12,12,BK47,-BQ47))</f>
        <v/>
      </c>
      <c r="BS47" s="7">
        <f>IF(BQ47&lt;=0,0,12*BK47+MIN(0,BR47))</f>
        <v/>
      </c>
      <c r="BT47" s="7">
        <f>MAX(0,BR47)</f>
        <v/>
      </c>
      <c r="BU47" s="7">
        <f>IF(BB47=1,AM47*loc_seguroPct*(1+vivienda_inflacionSeguro)^(A47-2026)*IF(BJ47=1,1+loc_precio_aduCosto/AM47,1),0)</f>
        <v/>
      </c>
      <c r="BV47" s="7">
        <f>BL47*loc_impuestoPropPct</f>
        <v/>
      </c>
      <c r="BW47" s="7">
        <f>BL47*vivienda_mantenimientoPct</f>
        <v/>
      </c>
      <c r="BX47" s="7">
        <f>IF(AND(BG47=1,BP47&gt;0.8*BE47),BE47*(1-vivienda_enganchePct)*vivienda_pmiTasa,0)</f>
        <v/>
      </c>
      <c r="BY47" s="7">
        <f>IF(AND(BG47=1,BP47&gt;0.8*BE47),1,0)</f>
        <v/>
      </c>
      <c r="BZ47" s="7">
        <f>IF(BB47=1,AS47*loc_rentaUnidad*12*C47*(1-vivienda_vacancia)*(1-vivienda_gestionPct),0)</f>
        <v/>
      </c>
      <c r="CA47" s="7">
        <f>IF(BB47=1,BO47+BS47+BU47+BV47+BW47+BX47,loc_rentaMensual*12*C47)</f>
        <v/>
      </c>
      <c r="CB47" s="7">
        <f>IF(BB47=1,personal_aporteFamiliaMensual*12,0)</f>
        <v/>
      </c>
      <c r="CC47" s="7">
        <f>MIN(IF(14=0,personal_irsSaldo,CD46),personal_irsPagoMensual*12)</f>
        <v/>
      </c>
      <c r="CD47" s="7">
        <f>IF(14=0,personal_irsSaldo,CD46)-CC47</f>
        <v/>
      </c>
      <c r="CE47" s="7">
        <f>IF(14=0,IF(personal_deudaEsFederal=1,personal_deudaEstudiantil,0),DW46)</f>
        <v/>
      </c>
      <c r="CF47" s="7">
        <f>IF(14=0,personal_tasaDeudaEstudiantil,DX46)</f>
        <v/>
      </c>
      <c r="CG47" s="7">
        <f>IF(14=0,0,DY46)</f>
        <v/>
      </c>
      <c r="CH47" s="7">
        <f>IF(J47&gt;=0.5,1,0)</f>
        <v/>
      </c>
      <c r="CI47" s="7">
        <f>IF(AND(CH47=0,prestamos_pslfActivo=1,K47&gt;=0.5,CE47&gt;0),1,0)</f>
        <v/>
      </c>
      <c r="CJ47" s="7">
        <f>CE47*CF47</f>
        <v/>
      </c>
      <c r="CK47" s="7">
        <f>MAX(prestamos_rapPagoMinimoAnual,IF(Y47&lt;10000,0,MIN(0.1,INT(Y47/10000)/100))*Y47)</f>
        <v/>
      </c>
      <c r="CL47" s="7">
        <f>IF(CE47&lt;=0,0,IF(CH47=1,0,IF(CI47=1,MIN(CE47+CJ47,CK47),PMT(CF47,MAX(1,prestamos_plazoAnios-CG47),-CE47))))</f>
        <v/>
      </c>
      <c r="CM47" s="7">
        <f>IF(CE47&lt;=0,0,IF(CH47=1,CE47+CJ47,IF(CI47=1,MAX(0,CE47-MAX(CL47-CJ47,MIN(600,CL47))),MAX(0,CE47*(1+CF47)-CL47))))</f>
        <v/>
      </c>
      <c r="CN47" s="7">
        <f>IF(14=0,0,CN46)+IF(CI47=1,12*MIN(1,K47),0)</f>
        <v/>
      </c>
      <c r="CO47" s="7">
        <f>IF(AND(CI47=1,CN47&gt;=prestamos_pslfPagos,CM47&gt;0),CM47,0)</f>
        <v/>
      </c>
      <c r="CP47" s="7">
        <f>CM47-CO47</f>
        <v/>
      </c>
      <c r="CQ47" s="7">
        <f>IF(AND(CE47&gt;0,CH47=0,CI47=0),CG47+1,CG47)</f>
        <v/>
      </c>
      <c r="CR47" s="7">
        <f>IF(14=0,IF(personal_deudaEsFederal=1,0,personal_deudaEstudiantil),EA46)</f>
        <v/>
      </c>
      <c r="CS47" s="7">
        <f>IF(14=0,IF(personal_deudaEsFederal=1,prestamos_tasaPrivada,personal_tasaDeudaEstudiantil),EB46)</f>
        <v/>
      </c>
      <c r="CT47" s="7">
        <f>IF(14=0,0,EC46)</f>
        <v/>
      </c>
      <c r="CU47" s="7">
        <f>IF(OR(CR47&lt;=0,CH47=1),0,PMT(CS47,MAX(1,prestamos_plazoAnios-CT47),-CR47))</f>
        <v/>
      </c>
      <c r="CV47" s="7">
        <f>IF(CR47&lt;=0,0,IF(CH47=1,CR47*(1+CS47),MAX(0,CR47*(1+CS47)-CU47)))</f>
        <v/>
      </c>
      <c r="CW47" s="7">
        <f>IF(AND(CR47&gt;0,CH47=0),CT47+1,CT47)</f>
        <v/>
      </c>
      <c r="CX47" s="7">
        <f>IF(14=0,0,ED46)*(1+general_tasaDeudaConsumo)</f>
        <v/>
      </c>
      <c r="CY47" s="7">
        <f>L47*12*tiempos_travelGastoExtraMes*C47</f>
        <v/>
      </c>
      <c r="CZ47" s="7">
        <f>AJ47+CY47+CA47+CC47+CL47+CU47+I47+N47-BZ47-CB47</f>
        <v/>
      </c>
      <c r="DA47" s="7">
        <f>AH47-CZ47</f>
        <v/>
      </c>
      <c r="DB47" s="7">
        <f>IF(14=0,0,DB46)+DA47</f>
        <v/>
      </c>
      <c r="DC47" s="7">
        <f>AN47*vivienda_enganchePct+AN47*vivienda_cierrePct+general_reservaMeses/12*AJ47</f>
        <v/>
      </c>
      <c r="DD47" s="7">
        <f>IF(BB47=1,g_ret,IF(BD47&gt;0,MIN(1,DC47/BD47),1)*g_cash+(1-IF(BD47&gt;0,MIN(1,DC47/BD47),1))*g_ret)</f>
        <v/>
      </c>
      <c r="DE47" s="7">
        <f>IF(DA47&gt;=0,MIN(CX47,DA47),0)</f>
        <v/>
      </c>
      <c r="DF47" s="7">
        <f>IF(DA47&gt;=0,(1-general_tasaAhorro)*(DA47-DE47),0)</f>
        <v/>
      </c>
      <c r="DG47" s="7">
        <f>IF(DA47&gt;=0,DA47-DE47-DF47,0)</f>
        <v/>
      </c>
      <c r="DH47" s="7">
        <f>MIN(personal_rothAnual,DG47)</f>
        <v/>
      </c>
      <c r="DI47" s="7">
        <f>IF(AND(DA47&gt;=0,BB47=1,BP47+BT47&gt;0),MIN(vivienda_prepagoPct*(DG47-DH47),BP47+BT47),0)</f>
        <v/>
      </c>
      <c r="DJ47" s="7">
        <f>MIN(DI47,BP47)</f>
        <v/>
      </c>
      <c r="DK47" s="7">
        <f>IF(DA47&lt;0,MIN(MAX(0,BD47),-DA47),0)</f>
        <v/>
      </c>
      <c r="DL47" s="7">
        <f>IF(DA47&lt;0,-DA47-DK47,0)</f>
        <v/>
      </c>
      <c r="DM47" s="7">
        <f>IF(14=0,0,DZ46)</f>
        <v/>
      </c>
      <c r="DN47" s="7">
        <f>IF(AND(DL47&gt;0,J47&gt;0),MIN(DL47,MIN(prestamos_topeAnualPosgrado*MIN(1,J47),MAX(0,prestamos_topeTotalPosgrado-DM47))),0)</f>
        <v/>
      </c>
      <c r="DO47" s="7">
        <f>IF(AND(DL47&gt;0,J47&gt;0),DL47-DN47,0)</f>
        <v/>
      </c>
      <c r="DP47" s="7">
        <f>IF(AND(DL47&gt;0,J47&lt;=0),DL47,0)</f>
        <v/>
      </c>
      <c r="DQ47" s="7">
        <f>IF(DA47&gt;=0,DG47-DH47-DI47,-DK47)</f>
        <v/>
      </c>
      <c r="DR47" s="7">
        <f>BD47*(1+DD47)+DQ47*(1+DD47/2)</f>
        <v/>
      </c>
      <c r="DS47" s="7">
        <f>IF(14=0,personal_retiroInicial,DS46)*(1+g_ret)+(O47+P47+DH47)*(1+g_ret/2)</f>
        <v/>
      </c>
      <c r="DT47" s="7">
        <f>IF(BB47=1,BL47*(1+g_appr),0)</f>
        <v/>
      </c>
      <c r="DU47" s="7">
        <f>BP47-DJ47</f>
        <v/>
      </c>
      <c r="DV47" s="7">
        <f>BT47-(DI47-DJ47)</f>
        <v/>
      </c>
      <c r="DW47" s="7">
        <f>CP47+DN47</f>
        <v/>
      </c>
      <c r="DX47" s="7">
        <f>IF(DN47&gt;0,(CP47*CF47+DN47*prestamos_tasaFederalPosgrado)/(CP47+DN47),CF47)</f>
        <v/>
      </c>
      <c r="DY47" s="7">
        <f>IF(DN47&gt;0,0,CQ47)</f>
        <v/>
      </c>
      <c r="DZ47" s="7">
        <f>DM47+DN47</f>
        <v/>
      </c>
      <c r="EA47" s="7">
        <f>CV47+DO47</f>
        <v/>
      </c>
      <c r="EB47" s="7">
        <f>IF(DO47&gt;0,(CV47*CS47+DO47*prestamos_tasaPrivada)/(CV47+DO47),CS47)</f>
        <v/>
      </c>
      <c r="EC47" s="7">
        <f>IF(DO47&gt;0,0,CW47)</f>
        <v/>
      </c>
      <c r="ED47" s="7">
        <f>CX47-DE47+DP47</f>
        <v/>
      </c>
      <c r="EE47" s="7">
        <f>IF(IF(14=0,"",EE46)&lt;&gt;"",EE46,IF(AND(BB47=1,DU47&lt;=0.5,DV47&lt;=0.5,OR(BH47=0,BJ47=1)),A47,""))</f>
        <v/>
      </c>
      <c r="EF47" s="7">
        <f>DU47+DV47+DW47+EA47+ED47+CD47</f>
        <v/>
      </c>
      <c r="EG47" s="7">
        <f>DR47+DS47+DT47-EF47</f>
        <v/>
      </c>
      <c r="EH47" s="7">
        <f>EG47/(1+g_inf)^(A47+1-2026)</f>
        <v/>
      </c>
    </row>
    <row r="48">
      <c r="A48" t="n">
        <v>2042</v>
      </c>
      <c r="B48" t="n">
        <v>15</v>
      </c>
      <c r="C48" s="7">
        <f>(1+g_inf)^(A48-2026)</f>
        <v/>
      </c>
      <c r="D48" s="7">
        <f>SUMPRODUCT($AI$5:$AI$29,$E$5:$E$29*(1+$F$5:$F$29)^(A48-2026)*$G$5:$G$29*$H$5:$H$29*(1-$N$5:$N$29*$O$5:$O$29))*g_salMult+SUMPRODUCT(($B$5:$B$29&gt;=A48)*($B$5:$B$29&lt;A48+1)*$I$5:$I$29)*g_salMult</f>
        <v/>
      </c>
      <c r="E48" s="7">
        <f>SUMPRODUCT($AI$5:$AI$29,$E$5:$E$29*(1+$F$5:$F$29)^(A48-2026)*$G$5:$G$29*$H$5:$H$29*$M$5:$M$29)*g_salMult</f>
        <v/>
      </c>
      <c r="F48" s="7">
        <f>SUMPRODUCT($AI$5:$AI$29,$E$5:$E$29*(1+$F$5:$F$29)^(A48-2026)*$G$5:$G$29*$H$5:$H$29*$N$5:$N$29*$O$5:$O$29)*g_salMult</f>
        <v/>
      </c>
      <c r="G48" s="7">
        <f>SUMPRODUCT($AI$5:$AI$29,$P$5:$P$29*(1+$F$5:$F$29)^(A48-2026))</f>
        <v/>
      </c>
      <c r="H48" s="7">
        <f>SUMPRODUCT($AI$5:$AI$29,$Q$5:$Q$29*(1+$F$5:$F$29)^(A48-2026))+IF(personal_llcActivo=1,personal_llcNeto*(1+personal_llcCrecimiento)^15,0)</f>
        <v/>
      </c>
      <c r="I48" s="7">
        <f>SUMPRODUCT($AI$5:$AI$29,$J$5:$J$29/($C$5:$C$29-$B$5:$B$29+($C$5:$C$29=$B$5:$B$29)))*C48</f>
        <v/>
      </c>
      <c r="J48" s="7">
        <f>SUMPRODUCT($AI$5:$AI$29,$K$5:$K$29)</f>
        <v/>
      </c>
      <c r="K48" s="7">
        <f>SUMPRODUCT($AI$5:$AI$29,$L$5:$L$29)</f>
        <v/>
      </c>
      <c r="L48" s="7">
        <f>SUMPRODUCT($AI$5:$AI$29,$N$5:$N$29)</f>
        <v/>
      </c>
      <c r="M48" s="7">
        <f>IF(SUMPRODUCT($AI$5:$AI$29,$R$5:$R$29)&gt;0,1,0)</f>
        <v/>
      </c>
      <c r="N48" s="7">
        <f>SUMPRODUCT(($AO$5:$AO$24&gt;=A48)*($AO$5:$AO$24&lt;A48+1)*$AP$5:$AP$24)*C48+IF(15=0,IF(sel_loc&lt;&gt;"miami",personal_costoMudanzaInicial,0),0)</f>
        <v/>
      </c>
      <c r="O48" s="7">
        <f>MIN(personal_aporte403bPct*D48,retiro_limite403b*C48)</f>
        <v/>
      </c>
      <c r="P48" s="7">
        <f>MIN(personal_aporte403bPct,personal_match403bPct)*E48</f>
        <v/>
      </c>
      <c r="Q48" s="7">
        <f>IF(G48&gt;0,MAX(0,G48-impuestos_scorpCostoAnual*C48),0)</f>
        <v/>
      </c>
      <c r="R48" s="7">
        <f>Q48*impuestos_scorpSalarioPct/(1+impuestos_ssTasa+impuestos_medicareTasa)</f>
        <v/>
      </c>
      <c r="S48" s="7">
        <f>impuestos_ssTasa*MIN(R48,MAX(0,impuestos_ssTope*C48-D48))+impuestos_medicareTasa*R48</f>
        <v/>
      </c>
      <c r="T48" s="7">
        <f>Q48-R48-S48</f>
        <v/>
      </c>
      <c r="U48" s="7">
        <f>D48+R48</f>
        <v/>
      </c>
      <c r="V48" s="7">
        <f>H48*0.9235</f>
        <v/>
      </c>
      <c r="W48" s="7">
        <f>IF(H48&gt;0,2*impuestos_ssTasa*MIN(V48,MAX(0,impuestos_ssTope*C48-U48))+2*impuestos_medicareTasa*V48,0)</f>
        <v/>
      </c>
      <c r="X48" s="7">
        <f>impuestos_ssTasa*MIN(U48,impuestos_ssTope*C48)+impuestos_medicareTasa*U48+impuestos_medicareAdicional*MAX(0,U48+H48*0.9235-impuestos_medicareUmbral)</f>
        <v/>
      </c>
      <c r="Y48" s="7">
        <f>MAX(0,D48-O48+R48+T48+H48-W48/2)</f>
        <v/>
      </c>
      <c r="Z48" s="7">
        <f>MAX(0,Y48-impuestos_deduccionEstandar*C48)</f>
        <v/>
      </c>
      <c r="AA48" s="7">
        <f>MIN(0.2*MAX(0,T48+H48-W48/2)*MAX(0,MIN(1,1-(Z48-impuestos_qbiUmbral*C48)/(impuestos_qbiRango*C48))),0.2*Z48)</f>
        <v/>
      </c>
      <c r="AB48" s="7">
        <f>MAX(0,Z48-AA48)</f>
        <v/>
      </c>
      <c r="AC48" s="7">
        <f>SUMPRODUCT((AB48&gt;tb_federalBrackets_lo*C48)*(AB48-tb_federalBrackets_lo*C48)*tb_federalBrackets_dr)</f>
        <v/>
      </c>
      <c r="AD48" s="7">
        <f>MAX(0,Y48-impuestos_nyDeduccion*C48)</f>
        <v/>
      </c>
      <c r="AE48" s="7">
        <f>CHOOSE(loc_taxcode,0,impuestos_ohTasa*MAX(0,Y48-impuestos_ohExento*C48)+impuestos_ohMunicipal*U48,SUMPRODUCT((AD48&gt;tb_nyBrackets_lo*C48)*(AD48-tb_nyBrackets_lo*C48)*tb_nyBrackets_dr)+loc_nyc*SUMPRODUCT((AD48&gt;tb_nycBrackets_lo*C48)*(AD48-tb_nycBrackets_lo*C48)*tb_nycBrackets_dr))</f>
        <v/>
      </c>
      <c r="AF48" s="7">
        <f>AC48+AE48+X48+W48</f>
        <v/>
      </c>
      <c r="AG48" s="7">
        <f>D48+F48+R48+T48+H48</f>
        <v/>
      </c>
      <c r="AH48" s="7">
        <f>AG48-AF48-O48</f>
        <v/>
      </c>
      <c r="AI48" s="7">
        <f>D48+F48+G48+H48</f>
        <v/>
      </c>
      <c r="AJ48" s="7">
        <f>loc_gastosVida*C48*g_gastos</f>
        <v/>
      </c>
      <c r="AK48" s="7">
        <f>IF(15=0,personal_liquidoInicial,DR47)</f>
        <v/>
      </c>
      <c r="AL48" s="7">
        <f>IF(15=0,0,BB47)</f>
        <v/>
      </c>
      <c r="AM48" s="7">
        <f>CHOOSE(sel_cfgIdx,loc_precio_duplex,loc_precio_inlaw,loc_precio_dosCasas,loc_precio_casaAdu,loc_precio_multi)</f>
        <v/>
      </c>
      <c r="AN48" s="7">
        <f>AM48*(1+g_appr)^(A48-2026)</f>
        <v/>
      </c>
      <c r="AO48" s="7">
        <f>IF(AND(M48=1,vivienda_prestamoMedico=1),1,0)</f>
        <v/>
      </c>
      <c r="AP48" s="7">
        <f>IF(AO48=1,0.05,vivienda_enganchePct)</f>
        <v/>
      </c>
      <c r="AQ48" s="7">
        <f>AN48*(1-AP48)</f>
        <v/>
      </c>
      <c r="AR48" s="7">
        <f>PMT(g_mortRate/12,vivienda_plazoHipoteca*12,-AQ48)</f>
        <v/>
      </c>
      <c r="AS48" s="7">
        <f>INDEX(cfg_units,sel_cfgIdx)</f>
        <v/>
      </c>
      <c r="AT48" s="7">
        <f>AS48*loc_rentaUnidad*(1+g_inf)^(A48-2026)*(1-vivienda_vacancia)</f>
        <v/>
      </c>
      <c r="AU48" s="7">
        <f>AR48+AN48*loc_impuestoPropPct/12+AM48*loc_seguroPct*(1+vivienda_inflacionSeguro)^(A48-2026)/12+IF(AND(AO48=0,AP48&lt;0.2),AQ48*vivienda_pmiTasa/12,0)</f>
        <v/>
      </c>
      <c r="AV48" s="7">
        <f>AN48*AP48+AN48*vivienda_cierrePct+general_reservaMeses/12*AJ48</f>
        <v/>
      </c>
      <c r="AW48" s="7">
        <f>(IF(15=0,MIN(personal_irsSaldo,personal_irsPagoMensual*12),MIN(CD47,personal_irsPagoMensual*12))+IF(CE48&gt;0,PMT(CF48,MAX(1,prestamos_plazoAnios-CG48),-CE48),0)+IF(CR48&gt;0,PMT(CS48,MAX(1,prestamos_plazoAnios-CT48),-CR48),0))/12</f>
        <v/>
      </c>
      <c r="AX48" s="7">
        <f>IF(OR(sel_cfg="duplex",sel_cfg="multi",sel_cfg="dosCasas"),0.75*personal_aporteFamiliaMensual,0)</f>
        <v/>
      </c>
      <c r="AY48" s="7">
        <f>AU48-0.75*AT48-AX48+AW48</f>
        <v/>
      </c>
      <c r="AZ48" s="7">
        <f>(D48+G48+H48+0.5*F48)/12</f>
        <v/>
      </c>
      <c r="BA48" s="7">
        <f>IF(AND(AL48=0,A48&gt;=vivienda_anioMinCompra,J48&lt;0.5,AI48&gt;0,AK48&gt;=AV48,AY48&lt;=vivienda_dtiMax*AZ48),1,0)</f>
        <v/>
      </c>
      <c r="BB48" s="7">
        <f>MAX(AL48,BA48)</f>
        <v/>
      </c>
      <c r="BC48" s="7">
        <f>IF(BA48=1,A48,IF(15=0,"",BC47))</f>
        <v/>
      </c>
      <c r="BD48" s="7">
        <f>AK48-IF(BA48=1,AN48*AP48+AN48*vivienda_cierrePct,0)</f>
        <v/>
      </c>
      <c r="BE48" s="7">
        <f>IF(BA48=1,AN48,IF(15=0,0,BE47))</f>
        <v/>
      </c>
      <c r="BF48" s="7">
        <f>IF(BA48=1,AR48,IF(15=0,0,BF47))</f>
        <v/>
      </c>
      <c r="BG48" s="7">
        <f>IF(BA48=1,IF(AND(AO48=0,AP48&lt;0.2),1,0),IF(15=0,0,BY47))</f>
        <v/>
      </c>
      <c r="BH48" s="7">
        <f>IF(sel_cfg="casaAdu",1,0)</f>
        <v/>
      </c>
      <c r="BI48" s="7">
        <f>IF(AND(BB48=1,BH48=1,IF(15=0,0,BJ47)=0,A48&gt;=IF(BC48="",9999,BC48)+vivienda_aduRetrasoAnios),1,0)</f>
        <v/>
      </c>
      <c r="BJ48" s="7">
        <f>MAX(IF(15=0,0,BJ47),BI48)</f>
        <v/>
      </c>
      <c r="BK48" s="7">
        <f>IF(BI48=1,PMT((g_mortRate+0.005)/12,180,-loc_precio_aduCosto*C48),IF(15=0,0,BK47))</f>
        <v/>
      </c>
      <c r="BL48" s="7">
        <f>IF(BA48=1,AN48,IF(15=0,0,DT47))+IF(BI48=1,loc_precio_aduCosto*C48,0)</f>
        <v/>
      </c>
      <c r="BM48" s="7">
        <f>IF(BA48=1,AQ48,IF(15=0,0,DU47))</f>
        <v/>
      </c>
      <c r="BN48" s="7">
        <f>IF(BM48&lt;=0,0,FV(g_mortRate/12,12,BF48,-BM48))</f>
        <v/>
      </c>
      <c r="BO48" s="7">
        <f>IF(BM48&lt;=0,0,12*BF48+MIN(0,BN48))</f>
        <v/>
      </c>
      <c r="BP48" s="7">
        <f>MAX(0,BN48)</f>
        <v/>
      </c>
      <c r="BQ48" s="7">
        <f>IF(BI48=1,loc_precio_aduCosto*C48,IF(15=0,0,DV47))</f>
        <v/>
      </c>
      <c r="BR48" s="7">
        <f>IF(BQ48&lt;=0,0,FV((g_mortRate+0.005)/12,12,BK48,-BQ48))</f>
        <v/>
      </c>
      <c r="BS48" s="7">
        <f>IF(BQ48&lt;=0,0,12*BK48+MIN(0,BR48))</f>
        <v/>
      </c>
      <c r="BT48" s="7">
        <f>MAX(0,BR48)</f>
        <v/>
      </c>
      <c r="BU48" s="7">
        <f>IF(BB48=1,AM48*loc_seguroPct*(1+vivienda_inflacionSeguro)^(A48-2026)*IF(BJ48=1,1+loc_precio_aduCosto/AM48,1),0)</f>
        <v/>
      </c>
      <c r="BV48" s="7">
        <f>BL48*loc_impuestoPropPct</f>
        <v/>
      </c>
      <c r="BW48" s="7">
        <f>BL48*vivienda_mantenimientoPct</f>
        <v/>
      </c>
      <c r="BX48" s="7">
        <f>IF(AND(BG48=1,BP48&gt;0.8*BE48),BE48*(1-vivienda_enganchePct)*vivienda_pmiTasa,0)</f>
        <v/>
      </c>
      <c r="BY48" s="7">
        <f>IF(AND(BG48=1,BP48&gt;0.8*BE48),1,0)</f>
        <v/>
      </c>
      <c r="BZ48" s="7">
        <f>IF(BB48=1,AS48*loc_rentaUnidad*12*C48*(1-vivienda_vacancia)*(1-vivienda_gestionPct),0)</f>
        <v/>
      </c>
      <c r="CA48" s="7">
        <f>IF(BB48=1,BO48+BS48+BU48+BV48+BW48+BX48,loc_rentaMensual*12*C48)</f>
        <v/>
      </c>
      <c r="CB48" s="7">
        <f>IF(BB48=1,personal_aporteFamiliaMensual*12,0)</f>
        <v/>
      </c>
      <c r="CC48" s="7">
        <f>MIN(IF(15=0,personal_irsSaldo,CD47),personal_irsPagoMensual*12)</f>
        <v/>
      </c>
      <c r="CD48" s="7">
        <f>IF(15=0,personal_irsSaldo,CD47)-CC48</f>
        <v/>
      </c>
      <c r="CE48" s="7">
        <f>IF(15=0,IF(personal_deudaEsFederal=1,personal_deudaEstudiantil,0),DW47)</f>
        <v/>
      </c>
      <c r="CF48" s="7">
        <f>IF(15=0,personal_tasaDeudaEstudiantil,DX47)</f>
        <v/>
      </c>
      <c r="CG48" s="7">
        <f>IF(15=0,0,DY47)</f>
        <v/>
      </c>
      <c r="CH48" s="7">
        <f>IF(J48&gt;=0.5,1,0)</f>
        <v/>
      </c>
      <c r="CI48" s="7">
        <f>IF(AND(CH48=0,prestamos_pslfActivo=1,K48&gt;=0.5,CE48&gt;0),1,0)</f>
        <v/>
      </c>
      <c r="CJ48" s="7">
        <f>CE48*CF48</f>
        <v/>
      </c>
      <c r="CK48" s="7">
        <f>MAX(prestamos_rapPagoMinimoAnual,IF(Y48&lt;10000,0,MIN(0.1,INT(Y48/10000)/100))*Y48)</f>
        <v/>
      </c>
      <c r="CL48" s="7">
        <f>IF(CE48&lt;=0,0,IF(CH48=1,0,IF(CI48=1,MIN(CE48+CJ48,CK48),PMT(CF48,MAX(1,prestamos_plazoAnios-CG48),-CE48))))</f>
        <v/>
      </c>
      <c r="CM48" s="7">
        <f>IF(CE48&lt;=0,0,IF(CH48=1,CE48+CJ48,IF(CI48=1,MAX(0,CE48-MAX(CL48-CJ48,MIN(600,CL48))),MAX(0,CE48*(1+CF48)-CL48))))</f>
        <v/>
      </c>
      <c r="CN48" s="7">
        <f>IF(15=0,0,CN47)+IF(CI48=1,12*MIN(1,K48),0)</f>
        <v/>
      </c>
      <c r="CO48" s="7">
        <f>IF(AND(CI48=1,CN48&gt;=prestamos_pslfPagos,CM48&gt;0),CM48,0)</f>
        <v/>
      </c>
      <c r="CP48" s="7">
        <f>CM48-CO48</f>
        <v/>
      </c>
      <c r="CQ48" s="7">
        <f>IF(AND(CE48&gt;0,CH48=0,CI48=0),CG48+1,CG48)</f>
        <v/>
      </c>
      <c r="CR48" s="7">
        <f>IF(15=0,IF(personal_deudaEsFederal=1,0,personal_deudaEstudiantil),EA47)</f>
        <v/>
      </c>
      <c r="CS48" s="7">
        <f>IF(15=0,IF(personal_deudaEsFederal=1,prestamos_tasaPrivada,personal_tasaDeudaEstudiantil),EB47)</f>
        <v/>
      </c>
      <c r="CT48" s="7">
        <f>IF(15=0,0,EC47)</f>
        <v/>
      </c>
      <c r="CU48" s="7">
        <f>IF(OR(CR48&lt;=0,CH48=1),0,PMT(CS48,MAX(1,prestamos_plazoAnios-CT48),-CR48))</f>
        <v/>
      </c>
      <c r="CV48" s="7">
        <f>IF(CR48&lt;=0,0,IF(CH48=1,CR48*(1+CS48),MAX(0,CR48*(1+CS48)-CU48)))</f>
        <v/>
      </c>
      <c r="CW48" s="7">
        <f>IF(AND(CR48&gt;0,CH48=0),CT48+1,CT48)</f>
        <v/>
      </c>
      <c r="CX48" s="7">
        <f>IF(15=0,0,ED47)*(1+general_tasaDeudaConsumo)</f>
        <v/>
      </c>
      <c r="CY48" s="7">
        <f>L48*12*tiempos_travelGastoExtraMes*C48</f>
        <v/>
      </c>
      <c r="CZ48" s="7">
        <f>AJ48+CY48+CA48+CC48+CL48+CU48+I48+N48-BZ48-CB48</f>
        <v/>
      </c>
      <c r="DA48" s="7">
        <f>AH48-CZ48</f>
        <v/>
      </c>
      <c r="DB48" s="7">
        <f>IF(15=0,0,DB47)+DA48</f>
        <v/>
      </c>
      <c r="DC48" s="7">
        <f>AN48*vivienda_enganchePct+AN48*vivienda_cierrePct+general_reservaMeses/12*AJ48</f>
        <v/>
      </c>
      <c r="DD48" s="7">
        <f>IF(BB48=1,g_ret,IF(BD48&gt;0,MIN(1,DC48/BD48),1)*g_cash+(1-IF(BD48&gt;0,MIN(1,DC48/BD48),1))*g_ret)</f>
        <v/>
      </c>
      <c r="DE48" s="7">
        <f>IF(DA48&gt;=0,MIN(CX48,DA48),0)</f>
        <v/>
      </c>
      <c r="DF48" s="7">
        <f>IF(DA48&gt;=0,(1-general_tasaAhorro)*(DA48-DE48),0)</f>
        <v/>
      </c>
      <c r="DG48" s="7">
        <f>IF(DA48&gt;=0,DA48-DE48-DF48,0)</f>
        <v/>
      </c>
      <c r="DH48" s="7">
        <f>MIN(personal_rothAnual,DG48)</f>
        <v/>
      </c>
      <c r="DI48" s="7">
        <f>IF(AND(DA48&gt;=0,BB48=1,BP48+BT48&gt;0),MIN(vivienda_prepagoPct*(DG48-DH48),BP48+BT48),0)</f>
        <v/>
      </c>
      <c r="DJ48" s="7">
        <f>MIN(DI48,BP48)</f>
        <v/>
      </c>
      <c r="DK48" s="7">
        <f>IF(DA48&lt;0,MIN(MAX(0,BD48),-DA48),0)</f>
        <v/>
      </c>
      <c r="DL48" s="7">
        <f>IF(DA48&lt;0,-DA48-DK48,0)</f>
        <v/>
      </c>
      <c r="DM48" s="7">
        <f>IF(15=0,0,DZ47)</f>
        <v/>
      </c>
      <c r="DN48" s="7">
        <f>IF(AND(DL48&gt;0,J48&gt;0),MIN(DL48,MIN(prestamos_topeAnualPosgrado*MIN(1,J48),MAX(0,prestamos_topeTotalPosgrado-DM48))),0)</f>
        <v/>
      </c>
      <c r="DO48" s="7">
        <f>IF(AND(DL48&gt;0,J48&gt;0),DL48-DN48,0)</f>
        <v/>
      </c>
      <c r="DP48" s="7">
        <f>IF(AND(DL48&gt;0,J48&lt;=0),DL48,0)</f>
        <v/>
      </c>
      <c r="DQ48" s="7">
        <f>IF(DA48&gt;=0,DG48-DH48-DI48,-DK48)</f>
        <v/>
      </c>
      <c r="DR48" s="7">
        <f>BD48*(1+DD48)+DQ48*(1+DD48/2)</f>
        <v/>
      </c>
      <c r="DS48" s="7">
        <f>IF(15=0,personal_retiroInicial,DS47)*(1+g_ret)+(O48+P48+DH48)*(1+g_ret/2)</f>
        <v/>
      </c>
      <c r="DT48" s="7">
        <f>IF(BB48=1,BL48*(1+g_appr),0)</f>
        <v/>
      </c>
      <c r="DU48" s="7">
        <f>BP48-DJ48</f>
        <v/>
      </c>
      <c r="DV48" s="7">
        <f>BT48-(DI48-DJ48)</f>
        <v/>
      </c>
      <c r="DW48" s="7">
        <f>CP48+DN48</f>
        <v/>
      </c>
      <c r="DX48" s="7">
        <f>IF(DN48&gt;0,(CP48*CF48+DN48*prestamos_tasaFederalPosgrado)/(CP48+DN48),CF48)</f>
        <v/>
      </c>
      <c r="DY48" s="7">
        <f>IF(DN48&gt;0,0,CQ48)</f>
        <v/>
      </c>
      <c r="DZ48" s="7">
        <f>DM48+DN48</f>
        <v/>
      </c>
      <c r="EA48" s="7">
        <f>CV48+DO48</f>
        <v/>
      </c>
      <c r="EB48" s="7">
        <f>IF(DO48&gt;0,(CV48*CS48+DO48*prestamos_tasaPrivada)/(CV48+DO48),CS48)</f>
        <v/>
      </c>
      <c r="EC48" s="7">
        <f>IF(DO48&gt;0,0,CW48)</f>
        <v/>
      </c>
      <c r="ED48" s="7">
        <f>CX48-DE48+DP48</f>
        <v/>
      </c>
      <c r="EE48" s="7">
        <f>IF(IF(15=0,"",EE47)&lt;&gt;"",EE47,IF(AND(BB48=1,DU48&lt;=0.5,DV48&lt;=0.5,OR(BH48=0,BJ48=1)),A48,""))</f>
        <v/>
      </c>
      <c r="EF48" s="7">
        <f>DU48+DV48+DW48+EA48+ED48+CD48</f>
        <v/>
      </c>
      <c r="EG48" s="7">
        <f>DR48+DS48+DT48-EF48</f>
        <v/>
      </c>
      <c r="EH48" s="7">
        <f>EG48/(1+g_inf)^(A48+1-2026)</f>
        <v/>
      </c>
    </row>
    <row r="49">
      <c r="A49" t="n">
        <v>2043</v>
      </c>
      <c r="B49" t="n">
        <v>16</v>
      </c>
      <c r="C49" s="7">
        <f>(1+g_inf)^(A49-2026)</f>
        <v/>
      </c>
      <c r="D49" s="7">
        <f>SUMPRODUCT($AJ$5:$AJ$29,$E$5:$E$29*(1+$F$5:$F$29)^(A49-2026)*$G$5:$G$29*$H$5:$H$29*(1-$N$5:$N$29*$O$5:$O$29))*g_salMult+SUMPRODUCT(($B$5:$B$29&gt;=A49)*($B$5:$B$29&lt;A49+1)*$I$5:$I$29)*g_salMult</f>
        <v/>
      </c>
      <c r="E49" s="7">
        <f>SUMPRODUCT($AJ$5:$AJ$29,$E$5:$E$29*(1+$F$5:$F$29)^(A49-2026)*$G$5:$G$29*$H$5:$H$29*$M$5:$M$29)*g_salMult</f>
        <v/>
      </c>
      <c r="F49" s="7">
        <f>SUMPRODUCT($AJ$5:$AJ$29,$E$5:$E$29*(1+$F$5:$F$29)^(A49-2026)*$G$5:$G$29*$H$5:$H$29*$N$5:$N$29*$O$5:$O$29)*g_salMult</f>
        <v/>
      </c>
      <c r="G49" s="7">
        <f>SUMPRODUCT($AJ$5:$AJ$29,$P$5:$P$29*(1+$F$5:$F$29)^(A49-2026))</f>
        <v/>
      </c>
      <c r="H49" s="7">
        <f>SUMPRODUCT($AJ$5:$AJ$29,$Q$5:$Q$29*(1+$F$5:$F$29)^(A49-2026))+IF(personal_llcActivo=1,personal_llcNeto*(1+personal_llcCrecimiento)^16,0)</f>
        <v/>
      </c>
      <c r="I49" s="7">
        <f>SUMPRODUCT($AJ$5:$AJ$29,$J$5:$J$29/($C$5:$C$29-$B$5:$B$29+($C$5:$C$29=$B$5:$B$29)))*C49</f>
        <v/>
      </c>
      <c r="J49" s="7">
        <f>SUMPRODUCT($AJ$5:$AJ$29,$K$5:$K$29)</f>
        <v/>
      </c>
      <c r="K49" s="7">
        <f>SUMPRODUCT($AJ$5:$AJ$29,$L$5:$L$29)</f>
        <v/>
      </c>
      <c r="L49" s="7">
        <f>SUMPRODUCT($AJ$5:$AJ$29,$N$5:$N$29)</f>
        <v/>
      </c>
      <c r="M49" s="7">
        <f>IF(SUMPRODUCT($AJ$5:$AJ$29,$R$5:$R$29)&gt;0,1,0)</f>
        <v/>
      </c>
      <c r="N49" s="7">
        <f>SUMPRODUCT(($AO$5:$AO$24&gt;=A49)*($AO$5:$AO$24&lt;A49+1)*$AP$5:$AP$24)*C49+IF(16=0,IF(sel_loc&lt;&gt;"miami",personal_costoMudanzaInicial,0),0)</f>
        <v/>
      </c>
      <c r="O49" s="7">
        <f>MIN(personal_aporte403bPct*D49,retiro_limite403b*C49)</f>
        <v/>
      </c>
      <c r="P49" s="7">
        <f>MIN(personal_aporte403bPct,personal_match403bPct)*E49</f>
        <v/>
      </c>
      <c r="Q49" s="7">
        <f>IF(G49&gt;0,MAX(0,G49-impuestos_scorpCostoAnual*C49),0)</f>
        <v/>
      </c>
      <c r="R49" s="7">
        <f>Q49*impuestos_scorpSalarioPct/(1+impuestos_ssTasa+impuestos_medicareTasa)</f>
        <v/>
      </c>
      <c r="S49" s="7">
        <f>impuestos_ssTasa*MIN(R49,MAX(0,impuestos_ssTope*C49-D49))+impuestos_medicareTasa*R49</f>
        <v/>
      </c>
      <c r="T49" s="7">
        <f>Q49-R49-S49</f>
        <v/>
      </c>
      <c r="U49" s="7">
        <f>D49+R49</f>
        <v/>
      </c>
      <c r="V49" s="7">
        <f>H49*0.9235</f>
        <v/>
      </c>
      <c r="W49" s="7">
        <f>IF(H49&gt;0,2*impuestos_ssTasa*MIN(V49,MAX(0,impuestos_ssTope*C49-U49))+2*impuestos_medicareTasa*V49,0)</f>
        <v/>
      </c>
      <c r="X49" s="7">
        <f>impuestos_ssTasa*MIN(U49,impuestos_ssTope*C49)+impuestos_medicareTasa*U49+impuestos_medicareAdicional*MAX(0,U49+H49*0.9235-impuestos_medicareUmbral)</f>
        <v/>
      </c>
      <c r="Y49" s="7">
        <f>MAX(0,D49-O49+R49+T49+H49-W49/2)</f>
        <v/>
      </c>
      <c r="Z49" s="7">
        <f>MAX(0,Y49-impuestos_deduccionEstandar*C49)</f>
        <v/>
      </c>
      <c r="AA49" s="7">
        <f>MIN(0.2*MAX(0,T49+H49-W49/2)*MAX(0,MIN(1,1-(Z49-impuestos_qbiUmbral*C49)/(impuestos_qbiRango*C49))),0.2*Z49)</f>
        <v/>
      </c>
      <c r="AB49" s="7">
        <f>MAX(0,Z49-AA49)</f>
        <v/>
      </c>
      <c r="AC49" s="7">
        <f>SUMPRODUCT((AB49&gt;tb_federalBrackets_lo*C49)*(AB49-tb_federalBrackets_lo*C49)*tb_federalBrackets_dr)</f>
        <v/>
      </c>
      <c r="AD49" s="7">
        <f>MAX(0,Y49-impuestos_nyDeduccion*C49)</f>
        <v/>
      </c>
      <c r="AE49" s="7">
        <f>CHOOSE(loc_taxcode,0,impuestos_ohTasa*MAX(0,Y49-impuestos_ohExento*C49)+impuestos_ohMunicipal*U49,SUMPRODUCT((AD49&gt;tb_nyBrackets_lo*C49)*(AD49-tb_nyBrackets_lo*C49)*tb_nyBrackets_dr)+loc_nyc*SUMPRODUCT((AD49&gt;tb_nycBrackets_lo*C49)*(AD49-tb_nycBrackets_lo*C49)*tb_nycBrackets_dr))</f>
        <v/>
      </c>
      <c r="AF49" s="7">
        <f>AC49+AE49+X49+W49</f>
        <v/>
      </c>
      <c r="AG49" s="7">
        <f>D49+F49+R49+T49+H49</f>
        <v/>
      </c>
      <c r="AH49" s="7">
        <f>AG49-AF49-O49</f>
        <v/>
      </c>
      <c r="AI49" s="7">
        <f>D49+F49+G49+H49</f>
        <v/>
      </c>
      <c r="AJ49" s="7">
        <f>loc_gastosVida*C49*g_gastos</f>
        <v/>
      </c>
      <c r="AK49" s="7">
        <f>IF(16=0,personal_liquidoInicial,DR48)</f>
        <v/>
      </c>
      <c r="AL49" s="7">
        <f>IF(16=0,0,BB48)</f>
        <v/>
      </c>
      <c r="AM49" s="7">
        <f>CHOOSE(sel_cfgIdx,loc_precio_duplex,loc_precio_inlaw,loc_precio_dosCasas,loc_precio_casaAdu,loc_precio_multi)</f>
        <v/>
      </c>
      <c r="AN49" s="7">
        <f>AM49*(1+g_appr)^(A49-2026)</f>
        <v/>
      </c>
      <c r="AO49" s="7">
        <f>IF(AND(M49=1,vivienda_prestamoMedico=1),1,0)</f>
        <v/>
      </c>
      <c r="AP49" s="7">
        <f>IF(AO49=1,0.05,vivienda_enganchePct)</f>
        <v/>
      </c>
      <c r="AQ49" s="7">
        <f>AN49*(1-AP49)</f>
        <v/>
      </c>
      <c r="AR49" s="7">
        <f>PMT(g_mortRate/12,vivienda_plazoHipoteca*12,-AQ49)</f>
        <v/>
      </c>
      <c r="AS49" s="7">
        <f>INDEX(cfg_units,sel_cfgIdx)</f>
        <v/>
      </c>
      <c r="AT49" s="7">
        <f>AS49*loc_rentaUnidad*(1+g_inf)^(A49-2026)*(1-vivienda_vacancia)</f>
        <v/>
      </c>
      <c r="AU49" s="7">
        <f>AR49+AN49*loc_impuestoPropPct/12+AM49*loc_seguroPct*(1+vivienda_inflacionSeguro)^(A49-2026)/12+IF(AND(AO49=0,AP49&lt;0.2),AQ49*vivienda_pmiTasa/12,0)</f>
        <v/>
      </c>
      <c r="AV49" s="7">
        <f>AN49*AP49+AN49*vivienda_cierrePct+general_reservaMeses/12*AJ49</f>
        <v/>
      </c>
      <c r="AW49" s="7">
        <f>(IF(16=0,MIN(personal_irsSaldo,personal_irsPagoMensual*12),MIN(CD48,personal_irsPagoMensual*12))+IF(CE49&gt;0,PMT(CF49,MAX(1,prestamos_plazoAnios-CG49),-CE49),0)+IF(CR49&gt;0,PMT(CS49,MAX(1,prestamos_plazoAnios-CT49),-CR49),0))/12</f>
        <v/>
      </c>
      <c r="AX49" s="7">
        <f>IF(OR(sel_cfg="duplex",sel_cfg="multi",sel_cfg="dosCasas"),0.75*personal_aporteFamiliaMensual,0)</f>
        <v/>
      </c>
      <c r="AY49" s="7">
        <f>AU49-0.75*AT49-AX49+AW49</f>
        <v/>
      </c>
      <c r="AZ49" s="7">
        <f>(D49+G49+H49+0.5*F49)/12</f>
        <v/>
      </c>
      <c r="BA49" s="7">
        <f>IF(AND(AL49=0,A49&gt;=vivienda_anioMinCompra,J49&lt;0.5,AI49&gt;0,AK49&gt;=AV49,AY49&lt;=vivienda_dtiMax*AZ49),1,0)</f>
        <v/>
      </c>
      <c r="BB49" s="7">
        <f>MAX(AL49,BA49)</f>
        <v/>
      </c>
      <c r="BC49" s="7">
        <f>IF(BA49=1,A49,IF(16=0,"",BC48))</f>
        <v/>
      </c>
      <c r="BD49" s="7">
        <f>AK49-IF(BA49=1,AN49*AP49+AN49*vivienda_cierrePct,0)</f>
        <v/>
      </c>
      <c r="BE49" s="7">
        <f>IF(BA49=1,AN49,IF(16=0,0,BE48))</f>
        <v/>
      </c>
      <c r="BF49" s="7">
        <f>IF(BA49=1,AR49,IF(16=0,0,BF48))</f>
        <v/>
      </c>
      <c r="BG49" s="7">
        <f>IF(BA49=1,IF(AND(AO49=0,AP49&lt;0.2),1,0),IF(16=0,0,BY48))</f>
        <v/>
      </c>
      <c r="BH49" s="7">
        <f>IF(sel_cfg="casaAdu",1,0)</f>
        <v/>
      </c>
      <c r="BI49" s="7">
        <f>IF(AND(BB49=1,BH49=1,IF(16=0,0,BJ48)=0,A49&gt;=IF(BC49="",9999,BC49)+vivienda_aduRetrasoAnios),1,0)</f>
        <v/>
      </c>
      <c r="BJ49" s="7">
        <f>MAX(IF(16=0,0,BJ48),BI49)</f>
        <v/>
      </c>
      <c r="BK49" s="7">
        <f>IF(BI49=1,PMT((g_mortRate+0.005)/12,180,-loc_precio_aduCosto*C49),IF(16=0,0,BK48))</f>
        <v/>
      </c>
      <c r="BL49" s="7">
        <f>IF(BA49=1,AN49,IF(16=0,0,DT48))+IF(BI49=1,loc_precio_aduCosto*C49,0)</f>
        <v/>
      </c>
      <c r="BM49" s="7">
        <f>IF(BA49=1,AQ49,IF(16=0,0,DU48))</f>
        <v/>
      </c>
      <c r="BN49" s="7">
        <f>IF(BM49&lt;=0,0,FV(g_mortRate/12,12,BF49,-BM49))</f>
        <v/>
      </c>
      <c r="BO49" s="7">
        <f>IF(BM49&lt;=0,0,12*BF49+MIN(0,BN49))</f>
        <v/>
      </c>
      <c r="BP49" s="7">
        <f>MAX(0,BN49)</f>
        <v/>
      </c>
      <c r="BQ49" s="7">
        <f>IF(BI49=1,loc_precio_aduCosto*C49,IF(16=0,0,DV48))</f>
        <v/>
      </c>
      <c r="BR49" s="7">
        <f>IF(BQ49&lt;=0,0,FV((g_mortRate+0.005)/12,12,BK49,-BQ49))</f>
        <v/>
      </c>
      <c r="BS49" s="7">
        <f>IF(BQ49&lt;=0,0,12*BK49+MIN(0,BR49))</f>
        <v/>
      </c>
      <c r="BT49" s="7">
        <f>MAX(0,BR49)</f>
        <v/>
      </c>
      <c r="BU49" s="7">
        <f>IF(BB49=1,AM49*loc_seguroPct*(1+vivienda_inflacionSeguro)^(A49-2026)*IF(BJ49=1,1+loc_precio_aduCosto/AM49,1),0)</f>
        <v/>
      </c>
      <c r="BV49" s="7">
        <f>BL49*loc_impuestoPropPct</f>
        <v/>
      </c>
      <c r="BW49" s="7">
        <f>BL49*vivienda_mantenimientoPct</f>
        <v/>
      </c>
      <c r="BX49" s="7">
        <f>IF(AND(BG49=1,BP49&gt;0.8*BE49),BE49*(1-vivienda_enganchePct)*vivienda_pmiTasa,0)</f>
        <v/>
      </c>
      <c r="BY49" s="7">
        <f>IF(AND(BG49=1,BP49&gt;0.8*BE49),1,0)</f>
        <v/>
      </c>
      <c r="BZ49" s="7">
        <f>IF(BB49=1,AS49*loc_rentaUnidad*12*C49*(1-vivienda_vacancia)*(1-vivienda_gestionPct),0)</f>
        <v/>
      </c>
      <c r="CA49" s="7">
        <f>IF(BB49=1,BO49+BS49+BU49+BV49+BW49+BX49,loc_rentaMensual*12*C49)</f>
        <v/>
      </c>
      <c r="CB49" s="7">
        <f>IF(BB49=1,personal_aporteFamiliaMensual*12,0)</f>
        <v/>
      </c>
      <c r="CC49" s="7">
        <f>MIN(IF(16=0,personal_irsSaldo,CD48),personal_irsPagoMensual*12)</f>
        <v/>
      </c>
      <c r="CD49" s="7">
        <f>IF(16=0,personal_irsSaldo,CD48)-CC49</f>
        <v/>
      </c>
      <c r="CE49" s="7">
        <f>IF(16=0,IF(personal_deudaEsFederal=1,personal_deudaEstudiantil,0),DW48)</f>
        <v/>
      </c>
      <c r="CF49" s="7">
        <f>IF(16=0,personal_tasaDeudaEstudiantil,DX48)</f>
        <v/>
      </c>
      <c r="CG49" s="7">
        <f>IF(16=0,0,DY48)</f>
        <v/>
      </c>
      <c r="CH49" s="7">
        <f>IF(J49&gt;=0.5,1,0)</f>
        <v/>
      </c>
      <c r="CI49" s="7">
        <f>IF(AND(CH49=0,prestamos_pslfActivo=1,K49&gt;=0.5,CE49&gt;0),1,0)</f>
        <v/>
      </c>
      <c r="CJ49" s="7">
        <f>CE49*CF49</f>
        <v/>
      </c>
      <c r="CK49" s="7">
        <f>MAX(prestamos_rapPagoMinimoAnual,IF(Y49&lt;10000,0,MIN(0.1,INT(Y49/10000)/100))*Y49)</f>
        <v/>
      </c>
      <c r="CL49" s="7">
        <f>IF(CE49&lt;=0,0,IF(CH49=1,0,IF(CI49=1,MIN(CE49+CJ49,CK49),PMT(CF49,MAX(1,prestamos_plazoAnios-CG49),-CE49))))</f>
        <v/>
      </c>
      <c r="CM49" s="7">
        <f>IF(CE49&lt;=0,0,IF(CH49=1,CE49+CJ49,IF(CI49=1,MAX(0,CE49-MAX(CL49-CJ49,MIN(600,CL49))),MAX(0,CE49*(1+CF49)-CL49))))</f>
        <v/>
      </c>
      <c r="CN49" s="7">
        <f>IF(16=0,0,CN48)+IF(CI49=1,12*MIN(1,K49),0)</f>
        <v/>
      </c>
      <c r="CO49" s="7">
        <f>IF(AND(CI49=1,CN49&gt;=prestamos_pslfPagos,CM49&gt;0),CM49,0)</f>
        <v/>
      </c>
      <c r="CP49" s="7">
        <f>CM49-CO49</f>
        <v/>
      </c>
      <c r="CQ49" s="7">
        <f>IF(AND(CE49&gt;0,CH49=0,CI49=0),CG49+1,CG49)</f>
        <v/>
      </c>
      <c r="CR49" s="7">
        <f>IF(16=0,IF(personal_deudaEsFederal=1,0,personal_deudaEstudiantil),EA48)</f>
        <v/>
      </c>
      <c r="CS49" s="7">
        <f>IF(16=0,IF(personal_deudaEsFederal=1,prestamos_tasaPrivada,personal_tasaDeudaEstudiantil),EB48)</f>
        <v/>
      </c>
      <c r="CT49" s="7">
        <f>IF(16=0,0,EC48)</f>
        <v/>
      </c>
      <c r="CU49" s="7">
        <f>IF(OR(CR49&lt;=0,CH49=1),0,PMT(CS49,MAX(1,prestamos_plazoAnios-CT49),-CR49))</f>
        <v/>
      </c>
      <c r="CV49" s="7">
        <f>IF(CR49&lt;=0,0,IF(CH49=1,CR49*(1+CS49),MAX(0,CR49*(1+CS49)-CU49)))</f>
        <v/>
      </c>
      <c r="CW49" s="7">
        <f>IF(AND(CR49&gt;0,CH49=0),CT49+1,CT49)</f>
        <v/>
      </c>
      <c r="CX49" s="7">
        <f>IF(16=0,0,ED48)*(1+general_tasaDeudaConsumo)</f>
        <v/>
      </c>
      <c r="CY49" s="7">
        <f>L49*12*tiempos_travelGastoExtraMes*C49</f>
        <v/>
      </c>
      <c r="CZ49" s="7">
        <f>AJ49+CY49+CA49+CC49+CL49+CU49+I49+N49-BZ49-CB49</f>
        <v/>
      </c>
      <c r="DA49" s="7">
        <f>AH49-CZ49</f>
        <v/>
      </c>
      <c r="DB49" s="7">
        <f>IF(16=0,0,DB48)+DA49</f>
        <v/>
      </c>
      <c r="DC49" s="7">
        <f>AN49*vivienda_enganchePct+AN49*vivienda_cierrePct+general_reservaMeses/12*AJ49</f>
        <v/>
      </c>
      <c r="DD49" s="7">
        <f>IF(BB49=1,g_ret,IF(BD49&gt;0,MIN(1,DC49/BD49),1)*g_cash+(1-IF(BD49&gt;0,MIN(1,DC49/BD49),1))*g_ret)</f>
        <v/>
      </c>
      <c r="DE49" s="7">
        <f>IF(DA49&gt;=0,MIN(CX49,DA49),0)</f>
        <v/>
      </c>
      <c r="DF49" s="7">
        <f>IF(DA49&gt;=0,(1-general_tasaAhorro)*(DA49-DE49),0)</f>
        <v/>
      </c>
      <c r="DG49" s="7">
        <f>IF(DA49&gt;=0,DA49-DE49-DF49,0)</f>
        <v/>
      </c>
      <c r="DH49" s="7">
        <f>MIN(personal_rothAnual,DG49)</f>
        <v/>
      </c>
      <c r="DI49" s="7">
        <f>IF(AND(DA49&gt;=0,BB49=1,BP49+BT49&gt;0),MIN(vivienda_prepagoPct*(DG49-DH49),BP49+BT49),0)</f>
        <v/>
      </c>
      <c r="DJ49" s="7">
        <f>MIN(DI49,BP49)</f>
        <v/>
      </c>
      <c r="DK49" s="7">
        <f>IF(DA49&lt;0,MIN(MAX(0,BD49),-DA49),0)</f>
        <v/>
      </c>
      <c r="DL49" s="7">
        <f>IF(DA49&lt;0,-DA49-DK49,0)</f>
        <v/>
      </c>
      <c r="DM49" s="7">
        <f>IF(16=0,0,DZ48)</f>
        <v/>
      </c>
      <c r="DN49" s="7">
        <f>IF(AND(DL49&gt;0,J49&gt;0),MIN(DL49,MIN(prestamos_topeAnualPosgrado*MIN(1,J49),MAX(0,prestamos_topeTotalPosgrado-DM49))),0)</f>
        <v/>
      </c>
      <c r="DO49" s="7">
        <f>IF(AND(DL49&gt;0,J49&gt;0),DL49-DN49,0)</f>
        <v/>
      </c>
      <c r="DP49" s="7">
        <f>IF(AND(DL49&gt;0,J49&lt;=0),DL49,0)</f>
        <v/>
      </c>
      <c r="DQ49" s="7">
        <f>IF(DA49&gt;=0,DG49-DH49-DI49,-DK49)</f>
        <v/>
      </c>
      <c r="DR49" s="7">
        <f>BD49*(1+DD49)+DQ49*(1+DD49/2)</f>
        <v/>
      </c>
      <c r="DS49" s="7">
        <f>IF(16=0,personal_retiroInicial,DS48)*(1+g_ret)+(O49+P49+DH49)*(1+g_ret/2)</f>
        <v/>
      </c>
      <c r="DT49" s="7">
        <f>IF(BB49=1,BL49*(1+g_appr),0)</f>
        <v/>
      </c>
      <c r="DU49" s="7">
        <f>BP49-DJ49</f>
        <v/>
      </c>
      <c r="DV49" s="7">
        <f>BT49-(DI49-DJ49)</f>
        <v/>
      </c>
      <c r="DW49" s="7">
        <f>CP49+DN49</f>
        <v/>
      </c>
      <c r="DX49" s="7">
        <f>IF(DN49&gt;0,(CP49*CF49+DN49*prestamos_tasaFederalPosgrado)/(CP49+DN49),CF49)</f>
        <v/>
      </c>
      <c r="DY49" s="7">
        <f>IF(DN49&gt;0,0,CQ49)</f>
        <v/>
      </c>
      <c r="DZ49" s="7">
        <f>DM49+DN49</f>
        <v/>
      </c>
      <c r="EA49" s="7">
        <f>CV49+DO49</f>
        <v/>
      </c>
      <c r="EB49" s="7">
        <f>IF(DO49&gt;0,(CV49*CS49+DO49*prestamos_tasaPrivada)/(CV49+DO49),CS49)</f>
        <v/>
      </c>
      <c r="EC49" s="7">
        <f>IF(DO49&gt;0,0,CW49)</f>
        <v/>
      </c>
      <c r="ED49" s="7">
        <f>CX49-DE49+DP49</f>
        <v/>
      </c>
      <c r="EE49" s="7">
        <f>IF(IF(16=0,"",EE48)&lt;&gt;"",EE48,IF(AND(BB49=1,DU49&lt;=0.5,DV49&lt;=0.5,OR(BH49=0,BJ49=1)),A49,""))</f>
        <v/>
      </c>
      <c r="EF49" s="7">
        <f>DU49+DV49+DW49+EA49+ED49+CD49</f>
        <v/>
      </c>
      <c r="EG49" s="7">
        <f>DR49+DS49+DT49-EF49</f>
        <v/>
      </c>
      <c r="EH49" s="7">
        <f>EG49/(1+g_inf)^(A49+1-2026)</f>
        <v/>
      </c>
    </row>
    <row r="50">
      <c r="A50" t="n">
        <v>2044</v>
      </c>
      <c r="B50" t="n">
        <v>17</v>
      </c>
      <c r="C50" s="7">
        <f>(1+g_inf)^(A50-2026)</f>
        <v/>
      </c>
      <c r="D50" s="7">
        <f>SUMPRODUCT($AK$5:$AK$29,$E$5:$E$29*(1+$F$5:$F$29)^(A50-2026)*$G$5:$G$29*$H$5:$H$29*(1-$N$5:$N$29*$O$5:$O$29))*g_salMult+SUMPRODUCT(($B$5:$B$29&gt;=A50)*($B$5:$B$29&lt;A50+1)*$I$5:$I$29)*g_salMult</f>
        <v/>
      </c>
      <c r="E50" s="7">
        <f>SUMPRODUCT($AK$5:$AK$29,$E$5:$E$29*(1+$F$5:$F$29)^(A50-2026)*$G$5:$G$29*$H$5:$H$29*$M$5:$M$29)*g_salMult</f>
        <v/>
      </c>
      <c r="F50" s="7">
        <f>SUMPRODUCT($AK$5:$AK$29,$E$5:$E$29*(1+$F$5:$F$29)^(A50-2026)*$G$5:$G$29*$H$5:$H$29*$N$5:$N$29*$O$5:$O$29)*g_salMult</f>
        <v/>
      </c>
      <c r="G50" s="7">
        <f>SUMPRODUCT($AK$5:$AK$29,$P$5:$P$29*(1+$F$5:$F$29)^(A50-2026))</f>
        <v/>
      </c>
      <c r="H50" s="7">
        <f>SUMPRODUCT($AK$5:$AK$29,$Q$5:$Q$29*(1+$F$5:$F$29)^(A50-2026))+IF(personal_llcActivo=1,personal_llcNeto*(1+personal_llcCrecimiento)^17,0)</f>
        <v/>
      </c>
      <c r="I50" s="7">
        <f>SUMPRODUCT($AK$5:$AK$29,$J$5:$J$29/($C$5:$C$29-$B$5:$B$29+($C$5:$C$29=$B$5:$B$29)))*C50</f>
        <v/>
      </c>
      <c r="J50" s="7">
        <f>SUMPRODUCT($AK$5:$AK$29,$K$5:$K$29)</f>
        <v/>
      </c>
      <c r="K50" s="7">
        <f>SUMPRODUCT($AK$5:$AK$29,$L$5:$L$29)</f>
        <v/>
      </c>
      <c r="L50" s="7">
        <f>SUMPRODUCT($AK$5:$AK$29,$N$5:$N$29)</f>
        <v/>
      </c>
      <c r="M50" s="7">
        <f>IF(SUMPRODUCT($AK$5:$AK$29,$R$5:$R$29)&gt;0,1,0)</f>
        <v/>
      </c>
      <c r="N50" s="7">
        <f>SUMPRODUCT(($AO$5:$AO$24&gt;=A50)*($AO$5:$AO$24&lt;A50+1)*$AP$5:$AP$24)*C50+IF(17=0,IF(sel_loc&lt;&gt;"miami",personal_costoMudanzaInicial,0),0)</f>
        <v/>
      </c>
      <c r="O50" s="7">
        <f>MIN(personal_aporte403bPct*D50,retiro_limite403b*C50)</f>
        <v/>
      </c>
      <c r="P50" s="7">
        <f>MIN(personal_aporte403bPct,personal_match403bPct)*E50</f>
        <v/>
      </c>
      <c r="Q50" s="7">
        <f>IF(G50&gt;0,MAX(0,G50-impuestos_scorpCostoAnual*C50),0)</f>
        <v/>
      </c>
      <c r="R50" s="7">
        <f>Q50*impuestos_scorpSalarioPct/(1+impuestos_ssTasa+impuestos_medicareTasa)</f>
        <v/>
      </c>
      <c r="S50" s="7">
        <f>impuestos_ssTasa*MIN(R50,MAX(0,impuestos_ssTope*C50-D50))+impuestos_medicareTasa*R50</f>
        <v/>
      </c>
      <c r="T50" s="7">
        <f>Q50-R50-S50</f>
        <v/>
      </c>
      <c r="U50" s="7">
        <f>D50+R50</f>
        <v/>
      </c>
      <c r="V50" s="7">
        <f>H50*0.9235</f>
        <v/>
      </c>
      <c r="W50" s="7">
        <f>IF(H50&gt;0,2*impuestos_ssTasa*MIN(V50,MAX(0,impuestos_ssTope*C50-U50))+2*impuestos_medicareTasa*V50,0)</f>
        <v/>
      </c>
      <c r="X50" s="7">
        <f>impuestos_ssTasa*MIN(U50,impuestos_ssTope*C50)+impuestos_medicareTasa*U50+impuestos_medicareAdicional*MAX(0,U50+H50*0.9235-impuestos_medicareUmbral)</f>
        <v/>
      </c>
      <c r="Y50" s="7">
        <f>MAX(0,D50-O50+R50+T50+H50-W50/2)</f>
        <v/>
      </c>
      <c r="Z50" s="7">
        <f>MAX(0,Y50-impuestos_deduccionEstandar*C50)</f>
        <v/>
      </c>
      <c r="AA50" s="7">
        <f>MIN(0.2*MAX(0,T50+H50-W50/2)*MAX(0,MIN(1,1-(Z50-impuestos_qbiUmbral*C50)/(impuestos_qbiRango*C50))),0.2*Z50)</f>
        <v/>
      </c>
      <c r="AB50" s="7">
        <f>MAX(0,Z50-AA50)</f>
        <v/>
      </c>
      <c r="AC50" s="7">
        <f>SUMPRODUCT((AB50&gt;tb_federalBrackets_lo*C50)*(AB50-tb_federalBrackets_lo*C50)*tb_federalBrackets_dr)</f>
        <v/>
      </c>
      <c r="AD50" s="7">
        <f>MAX(0,Y50-impuestos_nyDeduccion*C50)</f>
        <v/>
      </c>
      <c r="AE50" s="7">
        <f>CHOOSE(loc_taxcode,0,impuestos_ohTasa*MAX(0,Y50-impuestos_ohExento*C50)+impuestos_ohMunicipal*U50,SUMPRODUCT((AD50&gt;tb_nyBrackets_lo*C50)*(AD50-tb_nyBrackets_lo*C50)*tb_nyBrackets_dr)+loc_nyc*SUMPRODUCT((AD50&gt;tb_nycBrackets_lo*C50)*(AD50-tb_nycBrackets_lo*C50)*tb_nycBrackets_dr))</f>
        <v/>
      </c>
      <c r="AF50" s="7">
        <f>AC50+AE50+X50+W50</f>
        <v/>
      </c>
      <c r="AG50" s="7">
        <f>D50+F50+R50+T50+H50</f>
        <v/>
      </c>
      <c r="AH50" s="7">
        <f>AG50-AF50-O50</f>
        <v/>
      </c>
      <c r="AI50" s="7">
        <f>D50+F50+G50+H50</f>
        <v/>
      </c>
      <c r="AJ50" s="7">
        <f>loc_gastosVida*C50*g_gastos</f>
        <v/>
      </c>
      <c r="AK50" s="7">
        <f>IF(17=0,personal_liquidoInicial,DR49)</f>
        <v/>
      </c>
      <c r="AL50" s="7">
        <f>IF(17=0,0,BB49)</f>
        <v/>
      </c>
      <c r="AM50" s="7">
        <f>CHOOSE(sel_cfgIdx,loc_precio_duplex,loc_precio_inlaw,loc_precio_dosCasas,loc_precio_casaAdu,loc_precio_multi)</f>
        <v/>
      </c>
      <c r="AN50" s="7">
        <f>AM50*(1+g_appr)^(A50-2026)</f>
        <v/>
      </c>
      <c r="AO50" s="7">
        <f>IF(AND(M50=1,vivienda_prestamoMedico=1),1,0)</f>
        <v/>
      </c>
      <c r="AP50" s="7">
        <f>IF(AO50=1,0.05,vivienda_enganchePct)</f>
        <v/>
      </c>
      <c r="AQ50" s="7">
        <f>AN50*(1-AP50)</f>
        <v/>
      </c>
      <c r="AR50" s="7">
        <f>PMT(g_mortRate/12,vivienda_plazoHipoteca*12,-AQ50)</f>
        <v/>
      </c>
      <c r="AS50" s="7">
        <f>INDEX(cfg_units,sel_cfgIdx)</f>
        <v/>
      </c>
      <c r="AT50" s="7">
        <f>AS50*loc_rentaUnidad*(1+g_inf)^(A50-2026)*(1-vivienda_vacancia)</f>
        <v/>
      </c>
      <c r="AU50" s="7">
        <f>AR50+AN50*loc_impuestoPropPct/12+AM50*loc_seguroPct*(1+vivienda_inflacionSeguro)^(A50-2026)/12+IF(AND(AO50=0,AP50&lt;0.2),AQ50*vivienda_pmiTasa/12,0)</f>
        <v/>
      </c>
      <c r="AV50" s="7">
        <f>AN50*AP50+AN50*vivienda_cierrePct+general_reservaMeses/12*AJ50</f>
        <v/>
      </c>
      <c r="AW50" s="7">
        <f>(IF(17=0,MIN(personal_irsSaldo,personal_irsPagoMensual*12),MIN(CD49,personal_irsPagoMensual*12))+IF(CE50&gt;0,PMT(CF50,MAX(1,prestamos_plazoAnios-CG50),-CE50),0)+IF(CR50&gt;0,PMT(CS50,MAX(1,prestamos_plazoAnios-CT50),-CR50),0))/12</f>
        <v/>
      </c>
      <c r="AX50" s="7">
        <f>IF(OR(sel_cfg="duplex",sel_cfg="multi",sel_cfg="dosCasas"),0.75*personal_aporteFamiliaMensual,0)</f>
        <v/>
      </c>
      <c r="AY50" s="7">
        <f>AU50-0.75*AT50-AX50+AW50</f>
        <v/>
      </c>
      <c r="AZ50" s="7">
        <f>(D50+G50+H50+0.5*F50)/12</f>
        <v/>
      </c>
      <c r="BA50" s="7">
        <f>IF(AND(AL50=0,A50&gt;=vivienda_anioMinCompra,J50&lt;0.5,AI50&gt;0,AK50&gt;=AV50,AY50&lt;=vivienda_dtiMax*AZ50),1,0)</f>
        <v/>
      </c>
      <c r="BB50" s="7">
        <f>MAX(AL50,BA50)</f>
        <v/>
      </c>
      <c r="BC50" s="7">
        <f>IF(BA50=1,A50,IF(17=0,"",BC49))</f>
        <v/>
      </c>
      <c r="BD50" s="7">
        <f>AK50-IF(BA50=1,AN50*AP50+AN50*vivienda_cierrePct,0)</f>
        <v/>
      </c>
      <c r="BE50" s="7">
        <f>IF(BA50=1,AN50,IF(17=0,0,BE49))</f>
        <v/>
      </c>
      <c r="BF50" s="7">
        <f>IF(BA50=1,AR50,IF(17=0,0,BF49))</f>
        <v/>
      </c>
      <c r="BG50" s="7">
        <f>IF(BA50=1,IF(AND(AO50=0,AP50&lt;0.2),1,0),IF(17=0,0,BY49))</f>
        <v/>
      </c>
      <c r="BH50" s="7">
        <f>IF(sel_cfg="casaAdu",1,0)</f>
        <v/>
      </c>
      <c r="BI50" s="7">
        <f>IF(AND(BB50=1,BH50=1,IF(17=0,0,BJ49)=0,A50&gt;=IF(BC50="",9999,BC50)+vivienda_aduRetrasoAnios),1,0)</f>
        <v/>
      </c>
      <c r="BJ50" s="7">
        <f>MAX(IF(17=0,0,BJ49),BI50)</f>
        <v/>
      </c>
      <c r="BK50" s="7">
        <f>IF(BI50=1,PMT((g_mortRate+0.005)/12,180,-loc_precio_aduCosto*C50),IF(17=0,0,BK49))</f>
        <v/>
      </c>
      <c r="BL50" s="7">
        <f>IF(BA50=1,AN50,IF(17=0,0,DT49))+IF(BI50=1,loc_precio_aduCosto*C50,0)</f>
        <v/>
      </c>
      <c r="BM50" s="7">
        <f>IF(BA50=1,AQ50,IF(17=0,0,DU49))</f>
        <v/>
      </c>
      <c r="BN50" s="7">
        <f>IF(BM50&lt;=0,0,FV(g_mortRate/12,12,BF50,-BM50))</f>
        <v/>
      </c>
      <c r="BO50" s="7">
        <f>IF(BM50&lt;=0,0,12*BF50+MIN(0,BN50))</f>
        <v/>
      </c>
      <c r="BP50" s="7">
        <f>MAX(0,BN50)</f>
        <v/>
      </c>
      <c r="BQ50" s="7">
        <f>IF(BI50=1,loc_precio_aduCosto*C50,IF(17=0,0,DV49))</f>
        <v/>
      </c>
      <c r="BR50" s="7">
        <f>IF(BQ50&lt;=0,0,FV((g_mortRate+0.005)/12,12,BK50,-BQ50))</f>
        <v/>
      </c>
      <c r="BS50" s="7">
        <f>IF(BQ50&lt;=0,0,12*BK50+MIN(0,BR50))</f>
        <v/>
      </c>
      <c r="BT50" s="7">
        <f>MAX(0,BR50)</f>
        <v/>
      </c>
      <c r="BU50" s="7">
        <f>IF(BB50=1,AM50*loc_seguroPct*(1+vivienda_inflacionSeguro)^(A50-2026)*IF(BJ50=1,1+loc_precio_aduCosto/AM50,1),0)</f>
        <v/>
      </c>
      <c r="BV50" s="7">
        <f>BL50*loc_impuestoPropPct</f>
        <v/>
      </c>
      <c r="BW50" s="7">
        <f>BL50*vivienda_mantenimientoPct</f>
        <v/>
      </c>
      <c r="BX50" s="7">
        <f>IF(AND(BG50=1,BP50&gt;0.8*BE50),BE50*(1-vivienda_enganchePct)*vivienda_pmiTasa,0)</f>
        <v/>
      </c>
      <c r="BY50" s="7">
        <f>IF(AND(BG50=1,BP50&gt;0.8*BE50),1,0)</f>
        <v/>
      </c>
      <c r="BZ50" s="7">
        <f>IF(BB50=1,AS50*loc_rentaUnidad*12*C50*(1-vivienda_vacancia)*(1-vivienda_gestionPct),0)</f>
        <v/>
      </c>
      <c r="CA50" s="7">
        <f>IF(BB50=1,BO50+BS50+BU50+BV50+BW50+BX50,loc_rentaMensual*12*C50)</f>
        <v/>
      </c>
      <c r="CB50" s="7">
        <f>IF(BB50=1,personal_aporteFamiliaMensual*12,0)</f>
        <v/>
      </c>
      <c r="CC50" s="7">
        <f>MIN(IF(17=0,personal_irsSaldo,CD49),personal_irsPagoMensual*12)</f>
        <v/>
      </c>
      <c r="CD50" s="7">
        <f>IF(17=0,personal_irsSaldo,CD49)-CC50</f>
        <v/>
      </c>
      <c r="CE50" s="7">
        <f>IF(17=0,IF(personal_deudaEsFederal=1,personal_deudaEstudiantil,0),DW49)</f>
        <v/>
      </c>
      <c r="CF50" s="7">
        <f>IF(17=0,personal_tasaDeudaEstudiantil,DX49)</f>
        <v/>
      </c>
      <c r="CG50" s="7">
        <f>IF(17=0,0,DY49)</f>
        <v/>
      </c>
      <c r="CH50" s="7">
        <f>IF(J50&gt;=0.5,1,0)</f>
        <v/>
      </c>
      <c r="CI50" s="7">
        <f>IF(AND(CH50=0,prestamos_pslfActivo=1,K50&gt;=0.5,CE50&gt;0),1,0)</f>
        <v/>
      </c>
      <c r="CJ50" s="7">
        <f>CE50*CF50</f>
        <v/>
      </c>
      <c r="CK50" s="7">
        <f>MAX(prestamos_rapPagoMinimoAnual,IF(Y50&lt;10000,0,MIN(0.1,INT(Y50/10000)/100))*Y50)</f>
        <v/>
      </c>
      <c r="CL50" s="7">
        <f>IF(CE50&lt;=0,0,IF(CH50=1,0,IF(CI50=1,MIN(CE50+CJ50,CK50),PMT(CF50,MAX(1,prestamos_plazoAnios-CG50),-CE50))))</f>
        <v/>
      </c>
      <c r="CM50" s="7">
        <f>IF(CE50&lt;=0,0,IF(CH50=1,CE50+CJ50,IF(CI50=1,MAX(0,CE50-MAX(CL50-CJ50,MIN(600,CL50))),MAX(0,CE50*(1+CF50)-CL50))))</f>
        <v/>
      </c>
      <c r="CN50" s="7">
        <f>IF(17=0,0,CN49)+IF(CI50=1,12*MIN(1,K50),0)</f>
        <v/>
      </c>
      <c r="CO50" s="7">
        <f>IF(AND(CI50=1,CN50&gt;=prestamos_pslfPagos,CM50&gt;0),CM50,0)</f>
        <v/>
      </c>
      <c r="CP50" s="7">
        <f>CM50-CO50</f>
        <v/>
      </c>
      <c r="CQ50" s="7">
        <f>IF(AND(CE50&gt;0,CH50=0,CI50=0),CG50+1,CG50)</f>
        <v/>
      </c>
      <c r="CR50" s="7">
        <f>IF(17=0,IF(personal_deudaEsFederal=1,0,personal_deudaEstudiantil),EA49)</f>
        <v/>
      </c>
      <c r="CS50" s="7">
        <f>IF(17=0,IF(personal_deudaEsFederal=1,prestamos_tasaPrivada,personal_tasaDeudaEstudiantil),EB49)</f>
        <v/>
      </c>
      <c r="CT50" s="7">
        <f>IF(17=0,0,EC49)</f>
        <v/>
      </c>
      <c r="CU50" s="7">
        <f>IF(OR(CR50&lt;=0,CH50=1),0,PMT(CS50,MAX(1,prestamos_plazoAnios-CT50),-CR50))</f>
        <v/>
      </c>
      <c r="CV50" s="7">
        <f>IF(CR50&lt;=0,0,IF(CH50=1,CR50*(1+CS50),MAX(0,CR50*(1+CS50)-CU50)))</f>
        <v/>
      </c>
      <c r="CW50" s="7">
        <f>IF(AND(CR50&gt;0,CH50=0),CT50+1,CT50)</f>
        <v/>
      </c>
      <c r="CX50" s="7">
        <f>IF(17=0,0,ED49)*(1+general_tasaDeudaConsumo)</f>
        <v/>
      </c>
      <c r="CY50" s="7">
        <f>L50*12*tiempos_travelGastoExtraMes*C50</f>
        <v/>
      </c>
      <c r="CZ50" s="7">
        <f>AJ50+CY50+CA50+CC50+CL50+CU50+I50+N50-BZ50-CB50</f>
        <v/>
      </c>
      <c r="DA50" s="7">
        <f>AH50-CZ50</f>
        <v/>
      </c>
      <c r="DB50" s="7">
        <f>IF(17=0,0,DB49)+DA50</f>
        <v/>
      </c>
      <c r="DC50" s="7">
        <f>AN50*vivienda_enganchePct+AN50*vivienda_cierrePct+general_reservaMeses/12*AJ50</f>
        <v/>
      </c>
      <c r="DD50" s="7">
        <f>IF(BB50=1,g_ret,IF(BD50&gt;0,MIN(1,DC50/BD50),1)*g_cash+(1-IF(BD50&gt;0,MIN(1,DC50/BD50),1))*g_ret)</f>
        <v/>
      </c>
      <c r="DE50" s="7">
        <f>IF(DA50&gt;=0,MIN(CX50,DA50),0)</f>
        <v/>
      </c>
      <c r="DF50" s="7">
        <f>IF(DA50&gt;=0,(1-general_tasaAhorro)*(DA50-DE50),0)</f>
        <v/>
      </c>
      <c r="DG50" s="7">
        <f>IF(DA50&gt;=0,DA50-DE50-DF50,0)</f>
        <v/>
      </c>
      <c r="DH50" s="7">
        <f>MIN(personal_rothAnual,DG50)</f>
        <v/>
      </c>
      <c r="DI50" s="7">
        <f>IF(AND(DA50&gt;=0,BB50=1,BP50+BT50&gt;0),MIN(vivienda_prepagoPct*(DG50-DH50),BP50+BT50),0)</f>
        <v/>
      </c>
      <c r="DJ50" s="7">
        <f>MIN(DI50,BP50)</f>
        <v/>
      </c>
      <c r="DK50" s="7">
        <f>IF(DA50&lt;0,MIN(MAX(0,BD50),-DA50),0)</f>
        <v/>
      </c>
      <c r="DL50" s="7">
        <f>IF(DA50&lt;0,-DA50-DK50,0)</f>
        <v/>
      </c>
      <c r="DM50" s="7">
        <f>IF(17=0,0,DZ49)</f>
        <v/>
      </c>
      <c r="DN50" s="7">
        <f>IF(AND(DL50&gt;0,J50&gt;0),MIN(DL50,MIN(prestamos_topeAnualPosgrado*MIN(1,J50),MAX(0,prestamos_topeTotalPosgrado-DM50))),0)</f>
        <v/>
      </c>
      <c r="DO50" s="7">
        <f>IF(AND(DL50&gt;0,J50&gt;0),DL50-DN50,0)</f>
        <v/>
      </c>
      <c r="DP50" s="7">
        <f>IF(AND(DL50&gt;0,J50&lt;=0),DL50,0)</f>
        <v/>
      </c>
      <c r="DQ50" s="7">
        <f>IF(DA50&gt;=0,DG50-DH50-DI50,-DK50)</f>
        <v/>
      </c>
      <c r="DR50" s="7">
        <f>BD50*(1+DD50)+DQ50*(1+DD50/2)</f>
        <v/>
      </c>
      <c r="DS50" s="7">
        <f>IF(17=0,personal_retiroInicial,DS49)*(1+g_ret)+(O50+P50+DH50)*(1+g_ret/2)</f>
        <v/>
      </c>
      <c r="DT50" s="7">
        <f>IF(BB50=1,BL50*(1+g_appr),0)</f>
        <v/>
      </c>
      <c r="DU50" s="7">
        <f>BP50-DJ50</f>
        <v/>
      </c>
      <c r="DV50" s="7">
        <f>BT50-(DI50-DJ50)</f>
        <v/>
      </c>
      <c r="DW50" s="7">
        <f>CP50+DN50</f>
        <v/>
      </c>
      <c r="DX50" s="7">
        <f>IF(DN50&gt;0,(CP50*CF50+DN50*prestamos_tasaFederalPosgrado)/(CP50+DN50),CF50)</f>
        <v/>
      </c>
      <c r="DY50" s="7">
        <f>IF(DN50&gt;0,0,CQ50)</f>
        <v/>
      </c>
      <c r="DZ50" s="7">
        <f>DM50+DN50</f>
        <v/>
      </c>
      <c r="EA50" s="7">
        <f>CV50+DO50</f>
        <v/>
      </c>
      <c r="EB50" s="7">
        <f>IF(DO50&gt;0,(CV50*CS50+DO50*prestamos_tasaPrivada)/(CV50+DO50),CS50)</f>
        <v/>
      </c>
      <c r="EC50" s="7">
        <f>IF(DO50&gt;0,0,CW50)</f>
        <v/>
      </c>
      <c r="ED50" s="7">
        <f>CX50-DE50+DP50</f>
        <v/>
      </c>
      <c r="EE50" s="7">
        <f>IF(IF(17=0,"",EE49)&lt;&gt;"",EE49,IF(AND(BB50=1,DU50&lt;=0.5,DV50&lt;=0.5,OR(BH50=0,BJ50=1)),A50,""))</f>
        <v/>
      </c>
      <c r="EF50" s="7">
        <f>DU50+DV50+DW50+EA50+ED50+CD50</f>
        <v/>
      </c>
      <c r="EG50" s="7">
        <f>DR50+DS50+DT50-EF50</f>
        <v/>
      </c>
      <c r="EH50" s="7">
        <f>EG50/(1+g_inf)^(A50+1-2026)</f>
        <v/>
      </c>
    </row>
    <row r="51">
      <c r="A51" t="n">
        <v>2045</v>
      </c>
      <c r="B51" t="n">
        <v>18</v>
      </c>
      <c r="C51" s="7">
        <f>(1+g_inf)^(A51-2026)</f>
        <v/>
      </c>
      <c r="D51" s="7">
        <f>SUMPRODUCT($AL$5:$AL$29,$E$5:$E$29*(1+$F$5:$F$29)^(A51-2026)*$G$5:$G$29*$H$5:$H$29*(1-$N$5:$N$29*$O$5:$O$29))*g_salMult+SUMPRODUCT(($B$5:$B$29&gt;=A51)*($B$5:$B$29&lt;A51+1)*$I$5:$I$29)*g_salMult</f>
        <v/>
      </c>
      <c r="E51" s="7">
        <f>SUMPRODUCT($AL$5:$AL$29,$E$5:$E$29*(1+$F$5:$F$29)^(A51-2026)*$G$5:$G$29*$H$5:$H$29*$M$5:$M$29)*g_salMult</f>
        <v/>
      </c>
      <c r="F51" s="7">
        <f>SUMPRODUCT($AL$5:$AL$29,$E$5:$E$29*(1+$F$5:$F$29)^(A51-2026)*$G$5:$G$29*$H$5:$H$29*$N$5:$N$29*$O$5:$O$29)*g_salMult</f>
        <v/>
      </c>
      <c r="G51" s="7">
        <f>SUMPRODUCT($AL$5:$AL$29,$P$5:$P$29*(1+$F$5:$F$29)^(A51-2026))</f>
        <v/>
      </c>
      <c r="H51" s="7">
        <f>SUMPRODUCT($AL$5:$AL$29,$Q$5:$Q$29*(1+$F$5:$F$29)^(A51-2026))+IF(personal_llcActivo=1,personal_llcNeto*(1+personal_llcCrecimiento)^18,0)</f>
        <v/>
      </c>
      <c r="I51" s="7">
        <f>SUMPRODUCT($AL$5:$AL$29,$J$5:$J$29/($C$5:$C$29-$B$5:$B$29+($C$5:$C$29=$B$5:$B$29)))*C51</f>
        <v/>
      </c>
      <c r="J51" s="7">
        <f>SUMPRODUCT($AL$5:$AL$29,$K$5:$K$29)</f>
        <v/>
      </c>
      <c r="K51" s="7">
        <f>SUMPRODUCT($AL$5:$AL$29,$L$5:$L$29)</f>
        <v/>
      </c>
      <c r="L51" s="7">
        <f>SUMPRODUCT($AL$5:$AL$29,$N$5:$N$29)</f>
        <v/>
      </c>
      <c r="M51" s="7">
        <f>IF(SUMPRODUCT($AL$5:$AL$29,$R$5:$R$29)&gt;0,1,0)</f>
        <v/>
      </c>
      <c r="N51" s="7">
        <f>SUMPRODUCT(($AO$5:$AO$24&gt;=A51)*($AO$5:$AO$24&lt;A51+1)*$AP$5:$AP$24)*C51+IF(18=0,IF(sel_loc&lt;&gt;"miami",personal_costoMudanzaInicial,0),0)</f>
        <v/>
      </c>
      <c r="O51" s="7">
        <f>MIN(personal_aporte403bPct*D51,retiro_limite403b*C51)</f>
        <v/>
      </c>
      <c r="P51" s="7">
        <f>MIN(personal_aporte403bPct,personal_match403bPct)*E51</f>
        <v/>
      </c>
      <c r="Q51" s="7">
        <f>IF(G51&gt;0,MAX(0,G51-impuestos_scorpCostoAnual*C51),0)</f>
        <v/>
      </c>
      <c r="R51" s="7">
        <f>Q51*impuestos_scorpSalarioPct/(1+impuestos_ssTasa+impuestos_medicareTasa)</f>
        <v/>
      </c>
      <c r="S51" s="7">
        <f>impuestos_ssTasa*MIN(R51,MAX(0,impuestos_ssTope*C51-D51))+impuestos_medicareTasa*R51</f>
        <v/>
      </c>
      <c r="T51" s="7">
        <f>Q51-R51-S51</f>
        <v/>
      </c>
      <c r="U51" s="7">
        <f>D51+R51</f>
        <v/>
      </c>
      <c r="V51" s="7">
        <f>H51*0.9235</f>
        <v/>
      </c>
      <c r="W51" s="7">
        <f>IF(H51&gt;0,2*impuestos_ssTasa*MIN(V51,MAX(0,impuestos_ssTope*C51-U51))+2*impuestos_medicareTasa*V51,0)</f>
        <v/>
      </c>
      <c r="X51" s="7">
        <f>impuestos_ssTasa*MIN(U51,impuestos_ssTope*C51)+impuestos_medicareTasa*U51+impuestos_medicareAdicional*MAX(0,U51+H51*0.9235-impuestos_medicareUmbral)</f>
        <v/>
      </c>
      <c r="Y51" s="7">
        <f>MAX(0,D51-O51+R51+T51+H51-W51/2)</f>
        <v/>
      </c>
      <c r="Z51" s="7">
        <f>MAX(0,Y51-impuestos_deduccionEstandar*C51)</f>
        <v/>
      </c>
      <c r="AA51" s="7">
        <f>MIN(0.2*MAX(0,T51+H51-W51/2)*MAX(0,MIN(1,1-(Z51-impuestos_qbiUmbral*C51)/(impuestos_qbiRango*C51))),0.2*Z51)</f>
        <v/>
      </c>
      <c r="AB51" s="7">
        <f>MAX(0,Z51-AA51)</f>
        <v/>
      </c>
      <c r="AC51" s="7">
        <f>SUMPRODUCT((AB51&gt;tb_federalBrackets_lo*C51)*(AB51-tb_federalBrackets_lo*C51)*tb_federalBrackets_dr)</f>
        <v/>
      </c>
      <c r="AD51" s="7">
        <f>MAX(0,Y51-impuestos_nyDeduccion*C51)</f>
        <v/>
      </c>
      <c r="AE51" s="7">
        <f>CHOOSE(loc_taxcode,0,impuestos_ohTasa*MAX(0,Y51-impuestos_ohExento*C51)+impuestos_ohMunicipal*U51,SUMPRODUCT((AD51&gt;tb_nyBrackets_lo*C51)*(AD51-tb_nyBrackets_lo*C51)*tb_nyBrackets_dr)+loc_nyc*SUMPRODUCT((AD51&gt;tb_nycBrackets_lo*C51)*(AD51-tb_nycBrackets_lo*C51)*tb_nycBrackets_dr))</f>
        <v/>
      </c>
      <c r="AF51" s="7">
        <f>AC51+AE51+X51+W51</f>
        <v/>
      </c>
      <c r="AG51" s="7">
        <f>D51+F51+R51+T51+H51</f>
        <v/>
      </c>
      <c r="AH51" s="7">
        <f>AG51-AF51-O51</f>
        <v/>
      </c>
      <c r="AI51" s="7">
        <f>D51+F51+G51+H51</f>
        <v/>
      </c>
      <c r="AJ51" s="7">
        <f>loc_gastosVida*C51*g_gastos</f>
        <v/>
      </c>
      <c r="AK51" s="7">
        <f>IF(18=0,personal_liquidoInicial,DR50)</f>
        <v/>
      </c>
      <c r="AL51" s="7">
        <f>IF(18=0,0,BB50)</f>
        <v/>
      </c>
      <c r="AM51" s="7">
        <f>CHOOSE(sel_cfgIdx,loc_precio_duplex,loc_precio_inlaw,loc_precio_dosCasas,loc_precio_casaAdu,loc_precio_multi)</f>
        <v/>
      </c>
      <c r="AN51" s="7">
        <f>AM51*(1+g_appr)^(A51-2026)</f>
        <v/>
      </c>
      <c r="AO51" s="7">
        <f>IF(AND(M51=1,vivienda_prestamoMedico=1),1,0)</f>
        <v/>
      </c>
      <c r="AP51" s="7">
        <f>IF(AO51=1,0.05,vivienda_enganchePct)</f>
        <v/>
      </c>
      <c r="AQ51" s="7">
        <f>AN51*(1-AP51)</f>
        <v/>
      </c>
      <c r="AR51" s="7">
        <f>PMT(g_mortRate/12,vivienda_plazoHipoteca*12,-AQ51)</f>
        <v/>
      </c>
      <c r="AS51" s="7">
        <f>INDEX(cfg_units,sel_cfgIdx)</f>
        <v/>
      </c>
      <c r="AT51" s="7">
        <f>AS51*loc_rentaUnidad*(1+g_inf)^(A51-2026)*(1-vivienda_vacancia)</f>
        <v/>
      </c>
      <c r="AU51" s="7">
        <f>AR51+AN51*loc_impuestoPropPct/12+AM51*loc_seguroPct*(1+vivienda_inflacionSeguro)^(A51-2026)/12+IF(AND(AO51=0,AP51&lt;0.2),AQ51*vivienda_pmiTasa/12,0)</f>
        <v/>
      </c>
      <c r="AV51" s="7">
        <f>AN51*AP51+AN51*vivienda_cierrePct+general_reservaMeses/12*AJ51</f>
        <v/>
      </c>
      <c r="AW51" s="7">
        <f>(IF(18=0,MIN(personal_irsSaldo,personal_irsPagoMensual*12),MIN(CD50,personal_irsPagoMensual*12))+IF(CE51&gt;0,PMT(CF51,MAX(1,prestamos_plazoAnios-CG51),-CE51),0)+IF(CR51&gt;0,PMT(CS51,MAX(1,prestamos_plazoAnios-CT51),-CR51),0))/12</f>
        <v/>
      </c>
      <c r="AX51" s="7">
        <f>IF(OR(sel_cfg="duplex",sel_cfg="multi",sel_cfg="dosCasas"),0.75*personal_aporteFamiliaMensual,0)</f>
        <v/>
      </c>
      <c r="AY51" s="7">
        <f>AU51-0.75*AT51-AX51+AW51</f>
        <v/>
      </c>
      <c r="AZ51" s="7">
        <f>(D51+G51+H51+0.5*F51)/12</f>
        <v/>
      </c>
      <c r="BA51" s="7">
        <f>IF(AND(AL51=0,A51&gt;=vivienda_anioMinCompra,J51&lt;0.5,AI51&gt;0,AK51&gt;=AV51,AY51&lt;=vivienda_dtiMax*AZ51),1,0)</f>
        <v/>
      </c>
      <c r="BB51" s="7">
        <f>MAX(AL51,BA51)</f>
        <v/>
      </c>
      <c r="BC51" s="7">
        <f>IF(BA51=1,A51,IF(18=0,"",BC50))</f>
        <v/>
      </c>
      <c r="BD51" s="7">
        <f>AK51-IF(BA51=1,AN51*AP51+AN51*vivienda_cierrePct,0)</f>
        <v/>
      </c>
      <c r="BE51" s="7">
        <f>IF(BA51=1,AN51,IF(18=0,0,BE50))</f>
        <v/>
      </c>
      <c r="BF51" s="7">
        <f>IF(BA51=1,AR51,IF(18=0,0,BF50))</f>
        <v/>
      </c>
      <c r="BG51" s="7">
        <f>IF(BA51=1,IF(AND(AO51=0,AP51&lt;0.2),1,0),IF(18=0,0,BY50))</f>
        <v/>
      </c>
      <c r="BH51" s="7">
        <f>IF(sel_cfg="casaAdu",1,0)</f>
        <v/>
      </c>
      <c r="BI51" s="7">
        <f>IF(AND(BB51=1,BH51=1,IF(18=0,0,BJ50)=0,A51&gt;=IF(BC51="",9999,BC51)+vivienda_aduRetrasoAnios),1,0)</f>
        <v/>
      </c>
      <c r="BJ51" s="7">
        <f>MAX(IF(18=0,0,BJ50),BI51)</f>
        <v/>
      </c>
      <c r="BK51" s="7">
        <f>IF(BI51=1,PMT((g_mortRate+0.005)/12,180,-loc_precio_aduCosto*C51),IF(18=0,0,BK50))</f>
        <v/>
      </c>
      <c r="BL51" s="7">
        <f>IF(BA51=1,AN51,IF(18=0,0,DT50))+IF(BI51=1,loc_precio_aduCosto*C51,0)</f>
        <v/>
      </c>
      <c r="BM51" s="7">
        <f>IF(BA51=1,AQ51,IF(18=0,0,DU50))</f>
        <v/>
      </c>
      <c r="BN51" s="7">
        <f>IF(BM51&lt;=0,0,FV(g_mortRate/12,12,BF51,-BM51))</f>
        <v/>
      </c>
      <c r="BO51" s="7">
        <f>IF(BM51&lt;=0,0,12*BF51+MIN(0,BN51))</f>
        <v/>
      </c>
      <c r="BP51" s="7">
        <f>MAX(0,BN51)</f>
        <v/>
      </c>
      <c r="BQ51" s="7">
        <f>IF(BI51=1,loc_precio_aduCosto*C51,IF(18=0,0,DV50))</f>
        <v/>
      </c>
      <c r="BR51" s="7">
        <f>IF(BQ51&lt;=0,0,FV((g_mortRate+0.005)/12,12,BK51,-BQ51))</f>
        <v/>
      </c>
      <c r="BS51" s="7">
        <f>IF(BQ51&lt;=0,0,12*BK51+MIN(0,BR51))</f>
        <v/>
      </c>
      <c r="BT51" s="7">
        <f>MAX(0,BR51)</f>
        <v/>
      </c>
      <c r="BU51" s="7">
        <f>IF(BB51=1,AM51*loc_seguroPct*(1+vivienda_inflacionSeguro)^(A51-2026)*IF(BJ51=1,1+loc_precio_aduCosto/AM51,1),0)</f>
        <v/>
      </c>
      <c r="BV51" s="7">
        <f>BL51*loc_impuestoPropPct</f>
        <v/>
      </c>
      <c r="BW51" s="7">
        <f>BL51*vivienda_mantenimientoPct</f>
        <v/>
      </c>
      <c r="BX51" s="7">
        <f>IF(AND(BG51=1,BP51&gt;0.8*BE51),BE51*(1-vivienda_enganchePct)*vivienda_pmiTasa,0)</f>
        <v/>
      </c>
      <c r="BY51" s="7">
        <f>IF(AND(BG51=1,BP51&gt;0.8*BE51),1,0)</f>
        <v/>
      </c>
      <c r="BZ51" s="7">
        <f>IF(BB51=1,AS51*loc_rentaUnidad*12*C51*(1-vivienda_vacancia)*(1-vivienda_gestionPct),0)</f>
        <v/>
      </c>
      <c r="CA51" s="7">
        <f>IF(BB51=1,BO51+BS51+BU51+BV51+BW51+BX51,loc_rentaMensual*12*C51)</f>
        <v/>
      </c>
      <c r="CB51" s="7">
        <f>IF(BB51=1,personal_aporteFamiliaMensual*12,0)</f>
        <v/>
      </c>
      <c r="CC51" s="7">
        <f>MIN(IF(18=0,personal_irsSaldo,CD50),personal_irsPagoMensual*12)</f>
        <v/>
      </c>
      <c r="CD51" s="7">
        <f>IF(18=0,personal_irsSaldo,CD50)-CC51</f>
        <v/>
      </c>
      <c r="CE51" s="7">
        <f>IF(18=0,IF(personal_deudaEsFederal=1,personal_deudaEstudiantil,0),DW50)</f>
        <v/>
      </c>
      <c r="CF51" s="7">
        <f>IF(18=0,personal_tasaDeudaEstudiantil,DX50)</f>
        <v/>
      </c>
      <c r="CG51" s="7">
        <f>IF(18=0,0,DY50)</f>
        <v/>
      </c>
      <c r="CH51" s="7">
        <f>IF(J51&gt;=0.5,1,0)</f>
        <v/>
      </c>
      <c r="CI51" s="7">
        <f>IF(AND(CH51=0,prestamos_pslfActivo=1,K51&gt;=0.5,CE51&gt;0),1,0)</f>
        <v/>
      </c>
      <c r="CJ51" s="7">
        <f>CE51*CF51</f>
        <v/>
      </c>
      <c r="CK51" s="7">
        <f>MAX(prestamos_rapPagoMinimoAnual,IF(Y51&lt;10000,0,MIN(0.1,INT(Y51/10000)/100))*Y51)</f>
        <v/>
      </c>
      <c r="CL51" s="7">
        <f>IF(CE51&lt;=0,0,IF(CH51=1,0,IF(CI51=1,MIN(CE51+CJ51,CK51),PMT(CF51,MAX(1,prestamos_plazoAnios-CG51),-CE51))))</f>
        <v/>
      </c>
      <c r="CM51" s="7">
        <f>IF(CE51&lt;=0,0,IF(CH51=1,CE51+CJ51,IF(CI51=1,MAX(0,CE51-MAX(CL51-CJ51,MIN(600,CL51))),MAX(0,CE51*(1+CF51)-CL51))))</f>
        <v/>
      </c>
      <c r="CN51" s="7">
        <f>IF(18=0,0,CN50)+IF(CI51=1,12*MIN(1,K51),0)</f>
        <v/>
      </c>
      <c r="CO51" s="7">
        <f>IF(AND(CI51=1,CN51&gt;=prestamos_pslfPagos,CM51&gt;0),CM51,0)</f>
        <v/>
      </c>
      <c r="CP51" s="7">
        <f>CM51-CO51</f>
        <v/>
      </c>
      <c r="CQ51" s="7">
        <f>IF(AND(CE51&gt;0,CH51=0,CI51=0),CG51+1,CG51)</f>
        <v/>
      </c>
      <c r="CR51" s="7">
        <f>IF(18=0,IF(personal_deudaEsFederal=1,0,personal_deudaEstudiantil),EA50)</f>
        <v/>
      </c>
      <c r="CS51" s="7">
        <f>IF(18=0,IF(personal_deudaEsFederal=1,prestamos_tasaPrivada,personal_tasaDeudaEstudiantil),EB50)</f>
        <v/>
      </c>
      <c r="CT51" s="7">
        <f>IF(18=0,0,EC50)</f>
        <v/>
      </c>
      <c r="CU51" s="7">
        <f>IF(OR(CR51&lt;=0,CH51=1),0,PMT(CS51,MAX(1,prestamos_plazoAnios-CT51),-CR51))</f>
        <v/>
      </c>
      <c r="CV51" s="7">
        <f>IF(CR51&lt;=0,0,IF(CH51=1,CR51*(1+CS51),MAX(0,CR51*(1+CS51)-CU51)))</f>
        <v/>
      </c>
      <c r="CW51" s="7">
        <f>IF(AND(CR51&gt;0,CH51=0),CT51+1,CT51)</f>
        <v/>
      </c>
      <c r="CX51" s="7">
        <f>IF(18=0,0,ED50)*(1+general_tasaDeudaConsumo)</f>
        <v/>
      </c>
      <c r="CY51" s="7">
        <f>L51*12*tiempos_travelGastoExtraMes*C51</f>
        <v/>
      </c>
      <c r="CZ51" s="7">
        <f>AJ51+CY51+CA51+CC51+CL51+CU51+I51+N51-BZ51-CB51</f>
        <v/>
      </c>
      <c r="DA51" s="7">
        <f>AH51-CZ51</f>
        <v/>
      </c>
      <c r="DB51" s="7">
        <f>IF(18=0,0,DB50)+DA51</f>
        <v/>
      </c>
      <c r="DC51" s="7">
        <f>AN51*vivienda_enganchePct+AN51*vivienda_cierrePct+general_reservaMeses/12*AJ51</f>
        <v/>
      </c>
      <c r="DD51" s="7">
        <f>IF(BB51=1,g_ret,IF(BD51&gt;0,MIN(1,DC51/BD51),1)*g_cash+(1-IF(BD51&gt;0,MIN(1,DC51/BD51),1))*g_ret)</f>
        <v/>
      </c>
      <c r="DE51" s="7">
        <f>IF(DA51&gt;=0,MIN(CX51,DA51),0)</f>
        <v/>
      </c>
      <c r="DF51" s="7">
        <f>IF(DA51&gt;=0,(1-general_tasaAhorro)*(DA51-DE51),0)</f>
        <v/>
      </c>
      <c r="DG51" s="7">
        <f>IF(DA51&gt;=0,DA51-DE51-DF51,0)</f>
        <v/>
      </c>
      <c r="DH51" s="7">
        <f>MIN(personal_rothAnual,DG51)</f>
        <v/>
      </c>
      <c r="DI51" s="7">
        <f>IF(AND(DA51&gt;=0,BB51=1,BP51+BT51&gt;0),MIN(vivienda_prepagoPct*(DG51-DH51),BP51+BT51),0)</f>
        <v/>
      </c>
      <c r="DJ51" s="7">
        <f>MIN(DI51,BP51)</f>
        <v/>
      </c>
      <c r="DK51" s="7">
        <f>IF(DA51&lt;0,MIN(MAX(0,BD51),-DA51),0)</f>
        <v/>
      </c>
      <c r="DL51" s="7">
        <f>IF(DA51&lt;0,-DA51-DK51,0)</f>
        <v/>
      </c>
      <c r="DM51" s="7">
        <f>IF(18=0,0,DZ50)</f>
        <v/>
      </c>
      <c r="DN51" s="7">
        <f>IF(AND(DL51&gt;0,J51&gt;0),MIN(DL51,MIN(prestamos_topeAnualPosgrado*MIN(1,J51),MAX(0,prestamos_topeTotalPosgrado-DM51))),0)</f>
        <v/>
      </c>
      <c r="DO51" s="7">
        <f>IF(AND(DL51&gt;0,J51&gt;0),DL51-DN51,0)</f>
        <v/>
      </c>
      <c r="DP51" s="7">
        <f>IF(AND(DL51&gt;0,J51&lt;=0),DL51,0)</f>
        <v/>
      </c>
      <c r="DQ51" s="7">
        <f>IF(DA51&gt;=0,DG51-DH51-DI51,-DK51)</f>
        <v/>
      </c>
      <c r="DR51" s="7">
        <f>BD51*(1+DD51)+DQ51*(1+DD51/2)</f>
        <v/>
      </c>
      <c r="DS51" s="7">
        <f>IF(18=0,personal_retiroInicial,DS50)*(1+g_ret)+(O51+P51+DH51)*(1+g_ret/2)</f>
        <v/>
      </c>
      <c r="DT51" s="7">
        <f>IF(BB51=1,BL51*(1+g_appr),0)</f>
        <v/>
      </c>
      <c r="DU51" s="7">
        <f>BP51-DJ51</f>
        <v/>
      </c>
      <c r="DV51" s="7">
        <f>BT51-(DI51-DJ51)</f>
        <v/>
      </c>
      <c r="DW51" s="7">
        <f>CP51+DN51</f>
        <v/>
      </c>
      <c r="DX51" s="7">
        <f>IF(DN51&gt;0,(CP51*CF51+DN51*prestamos_tasaFederalPosgrado)/(CP51+DN51),CF51)</f>
        <v/>
      </c>
      <c r="DY51" s="7">
        <f>IF(DN51&gt;0,0,CQ51)</f>
        <v/>
      </c>
      <c r="DZ51" s="7">
        <f>DM51+DN51</f>
        <v/>
      </c>
      <c r="EA51" s="7">
        <f>CV51+DO51</f>
        <v/>
      </c>
      <c r="EB51" s="7">
        <f>IF(DO51&gt;0,(CV51*CS51+DO51*prestamos_tasaPrivada)/(CV51+DO51),CS51)</f>
        <v/>
      </c>
      <c r="EC51" s="7">
        <f>IF(DO51&gt;0,0,CW51)</f>
        <v/>
      </c>
      <c r="ED51" s="7">
        <f>CX51-DE51+DP51</f>
        <v/>
      </c>
      <c r="EE51" s="7">
        <f>IF(IF(18=0,"",EE50)&lt;&gt;"",EE50,IF(AND(BB51=1,DU51&lt;=0.5,DV51&lt;=0.5,OR(BH51=0,BJ51=1)),A51,""))</f>
        <v/>
      </c>
      <c r="EF51" s="7">
        <f>DU51+DV51+DW51+EA51+ED51+CD51</f>
        <v/>
      </c>
      <c r="EG51" s="7">
        <f>DR51+DS51+DT51-EF51</f>
        <v/>
      </c>
      <c r="EH51" s="7">
        <f>EG51/(1+g_inf)^(A51+1-2026)</f>
        <v/>
      </c>
    </row>
    <row r="52">
      <c r="A52" t="n">
        <v>2046</v>
      </c>
      <c r="B52" t="n">
        <v>19</v>
      </c>
      <c r="C52" s="7">
        <f>(1+g_inf)^(A52-2026)</f>
        <v/>
      </c>
      <c r="D52" s="7">
        <f>SUMPRODUCT($AM$5:$AM$29,$E$5:$E$29*(1+$F$5:$F$29)^(A52-2026)*$G$5:$G$29*$H$5:$H$29*(1-$N$5:$N$29*$O$5:$O$29))*g_salMult+SUMPRODUCT(($B$5:$B$29&gt;=A52)*($B$5:$B$29&lt;A52+1)*$I$5:$I$29)*g_salMult</f>
        <v/>
      </c>
      <c r="E52" s="7">
        <f>SUMPRODUCT($AM$5:$AM$29,$E$5:$E$29*(1+$F$5:$F$29)^(A52-2026)*$G$5:$G$29*$H$5:$H$29*$M$5:$M$29)*g_salMult</f>
        <v/>
      </c>
      <c r="F52" s="7">
        <f>SUMPRODUCT($AM$5:$AM$29,$E$5:$E$29*(1+$F$5:$F$29)^(A52-2026)*$G$5:$G$29*$H$5:$H$29*$N$5:$N$29*$O$5:$O$29)*g_salMult</f>
        <v/>
      </c>
      <c r="G52" s="7">
        <f>SUMPRODUCT($AM$5:$AM$29,$P$5:$P$29*(1+$F$5:$F$29)^(A52-2026))</f>
        <v/>
      </c>
      <c r="H52" s="7">
        <f>SUMPRODUCT($AM$5:$AM$29,$Q$5:$Q$29*(1+$F$5:$F$29)^(A52-2026))+IF(personal_llcActivo=1,personal_llcNeto*(1+personal_llcCrecimiento)^19,0)</f>
        <v/>
      </c>
      <c r="I52" s="7">
        <f>SUMPRODUCT($AM$5:$AM$29,$J$5:$J$29/($C$5:$C$29-$B$5:$B$29+($C$5:$C$29=$B$5:$B$29)))*C52</f>
        <v/>
      </c>
      <c r="J52" s="7">
        <f>SUMPRODUCT($AM$5:$AM$29,$K$5:$K$29)</f>
        <v/>
      </c>
      <c r="K52" s="7">
        <f>SUMPRODUCT($AM$5:$AM$29,$L$5:$L$29)</f>
        <v/>
      </c>
      <c r="L52" s="7">
        <f>SUMPRODUCT($AM$5:$AM$29,$N$5:$N$29)</f>
        <v/>
      </c>
      <c r="M52" s="7">
        <f>IF(SUMPRODUCT($AM$5:$AM$29,$R$5:$R$29)&gt;0,1,0)</f>
        <v/>
      </c>
      <c r="N52" s="7">
        <f>SUMPRODUCT(($AO$5:$AO$24&gt;=A52)*($AO$5:$AO$24&lt;A52+1)*$AP$5:$AP$24)*C52+IF(19=0,IF(sel_loc&lt;&gt;"miami",personal_costoMudanzaInicial,0),0)</f>
        <v/>
      </c>
      <c r="O52" s="7">
        <f>MIN(personal_aporte403bPct*D52,retiro_limite403b*C52)</f>
        <v/>
      </c>
      <c r="P52" s="7">
        <f>MIN(personal_aporte403bPct,personal_match403bPct)*E52</f>
        <v/>
      </c>
      <c r="Q52" s="7">
        <f>IF(G52&gt;0,MAX(0,G52-impuestos_scorpCostoAnual*C52),0)</f>
        <v/>
      </c>
      <c r="R52" s="7">
        <f>Q52*impuestos_scorpSalarioPct/(1+impuestos_ssTasa+impuestos_medicareTasa)</f>
        <v/>
      </c>
      <c r="S52" s="7">
        <f>impuestos_ssTasa*MIN(R52,MAX(0,impuestos_ssTope*C52-D52))+impuestos_medicareTasa*R52</f>
        <v/>
      </c>
      <c r="T52" s="7">
        <f>Q52-R52-S52</f>
        <v/>
      </c>
      <c r="U52" s="7">
        <f>D52+R52</f>
        <v/>
      </c>
      <c r="V52" s="7">
        <f>H52*0.9235</f>
        <v/>
      </c>
      <c r="W52" s="7">
        <f>IF(H52&gt;0,2*impuestos_ssTasa*MIN(V52,MAX(0,impuestos_ssTope*C52-U52))+2*impuestos_medicareTasa*V52,0)</f>
        <v/>
      </c>
      <c r="X52" s="7">
        <f>impuestos_ssTasa*MIN(U52,impuestos_ssTope*C52)+impuestos_medicareTasa*U52+impuestos_medicareAdicional*MAX(0,U52+H52*0.9235-impuestos_medicareUmbral)</f>
        <v/>
      </c>
      <c r="Y52" s="7">
        <f>MAX(0,D52-O52+R52+T52+H52-W52/2)</f>
        <v/>
      </c>
      <c r="Z52" s="7">
        <f>MAX(0,Y52-impuestos_deduccionEstandar*C52)</f>
        <v/>
      </c>
      <c r="AA52" s="7">
        <f>MIN(0.2*MAX(0,T52+H52-W52/2)*MAX(0,MIN(1,1-(Z52-impuestos_qbiUmbral*C52)/(impuestos_qbiRango*C52))),0.2*Z52)</f>
        <v/>
      </c>
      <c r="AB52" s="7">
        <f>MAX(0,Z52-AA52)</f>
        <v/>
      </c>
      <c r="AC52" s="7">
        <f>SUMPRODUCT((AB52&gt;tb_federalBrackets_lo*C52)*(AB52-tb_federalBrackets_lo*C52)*tb_federalBrackets_dr)</f>
        <v/>
      </c>
      <c r="AD52" s="7">
        <f>MAX(0,Y52-impuestos_nyDeduccion*C52)</f>
        <v/>
      </c>
      <c r="AE52" s="7">
        <f>CHOOSE(loc_taxcode,0,impuestos_ohTasa*MAX(0,Y52-impuestos_ohExento*C52)+impuestos_ohMunicipal*U52,SUMPRODUCT((AD52&gt;tb_nyBrackets_lo*C52)*(AD52-tb_nyBrackets_lo*C52)*tb_nyBrackets_dr)+loc_nyc*SUMPRODUCT((AD52&gt;tb_nycBrackets_lo*C52)*(AD52-tb_nycBrackets_lo*C52)*tb_nycBrackets_dr))</f>
        <v/>
      </c>
      <c r="AF52" s="7">
        <f>AC52+AE52+X52+W52</f>
        <v/>
      </c>
      <c r="AG52" s="7">
        <f>D52+F52+R52+T52+H52</f>
        <v/>
      </c>
      <c r="AH52" s="7">
        <f>AG52-AF52-O52</f>
        <v/>
      </c>
      <c r="AI52" s="7">
        <f>D52+F52+G52+H52</f>
        <v/>
      </c>
      <c r="AJ52" s="7">
        <f>loc_gastosVida*C52*g_gastos</f>
        <v/>
      </c>
      <c r="AK52" s="7">
        <f>IF(19=0,personal_liquidoInicial,DR51)</f>
        <v/>
      </c>
      <c r="AL52" s="7">
        <f>IF(19=0,0,BB51)</f>
        <v/>
      </c>
      <c r="AM52" s="7">
        <f>CHOOSE(sel_cfgIdx,loc_precio_duplex,loc_precio_inlaw,loc_precio_dosCasas,loc_precio_casaAdu,loc_precio_multi)</f>
        <v/>
      </c>
      <c r="AN52" s="7">
        <f>AM52*(1+g_appr)^(A52-2026)</f>
        <v/>
      </c>
      <c r="AO52" s="7">
        <f>IF(AND(M52=1,vivienda_prestamoMedico=1),1,0)</f>
        <v/>
      </c>
      <c r="AP52" s="7">
        <f>IF(AO52=1,0.05,vivienda_enganchePct)</f>
        <v/>
      </c>
      <c r="AQ52" s="7">
        <f>AN52*(1-AP52)</f>
        <v/>
      </c>
      <c r="AR52" s="7">
        <f>PMT(g_mortRate/12,vivienda_plazoHipoteca*12,-AQ52)</f>
        <v/>
      </c>
      <c r="AS52" s="7">
        <f>INDEX(cfg_units,sel_cfgIdx)</f>
        <v/>
      </c>
      <c r="AT52" s="7">
        <f>AS52*loc_rentaUnidad*(1+g_inf)^(A52-2026)*(1-vivienda_vacancia)</f>
        <v/>
      </c>
      <c r="AU52" s="7">
        <f>AR52+AN52*loc_impuestoPropPct/12+AM52*loc_seguroPct*(1+vivienda_inflacionSeguro)^(A52-2026)/12+IF(AND(AO52=0,AP52&lt;0.2),AQ52*vivienda_pmiTasa/12,0)</f>
        <v/>
      </c>
      <c r="AV52" s="7">
        <f>AN52*AP52+AN52*vivienda_cierrePct+general_reservaMeses/12*AJ52</f>
        <v/>
      </c>
      <c r="AW52" s="7">
        <f>(IF(19=0,MIN(personal_irsSaldo,personal_irsPagoMensual*12),MIN(CD51,personal_irsPagoMensual*12))+IF(CE52&gt;0,PMT(CF52,MAX(1,prestamos_plazoAnios-CG52),-CE52),0)+IF(CR52&gt;0,PMT(CS52,MAX(1,prestamos_plazoAnios-CT52),-CR52),0))/12</f>
        <v/>
      </c>
      <c r="AX52" s="7">
        <f>IF(OR(sel_cfg="duplex",sel_cfg="multi",sel_cfg="dosCasas"),0.75*personal_aporteFamiliaMensual,0)</f>
        <v/>
      </c>
      <c r="AY52" s="7">
        <f>AU52-0.75*AT52-AX52+AW52</f>
        <v/>
      </c>
      <c r="AZ52" s="7">
        <f>(D52+G52+H52+0.5*F52)/12</f>
        <v/>
      </c>
      <c r="BA52" s="7">
        <f>IF(AND(AL52=0,A52&gt;=vivienda_anioMinCompra,J52&lt;0.5,AI52&gt;0,AK52&gt;=AV52,AY52&lt;=vivienda_dtiMax*AZ52),1,0)</f>
        <v/>
      </c>
      <c r="BB52" s="7">
        <f>MAX(AL52,BA52)</f>
        <v/>
      </c>
      <c r="BC52" s="7">
        <f>IF(BA52=1,A52,IF(19=0,"",BC51))</f>
        <v/>
      </c>
      <c r="BD52" s="7">
        <f>AK52-IF(BA52=1,AN52*AP52+AN52*vivienda_cierrePct,0)</f>
        <v/>
      </c>
      <c r="BE52" s="7">
        <f>IF(BA52=1,AN52,IF(19=0,0,BE51))</f>
        <v/>
      </c>
      <c r="BF52" s="7">
        <f>IF(BA52=1,AR52,IF(19=0,0,BF51))</f>
        <v/>
      </c>
      <c r="BG52" s="7">
        <f>IF(BA52=1,IF(AND(AO52=0,AP52&lt;0.2),1,0),IF(19=0,0,BY51))</f>
        <v/>
      </c>
      <c r="BH52" s="7">
        <f>IF(sel_cfg="casaAdu",1,0)</f>
        <v/>
      </c>
      <c r="BI52" s="7">
        <f>IF(AND(BB52=1,BH52=1,IF(19=0,0,BJ51)=0,A52&gt;=IF(BC52="",9999,BC52)+vivienda_aduRetrasoAnios),1,0)</f>
        <v/>
      </c>
      <c r="BJ52" s="7">
        <f>MAX(IF(19=0,0,BJ51),BI52)</f>
        <v/>
      </c>
      <c r="BK52" s="7">
        <f>IF(BI52=1,PMT((g_mortRate+0.005)/12,180,-loc_precio_aduCosto*C52),IF(19=0,0,BK51))</f>
        <v/>
      </c>
      <c r="BL52" s="7">
        <f>IF(BA52=1,AN52,IF(19=0,0,DT51))+IF(BI52=1,loc_precio_aduCosto*C52,0)</f>
        <v/>
      </c>
      <c r="BM52" s="7">
        <f>IF(BA52=1,AQ52,IF(19=0,0,DU51))</f>
        <v/>
      </c>
      <c r="BN52" s="7">
        <f>IF(BM52&lt;=0,0,FV(g_mortRate/12,12,BF52,-BM52))</f>
        <v/>
      </c>
      <c r="BO52" s="7">
        <f>IF(BM52&lt;=0,0,12*BF52+MIN(0,BN52))</f>
        <v/>
      </c>
      <c r="BP52" s="7">
        <f>MAX(0,BN52)</f>
        <v/>
      </c>
      <c r="BQ52" s="7">
        <f>IF(BI52=1,loc_precio_aduCosto*C52,IF(19=0,0,DV51))</f>
        <v/>
      </c>
      <c r="BR52" s="7">
        <f>IF(BQ52&lt;=0,0,FV((g_mortRate+0.005)/12,12,BK52,-BQ52))</f>
        <v/>
      </c>
      <c r="BS52" s="7">
        <f>IF(BQ52&lt;=0,0,12*BK52+MIN(0,BR52))</f>
        <v/>
      </c>
      <c r="BT52" s="7">
        <f>MAX(0,BR52)</f>
        <v/>
      </c>
      <c r="BU52" s="7">
        <f>IF(BB52=1,AM52*loc_seguroPct*(1+vivienda_inflacionSeguro)^(A52-2026)*IF(BJ52=1,1+loc_precio_aduCosto/AM52,1),0)</f>
        <v/>
      </c>
      <c r="BV52" s="7">
        <f>BL52*loc_impuestoPropPct</f>
        <v/>
      </c>
      <c r="BW52" s="7">
        <f>BL52*vivienda_mantenimientoPct</f>
        <v/>
      </c>
      <c r="BX52" s="7">
        <f>IF(AND(BG52=1,BP52&gt;0.8*BE52),BE52*(1-vivienda_enganchePct)*vivienda_pmiTasa,0)</f>
        <v/>
      </c>
      <c r="BY52" s="7">
        <f>IF(AND(BG52=1,BP52&gt;0.8*BE52),1,0)</f>
        <v/>
      </c>
      <c r="BZ52" s="7">
        <f>IF(BB52=1,AS52*loc_rentaUnidad*12*C52*(1-vivienda_vacancia)*(1-vivienda_gestionPct),0)</f>
        <v/>
      </c>
      <c r="CA52" s="7">
        <f>IF(BB52=1,BO52+BS52+BU52+BV52+BW52+BX52,loc_rentaMensual*12*C52)</f>
        <v/>
      </c>
      <c r="CB52" s="7">
        <f>IF(BB52=1,personal_aporteFamiliaMensual*12,0)</f>
        <v/>
      </c>
      <c r="CC52" s="7">
        <f>MIN(IF(19=0,personal_irsSaldo,CD51),personal_irsPagoMensual*12)</f>
        <v/>
      </c>
      <c r="CD52" s="7">
        <f>IF(19=0,personal_irsSaldo,CD51)-CC52</f>
        <v/>
      </c>
      <c r="CE52" s="7">
        <f>IF(19=0,IF(personal_deudaEsFederal=1,personal_deudaEstudiantil,0),DW51)</f>
        <v/>
      </c>
      <c r="CF52" s="7">
        <f>IF(19=0,personal_tasaDeudaEstudiantil,DX51)</f>
        <v/>
      </c>
      <c r="CG52" s="7">
        <f>IF(19=0,0,DY51)</f>
        <v/>
      </c>
      <c r="CH52" s="7">
        <f>IF(J52&gt;=0.5,1,0)</f>
        <v/>
      </c>
      <c r="CI52" s="7">
        <f>IF(AND(CH52=0,prestamos_pslfActivo=1,K52&gt;=0.5,CE52&gt;0),1,0)</f>
        <v/>
      </c>
      <c r="CJ52" s="7">
        <f>CE52*CF52</f>
        <v/>
      </c>
      <c r="CK52" s="7">
        <f>MAX(prestamos_rapPagoMinimoAnual,IF(Y52&lt;10000,0,MIN(0.1,INT(Y52/10000)/100))*Y52)</f>
        <v/>
      </c>
      <c r="CL52" s="7">
        <f>IF(CE52&lt;=0,0,IF(CH52=1,0,IF(CI52=1,MIN(CE52+CJ52,CK52),PMT(CF52,MAX(1,prestamos_plazoAnios-CG52),-CE52))))</f>
        <v/>
      </c>
      <c r="CM52" s="7">
        <f>IF(CE52&lt;=0,0,IF(CH52=1,CE52+CJ52,IF(CI52=1,MAX(0,CE52-MAX(CL52-CJ52,MIN(600,CL52))),MAX(0,CE52*(1+CF52)-CL52))))</f>
        <v/>
      </c>
      <c r="CN52" s="7">
        <f>IF(19=0,0,CN51)+IF(CI52=1,12*MIN(1,K52),0)</f>
        <v/>
      </c>
      <c r="CO52" s="7">
        <f>IF(AND(CI52=1,CN52&gt;=prestamos_pslfPagos,CM52&gt;0),CM52,0)</f>
        <v/>
      </c>
      <c r="CP52" s="7">
        <f>CM52-CO52</f>
        <v/>
      </c>
      <c r="CQ52" s="7">
        <f>IF(AND(CE52&gt;0,CH52=0,CI52=0),CG52+1,CG52)</f>
        <v/>
      </c>
      <c r="CR52" s="7">
        <f>IF(19=0,IF(personal_deudaEsFederal=1,0,personal_deudaEstudiantil),EA51)</f>
        <v/>
      </c>
      <c r="CS52" s="7">
        <f>IF(19=0,IF(personal_deudaEsFederal=1,prestamos_tasaPrivada,personal_tasaDeudaEstudiantil),EB51)</f>
        <v/>
      </c>
      <c r="CT52" s="7">
        <f>IF(19=0,0,EC51)</f>
        <v/>
      </c>
      <c r="CU52" s="7">
        <f>IF(OR(CR52&lt;=0,CH52=1),0,PMT(CS52,MAX(1,prestamos_plazoAnios-CT52),-CR52))</f>
        <v/>
      </c>
      <c r="CV52" s="7">
        <f>IF(CR52&lt;=0,0,IF(CH52=1,CR52*(1+CS52),MAX(0,CR52*(1+CS52)-CU52)))</f>
        <v/>
      </c>
      <c r="CW52" s="7">
        <f>IF(AND(CR52&gt;0,CH52=0),CT52+1,CT52)</f>
        <v/>
      </c>
      <c r="CX52" s="7">
        <f>IF(19=0,0,ED51)*(1+general_tasaDeudaConsumo)</f>
        <v/>
      </c>
      <c r="CY52" s="7">
        <f>L52*12*tiempos_travelGastoExtraMes*C52</f>
        <v/>
      </c>
      <c r="CZ52" s="7">
        <f>AJ52+CY52+CA52+CC52+CL52+CU52+I52+N52-BZ52-CB52</f>
        <v/>
      </c>
      <c r="DA52" s="7">
        <f>AH52-CZ52</f>
        <v/>
      </c>
      <c r="DB52" s="7">
        <f>IF(19=0,0,DB51)+DA52</f>
        <v/>
      </c>
      <c r="DC52" s="7">
        <f>AN52*vivienda_enganchePct+AN52*vivienda_cierrePct+general_reservaMeses/12*AJ52</f>
        <v/>
      </c>
      <c r="DD52" s="7">
        <f>IF(BB52=1,g_ret,IF(BD52&gt;0,MIN(1,DC52/BD52),1)*g_cash+(1-IF(BD52&gt;0,MIN(1,DC52/BD52),1))*g_ret)</f>
        <v/>
      </c>
      <c r="DE52" s="7">
        <f>IF(DA52&gt;=0,MIN(CX52,DA52),0)</f>
        <v/>
      </c>
      <c r="DF52" s="7">
        <f>IF(DA52&gt;=0,(1-general_tasaAhorro)*(DA52-DE52),0)</f>
        <v/>
      </c>
      <c r="DG52" s="7">
        <f>IF(DA52&gt;=0,DA52-DE52-DF52,0)</f>
        <v/>
      </c>
      <c r="DH52" s="7">
        <f>MIN(personal_rothAnual,DG52)</f>
        <v/>
      </c>
      <c r="DI52" s="7">
        <f>IF(AND(DA52&gt;=0,BB52=1,BP52+BT52&gt;0),MIN(vivienda_prepagoPct*(DG52-DH52),BP52+BT52),0)</f>
        <v/>
      </c>
      <c r="DJ52" s="7">
        <f>MIN(DI52,BP52)</f>
        <v/>
      </c>
      <c r="DK52" s="7">
        <f>IF(DA52&lt;0,MIN(MAX(0,BD52),-DA52),0)</f>
        <v/>
      </c>
      <c r="DL52" s="7">
        <f>IF(DA52&lt;0,-DA52-DK52,0)</f>
        <v/>
      </c>
      <c r="DM52" s="7">
        <f>IF(19=0,0,DZ51)</f>
        <v/>
      </c>
      <c r="DN52" s="7">
        <f>IF(AND(DL52&gt;0,J52&gt;0),MIN(DL52,MIN(prestamos_topeAnualPosgrado*MIN(1,J52),MAX(0,prestamos_topeTotalPosgrado-DM52))),0)</f>
        <v/>
      </c>
      <c r="DO52" s="7">
        <f>IF(AND(DL52&gt;0,J52&gt;0),DL52-DN52,0)</f>
        <v/>
      </c>
      <c r="DP52" s="7">
        <f>IF(AND(DL52&gt;0,J52&lt;=0),DL52,0)</f>
        <v/>
      </c>
      <c r="DQ52" s="7">
        <f>IF(DA52&gt;=0,DG52-DH52-DI52,-DK52)</f>
        <v/>
      </c>
      <c r="DR52" s="7">
        <f>BD52*(1+DD52)+DQ52*(1+DD52/2)</f>
        <v/>
      </c>
      <c r="DS52" s="7">
        <f>IF(19=0,personal_retiroInicial,DS51)*(1+g_ret)+(O52+P52+DH52)*(1+g_ret/2)</f>
        <v/>
      </c>
      <c r="DT52" s="7">
        <f>IF(BB52=1,BL52*(1+g_appr),0)</f>
        <v/>
      </c>
      <c r="DU52" s="7">
        <f>BP52-DJ52</f>
        <v/>
      </c>
      <c r="DV52" s="7">
        <f>BT52-(DI52-DJ52)</f>
        <v/>
      </c>
      <c r="DW52" s="7">
        <f>CP52+DN52</f>
        <v/>
      </c>
      <c r="DX52" s="7">
        <f>IF(DN52&gt;0,(CP52*CF52+DN52*prestamos_tasaFederalPosgrado)/(CP52+DN52),CF52)</f>
        <v/>
      </c>
      <c r="DY52" s="7">
        <f>IF(DN52&gt;0,0,CQ52)</f>
        <v/>
      </c>
      <c r="DZ52" s="7">
        <f>DM52+DN52</f>
        <v/>
      </c>
      <c r="EA52" s="7">
        <f>CV52+DO52</f>
        <v/>
      </c>
      <c r="EB52" s="7">
        <f>IF(DO52&gt;0,(CV52*CS52+DO52*prestamos_tasaPrivada)/(CV52+DO52),CS52)</f>
        <v/>
      </c>
      <c r="EC52" s="7">
        <f>IF(DO52&gt;0,0,CW52)</f>
        <v/>
      </c>
      <c r="ED52" s="7">
        <f>CX52-DE52+DP52</f>
        <v/>
      </c>
      <c r="EE52" s="7">
        <f>IF(IF(19=0,"",EE51)&lt;&gt;"",EE51,IF(AND(BB52=1,DU52&lt;=0.5,DV52&lt;=0.5,OR(BH52=0,BJ52=1)),A52,""))</f>
        <v/>
      </c>
      <c r="EF52" s="7">
        <f>DU52+DV52+DW52+EA52+ED52+CD52</f>
        <v/>
      </c>
      <c r="EG52" s="7">
        <f>DR52+DS52+DT52-EF52</f>
        <v/>
      </c>
      <c r="EH52" s="7">
        <f>EG52/(1+g_inf)^(A52+1-2026)</f>
        <v/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H52"/>
  <sheetViews>
    <sheetView workbookViewId="0">
      <pane xSplit="1" ySplit="32" topLeftCell="B3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0" customWidth="1" min="1" max="1"/>
  </cols>
  <sheetData>
    <row r="1">
      <c r="A1" s="1" t="inlineStr">
        <is>
          <t>A7b · ICU → Travel → CRNA</t>
        </is>
      </c>
    </row>
    <row r="2">
      <c r="A2" s="2" t="inlineStr">
        <is>
          <t>Etapas (celdas azules editables; fechas decimales: 2027.67 = sep-2027). Traslape por año en columnas T→AM. Hitos con costo en AN→AP.</t>
        </is>
      </c>
    </row>
    <row r="4">
      <c r="A4" s="5" t="inlineStr">
        <is>
          <t>Etapa</t>
        </is>
      </c>
      <c r="B4" s="5" t="inlineStr">
        <is>
          <t>Inicio</t>
        </is>
      </c>
      <c r="C4" s="5" t="inlineStr">
        <is>
          <t>Fin</t>
        </is>
      </c>
      <c r="D4" s="5" t="inlineStr">
        <is>
          <t>Rol</t>
        </is>
      </c>
      <c r="E4" s="5" t="inlineStr">
        <is>
          <t>Salario base FT 2026 ($)</t>
        </is>
      </c>
      <c r="F4" s="5" t="inlineStr">
        <is>
          <t>Aumento anual</t>
        </is>
      </c>
      <c r="G4" s="5" t="inlineStr">
        <is>
          <t>Horas (FTE)</t>
        </is>
      </c>
      <c r="H4" s="5" t="inlineStr">
        <is>
          <t>Multiplicador</t>
        </is>
      </c>
      <c r="I4" s="5" t="inlineStr">
        <is>
          <t>Bono al inicio</t>
        </is>
      </c>
      <c r="J4" s="5" t="inlineStr">
        <is>
          <t>Matrícula total (2026$)</t>
        </is>
      </c>
      <c r="K4" s="5" t="inlineStr">
        <is>
          <t>Estudio (1/0)</t>
        </is>
      </c>
      <c r="L4" s="5" t="inlineStr">
        <is>
          <t>PSLF (1/0)</t>
        </is>
      </c>
      <c r="M4" s="5" t="inlineStr">
        <is>
          <t>Match 403b (1/0)</t>
        </is>
      </c>
      <c r="N4" s="5" t="inlineStr">
        <is>
          <t>Travel (1/0)</t>
        </is>
      </c>
      <c r="O4" s="5" t="inlineStr">
        <is>
          <t>% stipend libre</t>
        </is>
      </c>
      <c r="P4" s="5" t="inlineStr">
        <is>
          <t>S-corp anual base</t>
        </is>
      </c>
      <c r="Q4" s="5" t="inlineStr">
        <is>
          <t>Autoempleo anual base</t>
        </is>
      </c>
      <c r="R4" s="5" t="inlineStr">
        <is>
          <t>Attending (1/0)</t>
        </is>
      </c>
      <c r="T4" s="8" t="n">
        <v>2027</v>
      </c>
      <c r="U4" s="8" t="n">
        <v>2028</v>
      </c>
      <c r="V4" s="8" t="n">
        <v>2029</v>
      </c>
      <c r="W4" s="8" t="n">
        <v>2030</v>
      </c>
      <c r="X4" s="8" t="n">
        <v>2031</v>
      </c>
      <c r="Y4" s="8" t="n">
        <v>2032</v>
      </c>
      <c r="Z4" s="8" t="n">
        <v>2033</v>
      </c>
      <c r="AA4" s="8" t="n">
        <v>2034</v>
      </c>
      <c r="AB4" s="8" t="n">
        <v>2035</v>
      </c>
      <c r="AC4" s="8" t="n">
        <v>2036</v>
      </c>
      <c r="AD4" s="8" t="n">
        <v>2037</v>
      </c>
      <c r="AE4" s="8" t="n">
        <v>2038</v>
      </c>
      <c r="AF4" s="8" t="n">
        <v>2039</v>
      </c>
      <c r="AG4" s="8" t="n">
        <v>2040</v>
      </c>
      <c r="AH4" s="8" t="n">
        <v>2041</v>
      </c>
      <c r="AI4" s="8" t="n">
        <v>2042</v>
      </c>
      <c r="AJ4" s="8" t="n">
        <v>2043</v>
      </c>
      <c r="AK4" s="8" t="n">
        <v>2044</v>
      </c>
      <c r="AL4" s="8" t="n">
        <v>2045</v>
      </c>
      <c r="AM4" s="8" t="n">
        <v>2046</v>
      </c>
      <c r="AN4" s="5" t="inlineStr">
        <is>
          <t>Hito</t>
        </is>
      </c>
      <c r="AO4" s="5" t="inlineStr">
        <is>
          <t>Fecha</t>
        </is>
      </c>
      <c r="AP4" s="5" t="inlineStr">
        <is>
          <t>Costo (2026$)</t>
        </is>
      </c>
    </row>
    <row r="5">
      <c r="A5" t="inlineStr">
        <is>
          <t>Case manager RN (cursando BSN)</t>
        </is>
      </c>
      <c r="B5" s="3" t="n">
        <v>2027</v>
      </c>
      <c r="C5" s="3" t="n">
        <v>2027.5</v>
      </c>
      <c r="D5" t="inlineStr">
        <is>
          <t>cm</t>
        </is>
      </c>
      <c r="E5">
        <f>personal_tarifaHora*2080*loc_factorRN/ubic_miami_factorRN</f>
        <v/>
      </c>
      <c r="F5">
        <f>roles_cm_aumento</f>
        <v/>
      </c>
      <c r="G5">
        <f>personal_horasSemana/40</f>
        <v/>
      </c>
      <c r="H5" s="3" t="n">
        <v>1</v>
      </c>
      <c r="I5" s="3" t="n">
        <v>0</v>
      </c>
      <c r="J5" s="3" t="n">
        <v>0</v>
      </c>
      <c r="K5" s="3" t="n">
        <v>0</v>
      </c>
      <c r="L5" s="3" t="n">
        <v>1</v>
      </c>
      <c r="M5" s="3" t="n">
        <v>1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T5">
        <f>MAX(0,MIN($C5,T$4+1)-MAX($B5,T$4))</f>
        <v/>
      </c>
      <c r="U5">
        <f>MAX(0,MIN($C5,U$4+1)-MAX($B5,U$4))</f>
        <v/>
      </c>
      <c r="V5">
        <f>MAX(0,MIN($C5,V$4+1)-MAX($B5,V$4))</f>
        <v/>
      </c>
      <c r="W5">
        <f>MAX(0,MIN($C5,W$4+1)-MAX($B5,W$4))</f>
        <v/>
      </c>
      <c r="X5">
        <f>MAX(0,MIN($C5,X$4+1)-MAX($B5,X$4))</f>
        <v/>
      </c>
      <c r="Y5">
        <f>MAX(0,MIN($C5,Y$4+1)-MAX($B5,Y$4))</f>
        <v/>
      </c>
      <c r="Z5">
        <f>MAX(0,MIN($C5,Z$4+1)-MAX($B5,Z$4))</f>
        <v/>
      </c>
      <c r="AA5">
        <f>MAX(0,MIN($C5,AA$4+1)-MAX($B5,AA$4))</f>
        <v/>
      </c>
      <c r="AB5">
        <f>MAX(0,MIN($C5,AB$4+1)-MAX($B5,AB$4))</f>
        <v/>
      </c>
      <c r="AC5">
        <f>MAX(0,MIN($C5,AC$4+1)-MAX($B5,AC$4))</f>
        <v/>
      </c>
      <c r="AD5">
        <f>MAX(0,MIN($C5,AD$4+1)-MAX($B5,AD$4))</f>
        <v/>
      </c>
      <c r="AE5">
        <f>MAX(0,MIN($C5,AE$4+1)-MAX($B5,AE$4))</f>
        <v/>
      </c>
      <c r="AF5">
        <f>MAX(0,MIN($C5,AF$4+1)-MAX($B5,AF$4))</f>
        <v/>
      </c>
      <c r="AG5">
        <f>MAX(0,MIN($C5,AG$4+1)-MAX($B5,AG$4))</f>
        <v/>
      </c>
      <c r="AH5">
        <f>MAX(0,MIN($C5,AH$4+1)-MAX($B5,AH$4))</f>
        <v/>
      </c>
      <c r="AI5">
        <f>MAX(0,MIN($C5,AI$4+1)-MAX($B5,AI$4))</f>
        <v/>
      </c>
      <c r="AJ5">
        <f>MAX(0,MIN($C5,AJ$4+1)-MAX($B5,AJ$4))</f>
        <v/>
      </c>
      <c r="AK5">
        <f>MAX(0,MIN($C5,AK$4+1)-MAX($B5,AK$4))</f>
        <v/>
      </c>
      <c r="AL5">
        <f>MAX(0,MIN($C5,AL$4+1)-MAX($B5,AL$4))</f>
        <v/>
      </c>
      <c r="AM5">
        <f>MAX(0,MIN($C5,AM$4+1)-MAX($B5,AM$4))</f>
        <v/>
      </c>
      <c r="AN5" t="inlineStr">
        <is>
          <t>Graduación RN-BSN</t>
        </is>
      </c>
      <c r="AO5" s="3" t="n">
        <v>2027.5</v>
      </c>
      <c r="AP5" s="3" t="n">
        <v>0</v>
      </c>
    </row>
    <row r="6">
      <c r="A6" t="inlineStr">
        <is>
          <t>Case manager RN (BSN)</t>
        </is>
      </c>
      <c r="B6" s="3" t="n">
        <v>2027.5</v>
      </c>
      <c r="C6" s="3" t="n">
        <v>2027.75</v>
      </c>
      <c r="D6" t="inlineStr">
        <is>
          <t>cm</t>
        </is>
      </c>
      <c r="E6">
        <f>personal_tarifaHora*2080*loc_factorRN/ubic_miami_factorRN</f>
        <v/>
      </c>
      <c r="F6">
        <f>roles_cm_aumento</f>
        <v/>
      </c>
      <c r="G6">
        <f>personal_horasSemana/40</f>
        <v/>
      </c>
      <c r="H6">
        <f>1+personal_bsnAumento</f>
        <v/>
      </c>
      <c r="I6" s="3" t="n">
        <v>0</v>
      </c>
      <c r="J6" s="3" t="n">
        <v>0</v>
      </c>
      <c r="K6" s="3" t="n">
        <v>0</v>
      </c>
      <c r="L6" s="3" t="n">
        <v>1</v>
      </c>
      <c r="M6" s="3" t="n">
        <v>1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  <c r="T6">
        <f>MAX(0,MIN($C6,T$4+1)-MAX($B6,T$4))</f>
        <v/>
      </c>
      <c r="U6">
        <f>MAX(0,MIN($C6,U$4+1)-MAX($B6,U$4))</f>
        <v/>
      </c>
      <c r="V6">
        <f>MAX(0,MIN($C6,V$4+1)-MAX($B6,V$4))</f>
        <v/>
      </c>
      <c r="W6">
        <f>MAX(0,MIN($C6,W$4+1)-MAX($B6,W$4))</f>
        <v/>
      </c>
      <c r="X6">
        <f>MAX(0,MIN($C6,X$4+1)-MAX($B6,X$4))</f>
        <v/>
      </c>
      <c r="Y6">
        <f>MAX(0,MIN($C6,Y$4+1)-MAX($B6,Y$4))</f>
        <v/>
      </c>
      <c r="Z6">
        <f>MAX(0,MIN($C6,Z$4+1)-MAX($B6,Z$4))</f>
        <v/>
      </c>
      <c r="AA6">
        <f>MAX(0,MIN($C6,AA$4+1)-MAX($B6,AA$4))</f>
        <v/>
      </c>
      <c r="AB6">
        <f>MAX(0,MIN($C6,AB$4+1)-MAX($B6,AB$4))</f>
        <v/>
      </c>
      <c r="AC6">
        <f>MAX(0,MIN($C6,AC$4+1)-MAX($B6,AC$4))</f>
        <v/>
      </c>
      <c r="AD6">
        <f>MAX(0,MIN($C6,AD$4+1)-MAX($B6,AD$4))</f>
        <v/>
      </c>
      <c r="AE6">
        <f>MAX(0,MIN($C6,AE$4+1)-MAX($B6,AE$4))</f>
        <v/>
      </c>
      <c r="AF6">
        <f>MAX(0,MIN($C6,AF$4+1)-MAX($B6,AF$4))</f>
        <v/>
      </c>
      <c r="AG6">
        <f>MAX(0,MIN($C6,AG$4+1)-MAX($B6,AG$4))</f>
        <v/>
      </c>
      <c r="AH6">
        <f>MAX(0,MIN($C6,AH$4+1)-MAX($B6,AH$4))</f>
        <v/>
      </c>
      <c r="AI6">
        <f>MAX(0,MIN($C6,AI$4+1)-MAX($B6,AI$4))</f>
        <v/>
      </c>
      <c r="AJ6">
        <f>MAX(0,MIN($C6,AJ$4+1)-MAX($B6,AJ$4))</f>
        <v/>
      </c>
      <c r="AK6">
        <f>MAX(0,MIN($C6,AK$4+1)-MAX($B6,AK$4))</f>
        <v/>
      </c>
      <c r="AL6">
        <f>MAX(0,MIN($C6,AL$4+1)-MAX($B6,AL$4))</f>
        <v/>
      </c>
      <c r="AM6">
        <f>MAX(0,MIN($C6,AM$4+1)-MAX($B6,AM$4))</f>
        <v/>
      </c>
      <c r="AN6" t="inlineStr">
        <is>
          <t>Matrícula restante BSN</t>
        </is>
      </c>
      <c r="AO6" s="3" t="n">
        <v>2027</v>
      </c>
      <c r="AP6" s="3">
        <f>personal_bsnCostoRestante</f>
        <v/>
      </c>
    </row>
    <row r="7">
      <c r="A7" t="inlineStr">
        <is>
          <t>ICU (programa de transición, años 1-2)</t>
        </is>
      </c>
      <c r="B7" s="3" t="n">
        <v>2027.75</v>
      </c>
      <c r="C7" s="3" t="n">
        <v>2029.75</v>
      </c>
      <c r="D7" t="inlineStr">
        <is>
          <t>icuNuevo</t>
        </is>
      </c>
      <c r="E7">
        <f>roles_icuNuevo_base*loc_factorRN</f>
        <v/>
      </c>
      <c r="F7">
        <f>roles_icuNuevo_aumento</f>
        <v/>
      </c>
      <c r="G7" s="3" t="n">
        <v>1</v>
      </c>
      <c r="H7" s="3" t="n">
        <v>1</v>
      </c>
      <c r="I7">
        <f>tiempos_bonoFirmaICU</f>
        <v/>
      </c>
      <c r="J7" s="3" t="n">
        <v>0</v>
      </c>
      <c r="K7" s="3" t="n">
        <v>0</v>
      </c>
      <c r="L7" s="3" t="n">
        <v>1</v>
      </c>
      <c r="M7" s="3" t="n">
        <v>1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T7">
        <f>MAX(0,MIN($C7,T$4+1)-MAX($B7,T$4))</f>
        <v/>
      </c>
      <c r="U7">
        <f>MAX(0,MIN($C7,U$4+1)-MAX($B7,U$4))</f>
        <v/>
      </c>
      <c r="V7">
        <f>MAX(0,MIN($C7,V$4+1)-MAX($B7,V$4))</f>
        <v/>
      </c>
      <c r="W7">
        <f>MAX(0,MIN($C7,W$4+1)-MAX($B7,W$4))</f>
        <v/>
      </c>
      <c r="X7">
        <f>MAX(0,MIN($C7,X$4+1)-MAX($B7,X$4))</f>
        <v/>
      </c>
      <c r="Y7">
        <f>MAX(0,MIN($C7,Y$4+1)-MAX($B7,Y$4))</f>
        <v/>
      </c>
      <c r="Z7">
        <f>MAX(0,MIN($C7,Z$4+1)-MAX($B7,Z$4))</f>
        <v/>
      </c>
      <c r="AA7">
        <f>MAX(0,MIN($C7,AA$4+1)-MAX($B7,AA$4))</f>
        <v/>
      </c>
      <c r="AB7">
        <f>MAX(0,MIN($C7,AB$4+1)-MAX($B7,AB$4))</f>
        <v/>
      </c>
      <c r="AC7">
        <f>MAX(0,MIN($C7,AC$4+1)-MAX($B7,AC$4))</f>
        <v/>
      </c>
      <c r="AD7">
        <f>MAX(0,MIN($C7,AD$4+1)-MAX($B7,AD$4))</f>
        <v/>
      </c>
      <c r="AE7">
        <f>MAX(0,MIN($C7,AE$4+1)-MAX($B7,AE$4))</f>
        <v/>
      </c>
      <c r="AF7">
        <f>MAX(0,MIN($C7,AF$4+1)-MAX($B7,AF$4))</f>
        <v/>
      </c>
      <c r="AG7">
        <f>MAX(0,MIN($C7,AG$4+1)-MAX($B7,AG$4))</f>
        <v/>
      </c>
      <c r="AH7">
        <f>MAX(0,MIN($C7,AH$4+1)-MAX($B7,AH$4))</f>
        <v/>
      </c>
      <c r="AI7">
        <f>MAX(0,MIN($C7,AI$4+1)-MAX($B7,AI$4))</f>
        <v/>
      </c>
      <c r="AJ7">
        <f>MAX(0,MIN($C7,AJ$4+1)-MAX($B7,AJ$4))</f>
        <v/>
      </c>
      <c r="AK7">
        <f>MAX(0,MIN($C7,AK$4+1)-MAX($B7,AK$4))</f>
        <v/>
      </c>
      <c r="AL7">
        <f>MAX(0,MIN($C7,AL$4+1)-MAX($B7,AL$4))</f>
        <v/>
      </c>
      <c r="AM7">
        <f>MAX(0,MIN($C7,AM$4+1)-MAX($B7,AM$4))</f>
        <v/>
      </c>
      <c r="AN7" t="inlineStr">
        <is>
          <t>Entra a ICU</t>
        </is>
      </c>
      <c r="AO7" s="3" t="n">
        <v>2027.75</v>
      </c>
      <c r="AP7" s="3" t="n">
        <v>0</v>
      </c>
    </row>
    <row r="8">
      <c r="A8" t="inlineStr">
        <is>
          <t>Travel ICU mientras aplicas</t>
        </is>
      </c>
      <c r="B8" s="3" t="n">
        <v>2029.75</v>
      </c>
      <c r="C8" s="3" t="n">
        <v>2030.75</v>
      </c>
      <c r="D8" t="inlineStr">
        <is>
          <t>travel</t>
        </is>
      </c>
      <c r="E8">
        <f>roles_travel_base*tiempos_travelSemanas</f>
        <v/>
      </c>
      <c r="F8">
        <f>roles_travel_aumento</f>
        <v/>
      </c>
      <c r="G8" s="3" t="n">
        <v>1</v>
      </c>
      <c r="H8" s="3" t="n">
        <v>1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1</v>
      </c>
      <c r="O8">
        <f>tiempos_travelStipendPct</f>
        <v/>
      </c>
      <c r="P8" s="3" t="n">
        <v>0</v>
      </c>
      <c r="Q8" s="3" t="n">
        <v>0</v>
      </c>
      <c r="R8" s="3" t="n">
        <v>0</v>
      </c>
      <c r="T8">
        <f>MAX(0,MIN($C8,T$4+1)-MAX($B8,T$4))</f>
        <v/>
      </c>
      <c r="U8">
        <f>MAX(0,MIN($C8,U$4+1)-MAX($B8,U$4))</f>
        <v/>
      </c>
      <c r="V8">
        <f>MAX(0,MIN($C8,V$4+1)-MAX($B8,V$4))</f>
        <v/>
      </c>
      <c r="W8">
        <f>MAX(0,MIN($C8,W$4+1)-MAX($B8,W$4))</f>
        <v/>
      </c>
      <c r="X8">
        <f>MAX(0,MIN($C8,X$4+1)-MAX($B8,X$4))</f>
        <v/>
      </c>
      <c r="Y8">
        <f>MAX(0,MIN($C8,Y$4+1)-MAX($B8,Y$4))</f>
        <v/>
      </c>
      <c r="Z8">
        <f>MAX(0,MIN($C8,Z$4+1)-MAX($B8,Z$4))</f>
        <v/>
      </c>
      <c r="AA8">
        <f>MAX(0,MIN($C8,AA$4+1)-MAX($B8,AA$4))</f>
        <v/>
      </c>
      <c r="AB8">
        <f>MAX(0,MIN($C8,AB$4+1)-MAX($B8,AB$4))</f>
        <v/>
      </c>
      <c r="AC8">
        <f>MAX(0,MIN($C8,AC$4+1)-MAX($B8,AC$4))</f>
        <v/>
      </c>
      <c r="AD8">
        <f>MAX(0,MIN($C8,AD$4+1)-MAX($B8,AD$4))</f>
        <v/>
      </c>
      <c r="AE8">
        <f>MAX(0,MIN($C8,AE$4+1)-MAX($B8,AE$4))</f>
        <v/>
      </c>
      <c r="AF8">
        <f>MAX(0,MIN($C8,AF$4+1)-MAX($B8,AF$4))</f>
        <v/>
      </c>
      <c r="AG8">
        <f>MAX(0,MIN($C8,AG$4+1)-MAX($B8,AG$4))</f>
        <v/>
      </c>
      <c r="AH8">
        <f>MAX(0,MIN($C8,AH$4+1)-MAX($B8,AH$4))</f>
        <v/>
      </c>
      <c r="AI8">
        <f>MAX(0,MIN($C8,AI$4+1)-MAX($B8,AI$4))</f>
        <v/>
      </c>
      <c r="AJ8">
        <f>MAX(0,MIN($C8,AJ$4+1)-MAX($B8,AJ$4))</f>
        <v/>
      </c>
      <c r="AK8">
        <f>MAX(0,MIN($C8,AK$4+1)-MAX($B8,AK$4))</f>
        <v/>
      </c>
      <c r="AL8">
        <f>MAX(0,MIN($C8,AL$4+1)-MAX($B8,AL$4))</f>
        <v/>
      </c>
      <c r="AM8">
        <f>MAX(0,MIN($C8,AM$4+1)-MAX($B8,AM$4))</f>
        <v/>
      </c>
      <c r="AN8" t="inlineStr">
        <is>
          <t>CCRN + aplicaciones CRNA</t>
        </is>
      </c>
      <c r="AO8" s="3" t="n">
        <v>2030.15</v>
      </c>
      <c r="AP8" s="3" t="n">
        <v>1500</v>
      </c>
    </row>
    <row r="9">
      <c r="A9" t="inlineStr">
        <is>
          <t>DNP-CRNA (sin trabajar)</t>
        </is>
      </c>
      <c r="B9" s="3" t="n">
        <v>2030.75</v>
      </c>
      <c r="C9" s="3" t="n">
        <v>2033.75</v>
      </c>
      <c r="D9" t="inlineStr"/>
      <c r="E9" t="n">
        <v>0</v>
      </c>
      <c r="F9" t="n">
        <v>0</v>
      </c>
      <c r="G9" s="3" t="n">
        <v>1</v>
      </c>
      <c r="H9" s="3" t="n">
        <v>1</v>
      </c>
      <c r="I9" s="3" t="n">
        <v>0</v>
      </c>
      <c r="J9">
        <f>tiempos_crnaMatricula</f>
        <v/>
      </c>
      <c r="K9" s="3" t="n">
        <v>1</v>
      </c>
      <c r="L9" s="3" t="n">
        <v>0</v>
      </c>
      <c r="M9" s="3" t="n">
        <v>0</v>
      </c>
      <c r="N9" s="3" t="n">
        <v>0</v>
      </c>
      <c r="O9" s="3" t="n">
        <v>0</v>
      </c>
      <c r="P9" s="3" t="n">
        <v>0</v>
      </c>
      <c r="Q9" s="3" t="n">
        <v>0</v>
      </c>
      <c r="R9" s="3" t="n">
        <v>0</v>
      </c>
      <c r="T9">
        <f>MAX(0,MIN($C9,T$4+1)-MAX($B9,T$4))</f>
        <v/>
      </c>
      <c r="U9">
        <f>MAX(0,MIN($C9,U$4+1)-MAX($B9,U$4))</f>
        <v/>
      </c>
      <c r="V9">
        <f>MAX(0,MIN($C9,V$4+1)-MAX($B9,V$4))</f>
        <v/>
      </c>
      <c r="W9">
        <f>MAX(0,MIN($C9,W$4+1)-MAX($B9,W$4))</f>
        <v/>
      </c>
      <c r="X9">
        <f>MAX(0,MIN($C9,X$4+1)-MAX($B9,X$4))</f>
        <v/>
      </c>
      <c r="Y9">
        <f>MAX(0,MIN($C9,Y$4+1)-MAX($B9,Y$4))</f>
        <v/>
      </c>
      <c r="Z9">
        <f>MAX(0,MIN($C9,Z$4+1)-MAX($B9,Z$4))</f>
        <v/>
      </c>
      <c r="AA9">
        <f>MAX(0,MIN($C9,AA$4+1)-MAX($B9,AA$4))</f>
        <v/>
      </c>
      <c r="AB9">
        <f>MAX(0,MIN($C9,AB$4+1)-MAX($B9,AB$4))</f>
        <v/>
      </c>
      <c r="AC9">
        <f>MAX(0,MIN($C9,AC$4+1)-MAX($B9,AC$4))</f>
        <v/>
      </c>
      <c r="AD9">
        <f>MAX(0,MIN($C9,AD$4+1)-MAX($B9,AD$4))</f>
        <v/>
      </c>
      <c r="AE9">
        <f>MAX(0,MIN($C9,AE$4+1)-MAX($B9,AE$4))</f>
        <v/>
      </c>
      <c r="AF9">
        <f>MAX(0,MIN($C9,AF$4+1)-MAX($B9,AF$4))</f>
        <v/>
      </c>
      <c r="AG9">
        <f>MAX(0,MIN($C9,AG$4+1)-MAX($B9,AG$4))</f>
        <v/>
      </c>
      <c r="AH9">
        <f>MAX(0,MIN($C9,AH$4+1)-MAX($B9,AH$4))</f>
        <v/>
      </c>
      <c r="AI9">
        <f>MAX(0,MIN($C9,AI$4+1)-MAX($B9,AI$4))</f>
        <v/>
      </c>
      <c r="AJ9">
        <f>MAX(0,MIN($C9,AJ$4+1)-MAX($B9,AJ$4))</f>
        <v/>
      </c>
      <c r="AK9">
        <f>MAX(0,MIN($C9,AK$4+1)-MAX($B9,AK$4))</f>
        <v/>
      </c>
      <c r="AL9">
        <f>MAX(0,MIN($C9,AL$4+1)-MAX($B9,AL$4))</f>
        <v/>
      </c>
      <c r="AM9">
        <f>MAX(0,MIN($C9,AM$4+1)-MAX($B9,AM$4))</f>
        <v/>
      </c>
      <c r="AN9" t="inlineStr">
        <is>
          <t>Inicia DNP-CRNA</t>
        </is>
      </c>
      <c r="AO9" s="3" t="n">
        <v>2030.75</v>
      </c>
      <c r="AP9" s="3" t="n">
        <v>0</v>
      </c>
    </row>
    <row r="10">
      <c r="A10" t="inlineStr">
        <is>
          <t>CRNA</t>
        </is>
      </c>
      <c r="B10" s="3" t="n">
        <v>2033.75</v>
      </c>
      <c r="C10" s="3" t="n">
        <v>2048</v>
      </c>
      <c r="D10" t="inlineStr">
        <is>
          <t>crna</t>
        </is>
      </c>
      <c r="E10">
        <f>roles_crna_base*(1+(loc_factorRN-1)*0.5)</f>
        <v/>
      </c>
      <c r="F10">
        <f>roles_crna_aumento</f>
        <v/>
      </c>
      <c r="G10" s="3" t="n">
        <v>1</v>
      </c>
      <c r="H10" s="3" t="n">
        <v>1</v>
      </c>
      <c r="I10" s="3" t="n">
        <v>0</v>
      </c>
      <c r="J10" s="3" t="n">
        <v>0</v>
      </c>
      <c r="K10" s="3" t="n">
        <v>0</v>
      </c>
      <c r="L10">
        <f>tiempos_crnaPslf</f>
        <v/>
      </c>
      <c r="M10" s="3" t="n">
        <v>1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T10">
        <f>MAX(0,MIN($C10,T$4+1)-MAX($B10,T$4))</f>
        <v/>
      </c>
      <c r="U10">
        <f>MAX(0,MIN($C10,U$4+1)-MAX($B10,U$4))</f>
        <v/>
      </c>
      <c r="V10">
        <f>MAX(0,MIN($C10,V$4+1)-MAX($B10,V$4))</f>
        <v/>
      </c>
      <c r="W10">
        <f>MAX(0,MIN($C10,W$4+1)-MAX($B10,W$4))</f>
        <v/>
      </c>
      <c r="X10">
        <f>MAX(0,MIN($C10,X$4+1)-MAX($B10,X$4))</f>
        <v/>
      </c>
      <c r="Y10">
        <f>MAX(0,MIN($C10,Y$4+1)-MAX($B10,Y$4))</f>
        <v/>
      </c>
      <c r="Z10">
        <f>MAX(0,MIN($C10,Z$4+1)-MAX($B10,Z$4))</f>
        <v/>
      </c>
      <c r="AA10">
        <f>MAX(0,MIN($C10,AA$4+1)-MAX($B10,AA$4))</f>
        <v/>
      </c>
      <c r="AB10">
        <f>MAX(0,MIN($C10,AB$4+1)-MAX($B10,AB$4))</f>
        <v/>
      </c>
      <c r="AC10">
        <f>MAX(0,MIN($C10,AC$4+1)-MAX($B10,AC$4))</f>
        <v/>
      </c>
      <c r="AD10">
        <f>MAX(0,MIN($C10,AD$4+1)-MAX($B10,AD$4))</f>
        <v/>
      </c>
      <c r="AE10">
        <f>MAX(0,MIN($C10,AE$4+1)-MAX($B10,AE$4))</f>
        <v/>
      </c>
      <c r="AF10">
        <f>MAX(0,MIN($C10,AF$4+1)-MAX($B10,AF$4))</f>
        <v/>
      </c>
      <c r="AG10">
        <f>MAX(0,MIN($C10,AG$4+1)-MAX($B10,AG$4))</f>
        <v/>
      </c>
      <c r="AH10">
        <f>MAX(0,MIN($C10,AH$4+1)-MAX($B10,AH$4))</f>
        <v/>
      </c>
      <c r="AI10">
        <f>MAX(0,MIN($C10,AI$4+1)-MAX($B10,AI$4))</f>
        <v/>
      </c>
      <c r="AJ10">
        <f>MAX(0,MIN($C10,AJ$4+1)-MAX($B10,AJ$4))</f>
        <v/>
      </c>
      <c r="AK10">
        <f>MAX(0,MIN($C10,AK$4+1)-MAX($B10,AK$4))</f>
        <v/>
      </c>
      <c r="AL10">
        <f>MAX(0,MIN($C10,AL$4+1)-MAX($B10,AL$4))</f>
        <v/>
      </c>
      <c r="AM10">
        <f>MAX(0,MIN($C10,AM$4+1)-MAX($B10,AM$4))</f>
        <v/>
      </c>
      <c r="AN10" t="inlineStr">
        <is>
          <t>Certificación NBCRNA</t>
        </is>
      </c>
      <c r="AO10" s="3" t="n">
        <v>2033.75</v>
      </c>
      <c r="AP10" s="3" t="n">
        <v>1285</v>
      </c>
    </row>
    <row r="11">
      <c r="A11" t="inlineStr"/>
      <c r="B11" s="3" t="n">
        <v>0</v>
      </c>
      <c r="C11" s="3" t="n">
        <v>0</v>
      </c>
      <c r="D11" t="inlineStr"/>
      <c r="E11" t="n">
        <v>0</v>
      </c>
      <c r="F11" t="n">
        <v>0</v>
      </c>
      <c r="G11" s="3" t="n">
        <v>0</v>
      </c>
      <c r="H11" s="3" t="n">
        <v>0</v>
      </c>
      <c r="I11" s="3" t="n">
        <v>0</v>
      </c>
      <c r="J11" s="3" t="n">
        <v>0</v>
      </c>
      <c r="K11" s="3" t="n">
        <v>0</v>
      </c>
      <c r="L11" s="3" t="n">
        <v>0</v>
      </c>
      <c r="M11" s="3" t="n">
        <v>0</v>
      </c>
      <c r="N11" s="3" t="n">
        <v>0</v>
      </c>
      <c r="O11" s="3" t="n">
        <v>0</v>
      </c>
      <c r="P11" s="3" t="n">
        <v>0</v>
      </c>
      <c r="Q11" s="3" t="n">
        <v>0</v>
      </c>
      <c r="R11" s="3" t="n">
        <v>0</v>
      </c>
      <c r="T11">
        <f>MAX(0,MIN($C11,T$4+1)-MAX($B11,T$4))</f>
        <v/>
      </c>
      <c r="U11">
        <f>MAX(0,MIN($C11,U$4+1)-MAX($B11,U$4))</f>
        <v/>
      </c>
      <c r="V11">
        <f>MAX(0,MIN($C11,V$4+1)-MAX($B11,V$4))</f>
        <v/>
      </c>
      <c r="W11">
        <f>MAX(0,MIN($C11,W$4+1)-MAX($B11,W$4))</f>
        <v/>
      </c>
      <c r="X11">
        <f>MAX(0,MIN($C11,X$4+1)-MAX($B11,X$4))</f>
        <v/>
      </c>
      <c r="Y11">
        <f>MAX(0,MIN($C11,Y$4+1)-MAX($B11,Y$4))</f>
        <v/>
      </c>
      <c r="Z11">
        <f>MAX(0,MIN($C11,Z$4+1)-MAX($B11,Z$4))</f>
        <v/>
      </c>
      <c r="AA11">
        <f>MAX(0,MIN($C11,AA$4+1)-MAX($B11,AA$4))</f>
        <v/>
      </c>
      <c r="AB11">
        <f>MAX(0,MIN($C11,AB$4+1)-MAX($B11,AB$4))</f>
        <v/>
      </c>
      <c r="AC11">
        <f>MAX(0,MIN($C11,AC$4+1)-MAX($B11,AC$4))</f>
        <v/>
      </c>
      <c r="AD11">
        <f>MAX(0,MIN($C11,AD$4+1)-MAX($B11,AD$4))</f>
        <v/>
      </c>
      <c r="AE11">
        <f>MAX(0,MIN($C11,AE$4+1)-MAX($B11,AE$4))</f>
        <v/>
      </c>
      <c r="AF11">
        <f>MAX(0,MIN($C11,AF$4+1)-MAX($B11,AF$4))</f>
        <v/>
      </c>
      <c r="AG11">
        <f>MAX(0,MIN($C11,AG$4+1)-MAX($B11,AG$4))</f>
        <v/>
      </c>
      <c r="AH11">
        <f>MAX(0,MIN($C11,AH$4+1)-MAX($B11,AH$4))</f>
        <v/>
      </c>
      <c r="AI11">
        <f>MAX(0,MIN($C11,AI$4+1)-MAX($B11,AI$4))</f>
        <v/>
      </c>
      <c r="AJ11">
        <f>MAX(0,MIN($C11,AJ$4+1)-MAX($B11,AJ$4))</f>
        <v/>
      </c>
      <c r="AK11">
        <f>MAX(0,MIN($C11,AK$4+1)-MAX($B11,AK$4))</f>
        <v/>
      </c>
      <c r="AL11">
        <f>MAX(0,MIN($C11,AL$4+1)-MAX($B11,AL$4))</f>
        <v/>
      </c>
      <c r="AM11">
        <f>MAX(0,MIN($C11,AM$4+1)-MAX($B11,AM$4))</f>
        <v/>
      </c>
      <c r="AO11" t="n">
        <v>0</v>
      </c>
      <c r="AP11" t="n">
        <v>0</v>
      </c>
    </row>
    <row r="12">
      <c r="A12" t="inlineStr"/>
      <c r="B12" s="3" t="n">
        <v>0</v>
      </c>
      <c r="C12" s="3" t="n">
        <v>0</v>
      </c>
      <c r="D12" t="inlineStr"/>
      <c r="E12" t="n">
        <v>0</v>
      </c>
      <c r="F12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T12">
        <f>MAX(0,MIN($C12,T$4+1)-MAX($B12,T$4))</f>
        <v/>
      </c>
      <c r="U12">
        <f>MAX(0,MIN($C12,U$4+1)-MAX($B12,U$4))</f>
        <v/>
      </c>
      <c r="V12">
        <f>MAX(0,MIN($C12,V$4+1)-MAX($B12,V$4))</f>
        <v/>
      </c>
      <c r="W12">
        <f>MAX(0,MIN($C12,W$4+1)-MAX($B12,W$4))</f>
        <v/>
      </c>
      <c r="X12">
        <f>MAX(0,MIN($C12,X$4+1)-MAX($B12,X$4))</f>
        <v/>
      </c>
      <c r="Y12">
        <f>MAX(0,MIN($C12,Y$4+1)-MAX($B12,Y$4))</f>
        <v/>
      </c>
      <c r="Z12">
        <f>MAX(0,MIN($C12,Z$4+1)-MAX($B12,Z$4))</f>
        <v/>
      </c>
      <c r="AA12">
        <f>MAX(0,MIN($C12,AA$4+1)-MAX($B12,AA$4))</f>
        <v/>
      </c>
      <c r="AB12">
        <f>MAX(0,MIN($C12,AB$4+1)-MAX($B12,AB$4))</f>
        <v/>
      </c>
      <c r="AC12">
        <f>MAX(0,MIN($C12,AC$4+1)-MAX($B12,AC$4))</f>
        <v/>
      </c>
      <c r="AD12">
        <f>MAX(0,MIN($C12,AD$4+1)-MAX($B12,AD$4))</f>
        <v/>
      </c>
      <c r="AE12">
        <f>MAX(0,MIN($C12,AE$4+1)-MAX($B12,AE$4))</f>
        <v/>
      </c>
      <c r="AF12">
        <f>MAX(0,MIN($C12,AF$4+1)-MAX($B12,AF$4))</f>
        <v/>
      </c>
      <c r="AG12">
        <f>MAX(0,MIN($C12,AG$4+1)-MAX($B12,AG$4))</f>
        <v/>
      </c>
      <c r="AH12">
        <f>MAX(0,MIN($C12,AH$4+1)-MAX($B12,AH$4))</f>
        <v/>
      </c>
      <c r="AI12">
        <f>MAX(0,MIN($C12,AI$4+1)-MAX($B12,AI$4))</f>
        <v/>
      </c>
      <c r="AJ12">
        <f>MAX(0,MIN($C12,AJ$4+1)-MAX($B12,AJ$4))</f>
        <v/>
      </c>
      <c r="AK12">
        <f>MAX(0,MIN($C12,AK$4+1)-MAX($B12,AK$4))</f>
        <v/>
      </c>
      <c r="AL12">
        <f>MAX(0,MIN($C12,AL$4+1)-MAX($B12,AL$4))</f>
        <v/>
      </c>
      <c r="AM12">
        <f>MAX(0,MIN($C12,AM$4+1)-MAX($B12,AM$4))</f>
        <v/>
      </c>
      <c r="AO12" t="n">
        <v>0</v>
      </c>
      <c r="AP12" t="n">
        <v>0</v>
      </c>
    </row>
    <row r="13">
      <c r="A13" t="inlineStr"/>
      <c r="B13" s="3" t="n">
        <v>0</v>
      </c>
      <c r="C13" s="3" t="n">
        <v>0</v>
      </c>
      <c r="D13" t="inlineStr"/>
      <c r="E13" t="n">
        <v>0</v>
      </c>
      <c r="F1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T13">
        <f>MAX(0,MIN($C13,T$4+1)-MAX($B13,T$4))</f>
        <v/>
      </c>
      <c r="U13">
        <f>MAX(0,MIN($C13,U$4+1)-MAX($B13,U$4))</f>
        <v/>
      </c>
      <c r="V13">
        <f>MAX(0,MIN($C13,V$4+1)-MAX($B13,V$4))</f>
        <v/>
      </c>
      <c r="W13">
        <f>MAX(0,MIN($C13,W$4+1)-MAX($B13,W$4))</f>
        <v/>
      </c>
      <c r="X13">
        <f>MAX(0,MIN($C13,X$4+1)-MAX($B13,X$4))</f>
        <v/>
      </c>
      <c r="Y13">
        <f>MAX(0,MIN($C13,Y$4+1)-MAX($B13,Y$4))</f>
        <v/>
      </c>
      <c r="Z13">
        <f>MAX(0,MIN($C13,Z$4+1)-MAX($B13,Z$4))</f>
        <v/>
      </c>
      <c r="AA13">
        <f>MAX(0,MIN($C13,AA$4+1)-MAX($B13,AA$4))</f>
        <v/>
      </c>
      <c r="AB13">
        <f>MAX(0,MIN($C13,AB$4+1)-MAX($B13,AB$4))</f>
        <v/>
      </c>
      <c r="AC13">
        <f>MAX(0,MIN($C13,AC$4+1)-MAX($B13,AC$4))</f>
        <v/>
      </c>
      <c r="AD13">
        <f>MAX(0,MIN($C13,AD$4+1)-MAX($B13,AD$4))</f>
        <v/>
      </c>
      <c r="AE13">
        <f>MAX(0,MIN($C13,AE$4+1)-MAX($B13,AE$4))</f>
        <v/>
      </c>
      <c r="AF13">
        <f>MAX(0,MIN($C13,AF$4+1)-MAX($B13,AF$4))</f>
        <v/>
      </c>
      <c r="AG13">
        <f>MAX(0,MIN($C13,AG$4+1)-MAX($B13,AG$4))</f>
        <v/>
      </c>
      <c r="AH13">
        <f>MAX(0,MIN($C13,AH$4+1)-MAX($B13,AH$4))</f>
        <v/>
      </c>
      <c r="AI13">
        <f>MAX(0,MIN($C13,AI$4+1)-MAX($B13,AI$4))</f>
        <v/>
      </c>
      <c r="AJ13">
        <f>MAX(0,MIN($C13,AJ$4+1)-MAX($B13,AJ$4))</f>
        <v/>
      </c>
      <c r="AK13">
        <f>MAX(0,MIN($C13,AK$4+1)-MAX($B13,AK$4))</f>
        <v/>
      </c>
      <c r="AL13">
        <f>MAX(0,MIN($C13,AL$4+1)-MAX($B13,AL$4))</f>
        <v/>
      </c>
      <c r="AM13">
        <f>MAX(0,MIN($C13,AM$4+1)-MAX($B13,AM$4))</f>
        <v/>
      </c>
      <c r="AO13" t="n">
        <v>0</v>
      </c>
      <c r="AP13" t="n">
        <v>0</v>
      </c>
    </row>
    <row r="14">
      <c r="A14" t="inlineStr"/>
      <c r="B14" s="3" t="n">
        <v>0</v>
      </c>
      <c r="C14" s="3" t="n">
        <v>0</v>
      </c>
      <c r="D14" t="inlineStr"/>
      <c r="E14" t="n">
        <v>0</v>
      </c>
      <c r="F14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T14">
        <f>MAX(0,MIN($C14,T$4+1)-MAX($B14,T$4))</f>
        <v/>
      </c>
      <c r="U14">
        <f>MAX(0,MIN($C14,U$4+1)-MAX($B14,U$4))</f>
        <v/>
      </c>
      <c r="V14">
        <f>MAX(0,MIN($C14,V$4+1)-MAX($B14,V$4))</f>
        <v/>
      </c>
      <c r="W14">
        <f>MAX(0,MIN($C14,W$4+1)-MAX($B14,W$4))</f>
        <v/>
      </c>
      <c r="X14">
        <f>MAX(0,MIN($C14,X$4+1)-MAX($B14,X$4))</f>
        <v/>
      </c>
      <c r="Y14">
        <f>MAX(0,MIN($C14,Y$4+1)-MAX($B14,Y$4))</f>
        <v/>
      </c>
      <c r="Z14">
        <f>MAX(0,MIN($C14,Z$4+1)-MAX($B14,Z$4))</f>
        <v/>
      </c>
      <c r="AA14">
        <f>MAX(0,MIN($C14,AA$4+1)-MAX($B14,AA$4))</f>
        <v/>
      </c>
      <c r="AB14">
        <f>MAX(0,MIN($C14,AB$4+1)-MAX($B14,AB$4))</f>
        <v/>
      </c>
      <c r="AC14">
        <f>MAX(0,MIN($C14,AC$4+1)-MAX($B14,AC$4))</f>
        <v/>
      </c>
      <c r="AD14">
        <f>MAX(0,MIN($C14,AD$4+1)-MAX($B14,AD$4))</f>
        <v/>
      </c>
      <c r="AE14">
        <f>MAX(0,MIN($C14,AE$4+1)-MAX($B14,AE$4))</f>
        <v/>
      </c>
      <c r="AF14">
        <f>MAX(0,MIN($C14,AF$4+1)-MAX($B14,AF$4))</f>
        <v/>
      </c>
      <c r="AG14">
        <f>MAX(0,MIN($C14,AG$4+1)-MAX($B14,AG$4))</f>
        <v/>
      </c>
      <c r="AH14">
        <f>MAX(0,MIN($C14,AH$4+1)-MAX($B14,AH$4))</f>
        <v/>
      </c>
      <c r="AI14">
        <f>MAX(0,MIN($C14,AI$4+1)-MAX($B14,AI$4))</f>
        <v/>
      </c>
      <c r="AJ14">
        <f>MAX(0,MIN($C14,AJ$4+1)-MAX($B14,AJ$4))</f>
        <v/>
      </c>
      <c r="AK14">
        <f>MAX(0,MIN($C14,AK$4+1)-MAX($B14,AK$4))</f>
        <v/>
      </c>
      <c r="AL14">
        <f>MAX(0,MIN($C14,AL$4+1)-MAX($B14,AL$4))</f>
        <v/>
      </c>
      <c r="AM14">
        <f>MAX(0,MIN($C14,AM$4+1)-MAX($B14,AM$4))</f>
        <v/>
      </c>
      <c r="AO14" t="n">
        <v>0</v>
      </c>
      <c r="AP14" t="n">
        <v>0</v>
      </c>
    </row>
    <row r="15">
      <c r="A15" t="inlineStr"/>
      <c r="B15" s="3" t="n">
        <v>0</v>
      </c>
      <c r="C15" s="3" t="n">
        <v>0</v>
      </c>
      <c r="D15" t="inlineStr"/>
      <c r="E15" t="n">
        <v>0</v>
      </c>
      <c r="F15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T15">
        <f>MAX(0,MIN($C15,T$4+1)-MAX($B15,T$4))</f>
        <v/>
      </c>
      <c r="U15">
        <f>MAX(0,MIN($C15,U$4+1)-MAX($B15,U$4))</f>
        <v/>
      </c>
      <c r="V15">
        <f>MAX(0,MIN($C15,V$4+1)-MAX($B15,V$4))</f>
        <v/>
      </c>
      <c r="W15">
        <f>MAX(0,MIN($C15,W$4+1)-MAX($B15,W$4))</f>
        <v/>
      </c>
      <c r="X15">
        <f>MAX(0,MIN($C15,X$4+1)-MAX($B15,X$4))</f>
        <v/>
      </c>
      <c r="Y15">
        <f>MAX(0,MIN($C15,Y$4+1)-MAX($B15,Y$4))</f>
        <v/>
      </c>
      <c r="Z15">
        <f>MAX(0,MIN($C15,Z$4+1)-MAX($B15,Z$4))</f>
        <v/>
      </c>
      <c r="AA15">
        <f>MAX(0,MIN($C15,AA$4+1)-MAX($B15,AA$4))</f>
        <v/>
      </c>
      <c r="AB15">
        <f>MAX(0,MIN($C15,AB$4+1)-MAX($B15,AB$4))</f>
        <v/>
      </c>
      <c r="AC15">
        <f>MAX(0,MIN($C15,AC$4+1)-MAX($B15,AC$4))</f>
        <v/>
      </c>
      <c r="AD15">
        <f>MAX(0,MIN($C15,AD$4+1)-MAX($B15,AD$4))</f>
        <v/>
      </c>
      <c r="AE15">
        <f>MAX(0,MIN($C15,AE$4+1)-MAX($B15,AE$4))</f>
        <v/>
      </c>
      <c r="AF15">
        <f>MAX(0,MIN($C15,AF$4+1)-MAX($B15,AF$4))</f>
        <v/>
      </c>
      <c r="AG15">
        <f>MAX(0,MIN($C15,AG$4+1)-MAX($B15,AG$4))</f>
        <v/>
      </c>
      <c r="AH15">
        <f>MAX(0,MIN($C15,AH$4+1)-MAX($B15,AH$4))</f>
        <v/>
      </c>
      <c r="AI15">
        <f>MAX(0,MIN($C15,AI$4+1)-MAX($B15,AI$4))</f>
        <v/>
      </c>
      <c r="AJ15">
        <f>MAX(0,MIN($C15,AJ$4+1)-MAX($B15,AJ$4))</f>
        <v/>
      </c>
      <c r="AK15">
        <f>MAX(0,MIN($C15,AK$4+1)-MAX($B15,AK$4))</f>
        <v/>
      </c>
      <c r="AL15">
        <f>MAX(0,MIN($C15,AL$4+1)-MAX($B15,AL$4))</f>
        <v/>
      </c>
      <c r="AM15">
        <f>MAX(0,MIN($C15,AM$4+1)-MAX($B15,AM$4))</f>
        <v/>
      </c>
      <c r="AO15" t="n">
        <v>0</v>
      </c>
      <c r="AP15" t="n">
        <v>0</v>
      </c>
    </row>
    <row r="16">
      <c r="A16" t="inlineStr"/>
      <c r="B16" s="3" t="n">
        <v>0</v>
      </c>
      <c r="C16" s="3" t="n">
        <v>0</v>
      </c>
      <c r="D16" t="inlineStr"/>
      <c r="E16" t="n">
        <v>0</v>
      </c>
      <c r="F16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0</v>
      </c>
      <c r="T16">
        <f>MAX(0,MIN($C16,T$4+1)-MAX($B16,T$4))</f>
        <v/>
      </c>
      <c r="U16">
        <f>MAX(0,MIN($C16,U$4+1)-MAX($B16,U$4))</f>
        <v/>
      </c>
      <c r="V16">
        <f>MAX(0,MIN($C16,V$4+1)-MAX($B16,V$4))</f>
        <v/>
      </c>
      <c r="W16">
        <f>MAX(0,MIN($C16,W$4+1)-MAX($B16,W$4))</f>
        <v/>
      </c>
      <c r="X16">
        <f>MAX(0,MIN($C16,X$4+1)-MAX($B16,X$4))</f>
        <v/>
      </c>
      <c r="Y16">
        <f>MAX(0,MIN($C16,Y$4+1)-MAX($B16,Y$4))</f>
        <v/>
      </c>
      <c r="Z16">
        <f>MAX(0,MIN($C16,Z$4+1)-MAX($B16,Z$4))</f>
        <v/>
      </c>
      <c r="AA16">
        <f>MAX(0,MIN($C16,AA$4+1)-MAX($B16,AA$4))</f>
        <v/>
      </c>
      <c r="AB16">
        <f>MAX(0,MIN($C16,AB$4+1)-MAX($B16,AB$4))</f>
        <v/>
      </c>
      <c r="AC16">
        <f>MAX(0,MIN($C16,AC$4+1)-MAX($B16,AC$4))</f>
        <v/>
      </c>
      <c r="AD16">
        <f>MAX(0,MIN($C16,AD$4+1)-MAX($B16,AD$4))</f>
        <v/>
      </c>
      <c r="AE16">
        <f>MAX(0,MIN($C16,AE$4+1)-MAX($B16,AE$4))</f>
        <v/>
      </c>
      <c r="AF16">
        <f>MAX(0,MIN($C16,AF$4+1)-MAX($B16,AF$4))</f>
        <v/>
      </c>
      <c r="AG16">
        <f>MAX(0,MIN($C16,AG$4+1)-MAX($B16,AG$4))</f>
        <v/>
      </c>
      <c r="AH16">
        <f>MAX(0,MIN($C16,AH$4+1)-MAX($B16,AH$4))</f>
        <v/>
      </c>
      <c r="AI16">
        <f>MAX(0,MIN($C16,AI$4+1)-MAX($B16,AI$4))</f>
        <v/>
      </c>
      <c r="AJ16">
        <f>MAX(0,MIN($C16,AJ$4+1)-MAX($B16,AJ$4))</f>
        <v/>
      </c>
      <c r="AK16">
        <f>MAX(0,MIN($C16,AK$4+1)-MAX($B16,AK$4))</f>
        <v/>
      </c>
      <c r="AL16">
        <f>MAX(0,MIN($C16,AL$4+1)-MAX($B16,AL$4))</f>
        <v/>
      </c>
      <c r="AM16">
        <f>MAX(0,MIN($C16,AM$4+1)-MAX($B16,AM$4))</f>
        <v/>
      </c>
      <c r="AO16" t="n">
        <v>0</v>
      </c>
      <c r="AP16" t="n">
        <v>0</v>
      </c>
    </row>
    <row r="17">
      <c r="A17" t="inlineStr"/>
      <c r="B17" s="3" t="n">
        <v>0</v>
      </c>
      <c r="C17" s="3" t="n">
        <v>0</v>
      </c>
      <c r="D17" t="inlineStr"/>
      <c r="E17" t="n">
        <v>0</v>
      </c>
      <c r="F17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T17">
        <f>MAX(0,MIN($C17,T$4+1)-MAX($B17,T$4))</f>
        <v/>
      </c>
      <c r="U17">
        <f>MAX(0,MIN($C17,U$4+1)-MAX($B17,U$4))</f>
        <v/>
      </c>
      <c r="V17">
        <f>MAX(0,MIN($C17,V$4+1)-MAX($B17,V$4))</f>
        <v/>
      </c>
      <c r="W17">
        <f>MAX(0,MIN($C17,W$4+1)-MAX($B17,W$4))</f>
        <v/>
      </c>
      <c r="X17">
        <f>MAX(0,MIN($C17,X$4+1)-MAX($B17,X$4))</f>
        <v/>
      </c>
      <c r="Y17">
        <f>MAX(0,MIN($C17,Y$4+1)-MAX($B17,Y$4))</f>
        <v/>
      </c>
      <c r="Z17">
        <f>MAX(0,MIN($C17,Z$4+1)-MAX($B17,Z$4))</f>
        <v/>
      </c>
      <c r="AA17">
        <f>MAX(0,MIN($C17,AA$4+1)-MAX($B17,AA$4))</f>
        <v/>
      </c>
      <c r="AB17">
        <f>MAX(0,MIN($C17,AB$4+1)-MAX($B17,AB$4))</f>
        <v/>
      </c>
      <c r="AC17">
        <f>MAX(0,MIN($C17,AC$4+1)-MAX($B17,AC$4))</f>
        <v/>
      </c>
      <c r="AD17">
        <f>MAX(0,MIN($C17,AD$4+1)-MAX($B17,AD$4))</f>
        <v/>
      </c>
      <c r="AE17">
        <f>MAX(0,MIN($C17,AE$4+1)-MAX($B17,AE$4))</f>
        <v/>
      </c>
      <c r="AF17">
        <f>MAX(0,MIN($C17,AF$4+1)-MAX($B17,AF$4))</f>
        <v/>
      </c>
      <c r="AG17">
        <f>MAX(0,MIN($C17,AG$4+1)-MAX($B17,AG$4))</f>
        <v/>
      </c>
      <c r="AH17">
        <f>MAX(0,MIN($C17,AH$4+1)-MAX($B17,AH$4))</f>
        <v/>
      </c>
      <c r="AI17">
        <f>MAX(0,MIN($C17,AI$4+1)-MAX($B17,AI$4))</f>
        <v/>
      </c>
      <c r="AJ17">
        <f>MAX(0,MIN($C17,AJ$4+1)-MAX($B17,AJ$4))</f>
        <v/>
      </c>
      <c r="AK17">
        <f>MAX(0,MIN($C17,AK$4+1)-MAX($B17,AK$4))</f>
        <v/>
      </c>
      <c r="AL17">
        <f>MAX(0,MIN($C17,AL$4+1)-MAX($B17,AL$4))</f>
        <v/>
      </c>
      <c r="AM17">
        <f>MAX(0,MIN($C17,AM$4+1)-MAX($B17,AM$4))</f>
        <v/>
      </c>
      <c r="AO17" t="n">
        <v>0</v>
      </c>
      <c r="AP17" t="n">
        <v>0</v>
      </c>
    </row>
    <row r="18">
      <c r="A18" t="inlineStr"/>
      <c r="B18" s="3" t="n">
        <v>0</v>
      </c>
      <c r="C18" s="3" t="n">
        <v>0</v>
      </c>
      <c r="D18" t="inlineStr"/>
      <c r="E18" t="n">
        <v>0</v>
      </c>
      <c r="F18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T18">
        <f>MAX(0,MIN($C18,T$4+1)-MAX($B18,T$4))</f>
        <v/>
      </c>
      <c r="U18">
        <f>MAX(0,MIN($C18,U$4+1)-MAX($B18,U$4))</f>
        <v/>
      </c>
      <c r="V18">
        <f>MAX(0,MIN($C18,V$4+1)-MAX($B18,V$4))</f>
        <v/>
      </c>
      <c r="W18">
        <f>MAX(0,MIN($C18,W$4+1)-MAX($B18,W$4))</f>
        <v/>
      </c>
      <c r="X18">
        <f>MAX(0,MIN($C18,X$4+1)-MAX($B18,X$4))</f>
        <v/>
      </c>
      <c r="Y18">
        <f>MAX(0,MIN($C18,Y$4+1)-MAX($B18,Y$4))</f>
        <v/>
      </c>
      <c r="Z18">
        <f>MAX(0,MIN($C18,Z$4+1)-MAX($B18,Z$4))</f>
        <v/>
      </c>
      <c r="AA18">
        <f>MAX(0,MIN($C18,AA$4+1)-MAX($B18,AA$4))</f>
        <v/>
      </c>
      <c r="AB18">
        <f>MAX(0,MIN($C18,AB$4+1)-MAX($B18,AB$4))</f>
        <v/>
      </c>
      <c r="AC18">
        <f>MAX(0,MIN($C18,AC$4+1)-MAX($B18,AC$4))</f>
        <v/>
      </c>
      <c r="AD18">
        <f>MAX(0,MIN($C18,AD$4+1)-MAX($B18,AD$4))</f>
        <v/>
      </c>
      <c r="AE18">
        <f>MAX(0,MIN($C18,AE$4+1)-MAX($B18,AE$4))</f>
        <v/>
      </c>
      <c r="AF18">
        <f>MAX(0,MIN($C18,AF$4+1)-MAX($B18,AF$4))</f>
        <v/>
      </c>
      <c r="AG18">
        <f>MAX(0,MIN($C18,AG$4+1)-MAX($B18,AG$4))</f>
        <v/>
      </c>
      <c r="AH18">
        <f>MAX(0,MIN($C18,AH$4+1)-MAX($B18,AH$4))</f>
        <v/>
      </c>
      <c r="AI18">
        <f>MAX(0,MIN($C18,AI$4+1)-MAX($B18,AI$4))</f>
        <v/>
      </c>
      <c r="AJ18">
        <f>MAX(0,MIN($C18,AJ$4+1)-MAX($B18,AJ$4))</f>
        <v/>
      </c>
      <c r="AK18">
        <f>MAX(0,MIN($C18,AK$4+1)-MAX($B18,AK$4))</f>
        <v/>
      </c>
      <c r="AL18">
        <f>MAX(0,MIN($C18,AL$4+1)-MAX($B18,AL$4))</f>
        <v/>
      </c>
      <c r="AM18">
        <f>MAX(0,MIN($C18,AM$4+1)-MAX($B18,AM$4))</f>
        <v/>
      </c>
      <c r="AO18" t="n">
        <v>0</v>
      </c>
      <c r="AP18" t="n">
        <v>0</v>
      </c>
    </row>
    <row r="19">
      <c r="A19" t="inlineStr"/>
      <c r="B19" s="3" t="n">
        <v>0</v>
      </c>
      <c r="C19" s="3" t="n">
        <v>0</v>
      </c>
      <c r="D19" t="inlineStr"/>
      <c r="E19" t="n">
        <v>0</v>
      </c>
      <c r="F19" t="n">
        <v>0</v>
      </c>
      <c r="G19" s="3" t="n">
        <v>0</v>
      </c>
      <c r="H19" s="3" t="n">
        <v>0</v>
      </c>
      <c r="I19" s="3" t="n">
        <v>0</v>
      </c>
      <c r="J19" s="3" t="n">
        <v>0</v>
      </c>
      <c r="K19" s="3" t="n">
        <v>0</v>
      </c>
      <c r="L19" s="3" t="n">
        <v>0</v>
      </c>
      <c r="M19" s="3" t="n">
        <v>0</v>
      </c>
      <c r="N19" s="3" t="n">
        <v>0</v>
      </c>
      <c r="O19" s="3" t="n">
        <v>0</v>
      </c>
      <c r="P19" s="3" t="n">
        <v>0</v>
      </c>
      <c r="Q19" s="3" t="n">
        <v>0</v>
      </c>
      <c r="R19" s="3" t="n">
        <v>0</v>
      </c>
      <c r="T19">
        <f>MAX(0,MIN($C19,T$4+1)-MAX($B19,T$4))</f>
        <v/>
      </c>
      <c r="U19">
        <f>MAX(0,MIN($C19,U$4+1)-MAX($B19,U$4))</f>
        <v/>
      </c>
      <c r="V19">
        <f>MAX(0,MIN($C19,V$4+1)-MAX($B19,V$4))</f>
        <v/>
      </c>
      <c r="W19">
        <f>MAX(0,MIN($C19,W$4+1)-MAX($B19,W$4))</f>
        <v/>
      </c>
      <c r="X19">
        <f>MAX(0,MIN($C19,X$4+1)-MAX($B19,X$4))</f>
        <v/>
      </c>
      <c r="Y19">
        <f>MAX(0,MIN($C19,Y$4+1)-MAX($B19,Y$4))</f>
        <v/>
      </c>
      <c r="Z19">
        <f>MAX(0,MIN($C19,Z$4+1)-MAX($B19,Z$4))</f>
        <v/>
      </c>
      <c r="AA19">
        <f>MAX(0,MIN($C19,AA$4+1)-MAX($B19,AA$4))</f>
        <v/>
      </c>
      <c r="AB19">
        <f>MAX(0,MIN($C19,AB$4+1)-MAX($B19,AB$4))</f>
        <v/>
      </c>
      <c r="AC19">
        <f>MAX(0,MIN($C19,AC$4+1)-MAX($B19,AC$4))</f>
        <v/>
      </c>
      <c r="AD19">
        <f>MAX(0,MIN($C19,AD$4+1)-MAX($B19,AD$4))</f>
        <v/>
      </c>
      <c r="AE19">
        <f>MAX(0,MIN($C19,AE$4+1)-MAX($B19,AE$4))</f>
        <v/>
      </c>
      <c r="AF19">
        <f>MAX(0,MIN($C19,AF$4+1)-MAX($B19,AF$4))</f>
        <v/>
      </c>
      <c r="AG19">
        <f>MAX(0,MIN($C19,AG$4+1)-MAX($B19,AG$4))</f>
        <v/>
      </c>
      <c r="AH19">
        <f>MAX(0,MIN($C19,AH$4+1)-MAX($B19,AH$4))</f>
        <v/>
      </c>
      <c r="AI19">
        <f>MAX(0,MIN($C19,AI$4+1)-MAX($B19,AI$4))</f>
        <v/>
      </c>
      <c r="AJ19">
        <f>MAX(0,MIN($C19,AJ$4+1)-MAX($B19,AJ$4))</f>
        <v/>
      </c>
      <c r="AK19">
        <f>MAX(0,MIN($C19,AK$4+1)-MAX($B19,AK$4))</f>
        <v/>
      </c>
      <c r="AL19">
        <f>MAX(0,MIN($C19,AL$4+1)-MAX($B19,AL$4))</f>
        <v/>
      </c>
      <c r="AM19">
        <f>MAX(0,MIN($C19,AM$4+1)-MAX($B19,AM$4))</f>
        <v/>
      </c>
      <c r="AO19" t="n">
        <v>0</v>
      </c>
      <c r="AP19" t="n">
        <v>0</v>
      </c>
    </row>
    <row r="20">
      <c r="A20" t="inlineStr"/>
      <c r="B20" s="3" t="n">
        <v>0</v>
      </c>
      <c r="C20" s="3" t="n">
        <v>0</v>
      </c>
      <c r="D20" t="inlineStr"/>
      <c r="E20" t="n">
        <v>0</v>
      </c>
      <c r="F20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T20">
        <f>MAX(0,MIN($C20,T$4+1)-MAX($B20,T$4))</f>
        <v/>
      </c>
      <c r="U20">
        <f>MAX(0,MIN($C20,U$4+1)-MAX($B20,U$4))</f>
        <v/>
      </c>
      <c r="V20">
        <f>MAX(0,MIN($C20,V$4+1)-MAX($B20,V$4))</f>
        <v/>
      </c>
      <c r="W20">
        <f>MAX(0,MIN($C20,W$4+1)-MAX($B20,W$4))</f>
        <v/>
      </c>
      <c r="X20">
        <f>MAX(0,MIN($C20,X$4+1)-MAX($B20,X$4))</f>
        <v/>
      </c>
      <c r="Y20">
        <f>MAX(0,MIN($C20,Y$4+1)-MAX($B20,Y$4))</f>
        <v/>
      </c>
      <c r="Z20">
        <f>MAX(0,MIN($C20,Z$4+1)-MAX($B20,Z$4))</f>
        <v/>
      </c>
      <c r="AA20">
        <f>MAX(0,MIN($C20,AA$4+1)-MAX($B20,AA$4))</f>
        <v/>
      </c>
      <c r="AB20">
        <f>MAX(0,MIN($C20,AB$4+1)-MAX($B20,AB$4))</f>
        <v/>
      </c>
      <c r="AC20">
        <f>MAX(0,MIN($C20,AC$4+1)-MAX($B20,AC$4))</f>
        <v/>
      </c>
      <c r="AD20">
        <f>MAX(0,MIN($C20,AD$4+1)-MAX($B20,AD$4))</f>
        <v/>
      </c>
      <c r="AE20">
        <f>MAX(0,MIN($C20,AE$4+1)-MAX($B20,AE$4))</f>
        <v/>
      </c>
      <c r="AF20">
        <f>MAX(0,MIN($C20,AF$4+1)-MAX($B20,AF$4))</f>
        <v/>
      </c>
      <c r="AG20">
        <f>MAX(0,MIN($C20,AG$4+1)-MAX($B20,AG$4))</f>
        <v/>
      </c>
      <c r="AH20">
        <f>MAX(0,MIN($C20,AH$4+1)-MAX($B20,AH$4))</f>
        <v/>
      </c>
      <c r="AI20">
        <f>MAX(0,MIN($C20,AI$4+1)-MAX($B20,AI$4))</f>
        <v/>
      </c>
      <c r="AJ20">
        <f>MAX(0,MIN($C20,AJ$4+1)-MAX($B20,AJ$4))</f>
        <v/>
      </c>
      <c r="AK20">
        <f>MAX(0,MIN($C20,AK$4+1)-MAX($B20,AK$4))</f>
        <v/>
      </c>
      <c r="AL20">
        <f>MAX(0,MIN($C20,AL$4+1)-MAX($B20,AL$4))</f>
        <v/>
      </c>
      <c r="AM20">
        <f>MAX(0,MIN($C20,AM$4+1)-MAX($B20,AM$4))</f>
        <v/>
      </c>
      <c r="AO20" t="n">
        <v>0</v>
      </c>
      <c r="AP20" t="n">
        <v>0</v>
      </c>
    </row>
    <row r="21">
      <c r="A21" t="inlineStr"/>
      <c r="B21" s="3" t="n">
        <v>0</v>
      </c>
      <c r="C21" s="3" t="n">
        <v>0</v>
      </c>
      <c r="D21" t="inlineStr"/>
      <c r="E21" t="n">
        <v>0</v>
      </c>
      <c r="F21" t="n">
        <v>0</v>
      </c>
      <c r="G21" s="3" t="n">
        <v>0</v>
      </c>
      <c r="H21" s="3" t="n">
        <v>0</v>
      </c>
      <c r="I21" s="3" t="n">
        <v>0</v>
      </c>
      <c r="J21" s="3" t="n">
        <v>0</v>
      </c>
      <c r="K21" s="3" t="n">
        <v>0</v>
      </c>
      <c r="L21" s="3" t="n">
        <v>0</v>
      </c>
      <c r="M21" s="3" t="n">
        <v>0</v>
      </c>
      <c r="N21" s="3" t="n">
        <v>0</v>
      </c>
      <c r="O21" s="3" t="n">
        <v>0</v>
      </c>
      <c r="P21" s="3" t="n">
        <v>0</v>
      </c>
      <c r="Q21" s="3" t="n">
        <v>0</v>
      </c>
      <c r="R21" s="3" t="n">
        <v>0</v>
      </c>
      <c r="T21">
        <f>MAX(0,MIN($C21,T$4+1)-MAX($B21,T$4))</f>
        <v/>
      </c>
      <c r="U21">
        <f>MAX(0,MIN($C21,U$4+1)-MAX($B21,U$4))</f>
        <v/>
      </c>
      <c r="V21">
        <f>MAX(0,MIN($C21,V$4+1)-MAX($B21,V$4))</f>
        <v/>
      </c>
      <c r="W21">
        <f>MAX(0,MIN($C21,W$4+1)-MAX($B21,W$4))</f>
        <v/>
      </c>
      <c r="X21">
        <f>MAX(0,MIN($C21,X$4+1)-MAX($B21,X$4))</f>
        <v/>
      </c>
      <c r="Y21">
        <f>MAX(0,MIN($C21,Y$4+1)-MAX($B21,Y$4))</f>
        <v/>
      </c>
      <c r="Z21">
        <f>MAX(0,MIN($C21,Z$4+1)-MAX($B21,Z$4))</f>
        <v/>
      </c>
      <c r="AA21">
        <f>MAX(0,MIN($C21,AA$4+1)-MAX($B21,AA$4))</f>
        <v/>
      </c>
      <c r="AB21">
        <f>MAX(0,MIN($C21,AB$4+1)-MAX($B21,AB$4))</f>
        <v/>
      </c>
      <c r="AC21">
        <f>MAX(0,MIN($C21,AC$4+1)-MAX($B21,AC$4))</f>
        <v/>
      </c>
      <c r="AD21">
        <f>MAX(0,MIN($C21,AD$4+1)-MAX($B21,AD$4))</f>
        <v/>
      </c>
      <c r="AE21">
        <f>MAX(0,MIN($C21,AE$4+1)-MAX($B21,AE$4))</f>
        <v/>
      </c>
      <c r="AF21">
        <f>MAX(0,MIN($C21,AF$4+1)-MAX($B21,AF$4))</f>
        <v/>
      </c>
      <c r="AG21">
        <f>MAX(0,MIN($C21,AG$4+1)-MAX($B21,AG$4))</f>
        <v/>
      </c>
      <c r="AH21">
        <f>MAX(0,MIN($C21,AH$4+1)-MAX($B21,AH$4))</f>
        <v/>
      </c>
      <c r="AI21">
        <f>MAX(0,MIN($C21,AI$4+1)-MAX($B21,AI$4))</f>
        <v/>
      </c>
      <c r="AJ21">
        <f>MAX(0,MIN($C21,AJ$4+1)-MAX($B21,AJ$4))</f>
        <v/>
      </c>
      <c r="AK21">
        <f>MAX(0,MIN($C21,AK$4+1)-MAX($B21,AK$4))</f>
        <v/>
      </c>
      <c r="AL21">
        <f>MAX(0,MIN($C21,AL$4+1)-MAX($B21,AL$4))</f>
        <v/>
      </c>
      <c r="AM21">
        <f>MAX(0,MIN($C21,AM$4+1)-MAX($B21,AM$4))</f>
        <v/>
      </c>
      <c r="AO21" t="n">
        <v>0</v>
      </c>
      <c r="AP21" t="n">
        <v>0</v>
      </c>
    </row>
    <row r="22">
      <c r="A22" t="inlineStr"/>
      <c r="B22" s="3" t="n">
        <v>0</v>
      </c>
      <c r="C22" s="3" t="n">
        <v>0</v>
      </c>
      <c r="D22" t="inlineStr"/>
      <c r="E22" t="n">
        <v>0</v>
      </c>
      <c r="F22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T22">
        <f>MAX(0,MIN($C22,T$4+1)-MAX($B22,T$4))</f>
        <v/>
      </c>
      <c r="U22">
        <f>MAX(0,MIN($C22,U$4+1)-MAX($B22,U$4))</f>
        <v/>
      </c>
      <c r="V22">
        <f>MAX(0,MIN($C22,V$4+1)-MAX($B22,V$4))</f>
        <v/>
      </c>
      <c r="W22">
        <f>MAX(0,MIN($C22,W$4+1)-MAX($B22,W$4))</f>
        <v/>
      </c>
      <c r="X22">
        <f>MAX(0,MIN($C22,X$4+1)-MAX($B22,X$4))</f>
        <v/>
      </c>
      <c r="Y22">
        <f>MAX(0,MIN($C22,Y$4+1)-MAX($B22,Y$4))</f>
        <v/>
      </c>
      <c r="Z22">
        <f>MAX(0,MIN($C22,Z$4+1)-MAX($B22,Z$4))</f>
        <v/>
      </c>
      <c r="AA22">
        <f>MAX(0,MIN($C22,AA$4+1)-MAX($B22,AA$4))</f>
        <v/>
      </c>
      <c r="AB22">
        <f>MAX(0,MIN($C22,AB$4+1)-MAX($B22,AB$4))</f>
        <v/>
      </c>
      <c r="AC22">
        <f>MAX(0,MIN($C22,AC$4+1)-MAX($B22,AC$4))</f>
        <v/>
      </c>
      <c r="AD22">
        <f>MAX(0,MIN($C22,AD$4+1)-MAX($B22,AD$4))</f>
        <v/>
      </c>
      <c r="AE22">
        <f>MAX(0,MIN($C22,AE$4+1)-MAX($B22,AE$4))</f>
        <v/>
      </c>
      <c r="AF22">
        <f>MAX(0,MIN($C22,AF$4+1)-MAX($B22,AF$4))</f>
        <v/>
      </c>
      <c r="AG22">
        <f>MAX(0,MIN($C22,AG$4+1)-MAX($B22,AG$4))</f>
        <v/>
      </c>
      <c r="AH22">
        <f>MAX(0,MIN($C22,AH$4+1)-MAX($B22,AH$4))</f>
        <v/>
      </c>
      <c r="AI22">
        <f>MAX(0,MIN($C22,AI$4+1)-MAX($B22,AI$4))</f>
        <v/>
      </c>
      <c r="AJ22">
        <f>MAX(0,MIN($C22,AJ$4+1)-MAX($B22,AJ$4))</f>
        <v/>
      </c>
      <c r="AK22">
        <f>MAX(0,MIN($C22,AK$4+1)-MAX($B22,AK$4))</f>
        <v/>
      </c>
      <c r="AL22">
        <f>MAX(0,MIN($C22,AL$4+1)-MAX($B22,AL$4))</f>
        <v/>
      </c>
      <c r="AM22">
        <f>MAX(0,MIN($C22,AM$4+1)-MAX($B22,AM$4))</f>
        <v/>
      </c>
      <c r="AO22" t="n">
        <v>0</v>
      </c>
      <c r="AP22" t="n">
        <v>0</v>
      </c>
    </row>
    <row r="23">
      <c r="A23" t="inlineStr"/>
      <c r="B23" s="3" t="n">
        <v>0</v>
      </c>
      <c r="C23" s="3" t="n">
        <v>0</v>
      </c>
      <c r="D23" t="inlineStr"/>
      <c r="E23" t="n">
        <v>0</v>
      </c>
      <c r="F2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T23">
        <f>MAX(0,MIN($C23,T$4+1)-MAX($B23,T$4))</f>
        <v/>
      </c>
      <c r="U23">
        <f>MAX(0,MIN($C23,U$4+1)-MAX($B23,U$4))</f>
        <v/>
      </c>
      <c r="V23">
        <f>MAX(0,MIN($C23,V$4+1)-MAX($B23,V$4))</f>
        <v/>
      </c>
      <c r="W23">
        <f>MAX(0,MIN($C23,W$4+1)-MAX($B23,W$4))</f>
        <v/>
      </c>
      <c r="X23">
        <f>MAX(0,MIN($C23,X$4+1)-MAX($B23,X$4))</f>
        <v/>
      </c>
      <c r="Y23">
        <f>MAX(0,MIN($C23,Y$4+1)-MAX($B23,Y$4))</f>
        <v/>
      </c>
      <c r="Z23">
        <f>MAX(0,MIN($C23,Z$4+1)-MAX($B23,Z$4))</f>
        <v/>
      </c>
      <c r="AA23">
        <f>MAX(0,MIN($C23,AA$4+1)-MAX($B23,AA$4))</f>
        <v/>
      </c>
      <c r="AB23">
        <f>MAX(0,MIN($C23,AB$4+1)-MAX($B23,AB$4))</f>
        <v/>
      </c>
      <c r="AC23">
        <f>MAX(0,MIN($C23,AC$4+1)-MAX($B23,AC$4))</f>
        <v/>
      </c>
      <c r="AD23">
        <f>MAX(0,MIN($C23,AD$4+1)-MAX($B23,AD$4))</f>
        <v/>
      </c>
      <c r="AE23">
        <f>MAX(0,MIN($C23,AE$4+1)-MAX($B23,AE$4))</f>
        <v/>
      </c>
      <c r="AF23">
        <f>MAX(0,MIN($C23,AF$4+1)-MAX($B23,AF$4))</f>
        <v/>
      </c>
      <c r="AG23">
        <f>MAX(0,MIN($C23,AG$4+1)-MAX($B23,AG$4))</f>
        <v/>
      </c>
      <c r="AH23">
        <f>MAX(0,MIN($C23,AH$4+1)-MAX($B23,AH$4))</f>
        <v/>
      </c>
      <c r="AI23">
        <f>MAX(0,MIN($C23,AI$4+1)-MAX($B23,AI$4))</f>
        <v/>
      </c>
      <c r="AJ23">
        <f>MAX(0,MIN($C23,AJ$4+1)-MAX($B23,AJ$4))</f>
        <v/>
      </c>
      <c r="AK23">
        <f>MAX(0,MIN($C23,AK$4+1)-MAX($B23,AK$4))</f>
        <v/>
      </c>
      <c r="AL23">
        <f>MAX(0,MIN($C23,AL$4+1)-MAX($B23,AL$4))</f>
        <v/>
      </c>
      <c r="AM23">
        <f>MAX(0,MIN($C23,AM$4+1)-MAX($B23,AM$4))</f>
        <v/>
      </c>
      <c r="AO23" t="n">
        <v>0</v>
      </c>
      <c r="AP23" t="n">
        <v>0</v>
      </c>
    </row>
    <row r="24">
      <c r="A24" t="inlineStr"/>
      <c r="B24" s="3" t="n">
        <v>0</v>
      </c>
      <c r="C24" s="3" t="n">
        <v>0</v>
      </c>
      <c r="D24" t="inlineStr"/>
      <c r="E24" t="n">
        <v>0</v>
      </c>
      <c r="F24" t="n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  <c r="P24" s="3" t="n">
        <v>0</v>
      </c>
      <c r="Q24" s="3" t="n">
        <v>0</v>
      </c>
      <c r="R24" s="3" t="n">
        <v>0</v>
      </c>
      <c r="T24">
        <f>MAX(0,MIN($C24,T$4+1)-MAX($B24,T$4))</f>
        <v/>
      </c>
      <c r="U24">
        <f>MAX(0,MIN($C24,U$4+1)-MAX($B24,U$4))</f>
        <v/>
      </c>
      <c r="V24">
        <f>MAX(0,MIN($C24,V$4+1)-MAX($B24,V$4))</f>
        <v/>
      </c>
      <c r="W24">
        <f>MAX(0,MIN($C24,W$4+1)-MAX($B24,W$4))</f>
        <v/>
      </c>
      <c r="X24">
        <f>MAX(0,MIN($C24,X$4+1)-MAX($B24,X$4))</f>
        <v/>
      </c>
      <c r="Y24">
        <f>MAX(0,MIN($C24,Y$4+1)-MAX($B24,Y$4))</f>
        <v/>
      </c>
      <c r="Z24">
        <f>MAX(0,MIN($C24,Z$4+1)-MAX($B24,Z$4))</f>
        <v/>
      </c>
      <c r="AA24">
        <f>MAX(0,MIN($C24,AA$4+1)-MAX($B24,AA$4))</f>
        <v/>
      </c>
      <c r="AB24">
        <f>MAX(0,MIN($C24,AB$4+1)-MAX($B24,AB$4))</f>
        <v/>
      </c>
      <c r="AC24">
        <f>MAX(0,MIN($C24,AC$4+1)-MAX($B24,AC$4))</f>
        <v/>
      </c>
      <c r="AD24">
        <f>MAX(0,MIN($C24,AD$4+1)-MAX($B24,AD$4))</f>
        <v/>
      </c>
      <c r="AE24">
        <f>MAX(0,MIN($C24,AE$4+1)-MAX($B24,AE$4))</f>
        <v/>
      </c>
      <c r="AF24">
        <f>MAX(0,MIN($C24,AF$4+1)-MAX($B24,AF$4))</f>
        <v/>
      </c>
      <c r="AG24">
        <f>MAX(0,MIN($C24,AG$4+1)-MAX($B24,AG$4))</f>
        <v/>
      </c>
      <c r="AH24">
        <f>MAX(0,MIN($C24,AH$4+1)-MAX($B24,AH$4))</f>
        <v/>
      </c>
      <c r="AI24">
        <f>MAX(0,MIN($C24,AI$4+1)-MAX($B24,AI$4))</f>
        <v/>
      </c>
      <c r="AJ24">
        <f>MAX(0,MIN($C24,AJ$4+1)-MAX($B24,AJ$4))</f>
        <v/>
      </c>
      <c r="AK24">
        <f>MAX(0,MIN($C24,AK$4+1)-MAX($B24,AK$4))</f>
        <v/>
      </c>
      <c r="AL24">
        <f>MAX(0,MIN($C24,AL$4+1)-MAX($B24,AL$4))</f>
        <v/>
      </c>
      <c r="AM24">
        <f>MAX(0,MIN($C24,AM$4+1)-MAX($B24,AM$4))</f>
        <v/>
      </c>
      <c r="AO24" t="n">
        <v>0</v>
      </c>
      <c r="AP24" t="n">
        <v>0</v>
      </c>
    </row>
    <row r="25">
      <c r="A25" t="inlineStr"/>
      <c r="B25" s="3" t="n">
        <v>0</v>
      </c>
      <c r="C25" s="3" t="n">
        <v>0</v>
      </c>
      <c r="D25" t="inlineStr"/>
      <c r="E25" t="n">
        <v>0</v>
      </c>
      <c r="F25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T25">
        <f>MAX(0,MIN($C25,T$4+1)-MAX($B25,T$4))</f>
        <v/>
      </c>
      <c r="U25">
        <f>MAX(0,MIN($C25,U$4+1)-MAX($B25,U$4))</f>
        <v/>
      </c>
      <c r="V25">
        <f>MAX(0,MIN($C25,V$4+1)-MAX($B25,V$4))</f>
        <v/>
      </c>
      <c r="W25">
        <f>MAX(0,MIN($C25,W$4+1)-MAX($B25,W$4))</f>
        <v/>
      </c>
      <c r="X25">
        <f>MAX(0,MIN($C25,X$4+1)-MAX($B25,X$4))</f>
        <v/>
      </c>
      <c r="Y25">
        <f>MAX(0,MIN($C25,Y$4+1)-MAX($B25,Y$4))</f>
        <v/>
      </c>
      <c r="Z25">
        <f>MAX(0,MIN($C25,Z$4+1)-MAX($B25,Z$4))</f>
        <v/>
      </c>
      <c r="AA25">
        <f>MAX(0,MIN($C25,AA$4+1)-MAX($B25,AA$4))</f>
        <v/>
      </c>
      <c r="AB25">
        <f>MAX(0,MIN($C25,AB$4+1)-MAX($B25,AB$4))</f>
        <v/>
      </c>
      <c r="AC25">
        <f>MAX(0,MIN($C25,AC$4+1)-MAX($B25,AC$4))</f>
        <v/>
      </c>
      <c r="AD25">
        <f>MAX(0,MIN($C25,AD$4+1)-MAX($B25,AD$4))</f>
        <v/>
      </c>
      <c r="AE25">
        <f>MAX(0,MIN($C25,AE$4+1)-MAX($B25,AE$4))</f>
        <v/>
      </c>
      <c r="AF25">
        <f>MAX(0,MIN($C25,AF$4+1)-MAX($B25,AF$4))</f>
        <v/>
      </c>
      <c r="AG25">
        <f>MAX(0,MIN($C25,AG$4+1)-MAX($B25,AG$4))</f>
        <v/>
      </c>
      <c r="AH25">
        <f>MAX(0,MIN($C25,AH$4+1)-MAX($B25,AH$4))</f>
        <v/>
      </c>
      <c r="AI25">
        <f>MAX(0,MIN($C25,AI$4+1)-MAX($B25,AI$4))</f>
        <v/>
      </c>
      <c r="AJ25">
        <f>MAX(0,MIN($C25,AJ$4+1)-MAX($B25,AJ$4))</f>
        <v/>
      </c>
      <c r="AK25">
        <f>MAX(0,MIN($C25,AK$4+1)-MAX($B25,AK$4))</f>
        <v/>
      </c>
      <c r="AL25">
        <f>MAX(0,MIN($C25,AL$4+1)-MAX($B25,AL$4))</f>
        <v/>
      </c>
      <c r="AM25">
        <f>MAX(0,MIN($C25,AM$4+1)-MAX($B25,AM$4))</f>
        <v/>
      </c>
    </row>
    <row r="26">
      <c r="A26" t="inlineStr"/>
      <c r="B26" s="3" t="n">
        <v>0</v>
      </c>
      <c r="C26" s="3" t="n">
        <v>0</v>
      </c>
      <c r="D26" t="inlineStr"/>
      <c r="E26" t="n">
        <v>0</v>
      </c>
      <c r="F26" t="n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  <c r="T26">
        <f>MAX(0,MIN($C26,T$4+1)-MAX($B26,T$4))</f>
        <v/>
      </c>
      <c r="U26">
        <f>MAX(0,MIN($C26,U$4+1)-MAX($B26,U$4))</f>
        <v/>
      </c>
      <c r="V26">
        <f>MAX(0,MIN($C26,V$4+1)-MAX($B26,V$4))</f>
        <v/>
      </c>
      <c r="W26">
        <f>MAX(0,MIN($C26,W$4+1)-MAX($B26,W$4))</f>
        <v/>
      </c>
      <c r="X26">
        <f>MAX(0,MIN($C26,X$4+1)-MAX($B26,X$4))</f>
        <v/>
      </c>
      <c r="Y26">
        <f>MAX(0,MIN($C26,Y$4+1)-MAX($B26,Y$4))</f>
        <v/>
      </c>
      <c r="Z26">
        <f>MAX(0,MIN($C26,Z$4+1)-MAX($B26,Z$4))</f>
        <v/>
      </c>
      <c r="AA26">
        <f>MAX(0,MIN($C26,AA$4+1)-MAX($B26,AA$4))</f>
        <v/>
      </c>
      <c r="AB26">
        <f>MAX(0,MIN($C26,AB$4+1)-MAX($B26,AB$4))</f>
        <v/>
      </c>
      <c r="AC26">
        <f>MAX(0,MIN($C26,AC$4+1)-MAX($B26,AC$4))</f>
        <v/>
      </c>
      <c r="AD26">
        <f>MAX(0,MIN($C26,AD$4+1)-MAX($B26,AD$4))</f>
        <v/>
      </c>
      <c r="AE26">
        <f>MAX(0,MIN($C26,AE$4+1)-MAX($B26,AE$4))</f>
        <v/>
      </c>
      <c r="AF26">
        <f>MAX(0,MIN($C26,AF$4+1)-MAX($B26,AF$4))</f>
        <v/>
      </c>
      <c r="AG26">
        <f>MAX(0,MIN($C26,AG$4+1)-MAX($B26,AG$4))</f>
        <v/>
      </c>
      <c r="AH26">
        <f>MAX(0,MIN($C26,AH$4+1)-MAX($B26,AH$4))</f>
        <v/>
      </c>
      <c r="AI26">
        <f>MAX(0,MIN($C26,AI$4+1)-MAX($B26,AI$4))</f>
        <v/>
      </c>
      <c r="AJ26">
        <f>MAX(0,MIN($C26,AJ$4+1)-MAX($B26,AJ$4))</f>
        <v/>
      </c>
      <c r="AK26">
        <f>MAX(0,MIN($C26,AK$4+1)-MAX($B26,AK$4))</f>
        <v/>
      </c>
      <c r="AL26">
        <f>MAX(0,MIN($C26,AL$4+1)-MAX($B26,AL$4))</f>
        <v/>
      </c>
      <c r="AM26">
        <f>MAX(0,MIN($C26,AM$4+1)-MAX($B26,AM$4))</f>
        <v/>
      </c>
    </row>
    <row r="27">
      <c r="A27" t="inlineStr"/>
      <c r="B27" s="3" t="n">
        <v>0</v>
      </c>
      <c r="C27" s="3" t="n">
        <v>0</v>
      </c>
      <c r="D27" t="inlineStr"/>
      <c r="E27" t="n">
        <v>0</v>
      </c>
      <c r="F27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T27">
        <f>MAX(0,MIN($C27,T$4+1)-MAX($B27,T$4))</f>
        <v/>
      </c>
      <c r="U27">
        <f>MAX(0,MIN($C27,U$4+1)-MAX($B27,U$4))</f>
        <v/>
      </c>
      <c r="V27">
        <f>MAX(0,MIN($C27,V$4+1)-MAX($B27,V$4))</f>
        <v/>
      </c>
      <c r="W27">
        <f>MAX(0,MIN($C27,W$4+1)-MAX($B27,W$4))</f>
        <v/>
      </c>
      <c r="X27">
        <f>MAX(0,MIN($C27,X$4+1)-MAX($B27,X$4))</f>
        <v/>
      </c>
      <c r="Y27">
        <f>MAX(0,MIN($C27,Y$4+1)-MAX($B27,Y$4))</f>
        <v/>
      </c>
      <c r="Z27">
        <f>MAX(0,MIN($C27,Z$4+1)-MAX($B27,Z$4))</f>
        <v/>
      </c>
      <c r="AA27">
        <f>MAX(0,MIN($C27,AA$4+1)-MAX($B27,AA$4))</f>
        <v/>
      </c>
      <c r="AB27">
        <f>MAX(0,MIN($C27,AB$4+1)-MAX($B27,AB$4))</f>
        <v/>
      </c>
      <c r="AC27">
        <f>MAX(0,MIN($C27,AC$4+1)-MAX($B27,AC$4))</f>
        <v/>
      </c>
      <c r="AD27">
        <f>MAX(0,MIN($C27,AD$4+1)-MAX($B27,AD$4))</f>
        <v/>
      </c>
      <c r="AE27">
        <f>MAX(0,MIN($C27,AE$4+1)-MAX($B27,AE$4))</f>
        <v/>
      </c>
      <c r="AF27">
        <f>MAX(0,MIN($C27,AF$4+1)-MAX($B27,AF$4))</f>
        <v/>
      </c>
      <c r="AG27">
        <f>MAX(0,MIN($C27,AG$4+1)-MAX($B27,AG$4))</f>
        <v/>
      </c>
      <c r="AH27">
        <f>MAX(0,MIN($C27,AH$4+1)-MAX($B27,AH$4))</f>
        <v/>
      </c>
      <c r="AI27">
        <f>MAX(0,MIN($C27,AI$4+1)-MAX($B27,AI$4))</f>
        <v/>
      </c>
      <c r="AJ27">
        <f>MAX(0,MIN($C27,AJ$4+1)-MAX($B27,AJ$4))</f>
        <v/>
      </c>
      <c r="AK27">
        <f>MAX(0,MIN($C27,AK$4+1)-MAX($B27,AK$4))</f>
        <v/>
      </c>
      <c r="AL27">
        <f>MAX(0,MIN($C27,AL$4+1)-MAX($B27,AL$4))</f>
        <v/>
      </c>
      <c r="AM27">
        <f>MAX(0,MIN($C27,AM$4+1)-MAX($B27,AM$4))</f>
        <v/>
      </c>
    </row>
    <row r="28">
      <c r="A28" t="inlineStr"/>
      <c r="B28" s="3" t="n">
        <v>0</v>
      </c>
      <c r="C28" s="3" t="n">
        <v>0</v>
      </c>
      <c r="D28" t="inlineStr"/>
      <c r="E28" t="n">
        <v>0</v>
      </c>
      <c r="F28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T28">
        <f>MAX(0,MIN($C28,T$4+1)-MAX($B28,T$4))</f>
        <v/>
      </c>
      <c r="U28">
        <f>MAX(0,MIN($C28,U$4+1)-MAX($B28,U$4))</f>
        <v/>
      </c>
      <c r="V28">
        <f>MAX(0,MIN($C28,V$4+1)-MAX($B28,V$4))</f>
        <v/>
      </c>
      <c r="W28">
        <f>MAX(0,MIN($C28,W$4+1)-MAX($B28,W$4))</f>
        <v/>
      </c>
      <c r="X28">
        <f>MAX(0,MIN($C28,X$4+1)-MAX($B28,X$4))</f>
        <v/>
      </c>
      <c r="Y28">
        <f>MAX(0,MIN($C28,Y$4+1)-MAX($B28,Y$4))</f>
        <v/>
      </c>
      <c r="Z28">
        <f>MAX(0,MIN($C28,Z$4+1)-MAX($B28,Z$4))</f>
        <v/>
      </c>
      <c r="AA28">
        <f>MAX(0,MIN($C28,AA$4+1)-MAX($B28,AA$4))</f>
        <v/>
      </c>
      <c r="AB28">
        <f>MAX(0,MIN($C28,AB$4+1)-MAX($B28,AB$4))</f>
        <v/>
      </c>
      <c r="AC28">
        <f>MAX(0,MIN($C28,AC$4+1)-MAX($B28,AC$4))</f>
        <v/>
      </c>
      <c r="AD28">
        <f>MAX(0,MIN($C28,AD$4+1)-MAX($B28,AD$4))</f>
        <v/>
      </c>
      <c r="AE28">
        <f>MAX(0,MIN($C28,AE$4+1)-MAX($B28,AE$4))</f>
        <v/>
      </c>
      <c r="AF28">
        <f>MAX(0,MIN($C28,AF$4+1)-MAX($B28,AF$4))</f>
        <v/>
      </c>
      <c r="AG28">
        <f>MAX(0,MIN($C28,AG$4+1)-MAX($B28,AG$4))</f>
        <v/>
      </c>
      <c r="AH28">
        <f>MAX(0,MIN($C28,AH$4+1)-MAX($B28,AH$4))</f>
        <v/>
      </c>
      <c r="AI28">
        <f>MAX(0,MIN($C28,AI$4+1)-MAX($B28,AI$4))</f>
        <v/>
      </c>
      <c r="AJ28">
        <f>MAX(0,MIN($C28,AJ$4+1)-MAX($B28,AJ$4))</f>
        <v/>
      </c>
      <c r="AK28">
        <f>MAX(0,MIN($C28,AK$4+1)-MAX($B28,AK$4))</f>
        <v/>
      </c>
      <c r="AL28">
        <f>MAX(0,MIN($C28,AL$4+1)-MAX($B28,AL$4))</f>
        <v/>
      </c>
      <c r="AM28">
        <f>MAX(0,MIN($C28,AM$4+1)-MAX($B28,AM$4))</f>
        <v/>
      </c>
    </row>
    <row r="29">
      <c r="A29" t="inlineStr"/>
      <c r="B29" s="3" t="n">
        <v>0</v>
      </c>
      <c r="C29" s="3" t="n">
        <v>0</v>
      </c>
      <c r="D29" t="inlineStr"/>
      <c r="E29" t="n">
        <v>0</v>
      </c>
      <c r="F29" t="n">
        <v>0</v>
      </c>
      <c r="G29" s="3" t="n">
        <v>0</v>
      </c>
      <c r="H29" s="3" t="n">
        <v>0</v>
      </c>
      <c r="I29" s="3" t="n">
        <v>0</v>
      </c>
      <c r="J29" s="3" t="n">
        <v>0</v>
      </c>
      <c r="K29" s="3" t="n">
        <v>0</v>
      </c>
      <c r="L29" s="3" t="n">
        <v>0</v>
      </c>
      <c r="M29" s="3" t="n">
        <v>0</v>
      </c>
      <c r="N29" s="3" t="n">
        <v>0</v>
      </c>
      <c r="O29" s="3" t="n">
        <v>0</v>
      </c>
      <c r="P29" s="3" t="n">
        <v>0</v>
      </c>
      <c r="Q29" s="3" t="n">
        <v>0</v>
      </c>
      <c r="R29" s="3" t="n">
        <v>0</v>
      </c>
      <c r="T29">
        <f>MAX(0,MIN($C29,T$4+1)-MAX($B29,T$4))</f>
        <v/>
      </c>
      <c r="U29">
        <f>MAX(0,MIN($C29,U$4+1)-MAX($B29,U$4))</f>
        <v/>
      </c>
      <c r="V29">
        <f>MAX(0,MIN($C29,V$4+1)-MAX($B29,V$4))</f>
        <v/>
      </c>
      <c r="W29">
        <f>MAX(0,MIN($C29,W$4+1)-MAX($B29,W$4))</f>
        <v/>
      </c>
      <c r="X29">
        <f>MAX(0,MIN($C29,X$4+1)-MAX($B29,X$4))</f>
        <v/>
      </c>
      <c r="Y29">
        <f>MAX(0,MIN($C29,Y$4+1)-MAX($B29,Y$4))</f>
        <v/>
      </c>
      <c r="Z29">
        <f>MAX(0,MIN($C29,Z$4+1)-MAX($B29,Z$4))</f>
        <v/>
      </c>
      <c r="AA29">
        <f>MAX(0,MIN($C29,AA$4+1)-MAX($B29,AA$4))</f>
        <v/>
      </c>
      <c r="AB29">
        <f>MAX(0,MIN($C29,AB$4+1)-MAX($B29,AB$4))</f>
        <v/>
      </c>
      <c r="AC29">
        <f>MAX(0,MIN($C29,AC$4+1)-MAX($B29,AC$4))</f>
        <v/>
      </c>
      <c r="AD29">
        <f>MAX(0,MIN($C29,AD$4+1)-MAX($B29,AD$4))</f>
        <v/>
      </c>
      <c r="AE29">
        <f>MAX(0,MIN($C29,AE$4+1)-MAX($B29,AE$4))</f>
        <v/>
      </c>
      <c r="AF29">
        <f>MAX(0,MIN($C29,AF$4+1)-MAX($B29,AF$4))</f>
        <v/>
      </c>
      <c r="AG29">
        <f>MAX(0,MIN($C29,AG$4+1)-MAX($B29,AG$4))</f>
        <v/>
      </c>
      <c r="AH29">
        <f>MAX(0,MIN($C29,AH$4+1)-MAX($B29,AH$4))</f>
        <v/>
      </c>
      <c r="AI29">
        <f>MAX(0,MIN($C29,AI$4+1)-MAX($B29,AI$4))</f>
        <v/>
      </c>
      <c r="AJ29">
        <f>MAX(0,MIN($C29,AJ$4+1)-MAX($B29,AJ$4))</f>
        <v/>
      </c>
      <c r="AK29">
        <f>MAX(0,MIN($C29,AK$4+1)-MAX($B29,AK$4))</f>
        <v/>
      </c>
      <c r="AL29">
        <f>MAX(0,MIN($C29,AL$4+1)-MAX($B29,AL$4))</f>
        <v/>
      </c>
      <c r="AM29">
        <f>MAX(0,MIN($C29,AM$4+1)-MAX($B29,AM$4))</f>
        <v/>
      </c>
    </row>
    <row r="31">
      <c r="A31" s="1" t="inlineStr">
        <is>
          <t>Simulación anual (todas las celdas son fórmulas)</t>
        </is>
      </c>
    </row>
    <row r="32">
      <c r="A32" s="5" t="inlineStr">
        <is>
          <t>Año</t>
        </is>
      </c>
      <c r="B32" s="5" t="inlineStr">
        <is>
          <t>k</t>
        </is>
      </c>
      <c r="C32" s="5" t="inlineStr">
        <is>
          <t>Índice inflación</t>
        </is>
      </c>
      <c r="D32" s="5" t="inlineStr">
        <is>
          <t>Salarios W-2</t>
        </is>
      </c>
      <c r="E32" s="5" t="inlineStr">
        <is>
          <t>W-2 con match</t>
        </is>
      </c>
      <c r="F32" s="5" t="inlineStr">
        <is>
          <t>Stipends libres</t>
        </is>
      </c>
      <c r="G32" s="5" t="inlineStr">
        <is>
          <t>Ingreso S-corp</t>
        </is>
      </c>
      <c r="H32" s="5" t="inlineStr">
        <is>
          <t>Autoempleo (LLC/tutoría)</t>
        </is>
      </c>
      <c r="I32" s="5" t="inlineStr">
        <is>
          <t>Matrícula</t>
        </is>
      </c>
      <c r="J32" s="5" t="inlineStr">
        <is>
          <t>Fracción estudio</t>
        </is>
      </c>
      <c r="K32" s="5" t="inlineStr">
        <is>
          <t>Fracción PSLF</t>
        </is>
      </c>
      <c r="L32" s="5" t="inlineStr">
        <is>
          <t>Fracción travel</t>
        </is>
      </c>
      <c r="M32" s="5" t="inlineStr">
        <is>
          <t>Attending</t>
        </is>
      </c>
      <c r="N32" s="5" t="inlineStr">
        <is>
          <t>Hitos (costos)</t>
        </is>
      </c>
      <c r="O32" s="5" t="inlineStr">
        <is>
          <t>Aporte 403b</t>
        </is>
      </c>
      <c r="P32" s="5" t="inlineStr">
        <is>
          <t>Match empleador</t>
        </is>
      </c>
      <c r="Q32" s="5" t="inlineStr">
        <is>
          <t>S-corp neto</t>
        </is>
      </c>
      <c r="R32" s="5" t="inlineStr">
        <is>
          <t>Salario S-corp</t>
        </is>
      </c>
      <c r="S32" s="5" t="inlineStr">
        <is>
          <t>FICA patronal S-corp</t>
        </is>
      </c>
      <c r="T32" s="5" t="inlineStr">
        <is>
          <t>Distribución S-corp</t>
        </is>
      </c>
      <c r="U32" s="5" t="inlineStr">
        <is>
          <t>Salarios totales</t>
        </is>
      </c>
      <c r="V32" s="5" t="inlineStr">
        <is>
          <t>Base autoempleo</t>
        </is>
      </c>
      <c r="W32" s="5" t="inlineStr">
        <is>
          <t>Impuesto autoempleo</t>
        </is>
      </c>
      <c r="X32" s="5" t="inlineStr">
        <is>
          <t>FICA empleado</t>
        </is>
      </c>
      <c r="Y32" s="5" t="inlineStr">
        <is>
          <t>AGI</t>
        </is>
      </c>
      <c r="Z32" s="5" t="inlineStr">
        <is>
          <t>Ingreso gravable antes QBI</t>
        </is>
      </c>
      <c r="AA32" s="5" t="inlineStr">
        <is>
          <t>Deducción QBI</t>
        </is>
      </c>
      <c r="AB32" s="5" t="inlineStr">
        <is>
          <t>Ingreso gravable</t>
        </is>
      </c>
      <c r="AC32" s="5" t="inlineStr">
        <is>
          <t>Impuesto federal</t>
        </is>
      </c>
      <c r="AD32" s="5" t="inlineStr">
        <is>
          <t>Gravable NY</t>
        </is>
      </c>
      <c r="AE32" s="5" t="inlineStr">
        <is>
          <t>Impuesto estatal/local</t>
        </is>
      </c>
      <c r="AF32" s="5" t="inlineStr">
        <is>
          <t>Impuestos totales</t>
        </is>
      </c>
      <c r="AG32" s="5" t="inlineStr">
        <is>
          <t>Ingreso personal bruto en efectivo</t>
        </is>
      </c>
      <c r="AH32" s="5" t="inlineStr">
        <is>
          <t>Efectivo neto (tras impuestos y 403b)</t>
        </is>
      </c>
      <c r="AI32" s="5" t="inlineStr">
        <is>
          <t>Ingreso bruto</t>
        </is>
      </c>
      <c r="AJ32" s="5" t="inlineStr">
        <is>
          <t>Gastos de vida</t>
        </is>
      </c>
      <c r="AK32" s="5" t="inlineStr">
        <is>
          <t>Ahorro líquido inicio</t>
        </is>
      </c>
      <c r="AL32" s="5" t="inlineStr">
        <is>
          <t>Ya era dueño</t>
        </is>
      </c>
      <c r="AM32" s="5" t="inlineStr">
        <is>
          <t>Precio base 2026</t>
        </is>
      </c>
      <c r="AN32" s="5" t="inlineStr">
        <is>
          <t>Precio en el año</t>
        </is>
      </c>
      <c r="AO32" s="5" t="inlineStr">
        <is>
          <t>Physician loan</t>
        </is>
      </c>
      <c r="AP32" s="5" t="inlineStr">
        <is>
          <t>% enganche</t>
        </is>
      </c>
      <c r="AQ32" s="5" t="inlineStr">
        <is>
          <t>Préstamo</t>
        </is>
      </c>
      <c r="AR32" s="5" t="inlineStr">
        <is>
          <t>Cuota P&amp;I mensual</t>
        </is>
      </c>
      <c r="AS32" s="5" t="inlineStr">
        <is>
          <t>Unidades rentadas</t>
        </is>
      </c>
      <c r="AT32" s="5" t="inlineStr">
        <is>
          <t>Renta mensual (cotización)</t>
        </is>
      </c>
      <c r="AU32" s="5" t="inlineStr">
        <is>
          <t>PITI mensual</t>
        </is>
      </c>
      <c r="AV32" s="5" t="inlineStr">
        <is>
          <t>Efectivo requerido</t>
        </is>
      </c>
      <c r="AW32" s="5" t="inlineStr">
        <is>
          <t>Otras deudas mensuales</t>
        </is>
      </c>
      <c r="AX32" s="5" t="inlineStr">
        <is>
          <t>Crédito aporte familiar</t>
        </is>
      </c>
      <c r="AY32" s="5" t="inlineStr">
        <is>
          <t>Carga mensual para DTI</t>
        </is>
      </c>
      <c r="AZ32" s="5" t="inlineStr">
        <is>
          <t>Ingreso mensual para DTI</t>
        </is>
      </c>
      <c r="BA32" s="5" t="inlineStr">
        <is>
          <t>Compra este año</t>
        </is>
      </c>
      <c r="BB32" s="5" t="inlineStr">
        <is>
          <t>Dueño</t>
        </is>
      </c>
      <c r="BC32" s="5" t="inlineStr">
        <is>
          <t>Año de compra</t>
        </is>
      </c>
      <c r="BD32" s="5" t="inlineStr">
        <is>
          <t>Ahorro tras enganche</t>
        </is>
      </c>
      <c r="BE32" s="5" t="inlineStr">
        <is>
          <t>Precio de compra</t>
        </is>
      </c>
      <c r="BF32" s="5" t="inlineStr">
        <is>
          <t>Cuota hipoteca</t>
        </is>
      </c>
      <c r="BG32" s="5" t="inlineStr">
        <is>
          <t>PMI activo (antes)</t>
        </is>
      </c>
      <c r="BH32" s="5" t="inlineStr">
        <is>
          <t>Config. con ADU</t>
        </is>
      </c>
      <c r="BI32" s="5" t="inlineStr">
        <is>
          <t>Construye ADU</t>
        </is>
      </c>
      <c r="BJ32" s="5" t="inlineStr">
        <is>
          <t>ADU construido</t>
        </is>
      </c>
      <c r="BK32" s="5" t="inlineStr">
        <is>
          <t>Cuota ADU</t>
        </is>
      </c>
      <c r="BL32" s="5" t="inlineStr">
        <is>
          <t>Valor vivienda inicio</t>
        </is>
      </c>
      <c r="BM32" s="5" t="inlineStr">
        <is>
          <t>Hipoteca inicio</t>
        </is>
      </c>
      <c r="BN32" s="5" t="inlineStr">
        <is>
          <t>Hipoteca tras 12 pagos</t>
        </is>
      </c>
      <c r="BO32" s="5" t="inlineStr">
        <is>
          <t>Pagado hipoteca</t>
        </is>
      </c>
      <c r="BP32" s="5" t="inlineStr">
        <is>
          <t>Hipoteca tras pagos</t>
        </is>
      </c>
      <c r="BQ32" s="5" t="inlineStr">
        <is>
          <t>ADU inicio</t>
        </is>
      </c>
      <c r="BR32" s="5" t="inlineStr">
        <is>
          <t>ADU tras 12 pagos</t>
        </is>
      </c>
      <c r="BS32" s="5" t="inlineStr">
        <is>
          <t>Pagado ADU</t>
        </is>
      </c>
      <c r="BT32" s="5" t="inlineStr">
        <is>
          <t>ADU tras pagos</t>
        </is>
      </c>
      <c r="BU32" s="5" t="inlineStr">
        <is>
          <t>Seguro</t>
        </is>
      </c>
      <c r="BV32" s="5" t="inlineStr">
        <is>
          <t>Impuesto predial</t>
        </is>
      </c>
      <c r="BW32" s="5" t="inlineStr">
        <is>
          <t>Mantenimiento</t>
        </is>
      </c>
      <c r="BX32" s="5" t="inlineStr">
        <is>
          <t>PMI</t>
        </is>
      </c>
      <c r="BY32" s="5" t="inlineStr">
        <is>
          <t>PMI activo (después)</t>
        </is>
      </c>
      <c r="BZ32" s="5" t="inlineStr">
        <is>
          <t>Renta recibida</t>
        </is>
      </c>
      <c r="CA32" s="5" t="inlineStr">
        <is>
          <t>Costo de vivienda</t>
        </is>
      </c>
      <c r="CB32" s="5" t="inlineStr">
        <is>
          <t>Aporte familiar</t>
        </is>
      </c>
      <c r="CC32" s="5" t="inlineStr">
        <is>
          <t>IRS pagado</t>
        </is>
      </c>
      <c r="CD32" s="5" t="inlineStr">
        <is>
          <t>IRS saldo</t>
        </is>
      </c>
      <c r="CE32" s="5" t="inlineStr">
        <is>
          <t>Federal inicio</t>
        </is>
      </c>
      <c r="CF32" s="5" t="inlineStr">
        <is>
          <t>Tasa federal</t>
        </is>
      </c>
      <c r="CG32" s="5" t="inlineStr">
        <is>
          <t>Años repago fed.</t>
        </is>
      </c>
      <c r="CH32" s="5" t="inlineStr">
        <is>
          <t>En estudios (≥50%)</t>
        </is>
      </c>
      <c r="CI32" s="5" t="inlineStr">
        <is>
          <t>Usa RAP/PSLF</t>
        </is>
      </c>
      <c r="CJ32" s="5" t="inlineStr">
        <is>
          <t>Interés federal</t>
        </is>
      </c>
      <c r="CK32" s="5" t="inlineStr">
        <is>
          <t>Pago RAP</t>
        </is>
      </c>
      <c r="CL32" s="5" t="inlineStr">
        <is>
          <t>Pago federal</t>
        </is>
      </c>
      <c r="CM32" s="5" t="inlineStr">
        <is>
          <t>Federal tras pago</t>
        </is>
      </c>
      <c r="CN32" s="5" t="inlineStr">
        <is>
          <t>Meses PSLF</t>
        </is>
      </c>
      <c r="CO32" s="5" t="inlineStr">
        <is>
          <t>Condonado PSLF</t>
        </is>
      </c>
      <c r="CP32" s="5" t="inlineStr">
        <is>
          <t>Federal tras PSLF</t>
        </is>
      </c>
      <c r="CQ32" s="5" t="inlineStr">
        <is>
          <t>Años repago (tras pago)</t>
        </is>
      </c>
      <c r="CR32" s="5" t="inlineStr">
        <is>
          <t>Privado inicio</t>
        </is>
      </c>
      <c r="CS32" s="5" t="inlineStr">
        <is>
          <t>Tasa privada</t>
        </is>
      </c>
      <c r="CT32" s="5" t="inlineStr">
        <is>
          <t>Años repago priv.</t>
        </is>
      </c>
      <c r="CU32" s="5" t="inlineStr">
        <is>
          <t>Pago privado</t>
        </is>
      </c>
      <c r="CV32" s="5" t="inlineStr">
        <is>
          <t>Privado tras pago</t>
        </is>
      </c>
      <c r="CW32" s="5" t="inlineStr">
        <is>
          <t>Años repago priv. (tras)</t>
        </is>
      </c>
      <c r="CX32" s="5" t="inlineStr">
        <is>
          <t>Consumo tras interés</t>
        </is>
      </c>
      <c r="CY32" s="5" t="inlineStr">
        <is>
          <t>Gasto extra travel</t>
        </is>
      </c>
      <c r="CZ32" s="5" t="inlineStr">
        <is>
          <t>Salidas</t>
        </is>
      </c>
      <c r="DA32" s="5" t="inlineStr">
        <is>
          <t>Excedente (déficit)</t>
        </is>
      </c>
      <c r="DB32" s="5" t="inlineStr">
        <is>
          <t>Flujo acumulado</t>
        </is>
      </c>
      <c r="DC32" s="5" t="inlineStr">
        <is>
          <t>Meta enganche</t>
        </is>
      </c>
      <c r="DD32" s="5" t="inlineStr">
        <is>
          <t>Retorno del ahorro líquido</t>
        </is>
      </c>
      <c r="DE32" s="5" t="inlineStr">
        <is>
          <t>Pago deuda consumo</t>
        </is>
      </c>
      <c r="DF32" s="5" t="inlineStr">
        <is>
          <t>Gasto discrecional</t>
        </is>
      </c>
      <c r="DG32" s="5" t="inlineStr">
        <is>
          <t>Ahorro</t>
        </is>
      </c>
      <c r="DH32" s="5" t="inlineStr">
        <is>
          <t>Roth</t>
        </is>
      </c>
      <c r="DI32" s="5" t="inlineStr">
        <is>
          <t>Prepago</t>
        </is>
      </c>
      <c r="DJ32" s="5" t="inlineStr">
        <is>
          <t>Prepago a hipoteca</t>
        </is>
      </c>
      <c r="DK32" s="5" t="inlineStr">
        <is>
          <t>Retiro del ahorro</t>
        </is>
      </c>
      <c r="DL32" s="5" t="inlineStr">
        <is>
          <t>Déficit por financiar</t>
        </is>
      </c>
      <c r="DM32" s="5" t="inlineStr">
        <is>
          <t>Federal acumulado (antes)</t>
        </is>
      </c>
      <c r="DN32" s="5" t="inlineStr">
        <is>
          <t>Nuevo préstamo federal</t>
        </is>
      </c>
      <c r="DO32" s="5" t="inlineStr">
        <is>
          <t>Nuevo préstamo privado</t>
        </is>
      </c>
      <c r="DP32" s="5" t="inlineStr">
        <is>
          <t>Nueva deuda consumo</t>
        </is>
      </c>
      <c r="DQ32" s="5" t="inlineStr">
        <is>
          <t>Flujo al ahorro líquido</t>
        </is>
      </c>
      <c r="DR32" s="5" t="inlineStr">
        <is>
          <t>Ahorro líquido fin</t>
        </is>
      </c>
      <c r="DS32" s="5" t="inlineStr">
        <is>
          <t>Retiro fin</t>
        </is>
      </c>
      <c r="DT32" s="5" t="inlineStr">
        <is>
          <t>Valor vivienda fin</t>
        </is>
      </c>
      <c r="DU32" s="5" t="inlineStr">
        <is>
          <t>Hipoteca fin</t>
        </is>
      </c>
      <c r="DV32" s="5" t="inlineStr">
        <is>
          <t>ADU fin</t>
        </is>
      </c>
      <c r="DW32" s="5" t="inlineStr">
        <is>
          <t>Federal fin</t>
        </is>
      </c>
      <c r="DX32" s="5" t="inlineStr">
        <is>
          <t>Tasa federal fin</t>
        </is>
      </c>
      <c r="DY32" s="5" t="inlineStr">
        <is>
          <t>Años repago fed. fin</t>
        </is>
      </c>
      <c r="DZ32" s="5" t="inlineStr">
        <is>
          <t>Federal acumulado</t>
        </is>
      </c>
      <c r="EA32" s="5" t="inlineStr">
        <is>
          <t>Privado fin</t>
        </is>
      </c>
      <c r="EB32" s="5" t="inlineStr">
        <is>
          <t>Tasa privada fin</t>
        </is>
      </c>
      <c r="EC32" s="5" t="inlineStr">
        <is>
          <t>Años repago priv. fin</t>
        </is>
      </c>
      <c r="ED32" s="5" t="inlineStr">
        <is>
          <t>Deuda consumo fin</t>
        </is>
      </c>
      <c r="EE32" s="5" t="inlineStr">
        <is>
          <t>Año vivienda pagada</t>
        </is>
      </c>
      <c r="EF32" s="5" t="inlineStr">
        <is>
          <t>Deuda total</t>
        </is>
      </c>
      <c r="EG32" s="9" t="inlineStr">
        <is>
          <t>PATRIMONIO NETO</t>
        </is>
      </c>
      <c r="EH32" s="5" t="inlineStr">
        <is>
          <t>Patrimonio (dólares 2026)</t>
        </is>
      </c>
    </row>
    <row r="33">
      <c r="A33" t="n">
        <v>2027</v>
      </c>
      <c r="B33" t="n">
        <v>0</v>
      </c>
      <c r="C33" s="7">
        <f>(1+g_inf)^(A33-2026)</f>
        <v/>
      </c>
      <c r="D33" s="7">
        <f>SUMPRODUCT($T$5:$T$29,$E$5:$E$29*(1+$F$5:$F$29)^(A33-2026)*$G$5:$G$29*$H$5:$H$29*(1-$N$5:$N$29*$O$5:$O$29))*g_salMult+SUMPRODUCT(($B$5:$B$29&gt;=A33)*($B$5:$B$29&lt;A33+1)*$I$5:$I$29)*g_salMult</f>
        <v/>
      </c>
      <c r="E33" s="7">
        <f>SUMPRODUCT($T$5:$T$29,$E$5:$E$29*(1+$F$5:$F$29)^(A33-2026)*$G$5:$G$29*$H$5:$H$29*$M$5:$M$29)*g_salMult</f>
        <v/>
      </c>
      <c r="F33" s="7">
        <f>SUMPRODUCT($T$5:$T$29,$E$5:$E$29*(1+$F$5:$F$29)^(A33-2026)*$G$5:$G$29*$H$5:$H$29*$N$5:$N$29*$O$5:$O$29)*g_salMult</f>
        <v/>
      </c>
      <c r="G33" s="7">
        <f>SUMPRODUCT($T$5:$T$29,$P$5:$P$29*(1+$F$5:$F$29)^(A33-2026))</f>
        <v/>
      </c>
      <c r="H33" s="7">
        <f>SUMPRODUCT($T$5:$T$29,$Q$5:$Q$29*(1+$F$5:$F$29)^(A33-2026))+IF(personal_llcActivo=1,personal_llcNeto*(1+personal_llcCrecimiento)^0,0)</f>
        <v/>
      </c>
      <c r="I33" s="7">
        <f>SUMPRODUCT($T$5:$T$29,$J$5:$J$29/($C$5:$C$29-$B$5:$B$29+($C$5:$C$29=$B$5:$B$29)))*C33</f>
        <v/>
      </c>
      <c r="J33" s="7">
        <f>SUMPRODUCT($T$5:$T$29,$K$5:$K$29)</f>
        <v/>
      </c>
      <c r="K33" s="7">
        <f>SUMPRODUCT($T$5:$T$29,$L$5:$L$29)</f>
        <v/>
      </c>
      <c r="L33" s="7">
        <f>SUMPRODUCT($T$5:$T$29,$N$5:$N$29)</f>
        <v/>
      </c>
      <c r="M33" s="7">
        <f>IF(SUMPRODUCT($T$5:$T$29,$R$5:$R$29)&gt;0,1,0)</f>
        <v/>
      </c>
      <c r="N33" s="7">
        <f>SUMPRODUCT(($AO$5:$AO$24&gt;=A33)*($AO$5:$AO$24&lt;A33+1)*$AP$5:$AP$24)*C33+IF(0=0,IF(sel_loc&lt;&gt;"miami",personal_costoMudanzaInicial,0),0)</f>
        <v/>
      </c>
      <c r="O33" s="7">
        <f>MIN(personal_aporte403bPct*D33,retiro_limite403b*C33)</f>
        <v/>
      </c>
      <c r="P33" s="7">
        <f>MIN(personal_aporte403bPct,personal_match403bPct)*E33</f>
        <v/>
      </c>
      <c r="Q33" s="7">
        <f>IF(G33&gt;0,MAX(0,G33-impuestos_scorpCostoAnual*C33),0)</f>
        <v/>
      </c>
      <c r="R33" s="7">
        <f>Q33*impuestos_scorpSalarioPct/(1+impuestos_ssTasa+impuestos_medicareTasa)</f>
        <v/>
      </c>
      <c r="S33" s="7">
        <f>impuestos_ssTasa*MIN(R33,MAX(0,impuestos_ssTope*C33-D33))+impuestos_medicareTasa*R33</f>
        <v/>
      </c>
      <c r="T33" s="7">
        <f>Q33-R33-S33</f>
        <v/>
      </c>
      <c r="U33" s="7">
        <f>D33+R33</f>
        <v/>
      </c>
      <c r="V33" s="7">
        <f>H33*0.9235</f>
        <v/>
      </c>
      <c r="W33" s="7">
        <f>IF(H33&gt;0,2*impuestos_ssTasa*MIN(V33,MAX(0,impuestos_ssTope*C33-U33))+2*impuestos_medicareTasa*V33,0)</f>
        <v/>
      </c>
      <c r="X33" s="7">
        <f>impuestos_ssTasa*MIN(U33,impuestos_ssTope*C33)+impuestos_medicareTasa*U33+impuestos_medicareAdicional*MAX(0,U33+H33*0.9235-impuestos_medicareUmbral)</f>
        <v/>
      </c>
      <c r="Y33" s="7">
        <f>MAX(0,D33-O33+R33+T33+H33-W33/2)</f>
        <v/>
      </c>
      <c r="Z33" s="7">
        <f>MAX(0,Y33-impuestos_deduccionEstandar*C33)</f>
        <v/>
      </c>
      <c r="AA33" s="7">
        <f>MIN(0.2*MAX(0,T33+H33-W33/2)*MAX(0,MIN(1,1-(Z33-impuestos_qbiUmbral*C33)/(impuestos_qbiRango*C33))),0.2*Z33)</f>
        <v/>
      </c>
      <c r="AB33" s="7">
        <f>MAX(0,Z33-AA33)</f>
        <v/>
      </c>
      <c r="AC33" s="7">
        <f>SUMPRODUCT((AB33&gt;tb_federalBrackets_lo*C33)*(AB33-tb_federalBrackets_lo*C33)*tb_federalBrackets_dr)</f>
        <v/>
      </c>
      <c r="AD33" s="7">
        <f>MAX(0,Y33-impuestos_nyDeduccion*C33)</f>
        <v/>
      </c>
      <c r="AE33" s="7">
        <f>CHOOSE(loc_taxcode,0,impuestos_ohTasa*MAX(0,Y33-impuestos_ohExento*C33)+impuestos_ohMunicipal*U33,SUMPRODUCT((AD33&gt;tb_nyBrackets_lo*C33)*(AD33-tb_nyBrackets_lo*C33)*tb_nyBrackets_dr)+loc_nyc*SUMPRODUCT((AD33&gt;tb_nycBrackets_lo*C33)*(AD33-tb_nycBrackets_lo*C33)*tb_nycBrackets_dr))</f>
        <v/>
      </c>
      <c r="AF33" s="7">
        <f>AC33+AE33+X33+W33</f>
        <v/>
      </c>
      <c r="AG33" s="7">
        <f>D33+F33+R33+T33+H33</f>
        <v/>
      </c>
      <c r="AH33" s="7">
        <f>AG33-AF33-O33</f>
        <v/>
      </c>
      <c r="AI33" s="7">
        <f>D33+F33+G33+H33</f>
        <v/>
      </c>
      <c r="AJ33" s="7">
        <f>loc_gastosVida*C33*g_gastos</f>
        <v/>
      </c>
      <c r="AK33" s="7">
        <f>IF(0=0,personal_liquidoInicial,DR32)</f>
        <v/>
      </c>
      <c r="AL33" s="7">
        <f>IF(0=0,0,BB32)</f>
        <v/>
      </c>
      <c r="AM33" s="7">
        <f>CHOOSE(sel_cfgIdx,loc_precio_duplex,loc_precio_inlaw,loc_precio_dosCasas,loc_precio_casaAdu,loc_precio_multi)</f>
        <v/>
      </c>
      <c r="AN33" s="7">
        <f>AM33*(1+g_appr)^(A33-2026)</f>
        <v/>
      </c>
      <c r="AO33" s="7">
        <f>IF(AND(M33=1,vivienda_prestamoMedico=1),1,0)</f>
        <v/>
      </c>
      <c r="AP33" s="7">
        <f>IF(AO33=1,0.05,vivienda_enganchePct)</f>
        <v/>
      </c>
      <c r="AQ33" s="7">
        <f>AN33*(1-AP33)</f>
        <v/>
      </c>
      <c r="AR33" s="7">
        <f>PMT(g_mortRate/12,vivienda_plazoHipoteca*12,-AQ33)</f>
        <v/>
      </c>
      <c r="AS33" s="7">
        <f>INDEX(cfg_units,sel_cfgIdx)</f>
        <v/>
      </c>
      <c r="AT33" s="7">
        <f>AS33*loc_rentaUnidad*(1+g_inf)^(A33-2026)*(1-vivienda_vacancia)</f>
        <v/>
      </c>
      <c r="AU33" s="7">
        <f>AR33+AN33*loc_impuestoPropPct/12+AM33*loc_seguroPct*(1+vivienda_inflacionSeguro)^(A33-2026)/12+IF(AND(AO33=0,AP33&lt;0.2),AQ33*vivienda_pmiTasa/12,0)</f>
        <v/>
      </c>
      <c r="AV33" s="7">
        <f>AN33*AP33+AN33*vivienda_cierrePct+general_reservaMeses/12*AJ33</f>
        <v/>
      </c>
      <c r="AW33" s="7">
        <f>(IF(0=0,MIN(personal_irsSaldo,personal_irsPagoMensual*12),MIN(CD32,personal_irsPagoMensual*12))+IF(CE33&gt;0,PMT(CF33,MAX(1,prestamos_plazoAnios-CG33),-CE33),0)+IF(CR33&gt;0,PMT(CS33,MAX(1,prestamos_plazoAnios-CT33),-CR33),0))/12</f>
        <v/>
      </c>
      <c r="AX33" s="7">
        <f>IF(OR(sel_cfg="duplex",sel_cfg="multi",sel_cfg="dosCasas"),0.75*personal_aporteFamiliaMensual,0)</f>
        <v/>
      </c>
      <c r="AY33" s="7">
        <f>AU33-0.75*AT33-AX33+AW33</f>
        <v/>
      </c>
      <c r="AZ33" s="7">
        <f>(D33+G33+H33+0.5*F33)/12</f>
        <v/>
      </c>
      <c r="BA33" s="7">
        <f>IF(AND(AL33=0,A33&gt;=vivienda_anioMinCompra,J33&lt;0.5,AI33&gt;0,AK33&gt;=AV33,AY33&lt;=vivienda_dtiMax*AZ33),1,0)</f>
        <v/>
      </c>
      <c r="BB33" s="7">
        <f>MAX(AL33,BA33)</f>
        <v/>
      </c>
      <c r="BC33" s="7">
        <f>IF(BA33=1,A33,IF(0=0,"",BC32))</f>
        <v/>
      </c>
      <c r="BD33" s="7">
        <f>AK33-IF(BA33=1,AN33*AP33+AN33*vivienda_cierrePct,0)</f>
        <v/>
      </c>
      <c r="BE33" s="7">
        <f>IF(BA33=1,AN33,IF(0=0,0,BE32))</f>
        <v/>
      </c>
      <c r="BF33" s="7">
        <f>IF(BA33=1,AR33,IF(0=0,0,BF32))</f>
        <v/>
      </c>
      <c r="BG33" s="7">
        <f>IF(BA33=1,IF(AND(AO33=0,AP33&lt;0.2),1,0),IF(0=0,0,BY32))</f>
        <v/>
      </c>
      <c r="BH33" s="7">
        <f>IF(sel_cfg="casaAdu",1,0)</f>
        <v/>
      </c>
      <c r="BI33" s="7">
        <f>IF(AND(BB33=1,BH33=1,IF(0=0,0,BJ32)=0,A33&gt;=IF(BC33="",9999,BC33)+vivienda_aduRetrasoAnios),1,0)</f>
        <v/>
      </c>
      <c r="BJ33" s="7">
        <f>MAX(IF(0=0,0,BJ32),BI33)</f>
        <v/>
      </c>
      <c r="BK33" s="7">
        <f>IF(BI33=1,PMT((g_mortRate+0.005)/12,180,-loc_precio_aduCosto*C33),IF(0=0,0,BK32))</f>
        <v/>
      </c>
      <c r="BL33" s="7">
        <f>IF(BA33=1,AN33,IF(0=0,0,DT32))+IF(BI33=1,loc_precio_aduCosto*C33,0)</f>
        <v/>
      </c>
      <c r="BM33" s="7">
        <f>IF(BA33=1,AQ33,IF(0=0,0,DU32))</f>
        <v/>
      </c>
      <c r="BN33" s="7">
        <f>IF(BM33&lt;=0,0,FV(g_mortRate/12,12,BF33,-BM33))</f>
        <v/>
      </c>
      <c r="BO33" s="7">
        <f>IF(BM33&lt;=0,0,12*BF33+MIN(0,BN33))</f>
        <v/>
      </c>
      <c r="BP33" s="7">
        <f>MAX(0,BN33)</f>
        <v/>
      </c>
      <c r="BQ33" s="7">
        <f>IF(BI33=1,loc_precio_aduCosto*C33,IF(0=0,0,DV32))</f>
        <v/>
      </c>
      <c r="BR33" s="7">
        <f>IF(BQ33&lt;=0,0,FV((g_mortRate+0.005)/12,12,BK33,-BQ33))</f>
        <v/>
      </c>
      <c r="BS33" s="7">
        <f>IF(BQ33&lt;=0,0,12*BK33+MIN(0,BR33))</f>
        <v/>
      </c>
      <c r="BT33" s="7">
        <f>MAX(0,BR33)</f>
        <v/>
      </c>
      <c r="BU33" s="7">
        <f>IF(BB33=1,AM33*loc_seguroPct*(1+vivienda_inflacionSeguro)^(A33-2026)*IF(BJ33=1,1+loc_precio_aduCosto/AM33,1),0)</f>
        <v/>
      </c>
      <c r="BV33" s="7">
        <f>BL33*loc_impuestoPropPct</f>
        <v/>
      </c>
      <c r="BW33" s="7">
        <f>BL33*vivienda_mantenimientoPct</f>
        <v/>
      </c>
      <c r="BX33" s="7">
        <f>IF(AND(BG33=1,BP33&gt;0.8*BE33),BE33*(1-vivienda_enganchePct)*vivienda_pmiTasa,0)</f>
        <v/>
      </c>
      <c r="BY33" s="7">
        <f>IF(AND(BG33=1,BP33&gt;0.8*BE33),1,0)</f>
        <v/>
      </c>
      <c r="BZ33" s="7">
        <f>IF(BB33=1,AS33*loc_rentaUnidad*12*C33*(1-vivienda_vacancia)*(1-vivienda_gestionPct),0)</f>
        <v/>
      </c>
      <c r="CA33" s="7">
        <f>IF(BB33=1,BO33+BS33+BU33+BV33+BW33+BX33,loc_rentaMensual*12*C33)</f>
        <v/>
      </c>
      <c r="CB33" s="7">
        <f>IF(BB33=1,personal_aporteFamiliaMensual*12,0)</f>
        <v/>
      </c>
      <c r="CC33" s="7">
        <f>MIN(IF(0=0,personal_irsSaldo,CD32),personal_irsPagoMensual*12)</f>
        <v/>
      </c>
      <c r="CD33" s="7">
        <f>IF(0=0,personal_irsSaldo,CD32)-CC33</f>
        <v/>
      </c>
      <c r="CE33" s="7">
        <f>IF(0=0,IF(personal_deudaEsFederal=1,personal_deudaEstudiantil,0),DW32)</f>
        <v/>
      </c>
      <c r="CF33" s="7">
        <f>IF(0=0,personal_tasaDeudaEstudiantil,DX32)</f>
        <v/>
      </c>
      <c r="CG33" s="7">
        <f>IF(0=0,0,DY32)</f>
        <v/>
      </c>
      <c r="CH33" s="7">
        <f>IF(J33&gt;=0.5,1,0)</f>
        <v/>
      </c>
      <c r="CI33" s="7">
        <f>IF(AND(CH33=0,prestamos_pslfActivo=1,K33&gt;=0.5,CE33&gt;0),1,0)</f>
        <v/>
      </c>
      <c r="CJ33" s="7">
        <f>CE33*CF33</f>
        <v/>
      </c>
      <c r="CK33" s="7">
        <f>MAX(prestamos_rapPagoMinimoAnual,IF(Y33&lt;10000,0,MIN(0.1,INT(Y33/10000)/100))*Y33)</f>
        <v/>
      </c>
      <c r="CL33" s="7">
        <f>IF(CE33&lt;=0,0,IF(CH33=1,0,IF(CI33=1,MIN(CE33+CJ33,CK33),PMT(CF33,MAX(1,prestamos_plazoAnios-CG33),-CE33))))</f>
        <v/>
      </c>
      <c r="CM33" s="7">
        <f>IF(CE33&lt;=0,0,IF(CH33=1,CE33+CJ33,IF(CI33=1,MAX(0,CE33-MAX(CL33-CJ33,MIN(600,CL33))),MAX(0,CE33*(1+CF33)-CL33))))</f>
        <v/>
      </c>
      <c r="CN33" s="7">
        <f>IF(0=0,0,CN32)+IF(CI33=1,12*MIN(1,K33),0)</f>
        <v/>
      </c>
      <c r="CO33" s="7">
        <f>IF(AND(CI33=1,CN33&gt;=prestamos_pslfPagos,CM33&gt;0),CM33,0)</f>
        <v/>
      </c>
      <c r="CP33" s="7">
        <f>CM33-CO33</f>
        <v/>
      </c>
      <c r="CQ33" s="7">
        <f>IF(AND(CE33&gt;0,CH33=0,CI33=0),CG33+1,CG33)</f>
        <v/>
      </c>
      <c r="CR33" s="7">
        <f>IF(0=0,IF(personal_deudaEsFederal=1,0,personal_deudaEstudiantil),EA32)</f>
        <v/>
      </c>
      <c r="CS33" s="7">
        <f>IF(0=0,IF(personal_deudaEsFederal=1,prestamos_tasaPrivada,personal_tasaDeudaEstudiantil),EB32)</f>
        <v/>
      </c>
      <c r="CT33" s="7">
        <f>IF(0=0,0,EC32)</f>
        <v/>
      </c>
      <c r="CU33" s="7">
        <f>IF(OR(CR33&lt;=0,CH33=1),0,PMT(CS33,MAX(1,prestamos_plazoAnios-CT33),-CR33))</f>
        <v/>
      </c>
      <c r="CV33" s="7">
        <f>IF(CR33&lt;=0,0,IF(CH33=1,CR33*(1+CS33),MAX(0,CR33*(1+CS33)-CU33)))</f>
        <v/>
      </c>
      <c r="CW33" s="7">
        <f>IF(AND(CR33&gt;0,CH33=0),CT33+1,CT33)</f>
        <v/>
      </c>
      <c r="CX33" s="7">
        <f>IF(0=0,0,ED32)*(1+general_tasaDeudaConsumo)</f>
        <v/>
      </c>
      <c r="CY33" s="7">
        <f>L33*12*tiempos_travelGastoExtraMes*C33</f>
        <v/>
      </c>
      <c r="CZ33" s="7">
        <f>AJ33+CY33+CA33+CC33+CL33+CU33+I33+N33-BZ33-CB33</f>
        <v/>
      </c>
      <c r="DA33" s="7">
        <f>AH33-CZ33</f>
        <v/>
      </c>
      <c r="DB33" s="7">
        <f>IF(0=0,0,DB32)+DA33</f>
        <v/>
      </c>
      <c r="DC33" s="7">
        <f>AN33*vivienda_enganchePct+AN33*vivienda_cierrePct+general_reservaMeses/12*AJ33</f>
        <v/>
      </c>
      <c r="DD33" s="7">
        <f>IF(BB33=1,g_ret,IF(BD33&gt;0,MIN(1,DC33/BD33),1)*g_cash+(1-IF(BD33&gt;0,MIN(1,DC33/BD33),1))*g_ret)</f>
        <v/>
      </c>
      <c r="DE33" s="7">
        <f>IF(DA33&gt;=0,MIN(CX33,DA33),0)</f>
        <v/>
      </c>
      <c r="DF33" s="7">
        <f>IF(DA33&gt;=0,(1-general_tasaAhorro)*(DA33-DE33),0)</f>
        <v/>
      </c>
      <c r="DG33" s="7">
        <f>IF(DA33&gt;=0,DA33-DE33-DF33,0)</f>
        <v/>
      </c>
      <c r="DH33" s="7">
        <f>MIN(personal_rothAnual,DG33)</f>
        <v/>
      </c>
      <c r="DI33" s="7">
        <f>IF(AND(DA33&gt;=0,BB33=1,BP33+BT33&gt;0),MIN(vivienda_prepagoPct*(DG33-DH33),BP33+BT33),0)</f>
        <v/>
      </c>
      <c r="DJ33" s="7">
        <f>MIN(DI33,BP33)</f>
        <v/>
      </c>
      <c r="DK33" s="7">
        <f>IF(DA33&lt;0,MIN(MAX(0,BD33),-DA33),0)</f>
        <v/>
      </c>
      <c r="DL33" s="7">
        <f>IF(DA33&lt;0,-DA33-DK33,0)</f>
        <v/>
      </c>
      <c r="DM33" s="7">
        <f>IF(0=0,0,DZ32)</f>
        <v/>
      </c>
      <c r="DN33" s="7">
        <f>IF(AND(DL33&gt;0,J33&gt;0),MIN(DL33,MIN(prestamos_topeAnualPosgrado*MIN(1,J33),MAX(0,prestamos_topeTotalPosgrado-DM33))),0)</f>
        <v/>
      </c>
      <c r="DO33" s="7">
        <f>IF(AND(DL33&gt;0,J33&gt;0),DL33-DN33,0)</f>
        <v/>
      </c>
      <c r="DP33" s="7">
        <f>IF(AND(DL33&gt;0,J33&lt;=0),DL33,0)</f>
        <v/>
      </c>
      <c r="DQ33" s="7">
        <f>IF(DA33&gt;=0,DG33-DH33-DI33,-DK33)</f>
        <v/>
      </c>
      <c r="DR33" s="7">
        <f>BD33*(1+DD33)+DQ33*(1+DD33/2)</f>
        <v/>
      </c>
      <c r="DS33" s="7">
        <f>IF(0=0,personal_retiroInicial,DS32)*(1+g_ret)+(O33+P33+DH33)*(1+g_ret/2)</f>
        <v/>
      </c>
      <c r="DT33" s="7">
        <f>IF(BB33=1,BL33*(1+g_appr),0)</f>
        <v/>
      </c>
      <c r="DU33" s="7">
        <f>BP33-DJ33</f>
        <v/>
      </c>
      <c r="DV33" s="7">
        <f>BT33-(DI33-DJ33)</f>
        <v/>
      </c>
      <c r="DW33" s="7">
        <f>CP33+DN33</f>
        <v/>
      </c>
      <c r="DX33" s="7">
        <f>IF(DN33&gt;0,(CP33*CF33+DN33*prestamos_tasaFederalPosgrado)/(CP33+DN33),CF33)</f>
        <v/>
      </c>
      <c r="DY33" s="7">
        <f>IF(DN33&gt;0,0,CQ33)</f>
        <v/>
      </c>
      <c r="DZ33" s="7">
        <f>DM33+DN33</f>
        <v/>
      </c>
      <c r="EA33" s="7">
        <f>CV33+DO33</f>
        <v/>
      </c>
      <c r="EB33" s="7">
        <f>IF(DO33&gt;0,(CV33*CS33+DO33*prestamos_tasaPrivada)/(CV33+DO33),CS33)</f>
        <v/>
      </c>
      <c r="EC33" s="7">
        <f>IF(DO33&gt;0,0,CW33)</f>
        <v/>
      </c>
      <c r="ED33" s="7">
        <f>CX33-DE33+DP33</f>
        <v/>
      </c>
      <c r="EE33" s="7">
        <f>IF(IF(0=0,"",EE32)&lt;&gt;"",EE32,IF(AND(BB33=1,DU33&lt;=0.5,DV33&lt;=0.5,OR(BH33=0,BJ33=1)),A33,""))</f>
        <v/>
      </c>
      <c r="EF33" s="7">
        <f>DU33+DV33+DW33+EA33+ED33+CD33</f>
        <v/>
      </c>
      <c r="EG33" s="7">
        <f>DR33+DS33+DT33-EF33</f>
        <v/>
      </c>
      <c r="EH33" s="7">
        <f>EG33/(1+g_inf)^(A33+1-2026)</f>
        <v/>
      </c>
    </row>
    <row r="34">
      <c r="A34" t="n">
        <v>2028</v>
      </c>
      <c r="B34" t="n">
        <v>1</v>
      </c>
      <c r="C34" s="7">
        <f>(1+g_inf)^(A34-2026)</f>
        <v/>
      </c>
      <c r="D34" s="7">
        <f>SUMPRODUCT($U$5:$U$29,$E$5:$E$29*(1+$F$5:$F$29)^(A34-2026)*$G$5:$G$29*$H$5:$H$29*(1-$N$5:$N$29*$O$5:$O$29))*g_salMult+SUMPRODUCT(($B$5:$B$29&gt;=A34)*($B$5:$B$29&lt;A34+1)*$I$5:$I$29)*g_salMult</f>
        <v/>
      </c>
      <c r="E34" s="7">
        <f>SUMPRODUCT($U$5:$U$29,$E$5:$E$29*(1+$F$5:$F$29)^(A34-2026)*$G$5:$G$29*$H$5:$H$29*$M$5:$M$29)*g_salMult</f>
        <v/>
      </c>
      <c r="F34" s="7">
        <f>SUMPRODUCT($U$5:$U$29,$E$5:$E$29*(1+$F$5:$F$29)^(A34-2026)*$G$5:$G$29*$H$5:$H$29*$N$5:$N$29*$O$5:$O$29)*g_salMult</f>
        <v/>
      </c>
      <c r="G34" s="7">
        <f>SUMPRODUCT($U$5:$U$29,$P$5:$P$29*(1+$F$5:$F$29)^(A34-2026))</f>
        <v/>
      </c>
      <c r="H34" s="7">
        <f>SUMPRODUCT($U$5:$U$29,$Q$5:$Q$29*(1+$F$5:$F$29)^(A34-2026))+IF(personal_llcActivo=1,personal_llcNeto*(1+personal_llcCrecimiento)^1,0)</f>
        <v/>
      </c>
      <c r="I34" s="7">
        <f>SUMPRODUCT($U$5:$U$29,$J$5:$J$29/($C$5:$C$29-$B$5:$B$29+($C$5:$C$29=$B$5:$B$29)))*C34</f>
        <v/>
      </c>
      <c r="J34" s="7">
        <f>SUMPRODUCT($U$5:$U$29,$K$5:$K$29)</f>
        <v/>
      </c>
      <c r="K34" s="7">
        <f>SUMPRODUCT($U$5:$U$29,$L$5:$L$29)</f>
        <v/>
      </c>
      <c r="L34" s="7">
        <f>SUMPRODUCT($U$5:$U$29,$N$5:$N$29)</f>
        <v/>
      </c>
      <c r="M34" s="7">
        <f>IF(SUMPRODUCT($U$5:$U$29,$R$5:$R$29)&gt;0,1,0)</f>
        <v/>
      </c>
      <c r="N34" s="7">
        <f>SUMPRODUCT(($AO$5:$AO$24&gt;=A34)*($AO$5:$AO$24&lt;A34+1)*$AP$5:$AP$24)*C34+IF(1=0,IF(sel_loc&lt;&gt;"miami",personal_costoMudanzaInicial,0),0)</f>
        <v/>
      </c>
      <c r="O34" s="7">
        <f>MIN(personal_aporte403bPct*D34,retiro_limite403b*C34)</f>
        <v/>
      </c>
      <c r="P34" s="7">
        <f>MIN(personal_aporte403bPct,personal_match403bPct)*E34</f>
        <v/>
      </c>
      <c r="Q34" s="7">
        <f>IF(G34&gt;0,MAX(0,G34-impuestos_scorpCostoAnual*C34),0)</f>
        <v/>
      </c>
      <c r="R34" s="7">
        <f>Q34*impuestos_scorpSalarioPct/(1+impuestos_ssTasa+impuestos_medicareTasa)</f>
        <v/>
      </c>
      <c r="S34" s="7">
        <f>impuestos_ssTasa*MIN(R34,MAX(0,impuestos_ssTope*C34-D34))+impuestos_medicareTasa*R34</f>
        <v/>
      </c>
      <c r="T34" s="7">
        <f>Q34-R34-S34</f>
        <v/>
      </c>
      <c r="U34" s="7">
        <f>D34+R34</f>
        <v/>
      </c>
      <c r="V34" s="7">
        <f>H34*0.9235</f>
        <v/>
      </c>
      <c r="W34" s="7">
        <f>IF(H34&gt;0,2*impuestos_ssTasa*MIN(V34,MAX(0,impuestos_ssTope*C34-U34))+2*impuestos_medicareTasa*V34,0)</f>
        <v/>
      </c>
      <c r="X34" s="7">
        <f>impuestos_ssTasa*MIN(U34,impuestos_ssTope*C34)+impuestos_medicareTasa*U34+impuestos_medicareAdicional*MAX(0,U34+H34*0.9235-impuestos_medicareUmbral)</f>
        <v/>
      </c>
      <c r="Y34" s="7">
        <f>MAX(0,D34-O34+R34+T34+H34-W34/2)</f>
        <v/>
      </c>
      <c r="Z34" s="7">
        <f>MAX(0,Y34-impuestos_deduccionEstandar*C34)</f>
        <v/>
      </c>
      <c r="AA34" s="7">
        <f>MIN(0.2*MAX(0,T34+H34-W34/2)*MAX(0,MIN(1,1-(Z34-impuestos_qbiUmbral*C34)/(impuestos_qbiRango*C34))),0.2*Z34)</f>
        <v/>
      </c>
      <c r="AB34" s="7">
        <f>MAX(0,Z34-AA34)</f>
        <v/>
      </c>
      <c r="AC34" s="7">
        <f>SUMPRODUCT((AB34&gt;tb_federalBrackets_lo*C34)*(AB34-tb_federalBrackets_lo*C34)*tb_federalBrackets_dr)</f>
        <v/>
      </c>
      <c r="AD34" s="7">
        <f>MAX(0,Y34-impuestos_nyDeduccion*C34)</f>
        <v/>
      </c>
      <c r="AE34" s="7">
        <f>CHOOSE(loc_taxcode,0,impuestos_ohTasa*MAX(0,Y34-impuestos_ohExento*C34)+impuestos_ohMunicipal*U34,SUMPRODUCT((AD34&gt;tb_nyBrackets_lo*C34)*(AD34-tb_nyBrackets_lo*C34)*tb_nyBrackets_dr)+loc_nyc*SUMPRODUCT((AD34&gt;tb_nycBrackets_lo*C34)*(AD34-tb_nycBrackets_lo*C34)*tb_nycBrackets_dr))</f>
        <v/>
      </c>
      <c r="AF34" s="7">
        <f>AC34+AE34+X34+W34</f>
        <v/>
      </c>
      <c r="AG34" s="7">
        <f>D34+F34+R34+T34+H34</f>
        <v/>
      </c>
      <c r="AH34" s="7">
        <f>AG34-AF34-O34</f>
        <v/>
      </c>
      <c r="AI34" s="7">
        <f>D34+F34+G34+H34</f>
        <v/>
      </c>
      <c r="AJ34" s="7">
        <f>loc_gastosVida*C34*g_gastos</f>
        <v/>
      </c>
      <c r="AK34" s="7">
        <f>IF(1=0,personal_liquidoInicial,DR33)</f>
        <v/>
      </c>
      <c r="AL34" s="7">
        <f>IF(1=0,0,BB33)</f>
        <v/>
      </c>
      <c r="AM34" s="7">
        <f>CHOOSE(sel_cfgIdx,loc_precio_duplex,loc_precio_inlaw,loc_precio_dosCasas,loc_precio_casaAdu,loc_precio_multi)</f>
        <v/>
      </c>
      <c r="AN34" s="7">
        <f>AM34*(1+g_appr)^(A34-2026)</f>
        <v/>
      </c>
      <c r="AO34" s="7">
        <f>IF(AND(M34=1,vivienda_prestamoMedico=1),1,0)</f>
        <v/>
      </c>
      <c r="AP34" s="7">
        <f>IF(AO34=1,0.05,vivienda_enganchePct)</f>
        <v/>
      </c>
      <c r="AQ34" s="7">
        <f>AN34*(1-AP34)</f>
        <v/>
      </c>
      <c r="AR34" s="7">
        <f>PMT(g_mortRate/12,vivienda_plazoHipoteca*12,-AQ34)</f>
        <v/>
      </c>
      <c r="AS34" s="7">
        <f>INDEX(cfg_units,sel_cfgIdx)</f>
        <v/>
      </c>
      <c r="AT34" s="7">
        <f>AS34*loc_rentaUnidad*(1+g_inf)^(A34-2026)*(1-vivienda_vacancia)</f>
        <v/>
      </c>
      <c r="AU34" s="7">
        <f>AR34+AN34*loc_impuestoPropPct/12+AM34*loc_seguroPct*(1+vivienda_inflacionSeguro)^(A34-2026)/12+IF(AND(AO34=0,AP34&lt;0.2),AQ34*vivienda_pmiTasa/12,0)</f>
        <v/>
      </c>
      <c r="AV34" s="7">
        <f>AN34*AP34+AN34*vivienda_cierrePct+general_reservaMeses/12*AJ34</f>
        <v/>
      </c>
      <c r="AW34" s="7">
        <f>(IF(1=0,MIN(personal_irsSaldo,personal_irsPagoMensual*12),MIN(CD33,personal_irsPagoMensual*12))+IF(CE34&gt;0,PMT(CF34,MAX(1,prestamos_plazoAnios-CG34),-CE34),0)+IF(CR34&gt;0,PMT(CS34,MAX(1,prestamos_plazoAnios-CT34),-CR34),0))/12</f>
        <v/>
      </c>
      <c r="AX34" s="7">
        <f>IF(OR(sel_cfg="duplex",sel_cfg="multi",sel_cfg="dosCasas"),0.75*personal_aporteFamiliaMensual,0)</f>
        <v/>
      </c>
      <c r="AY34" s="7">
        <f>AU34-0.75*AT34-AX34+AW34</f>
        <v/>
      </c>
      <c r="AZ34" s="7">
        <f>(D34+G34+H34+0.5*F34)/12</f>
        <v/>
      </c>
      <c r="BA34" s="7">
        <f>IF(AND(AL34=0,A34&gt;=vivienda_anioMinCompra,J34&lt;0.5,AI34&gt;0,AK34&gt;=AV34,AY34&lt;=vivienda_dtiMax*AZ34),1,0)</f>
        <v/>
      </c>
      <c r="BB34" s="7">
        <f>MAX(AL34,BA34)</f>
        <v/>
      </c>
      <c r="BC34" s="7">
        <f>IF(BA34=1,A34,IF(1=0,"",BC33))</f>
        <v/>
      </c>
      <c r="BD34" s="7">
        <f>AK34-IF(BA34=1,AN34*AP34+AN34*vivienda_cierrePct,0)</f>
        <v/>
      </c>
      <c r="BE34" s="7">
        <f>IF(BA34=1,AN34,IF(1=0,0,BE33))</f>
        <v/>
      </c>
      <c r="BF34" s="7">
        <f>IF(BA34=1,AR34,IF(1=0,0,BF33))</f>
        <v/>
      </c>
      <c r="BG34" s="7">
        <f>IF(BA34=1,IF(AND(AO34=0,AP34&lt;0.2),1,0),IF(1=0,0,BY33))</f>
        <v/>
      </c>
      <c r="BH34" s="7">
        <f>IF(sel_cfg="casaAdu",1,0)</f>
        <v/>
      </c>
      <c r="BI34" s="7">
        <f>IF(AND(BB34=1,BH34=1,IF(1=0,0,BJ33)=0,A34&gt;=IF(BC34="",9999,BC34)+vivienda_aduRetrasoAnios),1,0)</f>
        <v/>
      </c>
      <c r="BJ34" s="7">
        <f>MAX(IF(1=0,0,BJ33),BI34)</f>
        <v/>
      </c>
      <c r="BK34" s="7">
        <f>IF(BI34=1,PMT((g_mortRate+0.005)/12,180,-loc_precio_aduCosto*C34),IF(1=0,0,BK33))</f>
        <v/>
      </c>
      <c r="BL34" s="7">
        <f>IF(BA34=1,AN34,IF(1=0,0,DT33))+IF(BI34=1,loc_precio_aduCosto*C34,0)</f>
        <v/>
      </c>
      <c r="BM34" s="7">
        <f>IF(BA34=1,AQ34,IF(1=0,0,DU33))</f>
        <v/>
      </c>
      <c r="BN34" s="7">
        <f>IF(BM34&lt;=0,0,FV(g_mortRate/12,12,BF34,-BM34))</f>
        <v/>
      </c>
      <c r="BO34" s="7">
        <f>IF(BM34&lt;=0,0,12*BF34+MIN(0,BN34))</f>
        <v/>
      </c>
      <c r="BP34" s="7">
        <f>MAX(0,BN34)</f>
        <v/>
      </c>
      <c r="BQ34" s="7">
        <f>IF(BI34=1,loc_precio_aduCosto*C34,IF(1=0,0,DV33))</f>
        <v/>
      </c>
      <c r="BR34" s="7">
        <f>IF(BQ34&lt;=0,0,FV((g_mortRate+0.005)/12,12,BK34,-BQ34))</f>
        <v/>
      </c>
      <c r="BS34" s="7">
        <f>IF(BQ34&lt;=0,0,12*BK34+MIN(0,BR34))</f>
        <v/>
      </c>
      <c r="BT34" s="7">
        <f>MAX(0,BR34)</f>
        <v/>
      </c>
      <c r="BU34" s="7">
        <f>IF(BB34=1,AM34*loc_seguroPct*(1+vivienda_inflacionSeguro)^(A34-2026)*IF(BJ34=1,1+loc_precio_aduCosto/AM34,1),0)</f>
        <v/>
      </c>
      <c r="BV34" s="7">
        <f>BL34*loc_impuestoPropPct</f>
        <v/>
      </c>
      <c r="BW34" s="7">
        <f>BL34*vivienda_mantenimientoPct</f>
        <v/>
      </c>
      <c r="BX34" s="7">
        <f>IF(AND(BG34=1,BP34&gt;0.8*BE34),BE34*(1-vivienda_enganchePct)*vivienda_pmiTasa,0)</f>
        <v/>
      </c>
      <c r="BY34" s="7">
        <f>IF(AND(BG34=1,BP34&gt;0.8*BE34),1,0)</f>
        <v/>
      </c>
      <c r="BZ34" s="7">
        <f>IF(BB34=1,AS34*loc_rentaUnidad*12*C34*(1-vivienda_vacancia)*(1-vivienda_gestionPct),0)</f>
        <v/>
      </c>
      <c r="CA34" s="7">
        <f>IF(BB34=1,BO34+BS34+BU34+BV34+BW34+BX34,loc_rentaMensual*12*C34)</f>
        <v/>
      </c>
      <c r="CB34" s="7">
        <f>IF(BB34=1,personal_aporteFamiliaMensual*12,0)</f>
        <v/>
      </c>
      <c r="CC34" s="7">
        <f>MIN(IF(1=0,personal_irsSaldo,CD33),personal_irsPagoMensual*12)</f>
        <v/>
      </c>
      <c r="CD34" s="7">
        <f>IF(1=0,personal_irsSaldo,CD33)-CC34</f>
        <v/>
      </c>
      <c r="CE34" s="7">
        <f>IF(1=0,IF(personal_deudaEsFederal=1,personal_deudaEstudiantil,0),DW33)</f>
        <v/>
      </c>
      <c r="CF34" s="7">
        <f>IF(1=0,personal_tasaDeudaEstudiantil,DX33)</f>
        <v/>
      </c>
      <c r="CG34" s="7">
        <f>IF(1=0,0,DY33)</f>
        <v/>
      </c>
      <c r="CH34" s="7">
        <f>IF(J34&gt;=0.5,1,0)</f>
        <v/>
      </c>
      <c r="CI34" s="7">
        <f>IF(AND(CH34=0,prestamos_pslfActivo=1,K34&gt;=0.5,CE34&gt;0),1,0)</f>
        <v/>
      </c>
      <c r="CJ34" s="7">
        <f>CE34*CF34</f>
        <v/>
      </c>
      <c r="CK34" s="7">
        <f>MAX(prestamos_rapPagoMinimoAnual,IF(Y34&lt;10000,0,MIN(0.1,INT(Y34/10000)/100))*Y34)</f>
        <v/>
      </c>
      <c r="CL34" s="7">
        <f>IF(CE34&lt;=0,0,IF(CH34=1,0,IF(CI34=1,MIN(CE34+CJ34,CK34),PMT(CF34,MAX(1,prestamos_plazoAnios-CG34),-CE34))))</f>
        <v/>
      </c>
      <c r="CM34" s="7">
        <f>IF(CE34&lt;=0,0,IF(CH34=1,CE34+CJ34,IF(CI34=1,MAX(0,CE34-MAX(CL34-CJ34,MIN(600,CL34))),MAX(0,CE34*(1+CF34)-CL34))))</f>
        <v/>
      </c>
      <c r="CN34" s="7">
        <f>IF(1=0,0,CN33)+IF(CI34=1,12*MIN(1,K34),0)</f>
        <v/>
      </c>
      <c r="CO34" s="7">
        <f>IF(AND(CI34=1,CN34&gt;=prestamos_pslfPagos,CM34&gt;0),CM34,0)</f>
        <v/>
      </c>
      <c r="CP34" s="7">
        <f>CM34-CO34</f>
        <v/>
      </c>
      <c r="CQ34" s="7">
        <f>IF(AND(CE34&gt;0,CH34=0,CI34=0),CG34+1,CG34)</f>
        <v/>
      </c>
      <c r="CR34" s="7">
        <f>IF(1=0,IF(personal_deudaEsFederal=1,0,personal_deudaEstudiantil),EA33)</f>
        <v/>
      </c>
      <c r="CS34" s="7">
        <f>IF(1=0,IF(personal_deudaEsFederal=1,prestamos_tasaPrivada,personal_tasaDeudaEstudiantil),EB33)</f>
        <v/>
      </c>
      <c r="CT34" s="7">
        <f>IF(1=0,0,EC33)</f>
        <v/>
      </c>
      <c r="CU34" s="7">
        <f>IF(OR(CR34&lt;=0,CH34=1),0,PMT(CS34,MAX(1,prestamos_plazoAnios-CT34),-CR34))</f>
        <v/>
      </c>
      <c r="CV34" s="7">
        <f>IF(CR34&lt;=0,0,IF(CH34=1,CR34*(1+CS34),MAX(0,CR34*(1+CS34)-CU34)))</f>
        <v/>
      </c>
      <c r="CW34" s="7">
        <f>IF(AND(CR34&gt;0,CH34=0),CT34+1,CT34)</f>
        <v/>
      </c>
      <c r="CX34" s="7">
        <f>IF(1=0,0,ED33)*(1+general_tasaDeudaConsumo)</f>
        <v/>
      </c>
      <c r="CY34" s="7">
        <f>L34*12*tiempos_travelGastoExtraMes*C34</f>
        <v/>
      </c>
      <c r="CZ34" s="7">
        <f>AJ34+CY34+CA34+CC34+CL34+CU34+I34+N34-BZ34-CB34</f>
        <v/>
      </c>
      <c r="DA34" s="7">
        <f>AH34-CZ34</f>
        <v/>
      </c>
      <c r="DB34" s="7">
        <f>IF(1=0,0,DB33)+DA34</f>
        <v/>
      </c>
      <c r="DC34" s="7">
        <f>AN34*vivienda_enganchePct+AN34*vivienda_cierrePct+general_reservaMeses/12*AJ34</f>
        <v/>
      </c>
      <c r="DD34" s="7">
        <f>IF(BB34=1,g_ret,IF(BD34&gt;0,MIN(1,DC34/BD34),1)*g_cash+(1-IF(BD34&gt;0,MIN(1,DC34/BD34),1))*g_ret)</f>
        <v/>
      </c>
      <c r="DE34" s="7">
        <f>IF(DA34&gt;=0,MIN(CX34,DA34),0)</f>
        <v/>
      </c>
      <c r="DF34" s="7">
        <f>IF(DA34&gt;=0,(1-general_tasaAhorro)*(DA34-DE34),0)</f>
        <v/>
      </c>
      <c r="DG34" s="7">
        <f>IF(DA34&gt;=0,DA34-DE34-DF34,0)</f>
        <v/>
      </c>
      <c r="DH34" s="7">
        <f>MIN(personal_rothAnual,DG34)</f>
        <v/>
      </c>
      <c r="DI34" s="7">
        <f>IF(AND(DA34&gt;=0,BB34=1,BP34+BT34&gt;0),MIN(vivienda_prepagoPct*(DG34-DH34),BP34+BT34),0)</f>
        <v/>
      </c>
      <c r="DJ34" s="7">
        <f>MIN(DI34,BP34)</f>
        <v/>
      </c>
      <c r="DK34" s="7">
        <f>IF(DA34&lt;0,MIN(MAX(0,BD34),-DA34),0)</f>
        <v/>
      </c>
      <c r="DL34" s="7">
        <f>IF(DA34&lt;0,-DA34-DK34,0)</f>
        <v/>
      </c>
      <c r="DM34" s="7">
        <f>IF(1=0,0,DZ33)</f>
        <v/>
      </c>
      <c r="DN34" s="7">
        <f>IF(AND(DL34&gt;0,J34&gt;0),MIN(DL34,MIN(prestamos_topeAnualPosgrado*MIN(1,J34),MAX(0,prestamos_topeTotalPosgrado-DM34))),0)</f>
        <v/>
      </c>
      <c r="DO34" s="7">
        <f>IF(AND(DL34&gt;0,J34&gt;0),DL34-DN34,0)</f>
        <v/>
      </c>
      <c r="DP34" s="7">
        <f>IF(AND(DL34&gt;0,J34&lt;=0),DL34,0)</f>
        <v/>
      </c>
      <c r="DQ34" s="7">
        <f>IF(DA34&gt;=0,DG34-DH34-DI34,-DK34)</f>
        <v/>
      </c>
      <c r="DR34" s="7">
        <f>BD34*(1+DD34)+DQ34*(1+DD34/2)</f>
        <v/>
      </c>
      <c r="DS34" s="7">
        <f>IF(1=0,personal_retiroInicial,DS33)*(1+g_ret)+(O34+P34+DH34)*(1+g_ret/2)</f>
        <v/>
      </c>
      <c r="DT34" s="7">
        <f>IF(BB34=1,BL34*(1+g_appr),0)</f>
        <v/>
      </c>
      <c r="DU34" s="7">
        <f>BP34-DJ34</f>
        <v/>
      </c>
      <c r="DV34" s="7">
        <f>BT34-(DI34-DJ34)</f>
        <v/>
      </c>
      <c r="DW34" s="7">
        <f>CP34+DN34</f>
        <v/>
      </c>
      <c r="DX34" s="7">
        <f>IF(DN34&gt;0,(CP34*CF34+DN34*prestamos_tasaFederalPosgrado)/(CP34+DN34),CF34)</f>
        <v/>
      </c>
      <c r="DY34" s="7">
        <f>IF(DN34&gt;0,0,CQ34)</f>
        <v/>
      </c>
      <c r="DZ34" s="7">
        <f>DM34+DN34</f>
        <v/>
      </c>
      <c r="EA34" s="7">
        <f>CV34+DO34</f>
        <v/>
      </c>
      <c r="EB34" s="7">
        <f>IF(DO34&gt;0,(CV34*CS34+DO34*prestamos_tasaPrivada)/(CV34+DO34),CS34)</f>
        <v/>
      </c>
      <c r="EC34" s="7">
        <f>IF(DO34&gt;0,0,CW34)</f>
        <v/>
      </c>
      <c r="ED34" s="7">
        <f>CX34-DE34+DP34</f>
        <v/>
      </c>
      <c r="EE34" s="7">
        <f>IF(IF(1=0,"",EE33)&lt;&gt;"",EE33,IF(AND(BB34=1,DU34&lt;=0.5,DV34&lt;=0.5,OR(BH34=0,BJ34=1)),A34,""))</f>
        <v/>
      </c>
      <c r="EF34" s="7">
        <f>DU34+DV34+DW34+EA34+ED34+CD34</f>
        <v/>
      </c>
      <c r="EG34" s="7">
        <f>DR34+DS34+DT34-EF34</f>
        <v/>
      </c>
      <c r="EH34" s="7">
        <f>EG34/(1+g_inf)^(A34+1-2026)</f>
        <v/>
      </c>
    </row>
    <row r="35">
      <c r="A35" t="n">
        <v>2029</v>
      </c>
      <c r="B35" t="n">
        <v>2</v>
      </c>
      <c r="C35" s="7">
        <f>(1+g_inf)^(A35-2026)</f>
        <v/>
      </c>
      <c r="D35" s="7">
        <f>SUMPRODUCT($V$5:$V$29,$E$5:$E$29*(1+$F$5:$F$29)^(A35-2026)*$G$5:$G$29*$H$5:$H$29*(1-$N$5:$N$29*$O$5:$O$29))*g_salMult+SUMPRODUCT(($B$5:$B$29&gt;=A35)*($B$5:$B$29&lt;A35+1)*$I$5:$I$29)*g_salMult</f>
        <v/>
      </c>
      <c r="E35" s="7">
        <f>SUMPRODUCT($V$5:$V$29,$E$5:$E$29*(1+$F$5:$F$29)^(A35-2026)*$G$5:$G$29*$H$5:$H$29*$M$5:$M$29)*g_salMult</f>
        <v/>
      </c>
      <c r="F35" s="7">
        <f>SUMPRODUCT($V$5:$V$29,$E$5:$E$29*(1+$F$5:$F$29)^(A35-2026)*$G$5:$G$29*$H$5:$H$29*$N$5:$N$29*$O$5:$O$29)*g_salMult</f>
        <v/>
      </c>
      <c r="G35" s="7">
        <f>SUMPRODUCT($V$5:$V$29,$P$5:$P$29*(1+$F$5:$F$29)^(A35-2026))</f>
        <v/>
      </c>
      <c r="H35" s="7">
        <f>SUMPRODUCT($V$5:$V$29,$Q$5:$Q$29*(1+$F$5:$F$29)^(A35-2026))+IF(personal_llcActivo=1,personal_llcNeto*(1+personal_llcCrecimiento)^2,0)</f>
        <v/>
      </c>
      <c r="I35" s="7">
        <f>SUMPRODUCT($V$5:$V$29,$J$5:$J$29/($C$5:$C$29-$B$5:$B$29+($C$5:$C$29=$B$5:$B$29)))*C35</f>
        <v/>
      </c>
      <c r="J35" s="7">
        <f>SUMPRODUCT($V$5:$V$29,$K$5:$K$29)</f>
        <v/>
      </c>
      <c r="K35" s="7">
        <f>SUMPRODUCT($V$5:$V$29,$L$5:$L$29)</f>
        <v/>
      </c>
      <c r="L35" s="7">
        <f>SUMPRODUCT($V$5:$V$29,$N$5:$N$29)</f>
        <v/>
      </c>
      <c r="M35" s="7">
        <f>IF(SUMPRODUCT($V$5:$V$29,$R$5:$R$29)&gt;0,1,0)</f>
        <v/>
      </c>
      <c r="N35" s="7">
        <f>SUMPRODUCT(($AO$5:$AO$24&gt;=A35)*($AO$5:$AO$24&lt;A35+1)*$AP$5:$AP$24)*C35+IF(2=0,IF(sel_loc&lt;&gt;"miami",personal_costoMudanzaInicial,0),0)</f>
        <v/>
      </c>
      <c r="O35" s="7">
        <f>MIN(personal_aporte403bPct*D35,retiro_limite403b*C35)</f>
        <v/>
      </c>
      <c r="P35" s="7">
        <f>MIN(personal_aporte403bPct,personal_match403bPct)*E35</f>
        <v/>
      </c>
      <c r="Q35" s="7">
        <f>IF(G35&gt;0,MAX(0,G35-impuestos_scorpCostoAnual*C35),0)</f>
        <v/>
      </c>
      <c r="R35" s="7">
        <f>Q35*impuestos_scorpSalarioPct/(1+impuestos_ssTasa+impuestos_medicareTasa)</f>
        <v/>
      </c>
      <c r="S35" s="7">
        <f>impuestos_ssTasa*MIN(R35,MAX(0,impuestos_ssTope*C35-D35))+impuestos_medicareTasa*R35</f>
        <v/>
      </c>
      <c r="T35" s="7">
        <f>Q35-R35-S35</f>
        <v/>
      </c>
      <c r="U35" s="7">
        <f>D35+R35</f>
        <v/>
      </c>
      <c r="V35" s="7">
        <f>H35*0.9235</f>
        <v/>
      </c>
      <c r="W35" s="7">
        <f>IF(H35&gt;0,2*impuestos_ssTasa*MIN(V35,MAX(0,impuestos_ssTope*C35-U35))+2*impuestos_medicareTasa*V35,0)</f>
        <v/>
      </c>
      <c r="X35" s="7">
        <f>impuestos_ssTasa*MIN(U35,impuestos_ssTope*C35)+impuestos_medicareTasa*U35+impuestos_medicareAdicional*MAX(0,U35+H35*0.9235-impuestos_medicareUmbral)</f>
        <v/>
      </c>
      <c r="Y35" s="7">
        <f>MAX(0,D35-O35+R35+T35+H35-W35/2)</f>
        <v/>
      </c>
      <c r="Z35" s="7">
        <f>MAX(0,Y35-impuestos_deduccionEstandar*C35)</f>
        <v/>
      </c>
      <c r="AA35" s="7">
        <f>MIN(0.2*MAX(0,T35+H35-W35/2)*MAX(0,MIN(1,1-(Z35-impuestos_qbiUmbral*C35)/(impuestos_qbiRango*C35))),0.2*Z35)</f>
        <v/>
      </c>
      <c r="AB35" s="7">
        <f>MAX(0,Z35-AA35)</f>
        <v/>
      </c>
      <c r="AC35" s="7">
        <f>SUMPRODUCT((AB35&gt;tb_federalBrackets_lo*C35)*(AB35-tb_federalBrackets_lo*C35)*tb_federalBrackets_dr)</f>
        <v/>
      </c>
      <c r="AD35" s="7">
        <f>MAX(0,Y35-impuestos_nyDeduccion*C35)</f>
        <v/>
      </c>
      <c r="AE35" s="7">
        <f>CHOOSE(loc_taxcode,0,impuestos_ohTasa*MAX(0,Y35-impuestos_ohExento*C35)+impuestos_ohMunicipal*U35,SUMPRODUCT((AD35&gt;tb_nyBrackets_lo*C35)*(AD35-tb_nyBrackets_lo*C35)*tb_nyBrackets_dr)+loc_nyc*SUMPRODUCT((AD35&gt;tb_nycBrackets_lo*C35)*(AD35-tb_nycBrackets_lo*C35)*tb_nycBrackets_dr))</f>
        <v/>
      </c>
      <c r="AF35" s="7">
        <f>AC35+AE35+X35+W35</f>
        <v/>
      </c>
      <c r="AG35" s="7">
        <f>D35+F35+R35+T35+H35</f>
        <v/>
      </c>
      <c r="AH35" s="7">
        <f>AG35-AF35-O35</f>
        <v/>
      </c>
      <c r="AI35" s="7">
        <f>D35+F35+G35+H35</f>
        <v/>
      </c>
      <c r="AJ35" s="7">
        <f>loc_gastosVida*C35*g_gastos</f>
        <v/>
      </c>
      <c r="AK35" s="7">
        <f>IF(2=0,personal_liquidoInicial,DR34)</f>
        <v/>
      </c>
      <c r="AL35" s="7">
        <f>IF(2=0,0,BB34)</f>
        <v/>
      </c>
      <c r="AM35" s="7">
        <f>CHOOSE(sel_cfgIdx,loc_precio_duplex,loc_precio_inlaw,loc_precio_dosCasas,loc_precio_casaAdu,loc_precio_multi)</f>
        <v/>
      </c>
      <c r="AN35" s="7">
        <f>AM35*(1+g_appr)^(A35-2026)</f>
        <v/>
      </c>
      <c r="AO35" s="7">
        <f>IF(AND(M35=1,vivienda_prestamoMedico=1),1,0)</f>
        <v/>
      </c>
      <c r="AP35" s="7">
        <f>IF(AO35=1,0.05,vivienda_enganchePct)</f>
        <v/>
      </c>
      <c r="AQ35" s="7">
        <f>AN35*(1-AP35)</f>
        <v/>
      </c>
      <c r="AR35" s="7">
        <f>PMT(g_mortRate/12,vivienda_plazoHipoteca*12,-AQ35)</f>
        <v/>
      </c>
      <c r="AS35" s="7">
        <f>INDEX(cfg_units,sel_cfgIdx)</f>
        <v/>
      </c>
      <c r="AT35" s="7">
        <f>AS35*loc_rentaUnidad*(1+g_inf)^(A35-2026)*(1-vivienda_vacancia)</f>
        <v/>
      </c>
      <c r="AU35" s="7">
        <f>AR35+AN35*loc_impuestoPropPct/12+AM35*loc_seguroPct*(1+vivienda_inflacionSeguro)^(A35-2026)/12+IF(AND(AO35=0,AP35&lt;0.2),AQ35*vivienda_pmiTasa/12,0)</f>
        <v/>
      </c>
      <c r="AV35" s="7">
        <f>AN35*AP35+AN35*vivienda_cierrePct+general_reservaMeses/12*AJ35</f>
        <v/>
      </c>
      <c r="AW35" s="7">
        <f>(IF(2=0,MIN(personal_irsSaldo,personal_irsPagoMensual*12),MIN(CD34,personal_irsPagoMensual*12))+IF(CE35&gt;0,PMT(CF35,MAX(1,prestamos_plazoAnios-CG35),-CE35),0)+IF(CR35&gt;0,PMT(CS35,MAX(1,prestamos_plazoAnios-CT35),-CR35),0))/12</f>
        <v/>
      </c>
      <c r="AX35" s="7">
        <f>IF(OR(sel_cfg="duplex",sel_cfg="multi",sel_cfg="dosCasas"),0.75*personal_aporteFamiliaMensual,0)</f>
        <v/>
      </c>
      <c r="AY35" s="7">
        <f>AU35-0.75*AT35-AX35+AW35</f>
        <v/>
      </c>
      <c r="AZ35" s="7">
        <f>(D35+G35+H35+0.5*F35)/12</f>
        <v/>
      </c>
      <c r="BA35" s="7">
        <f>IF(AND(AL35=0,A35&gt;=vivienda_anioMinCompra,J35&lt;0.5,AI35&gt;0,AK35&gt;=AV35,AY35&lt;=vivienda_dtiMax*AZ35),1,0)</f>
        <v/>
      </c>
      <c r="BB35" s="7">
        <f>MAX(AL35,BA35)</f>
        <v/>
      </c>
      <c r="BC35" s="7">
        <f>IF(BA35=1,A35,IF(2=0,"",BC34))</f>
        <v/>
      </c>
      <c r="BD35" s="7">
        <f>AK35-IF(BA35=1,AN35*AP35+AN35*vivienda_cierrePct,0)</f>
        <v/>
      </c>
      <c r="BE35" s="7">
        <f>IF(BA35=1,AN35,IF(2=0,0,BE34))</f>
        <v/>
      </c>
      <c r="BF35" s="7">
        <f>IF(BA35=1,AR35,IF(2=0,0,BF34))</f>
        <v/>
      </c>
      <c r="BG35" s="7">
        <f>IF(BA35=1,IF(AND(AO35=0,AP35&lt;0.2),1,0),IF(2=0,0,BY34))</f>
        <v/>
      </c>
      <c r="BH35" s="7">
        <f>IF(sel_cfg="casaAdu",1,0)</f>
        <v/>
      </c>
      <c r="BI35" s="7">
        <f>IF(AND(BB35=1,BH35=1,IF(2=0,0,BJ34)=0,A35&gt;=IF(BC35="",9999,BC35)+vivienda_aduRetrasoAnios),1,0)</f>
        <v/>
      </c>
      <c r="BJ35" s="7">
        <f>MAX(IF(2=0,0,BJ34),BI35)</f>
        <v/>
      </c>
      <c r="BK35" s="7">
        <f>IF(BI35=1,PMT((g_mortRate+0.005)/12,180,-loc_precio_aduCosto*C35),IF(2=0,0,BK34))</f>
        <v/>
      </c>
      <c r="BL35" s="7">
        <f>IF(BA35=1,AN35,IF(2=0,0,DT34))+IF(BI35=1,loc_precio_aduCosto*C35,0)</f>
        <v/>
      </c>
      <c r="BM35" s="7">
        <f>IF(BA35=1,AQ35,IF(2=0,0,DU34))</f>
        <v/>
      </c>
      <c r="BN35" s="7">
        <f>IF(BM35&lt;=0,0,FV(g_mortRate/12,12,BF35,-BM35))</f>
        <v/>
      </c>
      <c r="BO35" s="7">
        <f>IF(BM35&lt;=0,0,12*BF35+MIN(0,BN35))</f>
        <v/>
      </c>
      <c r="BP35" s="7">
        <f>MAX(0,BN35)</f>
        <v/>
      </c>
      <c r="BQ35" s="7">
        <f>IF(BI35=1,loc_precio_aduCosto*C35,IF(2=0,0,DV34))</f>
        <v/>
      </c>
      <c r="BR35" s="7">
        <f>IF(BQ35&lt;=0,0,FV((g_mortRate+0.005)/12,12,BK35,-BQ35))</f>
        <v/>
      </c>
      <c r="BS35" s="7">
        <f>IF(BQ35&lt;=0,0,12*BK35+MIN(0,BR35))</f>
        <v/>
      </c>
      <c r="BT35" s="7">
        <f>MAX(0,BR35)</f>
        <v/>
      </c>
      <c r="BU35" s="7">
        <f>IF(BB35=1,AM35*loc_seguroPct*(1+vivienda_inflacionSeguro)^(A35-2026)*IF(BJ35=1,1+loc_precio_aduCosto/AM35,1),0)</f>
        <v/>
      </c>
      <c r="BV35" s="7">
        <f>BL35*loc_impuestoPropPct</f>
        <v/>
      </c>
      <c r="BW35" s="7">
        <f>BL35*vivienda_mantenimientoPct</f>
        <v/>
      </c>
      <c r="BX35" s="7">
        <f>IF(AND(BG35=1,BP35&gt;0.8*BE35),BE35*(1-vivienda_enganchePct)*vivienda_pmiTasa,0)</f>
        <v/>
      </c>
      <c r="BY35" s="7">
        <f>IF(AND(BG35=1,BP35&gt;0.8*BE35),1,0)</f>
        <v/>
      </c>
      <c r="BZ35" s="7">
        <f>IF(BB35=1,AS35*loc_rentaUnidad*12*C35*(1-vivienda_vacancia)*(1-vivienda_gestionPct),0)</f>
        <v/>
      </c>
      <c r="CA35" s="7">
        <f>IF(BB35=1,BO35+BS35+BU35+BV35+BW35+BX35,loc_rentaMensual*12*C35)</f>
        <v/>
      </c>
      <c r="CB35" s="7">
        <f>IF(BB35=1,personal_aporteFamiliaMensual*12,0)</f>
        <v/>
      </c>
      <c r="CC35" s="7">
        <f>MIN(IF(2=0,personal_irsSaldo,CD34),personal_irsPagoMensual*12)</f>
        <v/>
      </c>
      <c r="CD35" s="7">
        <f>IF(2=0,personal_irsSaldo,CD34)-CC35</f>
        <v/>
      </c>
      <c r="CE35" s="7">
        <f>IF(2=0,IF(personal_deudaEsFederal=1,personal_deudaEstudiantil,0),DW34)</f>
        <v/>
      </c>
      <c r="CF35" s="7">
        <f>IF(2=0,personal_tasaDeudaEstudiantil,DX34)</f>
        <v/>
      </c>
      <c r="CG35" s="7">
        <f>IF(2=0,0,DY34)</f>
        <v/>
      </c>
      <c r="CH35" s="7">
        <f>IF(J35&gt;=0.5,1,0)</f>
        <v/>
      </c>
      <c r="CI35" s="7">
        <f>IF(AND(CH35=0,prestamos_pslfActivo=1,K35&gt;=0.5,CE35&gt;0),1,0)</f>
        <v/>
      </c>
      <c r="CJ35" s="7">
        <f>CE35*CF35</f>
        <v/>
      </c>
      <c r="CK35" s="7">
        <f>MAX(prestamos_rapPagoMinimoAnual,IF(Y35&lt;10000,0,MIN(0.1,INT(Y35/10000)/100))*Y35)</f>
        <v/>
      </c>
      <c r="CL35" s="7">
        <f>IF(CE35&lt;=0,0,IF(CH35=1,0,IF(CI35=1,MIN(CE35+CJ35,CK35),PMT(CF35,MAX(1,prestamos_plazoAnios-CG35),-CE35))))</f>
        <v/>
      </c>
      <c r="CM35" s="7">
        <f>IF(CE35&lt;=0,0,IF(CH35=1,CE35+CJ35,IF(CI35=1,MAX(0,CE35-MAX(CL35-CJ35,MIN(600,CL35))),MAX(0,CE35*(1+CF35)-CL35))))</f>
        <v/>
      </c>
      <c r="CN35" s="7">
        <f>IF(2=0,0,CN34)+IF(CI35=1,12*MIN(1,K35),0)</f>
        <v/>
      </c>
      <c r="CO35" s="7">
        <f>IF(AND(CI35=1,CN35&gt;=prestamos_pslfPagos,CM35&gt;0),CM35,0)</f>
        <v/>
      </c>
      <c r="CP35" s="7">
        <f>CM35-CO35</f>
        <v/>
      </c>
      <c r="CQ35" s="7">
        <f>IF(AND(CE35&gt;0,CH35=0,CI35=0),CG35+1,CG35)</f>
        <v/>
      </c>
      <c r="CR35" s="7">
        <f>IF(2=0,IF(personal_deudaEsFederal=1,0,personal_deudaEstudiantil),EA34)</f>
        <v/>
      </c>
      <c r="CS35" s="7">
        <f>IF(2=0,IF(personal_deudaEsFederal=1,prestamos_tasaPrivada,personal_tasaDeudaEstudiantil),EB34)</f>
        <v/>
      </c>
      <c r="CT35" s="7">
        <f>IF(2=0,0,EC34)</f>
        <v/>
      </c>
      <c r="CU35" s="7">
        <f>IF(OR(CR35&lt;=0,CH35=1),0,PMT(CS35,MAX(1,prestamos_plazoAnios-CT35),-CR35))</f>
        <v/>
      </c>
      <c r="CV35" s="7">
        <f>IF(CR35&lt;=0,0,IF(CH35=1,CR35*(1+CS35),MAX(0,CR35*(1+CS35)-CU35)))</f>
        <v/>
      </c>
      <c r="CW35" s="7">
        <f>IF(AND(CR35&gt;0,CH35=0),CT35+1,CT35)</f>
        <v/>
      </c>
      <c r="CX35" s="7">
        <f>IF(2=0,0,ED34)*(1+general_tasaDeudaConsumo)</f>
        <v/>
      </c>
      <c r="CY35" s="7">
        <f>L35*12*tiempos_travelGastoExtraMes*C35</f>
        <v/>
      </c>
      <c r="CZ35" s="7">
        <f>AJ35+CY35+CA35+CC35+CL35+CU35+I35+N35-BZ35-CB35</f>
        <v/>
      </c>
      <c r="DA35" s="7">
        <f>AH35-CZ35</f>
        <v/>
      </c>
      <c r="DB35" s="7">
        <f>IF(2=0,0,DB34)+DA35</f>
        <v/>
      </c>
      <c r="DC35" s="7">
        <f>AN35*vivienda_enganchePct+AN35*vivienda_cierrePct+general_reservaMeses/12*AJ35</f>
        <v/>
      </c>
      <c r="DD35" s="7">
        <f>IF(BB35=1,g_ret,IF(BD35&gt;0,MIN(1,DC35/BD35),1)*g_cash+(1-IF(BD35&gt;0,MIN(1,DC35/BD35),1))*g_ret)</f>
        <v/>
      </c>
      <c r="DE35" s="7">
        <f>IF(DA35&gt;=0,MIN(CX35,DA35),0)</f>
        <v/>
      </c>
      <c r="DF35" s="7">
        <f>IF(DA35&gt;=0,(1-general_tasaAhorro)*(DA35-DE35),0)</f>
        <v/>
      </c>
      <c r="DG35" s="7">
        <f>IF(DA35&gt;=0,DA35-DE35-DF35,0)</f>
        <v/>
      </c>
      <c r="DH35" s="7">
        <f>MIN(personal_rothAnual,DG35)</f>
        <v/>
      </c>
      <c r="DI35" s="7">
        <f>IF(AND(DA35&gt;=0,BB35=1,BP35+BT35&gt;0),MIN(vivienda_prepagoPct*(DG35-DH35),BP35+BT35),0)</f>
        <v/>
      </c>
      <c r="DJ35" s="7">
        <f>MIN(DI35,BP35)</f>
        <v/>
      </c>
      <c r="DK35" s="7">
        <f>IF(DA35&lt;0,MIN(MAX(0,BD35),-DA35),0)</f>
        <v/>
      </c>
      <c r="DL35" s="7">
        <f>IF(DA35&lt;0,-DA35-DK35,0)</f>
        <v/>
      </c>
      <c r="DM35" s="7">
        <f>IF(2=0,0,DZ34)</f>
        <v/>
      </c>
      <c r="DN35" s="7">
        <f>IF(AND(DL35&gt;0,J35&gt;0),MIN(DL35,MIN(prestamos_topeAnualPosgrado*MIN(1,J35),MAX(0,prestamos_topeTotalPosgrado-DM35))),0)</f>
        <v/>
      </c>
      <c r="DO35" s="7">
        <f>IF(AND(DL35&gt;0,J35&gt;0),DL35-DN35,0)</f>
        <v/>
      </c>
      <c r="DP35" s="7">
        <f>IF(AND(DL35&gt;0,J35&lt;=0),DL35,0)</f>
        <v/>
      </c>
      <c r="DQ35" s="7">
        <f>IF(DA35&gt;=0,DG35-DH35-DI35,-DK35)</f>
        <v/>
      </c>
      <c r="DR35" s="7">
        <f>BD35*(1+DD35)+DQ35*(1+DD35/2)</f>
        <v/>
      </c>
      <c r="DS35" s="7">
        <f>IF(2=0,personal_retiroInicial,DS34)*(1+g_ret)+(O35+P35+DH35)*(1+g_ret/2)</f>
        <v/>
      </c>
      <c r="DT35" s="7">
        <f>IF(BB35=1,BL35*(1+g_appr),0)</f>
        <v/>
      </c>
      <c r="DU35" s="7">
        <f>BP35-DJ35</f>
        <v/>
      </c>
      <c r="DV35" s="7">
        <f>BT35-(DI35-DJ35)</f>
        <v/>
      </c>
      <c r="DW35" s="7">
        <f>CP35+DN35</f>
        <v/>
      </c>
      <c r="DX35" s="7">
        <f>IF(DN35&gt;0,(CP35*CF35+DN35*prestamos_tasaFederalPosgrado)/(CP35+DN35),CF35)</f>
        <v/>
      </c>
      <c r="DY35" s="7">
        <f>IF(DN35&gt;0,0,CQ35)</f>
        <v/>
      </c>
      <c r="DZ35" s="7">
        <f>DM35+DN35</f>
        <v/>
      </c>
      <c r="EA35" s="7">
        <f>CV35+DO35</f>
        <v/>
      </c>
      <c r="EB35" s="7">
        <f>IF(DO35&gt;0,(CV35*CS35+DO35*prestamos_tasaPrivada)/(CV35+DO35),CS35)</f>
        <v/>
      </c>
      <c r="EC35" s="7">
        <f>IF(DO35&gt;0,0,CW35)</f>
        <v/>
      </c>
      <c r="ED35" s="7">
        <f>CX35-DE35+DP35</f>
        <v/>
      </c>
      <c r="EE35" s="7">
        <f>IF(IF(2=0,"",EE34)&lt;&gt;"",EE34,IF(AND(BB35=1,DU35&lt;=0.5,DV35&lt;=0.5,OR(BH35=0,BJ35=1)),A35,""))</f>
        <v/>
      </c>
      <c r="EF35" s="7">
        <f>DU35+DV35+DW35+EA35+ED35+CD35</f>
        <v/>
      </c>
      <c r="EG35" s="7">
        <f>DR35+DS35+DT35-EF35</f>
        <v/>
      </c>
      <c r="EH35" s="7">
        <f>EG35/(1+g_inf)^(A35+1-2026)</f>
        <v/>
      </c>
    </row>
    <row r="36">
      <c r="A36" t="n">
        <v>2030</v>
      </c>
      <c r="B36" t="n">
        <v>3</v>
      </c>
      <c r="C36" s="7">
        <f>(1+g_inf)^(A36-2026)</f>
        <v/>
      </c>
      <c r="D36" s="7">
        <f>SUMPRODUCT($W$5:$W$29,$E$5:$E$29*(1+$F$5:$F$29)^(A36-2026)*$G$5:$G$29*$H$5:$H$29*(1-$N$5:$N$29*$O$5:$O$29))*g_salMult+SUMPRODUCT(($B$5:$B$29&gt;=A36)*($B$5:$B$29&lt;A36+1)*$I$5:$I$29)*g_salMult</f>
        <v/>
      </c>
      <c r="E36" s="7">
        <f>SUMPRODUCT($W$5:$W$29,$E$5:$E$29*(1+$F$5:$F$29)^(A36-2026)*$G$5:$G$29*$H$5:$H$29*$M$5:$M$29)*g_salMult</f>
        <v/>
      </c>
      <c r="F36" s="7">
        <f>SUMPRODUCT($W$5:$W$29,$E$5:$E$29*(1+$F$5:$F$29)^(A36-2026)*$G$5:$G$29*$H$5:$H$29*$N$5:$N$29*$O$5:$O$29)*g_salMult</f>
        <v/>
      </c>
      <c r="G36" s="7">
        <f>SUMPRODUCT($W$5:$W$29,$P$5:$P$29*(1+$F$5:$F$29)^(A36-2026))</f>
        <v/>
      </c>
      <c r="H36" s="7">
        <f>SUMPRODUCT($W$5:$W$29,$Q$5:$Q$29*(1+$F$5:$F$29)^(A36-2026))+IF(personal_llcActivo=1,personal_llcNeto*(1+personal_llcCrecimiento)^3,0)</f>
        <v/>
      </c>
      <c r="I36" s="7">
        <f>SUMPRODUCT($W$5:$W$29,$J$5:$J$29/($C$5:$C$29-$B$5:$B$29+($C$5:$C$29=$B$5:$B$29)))*C36</f>
        <v/>
      </c>
      <c r="J36" s="7">
        <f>SUMPRODUCT($W$5:$W$29,$K$5:$K$29)</f>
        <v/>
      </c>
      <c r="K36" s="7">
        <f>SUMPRODUCT($W$5:$W$29,$L$5:$L$29)</f>
        <v/>
      </c>
      <c r="L36" s="7">
        <f>SUMPRODUCT($W$5:$W$29,$N$5:$N$29)</f>
        <v/>
      </c>
      <c r="M36" s="7">
        <f>IF(SUMPRODUCT($W$5:$W$29,$R$5:$R$29)&gt;0,1,0)</f>
        <v/>
      </c>
      <c r="N36" s="7">
        <f>SUMPRODUCT(($AO$5:$AO$24&gt;=A36)*($AO$5:$AO$24&lt;A36+1)*$AP$5:$AP$24)*C36+IF(3=0,IF(sel_loc&lt;&gt;"miami",personal_costoMudanzaInicial,0),0)</f>
        <v/>
      </c>
      <c r="O36" s="7">
        <f>MIN(personal_aporte403bPct*D36,retiro_limite403b*C36)</f>
        <v/>
      </c>
      <c r="P36" s="7">
        <f>MIN(personal_aporte403bPct,personal_match403bPct)*E36</f>
        <v/>
      </c>
      <c r="Q36" s="7">
        <f>IF(G36&gt;0,MAX(0,G36-impuestos_scorpCostoAnual*C36),0)</f>
        <v/>
      </c>
      <c r="R36" s="7">
        <f>Q36*impuestos_scorpSalarioPct/(1+impuestos_ssTasa+impuestos_medicareTasa)</f>
        <v/>
      </c>
      <c r="S36" s="7">
        <f>impuestos_ssTasa*MIN(R36,MAX(0,impuestos_ssTope*C36-D36))+impuestos_medicareTasa*R36</f>
        <v/>
      </c>
      <c r="T36" s="7">
        <f>Q36-R36-S36</f>
        <v/>
      </c>
      <c r="U36" s="7">
        <f>D36+R36</f>
        <v/>
      </c>
      <c r="V36" s="7">
        <f>H36*0.9235</f>
        <v/>
      </c>
      <c r="W36" s="7">
        <f>IF(H36&gt;0,2*impuestos_ssTasa*MIN(V36,MAX(0,impuestos_ssTope*C36-U36))+2*impuestos_medicareTasa*V36,0)</f>
        <v/>
      </c>
      <c r="X36" s="7">
        <f>impuestos_ssTasa*MIN(U36,impuestos_ssTope*C36)+impuestos_medicareTasa*U36+impuestos_medicareAdicional*MAX(0,U36+H36*0.9235-impuestos_medicareUmbral)</f>
        <v/>
      </c>
      <c r="Y36" s="7">
        <f>MAX(0,D36-O36+R36+T36+H36-W36/2)</f>
        <v/>
      </c>
      <c r="Z36" s="7">
        <f>MAX(0,Y36-impuestos_deduccionEstandar*C36)</f>
        <v/>
      </c>
      <c r="AA36" s="7">
        <f>MIN(0.2*MAX(0,T36+H36-W36/2)*MAX(0,MIN(1,1-(Z36-impuestos_qbiUmbral*C36)/(impuestos_qbiRango*C36))),0.2*Z36)</f>
        <v/>
      </c>
      <c r="AB36" s="7">
        <f>MAX(0,Z36-AA36)</f>
        <v/>
      </c>
      <c r="AC36" s="7">
        <f>SUMPRODUCT((AB36&gt;tb_federalBrackets_lo*C36)*(AB36-tb_federalBrackets_lo*C36)*tb_federalBrackets_dr)</f>
        <v/>
      </c>
      <c r="AD36" s="7">
        <f>MAX(0,Y36-impuestos_nyDeduccion*C36)</f>
        <v/>
      </c>
      <c r="AE36" s="7">
        <f>CHOOSE(loc_taxcode,0,impuestos_ohTasa*MAX(0,Y36-impuestos_ohExento*C36)+impuestos_ohMunicipal*U36,SUMPRODUCT((AD36&gt;tb_nyBrackets_lo*C36)*(AD36-tb_nyBrackets_lo*C36)*tb_nyBrackets_dr)+loc_nyc*SUMPRODUCT((AD36&gt;tb_nycBrackets_lo*C36)*(AD36-tb_nycBrackets_lo*C36)*tb_nycBrackets_dr))</f>
        <v/>
      </c>
      <c r="AF36" s="7">
        <f>AC36+AE36+X36+W36</f>
        <v/>
      </c>
      <c r="AG36" s="7">
        <f>D36+F36+R36+T36+H36</f>
        <v/>
      </c>
      <c r="AH36" s="7">
        <f>AG36-AF36-O36</f>
        <v/>
      </c>
      <c r="AI36" s="7">
        <f>D36+F36+G36+H36</f>
        <v/>
      </c>
      <c r="AJ36" s="7">
        <f>loc_gastosVida*C36*g_gastos</f>
        <v/>
      </c>
      <c r="AK36" s="7">
        <f>IF(3=0,personal_liquidoInicial,DR35)</f>
        <v/>
      </c>
      <c r="AL36" s="7">
        <f>IF(3=0,0,BB35)</f>
        <v/>
      </c>
      <c r="AM36" s="7">
        <f>CHOOSE(sel_cfgIdx,loc_precio_duplex,loc_precio_inlaw,loc_precio_dosCasas,loc_precio_casaAdu,loc_precio_multi)</f>
        <v/>
      </c>
      <c r="AN36" s="7">
        <f>AM36*(1+g_appr)^(A36-2026)</f>
        <v/>
      </c>
      <c r="AO36" s="7">
        <f>IF(AND(M36=1,vivienda_prestamoMedico=1),1,0)</f>
        <v/>
      </c>
      <c r="AP36" s="7">
        <f>IF(AO36=1,0.05,vivienda_enganchePct)</f>
        <v/>
      </c>
      <c r="AQ36" s="7">
        <f>AN36*(1-AP36)</f>
        <v/>
      </c>
      <c r="AR36" s="7">
        <f>PMT(g_mortRate/12,vivienda_plazoHipoteca*12,-AQ36)</f>
        <v/>
      </c>
      <c r="AS36" s="7">
        <f>INDEX(cfg_units,sel_cfgIdx)</f>
        <v/>
      </c>
      <c r="AT36" s="7">
        <f>AS36*loc_rentaUnidad*(1+g_inf)^(A36-2026)*(1-vivienda_vacancia)</f>
        <v/>
      </c>
      <c r="AU36" s="7">
        <f>AR36+AN36*loc_impuestoPropPct/12+AM36*loc_seguroPct*(1+vivienda_inflacionSeguro)^(A36-2026)/12+IF(AND(AO36=0,AP36&lt;0.2),AQ36*vivienda_pmiTasa/12,0)</f>
        <v/>
      </c>
      <c r="AV36" s="7">
        <f>AN36*AP36+AN36*vivienda_cierrePct+general_reservaMeses/12*AJ36</f>
        <v/>
      </c>
      <c r="AW36" s="7">
        <f>(IF(3=0,MIN(personal_irsSaldo,personal_irsPagoMensual*12),MIN(CD35,personal_irsPagoMensual*12))+IF(CE36&gt;0,PMT(CF36,MAX(1,prestamos_plazoAnios-CG36),-CE36),0)+IF(CR36&gt;0,PMT(CS36,MAX(1,prestamos_plazoAnios-CT36),-CR36),0))/12</f>
        <v/>
      </c>
      <c r="AX36" s="7">
        <f>IF(OR(sel_cfg="duplex",sel_cfg="multi",sel_cfg="dosCasas"),0.75*personal_aporteFamiliaMensual,0)</f>
        <v/>
      </c>
      <c r="AY36" s="7">
        <f>AU36-0.75*AT36-AX36+AW36</f>
        <v/>
      </c>
      <c r="AZ36" s="7">
        <f>(D36+G36+H36+0.5*F36)/12</f>
        <v/>
      </c>
      <c r="BA36" s="7">
        <f>IF(AND(AL36=0,A36&gt;=vivienda_anioMinCompra,J36&lt;0.5,AI36&gt;0,AK36&gt;=AV36,AY36&lt;=vivienda_dtiMax*AZ36),1,0)</f>
        <v/>
      </c>
      <c r="BB36" s="7">
        <f>MAX(AL36,BA36)</f>
        <v/>
      </c>
      <c r="BC36" s="7">
        <f>IF(BA36=1,A36,IF(3=0,"",BC35))</f>
        <v/>
      </c>
      <c r="BD36" s="7">
        <f>AK36-IF(BA36=1,AN36*AP36+AN36*vivienda_cierrePct,0)</f>
        <v/>
      </c>
      <c r="BE36" s="7">
        <f>IF(BA36=1,AN36,IF(3=0,0,BE35))</f>
        <v/>
      </c>
      <c r="BF36" s="7">
        <f>IF(BA36=1,AR36,IF(3=0,0,BF35))</f>
        <v/>
      </c>
      <c r="BG36" s="7">
        <f>IF(BA36=1,IF(AND(AO36=0,AP36&lt;0.2),1,0),IF(3=0,0,BY35))</f>
        <v/>
      </c>
      <c r="BH36" s="7">
        <f>IF(sel_cfg="casaAdu",1,0)</f>
        <v/>
      </c>
      <c r="BI36" s="7">
        <f>IF(AND(BB36=1,BH36=1,IF(3=0,0,BJ35)=0,A36&gt;=IF(BC36="",9999,BC36)+vivienda_aduRetrasoAnios),1,0)</f>
        <v/>
      </c>
      <c r="BJ36" s="7">
        <f>MAX(IF(3=0,0,BJ35),BI36)</f>
        <v/>
      </c>
      <c r="BK36" s="7">
        <f>IF(BI36=1,PMT((g_mortRate+0.005)/12,180,-loc_precio_aduCosto*C36),IF(3=0,0,BK35))</f>
        <v/>
      </c>
      <c r="BL36" s="7">
        <f>IF(BA36=1,AN36,IF(3=0,0,DT35))+IF(BI36=1,loc_precio_aduCosto*C36,0)</f>
        <v/>
      </c>
      <c r="BM36" s="7">
        <f>IF(BA36=1,AQ36,IF(3=0,0,DU35))</f>
        <v/>
      </c>
      <c r="BN36" s="7">
        <f>IF(BM36&lt;=0,0,FV(g_mortRate/12,12,BF36,-BM36))</f>
        <v/>
      </c>
      <c r="BO36" s="7">
        <f>IF(BM36&lt;=0,0,12*BF36+MIN(0,BN36))</f>
        <v/>
      </c>
      <c r="BP36" s="7">
        <f>MAX(0,BN36)</f>
        <v/>
      </c>
      <c r="BQ36" s="7">
        <f>IF(BI36=1,loc_precio_aduCosto*C36,IF(3=0,0,DV35))</f>
        <v/>
      </c>
      <c r="BR36" s="7">
        <f>IF(BQ36&lt;=0,0,FV((g_mortRate+0.005)/12,12,BK36,-BQ36))</f>
        <v/>
      </c>
      <c r="BS36" s="7">
        <f>IF(BQ36&lt;=0,0,12*BK36+MIN(0,BR36))</f>
        <v/>
      </c>
      <c r="BT36" s="7">
        <f>MAX(0,BR36)</f>
        <v/>
      </c>
      <c r="BU36" s="7">
        <f>IF(BB36=1,AM36*loc_seguroPct*(1+vivienda_inflacionSeguro)^(A36-2026)*IF(BJ36=1,1+loc_precio_aduCosto/AM36,1),0)</f>
        <v/>
      </c>
      <c r="BV36" s="7">
        <f>BL36*loc_impuestoPropPct</f>
        <v/>
      </c>
      <c r="BW36" s="7">
        <f>BL36*vivienda_mantenimientoPct</f>
        <v/>
      </c>
      <c r="BX36" s="7">
        <f>IF(AND(BG36=1,BP36&gt;0.8*BE36),BE36*(1-vivienda_enganchePct)*vivienda_pmiTasa,0)</f>
        <v/>
      </c>
      <c r="BY36" s="7">
        <f>IF(AND(BG36=1,BP36&gt;0.8*BE36),1,0)</f>
        <v/>
      </c>
      <c r="BZ36" s="7">
        <f>IF(BB36=1,AS36*loc_rentaUnidad*12*C36*(1-vivienda_vacancia)*(1-vivienda_gestionPct),0)</f>
        <v/>
      </c>
      <c r="CA36" s="7">
        <f>IF(BB36=1,BO36+BS36+BU36+BV36+BW36+BX36,loc_rentaMensual*12*C36)</f>
        <v/>
      </c>
      <c r="CB36" s="7">
        <f>IF(BB36=1,personal_aporteFamiliaMensual*12,0)</f>
        <v/>
      </c>
      <c r="CC36" s="7">
        <f>MIN(IF(3=0,personal_irsSaldo,CD35),personal_irsPagoMensual*12)</f>
        <v/>
      </c>
      <c r="CD36" s="7">
        <f>IF(3=0,personal_irsSaldo,CD35)-CC36</f>
        <v/>
      </c>
      <c r="CE36" s="7">
        <f>IF(3=0,IF(personal_deudaEsFederal=1,personal_deudaEstudiantil,0),DW35)</f>
        <v/>
      </c>
      <c r="CF36" s="7">
        <f>IF(3=0,personal_tasaDeudaEstudiantil,DX35)</f>
        <v/>
      </c>
      <c r="CG36" s="7">
        <f>IF(3=0,0,DY35)</f>
        <v/>
      </c>
      <c r="CH36" s="7">
        <f>IF(J36&gt;=0.5,1,0)</f>
        <v/>
      </c>
      <c r="CI36" s="7">
        <f>IF(AND(CH36=0,prestamos_pslfActivo=1,K36&gt;=0.5,CE36&gt;0),1,0)</f>
        <v/>
      </c>
      <c r="CJ36" s="7">
        <f>CE36*CF36</f>
        <v/>
      </c>
      <c r="CK36" s="7">
        <f>MAX(prestamos_rapPagoMinimoAnual,IF(Y36&lt;10000,0,MIN(0.1,INT(Y36/10000)/100))*Y36)</f>
        <v/>
      </c>
      <c r="CL36" s="7">
        <f>IF(CE36&lt;=0,0,IF(CH36=1,0,IF(CI36=1,MIN(CE36+CJ36,CK36),PMT(CF36,MAX(1,prestamos_plazoAnios-CG36),-CE36))))</f>
        <v/>
      </c>
      <c r="CM36" s="7">
        <f>IF(CE36&lt;=0,0,IF(CH36=1,CE36+CJ36,IF(CI36=1,MAX(0,CE36-MAX(CL36-CJ36,MIN(600,CL36))),MAX(0,CE36*(1+CF36)-CL36))))</f>
        <v/>
      </c>
      <c r="CN36" s="7">
        <f>IF(3=0,0,CN35)+IF(CI36=1,12*MIN(1,K36),0)</f>
        <v/>
      </c>
      <c r="CO36" s="7">
        <f>IF(AND(CI36=1,CN36&gt;=prestamos_pslfPagos,CM36&gt;0),CM36,0)</f>
        <v/>
      </c>
      <c r="CP36" s="7">
        <f>CM36-CO36</f>
        <v/>
      </c>
      <c r="CQ36" s="7">
        <f>IF(AND(CE36&gt;0,CH36=0,CI36=0),CG36+1,CG36)</f>
        <v/>
      </c>
      <c r="CR36" s="7">
        <f>IF(3=0,IF(personal_deudaEsFederal=1,0,personal_deudaEstudiantil),EA35)</f>
        <v/>
      </c>
      <c r="CS36" s="7">
        <f>IF(3=0,IF(personal_deudaEsFederal=1,prestamos_tasaPrivada,personal_tasaDeudaEstudiantil),EB35)</f>
        <v/>
      </c>
      <c r="CT36" s="7">
        <f>IF(3=0,0,EC35)</f>
        <v/>
      </c>
      <c r="CU36" s="7">
        <f>IF(OR(CR36&lt;=0,CH36=1),0,PMT(CS36,MAX(1,prestamos_plazoAnios-CT36),-CR36))</f>
        <v/>
      </c>
      <c r="CV36" s="7">
        <f>IF(CR36&lt;=0,0,IF(CH36=1,CR36*(1+CS36),MAX(0,CR36*(1+CS36)-CU36)))</f>
        <v/>
      </c>
      <c r="CW36" s="7">
        <f>IF(AND(CR36&gt;0,CH36=0),CT36+1,CT36)</f>
        <v/>
      </c>
      <c r="CX36" s="7">
        <f>IF(3=0,0,ED35)*(1+general_tasaDeudaConsumo)</f>
        <v/>
      </c>
      <c r="CY36" s="7">
        <f>L36*12*tiempos_travelGastoExtraMes*C36</f>
        <v/>
      </c>
      <c r="CZ36" s="7">
        <f>AJ36+CY36+CA36+CC36+CL36+CU36+I36+N36-BZ36-CB36</f>
        <v/>
      </c>
      <c r="DA36" s="7">
        <f>AH36-CZ36</f>
        <v/>
      </c>
      <c r="DB36" s="7">
        <f>IF(3=0,0,DB35)+DA36</f>
        <v/>
      </c>
      <c r="DC36" s="7">
        <f>AN36*vivienda_enganchePct+AN36*vivienda_cierrePct+general_reservaMeses/12*AJ36</f>
        <v/>
      </c>
      <c r="DD36" s="7">
        <f>IF(BB36=1,g_ret,IF(BD36&gt;0,MIN(1,DC36/BD36),1)*g_cash+(1-IF(BD36&gt;0,MIN(1,DC36/BD36),1))*g_ret)</f>
        <v/>
      </c>
      <c r="DE36" s="7">
        <f>IF(DA36&gt;=0,MIN(CX36,DA36),0)</f>
        <v/>
      </c>
      <c r="DF36" s="7">
        <f>IF(DA36&gt;=0,(1-general_tasaAhorro)*(DA36-DE36),0)</f>
        <v/>
      </c>
      <c r="DG36" s="7">
        <f>IF(DA36&gt;=0,DA36-DE36-DF36,0)</f>
        <v/>
      </c>
      <c r="DH36" s="7">
        <f>MIN(personal_rothAnual,DG36)</f>
        <v/>
      </c>
      <c r="DI36" s="7">
        <f>IF(AND(DA36&gt;=0,BB36=1,BP36+BT36&gt;0),MIN(vivienda_prepagoPct*(DG36-DH36),BP36+BT36),0)</f>
        <v/>
      </c>
      <c r="DJ36" s="7">
        <f>MIN(DI36,BP36)</f>
        <v/>
      </c>
      <c r="DK36" s="7">
        <f>IF(DA36&lt;0,MIN(MAX(0,BD36),-DA36),0)</f>
        <v/>
      </c>
      <c r="DL36" s="7">
        <f>IF(DA36&lt;0,-DA36-DK36,0)</f>
        <v/>
      </c>
      <c r="DM36" s="7">
        <f>IF(3=0,0,DZ35)</f>
        <v/>
      </c>
      <c r="DN36" s="7">
        <f>IF(AND(DL36&gt;0,J36&gt;0),MIN(DL36,MIN(prestamos_topeAnualPosgrado*MIN(1,J36),MAX(0,prestamos_topeTotalPosgrado-DM36))),0)</f>
        <v/>
      </c>
      <c r="DO36" s="7">
        <f>IF(AND(DL36&gt;0,J36&gt;0),DL36-DN36,0)</f>
        <v/>
      </c>
      <c r="DP36" s="7">
        <f>IF(AND(DL36&gt;0,J36&lt;=0),DL36,0)</f>
        <v/>
      </c>
      <c r="DQ36" s="7">
        <f>IF(DA36&gt;=0,DG36-DH36-DI36,-DK36)</f>
        <v/>
      </c>
      <c r="DR36" s="7">
        <f>BD36*(1+DD36)+DQ36*(1+DD36/2)</f>
        <v/>
      </c>
      <c r="DS36" s="7">
        <f>IF(3=0,personal_retiroInicial,DS35)*(1+g_ret)+(O36+P36+DH36)*(1+g_ret/2)</f>
        <v/>
      </c>
      <c r="DT36" s="7">
        <f>IF(BB36=1,BL36*(1+g_appr),0)</f>
        <v/>
      </c>
      <c r="DU36" s="7">
        <f>BP36-DJ36</f>
        <v/>
      </c>
      <c r="DV36" s="7">
        <f>BT36-(DI36-DJ36)</f>
        <v/>
      </c>
      <c r="DW36" s="7">
        <f>CP36+DN36</f>
        <v/>
      </c>
      <c r="DX36" s="7">
        <f>IF(DN36&gt;0,(CP36*CF36+DN36*prestamos_tasaFederalPosgrado)/(CP36+DN36),CF36)</f>
        <v/>
      </c>
      <c r="DY36" s="7">
        <f>IF(DN36&gt;0,0,CQ36)</f>
        <v/>
      </c>
      <c r="DZ36" s="7">
        <f>DM36+DN36</f>
        <v/>
      </c>
      <c r="EA36" s="7">
        <f>CV36+DO36</f>
        <v/>
      </c>
      <c r="EB36" s="7">
        <f>IF(DO36&gt;0,(CV36*CS36+DO36*prestamos_tasaPrivada)/(CV36+DO36),CS36)</f>
        <v/>
      </c>
      <c r="EC36" s="7">
        <f>IF(DO36&gt;0,0,CW36)</f>
        <v/>
      </c>
      <c r="ED36" s="7">
        <f>CX36-DE36+DP36</f>
        <v/>
      </c>
      <c r="EE36" s="7">
        <f>IF(IF(3=0,"",EE35)&lt;&gt;"",EE35,IF(AND(BB36=1,DU36&lt;=0.5,DV36&lt;=0.5,OR(BH36=0,BJ36=1)),A36,""))</f>
        <v/>
      </c>
      <c r="EF36" s="7">
        <f>DU36+DV36+DW36+EA36+ED36+CD36</f>
        <v/>
      </c>
      <c r="EG36" s="7">
        <f>DR36+DS36+DT36-EF36</f>
        <v/>
      </c>
      <c r="EH36" s="7">
        <f>EG36/(1+g_inf)^(A36+1-2026)</f>
        <v/>
      </c>
    </row>
    <row r="37">
      <c r="A37" t="n">
        <v>2031</v>
      </c>
      <c r="B37" t="n">
        <v>4</v>
      </c>
      <c r="C37" s="7">
        <f>(1+g_inf)^(A37-2026)</f>
        <v/>
      </c>
      <c r="D37" s="7">
        <f>SUMPRODUCT($X$5:$X$29,$E$5:$E$29*(1+$F$5:$F$29)^(A37-2026)*$G$5:$G$29*$H$5:$H$29*(1-$N$5:$N$29*$O$5:$O$29))*g_salMult+SUMPRODUCT(($B$5:$B$29&gt;=A37)*($B$5:$B$29&lt;A37+1)*$I$5:$I$29)*g_salMult</f>
        <v/>
      </c>
      <c r="E37" s="7">
        <f>SUMPRODUCT($X$5:$X$29,$E$5:$E$29*(1+$F$5:$F$29)^(A37-2026)*$G$5:$G$29*$H$5:$H$29*$M$5:$M$29)*g_salMult</f>
        <v/>
      </c>
      <c r="F37" s="7">
        <f>SUMPRODUCT($X$5:$X$29,$E$5:$E$29*(1+$F$5:$F$29)^(A37-2026)*$G$5:$G$29*$H$5:$H$29*$N$5:$N$29*$O$5:$O$29)*g_salMult</f>
        <v/>
      </c>
      <c r="G37" s="7">
        <f>SUMPRODUCT($X$5:$X$29,$P$5:$P$29*(1+$F$5:$F$29)^(A37-2026))</f>
        <v/>
      </c>
      <c r="H37" s="7">
        <f>SUMPRODUCT($X$5:$X$29,$Q$5:$Q$29*(1+$F$5:$F$29)^(A37-2026))+IF(personal_llcActivo=1,personal_llcNeto*(1+personal_llcCrecimiento)^4,0)</f>
        <v/>
      </c>
      <c r="I37" s="7">
        <f>SUMPRODUCT($X$5:$X$29,$J$5:$J$29/($C$5:$C$29-$B$5:$B$29+($C$5:$C$29=$B$5:$B$29)))*C37</f>
        <v/>
      </c>
      <c r="J37" s="7">
        <f>SUMPRODUCT($X$5:$X$29,$K$5:$K$29)</f>
        <v/>
      </c>
      <c r="K37" s="7">
        <f>SUMPRODUCT($X$5:$X$29,$L$5:$L$29)</f>
        <v/>
      </c>
      <c r="L37" s="7">
        <f>SUMPRODUCT($X$5:$X$29,$N$5:$N$29)</f>
        <v/>
      </c>
      <c r="M37" s="7">
        <f>IF(SUMPRODUCT($X$5:$X$29,$R$5:$R$29)&gt;0,1,0)</f>
        <v/>
      </c>
      <c r="N37" s="7">
        <f>SUMPRODUCT(($AO$5:$AO$24&gt;=A37)*($AO$5:$AO$24&lt;A37+1)*$AP$5:$AP$24)*C37+IF(4=0,IF(sel_loc&lt;&gt;"miami",personal_costoMudanzaInicial,0),0)</f>
        <v/>
      </c>
      <c r="O37" s="7">
        <f>MIN(personal_aporte403bPct*D37,retiro_limite403b*C37)</f>
        <v/>
      </c>
      <c r="P37" s="7">
        <f>MIN(personal_aporte403bPct,personal_match403bPct)*E37</f>
        <v/>
      </c>
      <c r="Q37" s="7">
        <f>IF(G37&gt;0,MAX(0,G37-impuestos_scorpCostoAnual*C37),0)</f>
        <v/>
      </c>
      <c r="R37" s="7">
        <f>Q37*impuestos_scorpSalarioPct/(1+impuestos_ssTasa+impuestos_medicareTasa)</f>
        <v/>
      </c>
      <c r="S37" s="7">
        <f>impuestos_ssTasa*MIN(R37,MAX(0,impuestos_ssTope*C37-D37))+impuestos_medicareTasa*R37</f>
        <v/>
      </c>
      <c r="T37" s="7">
        <f>Q37-R37-S37</f>
        <v/>
      </c>
      <c r="U37" s="7">
        <f>D37+R37</f>
        <v/>
      </c>
      <c r="V37" s="7">
        <f>H37*0.9235</f>
        <v/>
      </c>
      <c r="W37" s="7">
        <f>IF(H37&gt;0,2*impuestos_ssTasa*MIN(V37,MAX(0,impuestos_ssTope*C37-U37))+2*impuestos_medicareTasa*V37,0)</f>
        <v/>
      </c>
      <c r="X37" s="7">
        <f>impuestos_ssTasa*MIN(U37,impuestos_ssTope*C37)+impuestos_medicareTasa*U37+impuestos_medicareAdicional*MAX(0,U37+H37*0.9235-impuestos_medicareUmbral)</f>
        <v/>
      </c>
      <c r="Y37" s="7">
        <f>MAX(0,D37-O37+R37+T37+H37-W37/2)</f>
        <v/>
      </c>
      <c r="Z37" s="7">
        <f>MAX(0,Y37-impuestos_deduccionEstandar*C37)</f>
        <v/>
      </c>
      <c r="AA37" s="7">
        <f>MIN(0.2*MAX(0,T37+H37-W37/2)*MAX(0,MIN(1,1-(Z37-impuestos_qbiUmbral*C37)/(impuestos_qbiRango*C37))),0.2*Z37)</f>
        <v/>
      </c>
      <c r="AB37" s="7">
        <f>MAX(0,Z37-AA37)</f>
        <v/>
      </c>
      <c r="AC37" s="7">
        <f>SUMPRODUCT((AB37&gt;tb_federalBrackets_lo*C37)*(AB37-tb_federalBrackets_lo*C37)*tb_federalBrackets_dr)</f>
        <v/>
      </c>
      <c r="AD37" s="7">
        <f>MAX(0,Y37-impuestos_nyDeduccion*C37)</f>
        <v/>
      </c>
      <c r="AE37" s="7">
        <f>CHOOSE(loc_taxcode,0,impuestos_ohTasa*MAX(0,Y37-impuestos_ohExento*C37)+impuestos_ohMunicipal*U37,SUMPRODUCT((AD37&gt;tb_nyBrackets_lo*C37)*(AD37-tb_nyBrackets_lo*C37)*tb_nyBrackets_dr)+loc_nyc*SUMPRODUCT((AD37&gt;tb_nycBrackets_lo*C37)*(AD37-tb_nycBrackets_lo*C37)*tb_nycBrackets_dr))</f>
        <v/>
      </c>
      <c r="AF37" s="7">
        <f>AC37+AE37+X37+W37</f>
        <v/>
      </c>
      <c r="AG37" s="7">
        <f>D37+F37+R37+T37+H37</f>
        <v/>
      </c>
      <c r="AH37" s="7">
        <f>AG37-AF37-O37</f>
        <v/>
      </c>
      <c r="AI37" s="7">
        <f>D37+F37+G37+H37</f>
        <v/>
      </c>
      <c r="AJ37" s="7">
        <f>loc_gastosVida*C37*g_gastos</f>
        <v/>
      </c>
      <c r="AK37" s="7">
        <f>IF(4=0,personal_liquidoInicial,DR36)</f>
        <v/>
      </c>
      <c r="AL37" s="7">
        <f>IF(4=0,0,BB36)</f>
        <v/>
      </c>
      <c r="AM37" s="7">
        <f>CHOOSE(sel_cfgIdx,loc_precio_duplex,loc_precio_inlaw,loc_precio_dosCasas,loc_precio_casaAdu,loc_precio_multi)</f>
        <v/>
      </c>
      <c r="AN37" s="7">
        <f>AM37*(1+g_appr)^(A37-2026)</f>
        <v/>
      </c>
      <c r="AO37" s="7">
        <f>IF(AND(M37=1,vivienda_prestamoMedico=1),1,0)</f>
        <v/>
      </c>
      <c r="AP37" s="7">
        <f>IF(AO37=1,0.05,vivienda_enganchePct)</f>
        <v/>
      </c>
      <c r="AQ37" s="7">
        <f>AN37*(1-AP37)</f>
        <v/>
      </c>
      <c r="AR37" s="7">
        <f>PMT(g_mortRate/12,vivienda_plazoHipoteca*12,-AQ37)</f>
        <v/>
      </c>
      <c r="AS37" s="7">
        <f>INDEX(cfg_units,sel_cfgIdx)</f>
        <v/>
      </c>
      <c r="AT37" s="7">
        <f>AS37*loc_rentaUnidad*(1+g_inf)^(A37-2026)*(1-vivienda_vacancia)</f>
        <v/>
      </c>
      <c r="AU37" s="7">
        <f>AR37+AN37*loc_impuestoPropPct/12+AM37*loc_seguroPct*(1+vivienda_inflacionSeguro)^(A37-2026)/12+IF(AND(AO37=0,AP37&lt;0.2),AQ37*vivienda_pmiTasa/12,0)</f>
        <v/>
      </c>
      <c r="AV37" s="7">
        <f>AN37*AP37+AN37*vivienda_cierrePct+general_reservaMeses/12*AJ37</f>
        <v/>
      </c>
      <c r="AW37" s="7">
        <f>(IF(4=0,MIN(personal_irsSaldo,personal_irsPagoMensual*12),MIN(CD36,personal_irsPagoMensual*12))+IF(CE37&gt;0,PMT(CF37,MAX(1,prestamos_plazoAnios-CG37),-CE37),0)+IF(CR37&gt;0,PMT(CS37,MAX(1,prestamos_plazoAnios-CT37),-CR37),0))/12</f>
        <v/>
      </c>
      <c r="AX37" s="7">
        <f>IF(OR(sel_cfg="duplex",sel_cfg="multi",sel_cfg="dosCasas"),0.75*personal_aporteFamiliaMensual,0)</f>
        <v/>
      </c>
      <c r="AY37" s="7">
        <f>AU37-0.75*AT37-AX37+AW37</f>
        <v/>
      </c>
      <c r="AZ37" s="7">
        <f>(D37+G37+H37+0.5*F37)/12</f>
        <v/>
      </c>
      <c r="BA37" s="7">
        <f>IF(AND(AL37=0,A37&gt;=vivienda_anioMinCompra,J37&lt;0.5,AI37&gt;0,AK37&gt;=AV37,AY37&lt;=vivienda_dtiMax*AZ37),1,0)</f>
        <v/>
      </c>
      <c r="BB37" s="7">
        <f>MAX(AL37,BA37)</f>
        <v/>
      </c>
      <c r="BC37" s="7">
        <f>IF(BA37=1,A37,IF(4=0,"",BC36))</f>
        <v/>
      </c>
      <c r="BD37" s="7">
        <f>AK37-IF(BA37=1,AN37*AP37+AN37*vivienda_cierrePct,0)</f>
        <v/>
      </c>
      <c r="BE37" s="7">
        <f>IF(BA37=1,AN37,IF(4=0,0,BE36))</f>
        <v/>
      </c>
      <c r="BF37" s="7">
        <f>IF(BA37=1,AR37,IF(4=0,0,BF36))</f>
        <v/>
      </c>
      <c r="BG37" s="7">
        <f>IF(BA37=1,IF(AND(AO37=0,AP37&lt;0.2),1,0),IF(4=0,0,BY36))</f>
        <v/>
      </c>
      <c r="BH37" s="7">
        <f>IF(sel_cfg="casaAdu",1,0)</f>
        <v/>
      </c>
      <c r="BI37" s="7">
        <f>IF(AND(BB37=1,BH37=1,IF(4=0,0,BJ36)=0,A37&gt;=IF(BC37="",9999,BC37)+vivienda_aduRetrasoAnios),1,0)</f>
        <v/>
      </c>
      <c r="BJ37" s="7">
        <f>MAX(IF(4=0,0,BJ36),BI37)</f>
        <v/>
      </c>
      <c r="BK37" s="7">
        <f>IF(BI37=1,PMT((g_mortRate+0.005)/12,180,-loc_precio_aduCosto*C37),IF(4=0,0,BK36))</f>
        <v/>
      </c>
      <c r="BL37" s="7">
        <f>IF(BA37=1,AN37,IF(4=0,0,DT36))+IF(BI37=1,loc_precio_aduCosto*C37,0)</f>
        <v/>
      </c>
      <c r="BM37" s="7">
        <f>IF(BA37=1,AQ37,IF(4=0,0,DU36))</f>
        <v/>
      </c>
      <c r="BN37" s="7">
        <f>IF(BM37&lt;=0,0,FV(g_mortRate/12,12,BF37,-BM37))</f>
        <v/>
      </c>
      <c r="BO37" s="7">
        <f>IF(BM37&lt;=0,0,12*BF37+MIN(0,BN37))</f>
        <v/>
      </c>
      <c r="BP37" s="7">
        <f>MAX(0,BN37)</f>
        <v/>
      </c>
      <c r="BQ37" s="7">
        <f>IF(BI37=1,loc_precio_aduCosto*C37,IF(4=0,0,DV36))</f>
        <v/>
      </c>
      <c r="BR37" s="7">
        <f>IF(BQ37&lt;=0,0,FV((g_mortRate+0.005)/12,12,BK37,-BQ37))</f>
        <v/>
      </c>
      <c r="BS37" s="7">
        <f>IF(BQ37&lt;=0,0,12*BK37+MIN(0,BR37))</f>
        <v/>
      </c>
      <c r="BT37" s="7">
        <f>MAX(0,BR37)</f>
        <v/>
      </c>
      <c r="BU37" s="7">
        <f>IF(BB37=1,AM37*loc_seguroPct*(1+vivienda_inflacionSeguro)^(A37-2026)*IF(BJ37=1,1+loc_precio_aduCosto/AM37,1),0)</f>
        <v/>
      </c>
      <c r="BV37" s="7">
        <f>BL37*loc_impuestoPropPct</f>
        <v/>
      </c>
      <c r="BW37" s="7">
        <f>BL37*vivienda_mantenimientoPct</f>
        <v/>
      </c>
      <c r="BX37" s="7">
        <f>IF(AND(BG37=1,BP37&gt;0.8*BE37),BE37*(1-vivienda_enganchePct)*vivienda_pmiTasa,0)</f>
        <v/>
      </c>
      <c r="BY37" s="7">
        <f>IF(AND(BG37=1,BP37&gt;0.8*BE37),1,0)</f>
        <v/>
      </c>
      <c r="BZ37" s="7">
        <f>IF(BB37=1,AS37*loc_rentaUnidad*12*C37*(1-vivienda_vacancia)*(1-vivienda_gestionPct),0)</f>
        <v/>
      </c>
      <c r="CA37" s="7">
        <f>IF(BB37=1,BO37+BS37+BU37+BV37+BW37+BX37,loc_rentaMensual*12*C37)</f>
        <v/>
      </c>
      <c r="CB37" s="7">
        <f>IF(BB37=1,personal_aporteFamiliaMensual*12,0)</f>
        <v/>
      </c>
      <c r="CC37" s="7">
        <f>MIN(IF(4=0,personal_irsSaldo,CD36),personal_irsPagoMensual*12)</f>
        <v/>
      </c>
      <c r="CD37" s="7">
        <f>IF(4=0,personal_irsSaldo,CD36)-CC37</f>
        <v/>
      </c>
      <c r="CE37" s="7">
        <f>IF(4=0,IF(personal_deudaEsFederal=1,personal_deudaEstudiantil,0),DW36)</f>
        <v/>
      </c>
      <c r="CF37" s="7">
        <f>IF(4=0,personal_tasaDeudaEstudiantil,DX36)</f>
        <v/>
      </c>
      <c r="CG37" s="7">
        <f>IF(4=0,0,DY36)</f>
        <v/>
      </c>
      <c r="CH37" s="7">
        <f>IF(J37&gt;=0.5,1,0)</f>
        <v/>
      </c>
      <c r="CI37" s="7">
        <f>IF(AND(CH37=0,prestamos_pslfActivo=1,K37&gt;=0.5,CE37&gt;0),1,0)</f>
        <v/>
      </c>
      <c r="CJ37" s="7">
        <f>CE37*CF37</f>
        <v/>
      </c>
      <c r="CK37" s="7">
        <f>MAX(prestamos_rapPagoMinimoAnual,IF(Y37&lt;10000,0,MIN(0.1,INT(Y37/10000)/100))*Y37)</f>
        <v/>
      </c>
      <c r="CL37" s="7">
        <f>IF(CE37&lt;=0,0,IF(CH37=1,0,IF(CI37=1,MIN(CE37+CJ37,CK37),PMT(CF37,MAX(1,prestamos_plazoAnios-CG37),-CE37))))</f>
        <v/>
      </c>
      <c r="CM37" s="7">
        <f>IF(CE37&lt;=0,0,IF(CH37=1,CE37+CJ37,IF(CI37=1,MAX(0,CE37-MAX(CL37-CJ37,MIN(600,CL37))),MAX(0,CE37*(1+CF37)-CL37))))</f>
        <v/>
      </c>
      <c r="CN37" s="7">
        <f>IF(4=0,0,CN36)+IF(CI37=1,12*MIN(1,K37),0)</f>
        <v/>
      </c>
      <c r="CO37" s="7">
        <f>IF(AND(CI37=1,CN37&gt;=prestamos_pslfPagos,CM37&gt;0),CM37,0)</f>
        <v/>
      </c>
      <c r="CP37" s="7">
        <f>CM37-CO37</f>
        <v/>
      </c>
      <c r="CQ37" s="7">
        <f>IF(AND(CE37&gt;0,CH37=0,CI37=0),CG37+1,CG37)</f>
        <v/>
      </c>
      <c r="CR37" s="7">
        <f>IF(4=0,IF(personal_deudaEsFederal=1,0,personal_deudaEstudiantil),EA36)</f>
        <v/>
      </c>
      <c r="CS37" s="7">
        <f>IF(4=0,IF(personal_deudaEsFederal=1,prestamos_tasaPrivada,personal_tasaDeudaEstudiantil),EB36)</f>
        <v/>
      </c>
      <c r="CT37" s="7">
        <f>IF(4=0,0,EC36)</f>
        <v/>
      </c>
      <c r="CU37" s="7">
        <f>IF(OR(CR37&lt;=0,CH37=1),0,PMT(CS37,MAX(1,prestamos_plazoAnios-CT37),-CR37))</f>
        <v/>
      </c>
      <c r="CV37" s="7">
        <f>IF(CR37&lt;=0,0,IF(CH37=1,CR37*(1+CS37),MAX(0,CR37*(1+CS37)-CU37)))</f>
        <v/>
      </c>
      <c r="CW37" s="7">
        <f>IF(AND(CR37&gt;0,CH37=0),CT37+1,CT37)</f>
        <v/>
      </c>
      <c r="CX37" s="7">
        <f>IF(4=0,0,ED36)*(1+general_tasaDeudaConsumo)</f>
        <v/>
      </c>
      <c r="CY37" s="7">
        <f>L37*12*tiempos_travelGastoExtraMes*C37</f>
        <v/>
      </c>
      <c r="CZ37" s="7">
        <f>AJ37+CY37+CA37+CC37+CL37+CU37+I37+N37-BZ37-CB37</f>
        <v/>
      </c>
      <c r="DA37" s="7">
        <f>AH37-CZ37</f>
        <v/>
      </c>
      <c r="DB37" s="7">
        <f>IF(4=0,0,DB36)+DA37</f>
        <v/>
      </c>
      <c r="DC37" s="7">
        <f>AN37*vivienda_enganchePct+AN37*vivienda_cierrePct+general_reservaMeses/12*AJ37</f>
        <v/>
      </c>
      <c r="DD37" s="7">
        <f>IF(BB37=1,g_ret,IF(BD37&gt;0,MIN(1,DC37/BD37),1)*g_cash+(1-IF(BD37&gt;0,MIN(1,DC37/BD37),1))*g_ret)</f>
        <v/>
      </c>
      <c r="DE37" s="7">
        <f>IF(DA37&gt;=0,MIN(CX37,DA37),0)</f>
        <v/>
      </c>
      <c r="DF37" s="7">
        <f>IF(DA37&gt;=0,(1-general_tasaAhorro)*(DA37-DE37),0)</f>
        <v/>
      </c>
      <c r="DG37" s="7">
        <f>IF(DA37&gt;=0,DA37-DE37-DF37,0)</f>
        <v/>
      </c>
      <c r="DH37" s="7">
        <f>MIN(personal_rothAnual,DG37)</f>
        <v/>
      </c>
      <c r="DI37" s="7">
        <f>IF(AND(DA37&gt;=0,BB37=1,BP37+BT37&gt;0),MIN(vivienda_prepagoPct*(DG37-DH37),BP37+BT37),0)</f>
        <v/>
      </c>
      <c r="DJ37" s="7">
        <f>MIN(DI37,BP37)</f>
        <v/>
      </c>
      <c r="DK37" s="7">
        <f>IF(DA37&lt;0,MIN(MAX(0,BD37),-DA37),0)</f>
        <v/>
      </c>
      <c r="DL37" s="7">
        <f>IF(DA37&lt;0,-DA37-DK37,0)</f>
        <v/>
      </c>
      <c r="DM37" s="7">
        <f>IF(4=0,0,DZ36)</f>
        <v/>
      </c>
      <c r="DN37" s="7">
        <f>IF(AND(DL37&gt;0,J37&gt;0),MIN(DL37,MIN(prestamos_topeAnualPosgrado*MIN(1,J37),MAX(0,prestamos_topeTotalPosgrado-DM37))),0)</f>
        <v/>
      </c>
      <c r="DO37" s="7">
        <f>IF(AND(DL37&gt;0,J37&gt;0),DL37-DN37,0)</f>
        <v/>
      </c>
      <c r="DP37" s="7">
        <f>IF(AND(DL37&gt;0,J37&lt;=0),DL37,0)</f>
        <v/>
      </c>
      <c r="DQ37" s="7">
        <f>IF(DA37&gt;=0,DG37-DH37-DI37,-DK37)</f>
        <v/>
      </c>
      <c r="DR37" s="7">
        <f>BD37*(1+DD37)+DQ37*(1+DD37/2)</f>
        <v/>
      </c>
      <c r="DS37" s="7">
        <f>IF(4=0,personal_retiroInicial,DS36)*(1+g_ret)+(O37+P37+DH37)*(1+g_ret/2)</f>
        <v/>
      </c>
      <c r="DT37" s="7">
        <f>IF(BB37=1,BL37*(1+g_appr),0)</f>
        <v/>
      </c>
      <c r="DU37" s="7">
        <f>BP37-DJ37</f>
        <v/>
      </c>
      <c r="DV37" s="7">
        <f>BT37-(DI37-DJ37)</f>
        <v/>
      </c>
      <c r="DW37" s="7">
        <f>CP37+DN37</f>
        <v/>
      </c>
      <c r="DX37" s="7">
        <f>IF(DN37&gt;0,(CP37*CF37+DN37*prestamos_tasaFederalPosgrado)/(CP37+DN37),CF37)</f>
        <v/>
      </c>
      <c r="DY37" s="7">
        <f>IF(DN37&gt;0,0,CQ37)</f>
        <v/>
      </c>
      <c r="DZ37" s="7">
        <f>DM37+DN37</f>
        <v/>
      </c>
      <c r="EA37" s="7">
        <f>CV37+DO37</f>
        <v/>
      </c>
      <c r="EB37" s="7">
        <f>IF(DO37&gt;0,(CV37*CS37+DO37*prestamos_tasaPrivada)/(CV37+DO37),CS37)</f>
        <v/>
      </c>
      <c r="EC37" s="7">
        <f>IF(DO37&gt;0,0,CW37)</f>
        <v/>
      </c>
      <c r="ED37" s="7">
        <f>CX37-DE37+DP37</f>
        <v/>
      </c>
      <c r="EE37" s="7">
        <f>IF(IF(4=0,"",EE36)&lt;&gt;"",EE36,IF(AND(BB37=1,DU37&lt;=0.5,DV37&lt;=0.5,OR(BH37=0,BJ37=1)),A37,""))</f>
        <v/>
      </c>
      <c r="EF37" s="7">
        <f>DU37+DV37+DW37+EA37+ED37+CD37</f>
        <v/>
      </c>
      <c r="EG37" s="7">
        <f>DR37+DS37+DT37-EF37</f>
        <v/>
      </c>
      <c r="EH37" s="7">
        <f>EG37/(1+g_inf)^(A37+1-2026)</f>
        <v/>
      </c>
    </row>
    <row r="38">
      <c r="A38" t="n">
        <v>2032</v>
      </c>
      <c r="B38" t="n">
        <v>5</v>
      </c>
      <c r="C38" s="7">
        <f>(1+g_inf)^(A38-2026)</f>
        <v/>
      </c>
      <c r="D38" s="7">
        <f>SUMPRODUCT($Y$5:$Y$29,$E$5:$E$29*(1+$F$5:$F$29)^(A38-2026)*$G$5:$G$29*$H$5:$H$29*(1-$N$5:$N$29*$O$5:$O$29))*g_salMult+SUMPRODUCT(($B$5:$B$29&gt;=A38)*($B$5:$B$29&lt;A38+1)*$I$5:$I$29)*g_salMult</f>
        <v/>
      </c>
      <c r="E38" s="7">
        <f>SUMPRODUCT($Y$5:$Y$29,$E$5:$E$29*(1+$F$5:$F$29)^(A38-2026)*$G$5:$G$29*$H$5:$H$29*$M$5:$M$29)*g_salMult</f>
        <v/>
      </c>
      <c r="F38" s="7">
        <f>SUMPRODUCT($Y$5:$Y$29,$E$5:$E$29*(1+$F$5:$F$29)^(A38-2026)*$G$5:$G$29*$H$5:$H$29*$N$5:$N$29*$O$5:$O$29)*g_salMult</f>
        <v/>
      </c>
      <c r="G38" s="7">
        <f>SUMPRODUCT($Y$5:$Y$29,$P$5:$P$29*(1+$F$5:$F$29)^(A38-2026))</f>
        <v/>
      </c>
      <c r="H38" s="7">
        <f>SUMPRODUCT($Y$5:$Y$29,$Q$5:$Q$29*(1+$F$5:$F$29)^(A38-2026))+IF(personal_llcActivo=1,personal_llcNeto*(1+personal_llcCrecimiento)^5,0)</f>
        <v/>
      </c>
      <c r="I38" s="7">
        <f>SUMPRODUCT($Y$5:$Y$29,$J$5:$J$29/($C$5:$C$29-$B$5:$B$29+($C$5:$C$29=$B$5:$B$29)))*C38</f>
        <v/>
      </c>
      <c r="J38" s="7">
        <f>SUMPRODUCT($Y$5:$Y$29,$K$5:$K$29)</f>
        <v/>
      </c>
      <c r="K38" s="7">
        <f>SUMPRODUCT($Y$5:$Y$29,$L$5:$L$29)</f>
        <v/>
      </c>
      <c r="L38" s="7">
        <f>SUMPRODUCT($Y$5:$Y$29,$N$5:$N$29)</f>
        <v/>
      </c>
      <c r="M38" s="7">
        <f>IF(SUMPRODUCT($Y$5:$Y$29,$R$5:$R$29)&gt;0,1,0)</f>
        <v/>
      </c>
      <c r="N38" s="7">
        <f>SUMPRODUCT(($AO$5:$AO$24&gt;=A38)*($AO$5:$AO$24&lt;A38+1)*$AP$5:$AP$24)*C38+IF(5=0,IF(sel_loc&lt;&gt;"miami",personal_costoMudanzaInicial,0),0)</f>
        <v/>
      </c>
      <c r="O38" s="7">
        <f>MIN(personal_aporte403bPct*D38,retiro_limite403b*C38)</f>
        <v/>
      </c>
      <c r="P38" s="7">
        <f>MIN(personal_aporte403bPct,personal_match403bPct)*E38</f>
        <v/>
      </c>
      <c r="Q38" s="7">
        <f>IF(G38&gt;0,MAX(0,G38-impuestos_scorpCostoAnual*C38),0)</f>
        <v/>
      </c>
      <c r="R38" s="7">
        <f>Q38*impuestos_scorpSalarioPct/(1+impuestos_ssTasa+impuestos_medicareTasa)</f>
        <v/>
      </c>
      <c r="S38" s="7">
        <f>impuestos_ssTasa*MIN(R38,MAX(0,impuestos_ssTope*C38-D38))+impuestos_medicareTasa*R38</f>
        <v/>
      </c>
      <c r="T38" s="7">
        <f>Q38-R38-S38</f>
        <v/>
      </c>
      <c r="U38" s="7">
        <f>D38+R38</f>
        <v/>
      </c>
      <c r="V38" s="7">
        <f>H38*0.9235</f>
        <v/>
      </c>
      <c r="W38" s="7">
        <f>IF(H38&gt;0,2*impuestos_ssTasa*MIN(V38,MAX(0,impuestos_ssTope*C38-U38))+2*impuestos_medicareTasa*V38,0)</f>
        <v/>
      </c>
      <c r="X38" s="7">
        <f>impuestos_ssTasa*MIN(U38,impuestos_ssTope*C38)+impuestos_medicareTasa*U38+impuestos_medicareAdicional*MAX(0,U38+H38*0.9235-impuestos_medicareUmbral)</f>
        <v/>
      </c>
      <c r="Y38" s="7">
        <f>MAX(0,D38-O38+R38+T38+H38-W38/2)</f>
        <v/>
      </c>
      <c r="Z38" s="7">
        <f>MAX(0,Y38-impuestos_deduccionEstandar*C38)</f>
        <v/>
      </c>
      <c r="AA38" s="7">
        <f>MIN(0.2*MAX(0,T38+H38-W38/2)*MAX(0,MIN(1,1-(Z38-impuestos_qbiUmbral*C38)/(impuestos_qbiRango*C38))),0.2*Z38)</f>
        <v/>
      </c>
      <c r="AB38" s="7">
        <f>MAX(0,Z38-AA38)</f>
        <v/>
      </c>
      <c r="AC38" s="7">
        <f>SUMPRODUCT((AB38&gt;tb_federalBrackets_lo*C38)*(AB38-tb_federalBrackets_lo*C38)*tb_federalBrackets_dr)</f>
        <v/>
      </c>
      <c r="AD38" s="7">
        <f>MAX(0,Y38-impuestos_nyDeduccion*C38)</f>
        <v/>
      </c>
      <c r="AE38" s="7">
        <f>CHOOSE(loc_taxcode,0,impuestos_ohTasa*MAX(0,Y38-impuestos_ohExento*C38)+impuestos_ohMunicipal*U38,SUMPRODUCT((AD38&gt;tb_nyBrackets_lo*C38)*(AD38-tb_nyBrackets_lo*C38)*tb_nyBrackets_dr)+loc_nyc*SUMPRODUCT((AD38&gt;tb_nycBrackets_lo*C38)*(AD38-tb_nycBrackets_lo*C38)*tb_nycBrackets_dr))</f>
        <v/>
      </c>
      <c r="AF38" s="7">
        <f>AC38+AE38+X38+W38</f>
        <v/>
      </c>
      <c r="AG38" s="7">
        <f>D38+F38+R38+T38+H38</f>
        <v/>
      </c>
      <c r="AH38" s="7">
        <f>AG38-AF38-O38</f>
        <v/>
      </c>
      <c r="AI38" s="7">
        <f>D38+F38+G38+H38</f>
        <v/>
      </c>
      <c r="AJ38" s="7">
        <f>loc_gastosVida*C38*g_gastos</f>
        <v/>
      </c>
      <c r="AK38" s="7">
        <f>IF(5=0,personal_liquidoInicial,DR37)</f>
        <v/>
      </c>
      <c r="AL38" s="7">
        <f>IF(5=0,0,BB37)</f>
        <v/>
      </c>
      <c r="AM38" s="7">
        <f>CHOOSE(sel_cfgIdx,loc_precio_duplex,loc_precio_inlaw,loc_precio_dosCasas,loc_precio_casaAdu,loc_precio_multi)</f>
        <v/>
      </c>
      <c r="AN38" s="7">
        <f>AM38*(1+g_appr)^(A38-2026)</f>
        <v/>
      </c>
      <c r="AO38" s="7">
        <f>IF(AND(M38=1,vivienda_prestamoMedico=1),1,0)</f>
        <v/>
      </c>
      <c r="AP38" s="7">
        <f>IF(AO38=1,0.05,vivienda_enganchePct)</f>
        <v/>
      </c>
      <c r="AQ38" s="7">
        <f>AN38*(1-AP38)</f>
        <v/>
      </c>
      <c r="AR38" s="7">
        <f>PMT(g_mortRate/12,vivienda_plazoHipoteca*12,-AQ38)</f>
        <v/>
      </c>
      <c r="AS38" s="7">
        <f>INDEX(cfg_units,sel_cfgIdx)</f>
        <v/>
      </c>
      <c r="AT38" s="7">
        <f>AS38*loc_rentaUnidad*(1+g_inf)^(A38-2026)*(1-vivienda_vacancia)</f>
        <v/>
      </c>
      <c r="AU38" s="7">
        <f>AR38+AN38*loc_impuestoPropPct/12+AM38*loc_seguroPct*(1+vivienda_inflacionSeguro)^(A38-2026)/12+IF(AND(AO38=0,AP38&lt;0.2),AQ38*vivienda_pmiTasa/12,0)</f>
        <v/>
      </c>
      <c r="AV38" s="7">
        <f>AN38*AP38+AN38*vivienda_cierrePct+general_reservaMeses/12*AJ38</f>
        <v/>
      </c>
      <c r="AW38" s="7">
        <f>(IF(5=0,MIN(personal_irsSaldo,personal_irsPagoMensual*12),MIN(CD37,personal_irsPagoMensual*12))+IF(CE38&gt;0,PMT(CF38,MAX(1,prestamos_plazoAnios-CG38),-CE38),0)+IF(CR38&gt;0,PMT(CS38,MAX(1,prestamos_plazoAnios-CT38),-CR38),0))/12</f>
        <v/>
      </c>
      <c r="AX38" s="7">
        <f>IF(OR(sel_cfg="duplex",sel_cfg="multi",sel_cfg="dosCasas"),0.75*personal_aporteFamiliaMensual,0)</f>
        <v/>
      </c>
      <c r="AY38" s="7">
        <f>AU38-0.75*AT38-AX38+AW38</f>
        <v/>
      </c>
      <c r="AZ38" s="7">
        <f>(D38+G38+H38+0.5*F38)/12</f>
        <v/>
      </c>
      <c r="BA38" s="7">
        <f>IF(AND(AL38=0,A38&gt;=vivienda_anioMinCompra,J38&lt;0.5,AI38&gt;0,AK38&gt;=AV38,AY38&lt;=vivienda_dtiMax*AZ38),1,0)</f>
        <v/>
      </c>
      <c r="BB38" s="7">
        <f>MAX(AL38,BA38)</f>
        <v/>
      </c>
      <c r="BC38" s="7">
        <f>IF(BA38=1,A38,IF(5=0,"",BC37))</f>
        <v/>
      </c>
      <c r="BD38" s="7">
        <f>AK38-IF(BA38=1,AN38*AP38+AN38*vivienda_cierrePct,0)</f>
        <v/>
      </c>
      <c r="BE38" s="7">
        <f>IF(BA38=1,AN38,IF(5=0,0,BE37))</f>
        <v/>
      </c>
      <c r="BF38" s="7">
        <f>IF(BA38=1,AR38,IF(5=0,0,BF37))</f>
        <v/>
      </c>
      <c r="BG38" s="7">
        <f>IF(BA38=1,IF(AND(AO38=0,AP38&lt;0.2),1,0),IF(5=0,0,BY37))</f>
        <v/>
      </c>
      <c r="BH38" s="7">
        <f>IF(sel_cfg="casaAdu",1,0)</f>
        <v/>
      </c>
      <c r="BI38" s="7">
        <f>IF(AND(BB38=1,BH38=1,IF(5=0,0,BJ37)=0,A38&gt;=IF(BC38="",9999,BC38)+vivienda_aduRetrasoAnios),1,0)</f>
        <v/>
      </c>
      <c r="BJ38" s="7">
        <f>MAX(IF(5=0,0,BJ37),BI38)</f>
        <v/>
      </c>
      <c r="BK38" s="7">
        <f>IF(BI38=1,PMT((g_mortRate+0.005)/12,180,-loc_precio_aduCosto*C38),IF(5=0,0,BK37))</f>
        <v/>
      </c>
      <c r="BL38" s="7">
        <f>IF(BA38=1,AN38,IF(5=0,0,DT37))+IF(BI38=1,loc_precio_aduCosto*C38,0)</f>
        <v/>
      </c>
      <c r="BM38" s="7">
        <f>IF(BA38=1,AQ38,IF(5=0,0,DU37))</f>
        <v/>
      </c>
      <c r="BN38" s="7">
        <f>IF(BM38&lt;=0,0,FV(g_mortRate/12,12,BF38,-BM38))</f>
        <v/>
      </c>
      <c r="BO38" s="7">
        <f>IF(BM38&lt;=0,0,12*BF38+MIN(0,BN38))</f>
        <v/>
      </c>
      <c r="BP38" s="7">
        <f>MAX(0,BN38)</f>
        <v/>
      </c>
      <c r="BQ38" s="7">
        <f>IF(BI38=1,loc_precio_aduCosto*C38,IF(5=0,0,DV37))</f>
        <v/>
      </c>
      <c r="BR38" s="7">
        <f>IF(BQ38&lt;=0,0,FV((g_mortRate+0.005)/12,12,BK38,-BQ38))</f>
        <v/>
      </c>
      <c r="BS38" s="7">
        <f>IF(BQ38&lt;=0,0,12*BK38+MIN(0,BR38))</f>
        <v/>
      </c>
      <c r="BT38" s="7">
        <f>MAX(0,BR38)</f>
        <v/>
      </c>
      <c r="BU38" s="7">
        <f>IF(BB38=1,AM38*loc_seguroPct*(1+vivienda_inflacionSeguro)^(A38-2026)*IF(BJ38=1,1+loc_precio_aduCosto/AM38,1),0)</f>
        <v/>
      </c>
      <c r="BV38" s="7">
        <f>BL38*loc_impuestoPropPct</f>
        <v/>
      </c>
      <c r="BW38" s="7">
        <f>BL38*vivienda_mantenimientoPct</f>
        <v/>
      </c>
      <c r="BX38" s="7">
        <f>IF(AND(BG38=1,BP38&gt;0.8*BE38),BE38*(1-vivienda_enganchePct)*vivienda_pmiTasa,0)</f>
        <v/>
      </c>
      <c r="BY38" s="7">
        <f>IF(AND(BG38=1,BP38&gt;0.8*BE38),1,0)</f>
        <v/>
      </c>
      <c r="BZ38" s="7">
        <f>IF(BB38=1,AS38*loc_rentaUnidad*12*C38*(1-vivienda_vacancia)*(1-vivienda_gestionPct),0)</f>
        <v/>
      </c>
      <c r="CA38" s="7">
        <f>IF(BB38=1,BO38+BS38+BU38+BV38+BW38+BX38,loc_rentaMensual*12*C38)</f>
        <v/>
      </c>
      <c r="CB38" s="7">
        <f>IF(BB38=1,personal_aporteFamiliaMensual*12,0)</f>
        <v/>
      </c>
      <c r="CC38" s="7">
        <f>MIN(IF(5=0,personal_irsSaldo,CD37),personal_irsPagoMensual*12)</f>
        <v/>
      </c>
      <c r="CD38" s="7">
        <f>IF(5=0,personal_irsSaldo,CD37)-CC38</f>
        <v/>
      </c>
      <c r="CE38" s="7">
        <f>IF(5=0,IF(personal_deudaEsFederal=1,personal_deudaEstudiantil,0),DW37)</f>
        <v/>
      </c>
      <c r="CF38" s="7">
        <f>IF(5=0,personal_tasaDeudaEstudiantil,DX37)</f>
        <v/>
      </c>
      <c r="CG38" s="7">
        <f>IF(5=0,0,DY37)</f>
        <v/>
      </c>
      <c r="CH38" s="7">
        <f>IF(J38&gt;=0.5,1,0)</f>
        <v/>
      </c>
      <c r="CI38" s="7">
        <f>IF(AND(CH38=0,prestamos_pslfActivo=1,K38&gt;=0.5,CE38&gt;0),1,0)</f>
        <v/>
      </c>
      <c r="CJ38" s="7">
        <f>CE38*CF38</f>
        <v/>
      </c>
      <c r="CK38" s="7">
        <f>MAX(prestamos_rapPagoMinimoAnual,IF(Y38&lt;10000,0,MIN(0.1,INT(Y38/10000)/100))*Y38)</f>
        <v/>
      </c>
      <c r="CL38" s="7">
        <f>IF(CE38&lt;=0,0,IF(CH38=1,0,IF(CI38=1,MIN(CE38+CJ38,CK38),PMT(CF38,MAX(1,prestamos_plazoAnios-CG38),-CE38))))</f>
        <v/>
      </c>
      <c r="CM38" s="7">
        <f>IF(CE38&lt;=0,0,IF(CH38=1,CE38+CJ38,IF(CI38=1,MAX(0,CE38-MAX(CL38-CJ38,MIN(600,CL38))),MAX(0,CE38*(1+CF38)-CL38))))</f>
        <v/>
      </c>
      <c r="CN38" s="7">
        <f>IF(5=0,0,CN37)+IF(CI38=1,12*MIN(1,K38),0)</f>
        <v/>
      </c>
      <c r="CO38" s="7">
        <f>IF(AND(CI38=1,CN38&gt;=prestamos_pslfPagos,CM38&gt;0),CM38,0)</f>
        <v/>
      </c>
      <c r="CP38" s="7">
        <f>CM38-CO38</f>
        <v/>
      </c>
      <c r="CQ38" s="7">
        <f>IF(AND(CE38&gt;0,CH38=0,CI38=0),CG38+1,CG38)</f>
        <v/>
      </c>
      <c r="CR38" s="7">
        <f>IF(5=0,IF(personal_deudaEsFederal=1,0,personal_deudaEstudiantil),EA37)</f>
        <v/>
      </c>
      <c r="CS38" s="7">
        <f>IF(5=0,IF(personal_deudaEsFederal=1,prestamos_tasaPrivada,personal_tasaDeudaEstudiantil),EB37)</f>
        <v/>
      </c>
      <c r="CT38" s="7">
        <f>IF(5=0,0,EC37)</f>
        <v/>
      </c>
      <c r="CU38" s="7">
        <f>IF(OR(CR38&lt;=0,CH38=1),0,PMT(CS38,MAX(1,prestamos_plazoAnios-CT38),-CR38))</f>
        <v/>
      </c>
      <c r="CV38" s="7">
        <f>IF(CR38&lt;=0,0,IF(CH38=1,CR38*(1+CS38),MAX(0,CR38*(1+CS38)-CU38)))</f>
        <v/>
      </c>
      <c r="CW38" s="7">
        <f>IF(AND(CR38&gt;0,CH38=0),CT38+1,CT38)</f>
        <v/>
      </c>
      <c r="CX38" s="7">
        <f>IF(5=0,0,ED37)*(1+general_tasaDeudaConsumo)</f>
        <v/>
      </c>
      <c r="CY38" s="7">
        <f>L38*12*tiempos_travelGastoExtraMes*C38</f>
        <v/>
      </c>
      <c r="CZ38" s="7">
        <f>AJ38+CY38+CA38+CC38+CL38+CU38+I38+N38-BZ38-CB38</f>
        <v/>
      </c>
      <c r="DA38" s="7">
        <f>AH38-CZ38</f>
        <v/>
      </c>
      <c r="DB38" s="7">
        <f>IF(5=0,0,DB37)+DA38</f>
        <v/>
      </c>
      <c r="DC38" s="7">
        <f>AN38*vivienda_enganchePct+AN38*vivienda_cierrePct+general_reservaMeses/12*AJ38</f>
        <v/>
      </c>
      <c r="DD38" s="7">
        <f>IF(BB38=1,g_ret,IF(BD38&gt;0,MIN(1,DC38/BD38),1)*g_cash+(1-IF(BD38&gt;0,MIN(1,DC38/BD38),1))*g_ret)</f>
        <v/>
      </c>
      <c r="DE38" s="7">
        <f>IF(DA38&gt;=0,MIN(CX38,DA38),0)</f>
        <v/>
      </c>
      <c r="DF38" s="7">
        <f>IF(DA38&gt;=0,(1-general_tasaAhorro)*(DA38-DE38),0)</f>
        <v/>
      </c>
      <c r="DG38" s="7">
        <f>IF(DA38&gt;=0,DA38-DE38-DF38,0)</f>
        <v/>
      </c>
      <c r="DH38" s="7">
        <f>MIN(personal_rothAnual,DG38)</f>
        <v/>
      </c>
      <c r="DI38" s="7">
        <f>IF(AND(DA38&gt;=0,BB38=1,BP38+BT38&gt;0),MIN(vivienda_prepagoPct*(DG38-DH38),BP38+BT38),0)</f>
        <v/>
      </c>
      <c r="DJ38" s="7">
        <f>MIN(DI38,BP38)</f>
        <v/>
      </c>
      <c r="DK38" s="7">
        <f>IF(DA38&lt;0,MIN(MAX(0,BD38),-DA38),0)</f>
        <v/>
      </c>
      <c r="DL38" s="7">
        <f>IF(DA38&lt;0,-DA38-DK38,0)</f>
        <v/>
      </c>
      <c r="DM38" s="7">
        <f>IF(5=0,0,DZ37)</f>
        <v/>
      </c>
      <c r="DN38" s="7">
        <f>IF(AND(DL38&gt;0,J38&gt;0),MIN(DL38,MIN(prestamos_topeAnualPosgrado*MIN(1,J38),MAX(0,prestamos_topeTotalPosgrado-DM38))),0)</f>
        <v/>
      </c>
      <c r="DO38" s="7">
        <f>IF(AND(DL38&gt;0,J38&gt;0),DL38-DN38,0)</f>
        <v/>
      </c>
      <c r="DP38" s="7">
        <f>IF(AND(DL38&gt;0,J38&lt;=0),DL38,0)</f>
        <v/>
      </c>
      <c r="DQ38" s="7">
        <f>IF(DA38&gt;=0,DG38-DH38-DI38,-DK38)</f>
        <v/>
      </c>
      <c r="DR38" s="7">
        <f>BD38*(1+DD38)+DQ38*(1+DD38/2)</f>
        <v/>
      </c>
      <c r="DS38" s="7">
        <f>IF(5=0,personal_retiroInicial,DS37)*(1+g_ret)+(O38+P38+DH38)*(1+g_ret/2)</f>
        <v/>
      </c>
      <c r="DT38" s="7">
        <f>IF(BB38=1,BL38*(1+g_appr),0)</f>
        <v/>
      </c>
      <c r="DU38" s="7">
        <f>BP38-DJ38</f>
        <v/>
      </c>
      <c r="DV38" s="7">
        <f>BT38-(DI38-DJ38)</f>
        <v/>
      </c>
      <c r="DW38" s="7">
        <f>CP38+DN38</f>
        <v/>
      </c>
      <c r="DX38" s="7">
        <f>IF(DN38&gt;0,(CP38*CF38+DN38*prestamos_tasaFederalPosgrado)/(CP38+DN38),CF38)</f>
        <v/>
      </c>
      <c r="DY38" s="7">
        <f>IF(DN38&gt;0,0,CQ38)</f>
        <v/>
      </c>
      <c r="DZ38" s="7">
        <f>DM38+DN38</f>
        <v/>
      </c>
      <c r="EA38" s="7">
        <f>CV38+DO38</f>
        <v/>
      </c>
      <c r="EB38" s="7">
        <f>IF(DO38&gt;0,(CV38*CS38+DO38*prestamos_tasaPrivada)/(CV38+DO38),CS38)</f>
        <v/>
      </c>
      <c r="EC38" s="7">
        <f>IF(DO38&gt;0,0,CW38)</f>
        <v/>
      </c>
      <c r="ED38" s="7">
        <f>CX38-DE38+DP38</f>
        <v/>
      </c>
      <c r="EE38" s="7">
        <f>IF(IF(5=0,"",EE37)&lt;&gt;"",EE37,IF(AND(BB38=1,DU38&lt;=0.5,DV38&lt;=0.5,OR(BH38=0,BJ38=1)),A38,""))</f>
        <v/>
      </c>
      <c r="EF38" s="7">
        <f>DU38+DV38+DW38+EA38+ED38+CD38</f>
        <v/>
      </c>
      <c r="EG38" s="7">
        <f>DR38+DS38+DT38-EF38</f>
        <v/>
      </c>
      <c r="EH38" s="7">
        <f>EG38/(1+g_inf)^(A38+1-2026)</f>
        <v/>
      </c>
    </row>
    <row r="39">
      <c r="A39" t="n">
        <v>2033</v>
      </c>
      <c r="B39" t="n">
        <v>6</v>
      </c>
      <c r="C39" s="7">
        <f>(1+g_inf)^(A39-2026)</f>
        <v/>
      </c>
      <c r="D39" s="7">
        <f>SUMPRODUCT($Z$5:$Z$29,$E$5:$E$29*(1+$F$5:$F$29)^(A39-2026)*$G$5:$G$29*$H$5:$H$29*(1-$N$5:$N$29*$O$5:$O$29))*g_salMult+SUMPRODUCT(($B$5:$B$29&gt;=A39)*($B$5:$B$29&lt;A39+1)*$I$5:$I$29)*g_salMult</f>
        <v/>
      </c>
      <c r="E39" s="7">
        <f>SUMPRODUCT($Z$5:$Z$29,$E$5:$E$29*(1+$F$5:$F$29)^(A39-2026)*$G$5:$G$29*$H$5:$H$29*$M$5:$M$29)*g_salMult</f>
        <v/>
      </c>
      <c r="F39" s="7">
        <f>SUMPRODUCT($Z$5:$Z$29,$E$5:$E$29*(1+$F$5:$F$29)^(A39-2026)*$G$5:$G$29*$H$5:$H$29*$N$5:$N$29*$O$5:$O$29)*g_salMult</f>
        <v/>
      </c>
      <c r="G39" s="7">
        <f>SUMPRODUCT($Z$5:$Z$29,$P$5:$P$29*(1+$F$5:$F$29)^(A39-2026))</f>
        <v/>
      </c>
      <c r="H39" s="7">
        <f>SUMPRODUCT($Z$5:$Z$29,$Q$5:$Q$29*(1+$F$5:$F$29)^(A39-2026))+IF(personal_llcActivo=1,personal_llcNeto*(1+personal_llcCrecimiento)^6,0)</f>
        <v/>
      </c>
      <c r="I39" s="7">
        <f>SUMPRODUCT($Z$5:$Z$29,$J$5:$J$29/($C$5:$C$29-$B$5:$B$29+($C$5:$C$29=$B$5:$B$29)))*C39</f>
        <v/>
      </c>
      <c r="J39" s="7">
        <f>SUMPRODUCT($Z$5:$Z$29,$K$5:$K$29)</f>
        <v/>
      </c>
      <c r="K39" s="7">
        <f>SUMPRODUCT($Z$5:$Z$29,$L$5:$L$29)</f>
        <v/>
      </c>
      <c r="L39" s="7">
        <f>SUMPRODUCT($Z$5:$Z$29,$N$5:$N$29)</f>
        <v/>
      </c>
      <c r="M39" s="7">
        <f>IF(SUMPRODUCT($Z$5:$Z$29,$R$5:$R$29)&gt;0,1,0)</f>
        <v/>
      </c>
      <c r="N39" s="7">
        <f>SUMPRODUCT(($AO$5:$AO$24&gt;=A39)*($AO$5:$AO$24&lt;A39+1)*$AP$5:$AP$24)*C39+IF(6=0,IF(sel_loc&lt;&gt;"miami",personal_costoMudanzaInicial,0),0)</f>
        <v/>
      </c>
      <c r="O39" s="7">
        <f>MIN(personal_aporte403bPct*D39,retiro_limite403b*C39)</f>
        <v/>
      </c>
      <c r="P39" s="7">
        <f>MIN(personal_aporte403bPct,personal_match403bPct)*E39</f>
        <v/>
      </c>
      <c r="Q39" s="7">
        <f>IF(G39&gt;0,MAX(0,G39-impuestos_scorpCostoAnual*C39),0)</f>
        <v/>
      </c>
      <c r="R39" s="7">
        <f>Q39*impuestos_scorpSalarioPct/(1+impuestos_ssTasa+impuestos_medicareTasa)</f>
        <v/>
      </c>
      <c r="S39" s="7">
        <f>impuestos_ssTasa*MIN(R39,MAX(0,impuestos_ssTope*C39-D39))+impuestos_medicareTasa*R39</f>
        <v/>
      </c>
      <c r="T39" s="7">
        <f>Q39-R39-S39</f>
        <v/>
      </c>
      <c r="U39" s="7">
        <f>D39+R39</f>
        <v/>
      </c>
      <c r="V39" s="7">
        <f>H39*0.9235</f>
        <v/>
      </c>
      <c r="W39" s="7">
        <f>IF(H39&gt;0,2*impuestos_ssTasa*MIN(V39,MAX(0,impuestos_ssTope*C39-U39))+2*impuestos_medicareTasa*V39,0)</f>
        <v/>
      </c>
      <c r="X39" s="7">
        <f>impuestos_ssTasa*MIN(U39,impuestos_ssTope*C39)+impuestos_medicareTasa*U39+impuestos_medicareAdicional*MAX(0,U39+H39*0.9235-impuestos_medicareUmbral)</f>
        <v/>
      </c>
      <c r="Y39" s="7">
        <f>MAX(0,D39-O39+R39+T39+H39-W39/2)</f>
        <v/>
      </c>
      <c r="Z39" s="7">
        <f>MAX(0,Y39-impuestos_deduccionEstandar*C39)</f>
        <v/>
      </c>
      <c r="AA39" s="7">
        <f>MIN(0.2*MAX(0,T39+H39-W39/2)*MAX(0,MIN(1,1-(Z39-impuestos_qbiUmbral*C39)/(impuestos_qbiRango*C39))),0.2*Z39)</f>
        <v/>
      </c>
      <c r="AB39" s="7">
        <f>MAX(0,Z39-AA39)</f>
        <v/>
      </c>
      <c r="AC39" s="7">
        <f>SUMPRODUCT((AB39&gt;tb_federalBrackets_lo*C39)*(AB39-tb_federalBrackets_lo*C39)*tb_federalBrackets_dr)</f>
        <v/>
      </c>
      <c r="AD39" s="7">
        <f>MAX(0,Y39-impuestos_nyDeduccion*C39)</f>
        <v/>
      </c>
      <c r="AE39" s="7">
        <f>CHOOSE(loc_taxcode,0,impuestos_ohTasa*MAX(0,Y39-impuestos_ohExento*C39)+impuestos_ohMunicipal*U39,SUMPRODUCT((AD39&gt;tb_nyBrackets_lo*C39)*(AD39-tb_nyBrackets_lo*C39)*tb_nyBrackets_dr)+loc_nyc*SUMPRODUCT((AD39&gt;tb_nycBrackets_lo*C39)*(AD39-tb_nycBrackets_lo*C39)*tb_nycBrackets_dr))</f>
        <v/>
      </c>
      <c r="AF39" s="7">
        <f>AC39+AE39+X39+W39</f>
        <v/>
      </c>
      <c r="AG39" s="7">
        <f>D39+F39+R39+T39+H39</f>
        <v/>
      </c>
      <c r="AH39" s="7">
        <f>AG39-AF39-O39</f>
        <v/>
      </c>
      <c r="AI39" s="7">
        <f>D39+F39+G39+H39</f>
        <v/>
      </c>
      <c r="AJ39" s="7">
        <f>loc_gastosVida*C39*g_gastos</f>
        <v/>
      </c>
      <c r="AK39" s="7">
        <f>IF(6=0,personal_liquidoInicial,DR38)</f>
        <v/>
      </c>
      <c r="AL39" s="7">
        <f>IF(6=0,0,BB38)</f>
        <v/>
      </c>
      <c r="AM39" s="7">
        <f>CHOOSE(sel_cfgIdx,loc_precio_duplex,loc_precio_inlaw,loc_precio_dosCasas,loc_precio_casaAdu,loc_precio_multi)</f>
        <v/>
      </c>
      <c r="AN39" s="7">
        <f>AM39*(1+g_appr)^(A39-2026)</f>
        <v/>
      </c>
      <c r="AO39" s="7">
        <f>IF(AND(M39=1,vivienda_prestamoMedico=1),1,0)</f>
        <v/>
      </c>
      <c r="AP39" s="7">
        <f>IF(AO39=1,0.05,vivienda_enganchePct)</f>
        <v/>
      </c>
      <c r="AQ39" s="7">
        <f>AN39*(1-AP39)</f>
        <v/>
      </c>
      <c r="AR39" s="7">
        <f>PMT(g_mortRate/12,vivienda_plazoHipoteca*12,-AQ39)</f>
        <v/>
      </c>
      <c r="AS39" s="7">
        <f>INDEX(cfg_units,sel_cfgIdx)</f>
        <v/>
      </c>
      <c r="AT39" s="7">
        <f>AS39*loc_rentaUnidad*(1+g_inf)^(A39-2026)*(1-vivienda_vacancia)</f>
        <v/>
      </c>
      <c r="AU39" s="7">
        <f>AR39+AN39*loc_impuestoPropPct/12+AM39*loc_seguroPct*(1+vivienda_inflacionSeguro)^(A39-2026)/12+IF(AND(AO39=0,AP39&lt;0.2),AQ39*vivienda_pmiTasa/12,0)</f>
        <v/>
      </c>
      <c r="AV39" s="7">
        <f>AN39*AP39+AN39*vivienda_cierrePct+general_reservaMeses/12*AJ39</f>
        <v/>
      </c>
      <c r="AW39" s="7">
        <f>(IF(6=0,MIN(personal_irsSaldo,personal_irsPagoMensual*12),MIN(CD38,personal_irsPagoMensual*12))+IF(CE39&gt;0,PMT(CF39,MAX(1,prestamos_plazoAnios-CG39),-CE39),0)+IF(CR39&gt;0,PMT(CS39,MAX(1,prestamos_plazoAnios-CT39),-CR39),0))/12</f>
        <v/>
      </c>
      <c r="AX39" s="7">
        <f>IF(OR(sel_cfg="duplex",sel_cfg="multi",sel_cfg="dosCasas"),0.75*personal_aporteFamiliaMensual,0)</f>
        <v/>
      </c>
      <c r="AY39" s="7">
        <f>AU39-0.75*AT39-AX39+AW39</f>
        <v/>
      </c>
      <c r="AZ39" s="7">
        <f>(D39+G39+H39+0.5*F39)/12</f>
        <v/>
      </c>
      <c r="BA39" s="7">
        <f>IF(AND(AL39=0,A39&gt;=vivienda_anioMinCompra,J39&lt;0.5,AI39&gt;0,AK39&gt;=AV39,AY39&lt;=vivienda_dtiMax*AZ39),1,0)</f>
        <v/>
      </c>
      <c r="BB39" s="7">
        <f>MAX(AL39,BA39)</f>
        <v/>
      </c>
      <c r="BC39" s="7">
        <f>IF(BA39=1,A39,IF(6=0,"",BC38))</f>
        <v/>
      </c>
      <c r="BD39" s="7">
        <f>AK39-IF(BA39=1,AN39*AP39+AN39*vivienda_cierrePct,0)</f>
        <v/>
      </c>
      <c r="BE39" s="7">
        <f>IF(BA39=1,AN39,IF(6=0,0,BE38))</f>
        <v/>
      </c>
      <c r="BF39" s="7">
        <f>IF(BA39=1,AR39,IF(6=0,0,BF38))</f>
        <v/>
      </c>
      <c r="BG39" s="7">
        <f>IF(BA39=1,IF(AND(AO39=0,AP39&lt;0.2),1,0),IF(6=0,0,BY38))</f>
        <v/>
      </c>
      <c r="BH39" s="7">
        <f>IF(sel_cfg="casaAdu",1,0)</f>
        <v/>
      </c>
      <c r="BI39" s="7">
        <f>IF(AND(BB39=1,BH39=1,IF(6=0,0,BJ38)=0,A39&gt;=IF(BC39="",9999,BC39)+vivienda_aduRetrasoAnios),1,0)</f>
        <v/>
      </c>
      <c r="BJ39" s="7">
        <f>MAX(IF(6=0,0,BJ38),BI39)</f>
        <v/>
      </c>
      <c r="BK39" s="7">
        <f>IF(BI39=1,PMT((g_mortRate+0.005)/12,180,-loc_precio_aduCosto*C39),IF(6=0,0,BK38))</f>
        <v/>
      </c>
      <c r="BL39" s="7">
        <f>IF(BA39=1,AN39,IF(6=0,0,DT38))+IF(BI39=1,loc_precio_aduCosto*C39,0)</f>
        <v/>
      </c>
      <c r="BM39" s="7">
        <f>IF(BA39=1,AQ39,IF(6=0,0,DU38))</f>
        <v/>
      </c>
      <c r="BN39" s="7">
        <f>IF(BM39&lt;=0,0,FV(g_mortRate/12,12,BF39,-BM39))</f>
        <v/>
      </c>
      <c r="BO39" s="7">
        <f>IF(BM39&lt;=0,0,12*BF39+MIN(0,BN39))</f>
        <v/>
      </c>
      <c r="BP39" s="7">
        <f>MAX(0,BN39)</f>
        <v/>
      </c>
      <c r="BQ39" s="7">
        <f>IF(BI39=1,loc_precio_aduCosto*C39,IF(6=0,0,DV38))</f>
        <v/>
      </c>
      <c r="BR39" s="7">
        <f>IF(BQ39&lt;=0,0,FV((g_mortRate+0.005)/12,12,BK39,-BQ39))</f>
        <v/>
      </c>
      <c r="BS39" s="7">
        <f>IF(BQ39&lt;=0,0,12*BK39+MIN(0,BR39))</f>
        <v/>
      </c>
      <c r="BT39" s="7">
        <f>MAX(0,BR39)</f>
        <v/>
      </c>
      <c r="BU39" s="7">
        <f>IF(BB39=1,AM39*loc_seguroPct*(1+vivienda_inflacionSeguro)^(A39-2026)*IF(BJ39=1,1+loc_precio_aduCosto/AM39,1),0)</f>
        <v/>
      </c>
      <c r="BV39" s="7">
        <f>BL39*loc_impuestoPropPct</f>
        <v/>
      </c>
      <c r="BW39" s="7">
        <f>BL39*vivienda_mantenimientoPct</f>
        <v/>
      </c>
      <c r="BX39" s="7">
        <f>IF(AND(BG39=1,BP39&gt;0.8*BE39),BE39*(1-vivienda_enganchePct)*vivienda_pmiTasa,0)</f>
        <v/>
      </c>
      <c r="BY39" s="7">
        <f>IF(AND(BG39=1,BP39&gt;0.8*BE39),1,0)</f>
        <v/>
      </c>
      <c r="BZ39" s="7">
        <f>IF(BB39=1,AS39*loc_rentaUnidad*12*C39*(1-vivienda_vacancia)*(1-vivienda_gestionPct),0)</f>
        <v/>
      </c>
      <c r="CA39" s="7">
        <f>IF(BB39=1,BO39+BS39+BU39+BV39+BW39+BX39,loc_rentaMensual*12*C39)</f>
        <v/>
      </c>
      <c r="CB39" s="7">
        <f>IF(BB39=1,personal_aporteFamiliaMensual*12,0)</f>
        <v/>
      </c>
      <c r="CC39" s="7">
        <f>MIN(IF(6=0,personal_irsSaldo,CD38),personal_irsPagoMensual*12)</f>
        <v/>
      </c>
      <c r="CD39" s="7">
        <f>IF(6=0,personal_irsSaldo,CD38)-CC39</f>
        <v/>
      </c>
      <c r="CE39" s="7">
        <f>IF(6=0,IF(personal_deudaEsFederal=1,personal_deudaEstudiantil,0),DW38)</f>
        <v/>
      </c>
      <c r="CF39" s="7">
        <f>IF(6=0,personal_tasaDeudaEstudiantil,DX38)</f>
        <v/>
      </c>
      <c r="CG39" s="7">
        <f>IF(6=0,0,DY38)</f>
        <v/>
      </c>
      <c r="CH39" s="7">
        <f>IF(J39&gt;=0.5,1,0)</f>
        <v/>
      </c>
      <c r="CI39" s="7">
        <f>IF(AND(CH39=0,prestamos_pslfActivo=1,K39&gt;=0.5,CE39&gt;0),1,0)</f>
        <v/>
      </c>
      <c r="CJ39" s="7">
        <f>CE39*CF39</f>
        <v/>
      </c>
      <c r="CK39" s="7">
        <f>MAX(prestamos_rapPagoMinimoAnual,IF(Y39&lt;10000,0,MIN(0.1,INT(Y39/10000)/100))*Y39)</f>
        <v/>
      </c>
      <c r="CL39" s="7">
        <f>IF(CE39&lt;=0,0,IF(CH39=1,0,IF(CI39=1,MIN(CE39+CJ39,CK39),PMT(CF39,MAX(1,prestamos_plazoAnios-CG39),-CE39))))</f>
        <v/>
      </c>
      <c r="CM39" s="7">
        <f>IF(CE39&lt;=0,0,IF(CH39=1,CE39+CJ39,IF(CI39=1,MAX(0,CE39-MAX(CL39-CJ39,MIN(600,CL39))),MAX(0,CE39*(1+CF39)-CL39))))</f>
        <v/>
      </c>
      <c r="CN39" s="7">
        <f>IF(6=0,0,CN38)+IF(CI39=1,12*MIN(1,K39),0)</f>
        <v/>
      </c>
      <c r="CO39" s="7">
        <f>IF(AND(CI39=1,CN39&gt;=prestamos_pslfPagos,CM39&gt;0),CM39,0)</f>
        <v/>
      </c>
      <c r="CP39" s="7">
        <f>CM39-CO39</f>
        <v/>
      </c>
      <c r="CQ39" s="7">
        <f>IF(AND(CE39&gt;0,CH39=0,CI39=0),CG39+1,CG39)</f>
        <v/>
      </c>
      <c r="CR39" s="7">
        <f>IF(6=0,IF(personal_deudaEsFederal=1,0,personal_deudaEstudiantil),EA38)</f>
        <v/>
      </c>
      <c r="CS39" s="7">
        <f>IF(6=0,IF(personal_deudaEsFederal=1,prestamos_tasaPrivada,personal_tasaDeudaEstudiantil),EB38)</f>
        <v/>
      </c>
      <c r="CT39" s="7">
        <f>IF(6=0,0,EC38)</f>
        <v/>
      </c>
      <c r="CU39" s="7">
        <f>IF(OR(CR39&lt;=0,CH39=1),0,PMT(CS39,MAX(1,prestamos_plazoAnios-CT39),-CR39))</f>
        <v/>
      </c>
      <c r="CV39" s="7">
        <f>IF(CR39&lt;=0,0,IF(CH39=1,CR39*(1+CS39),MAX(0,CR39*(1+CS39)-CU39)))</f>
        <v/>
      </c>
      <c r="CW39" s="7">
        <f>IF(AND(CR39&gt;0,CH39=0),CT39+1,CT39)</f>
        <v/>
      </c>
      <c r="CX39" s="7">
        <f>IF(6=0,0,ED38)*(1+general_tasaDeudaConsumo)</f>
        <v/>
      </c>
      <c r="CY39" s="7">
        <f>L39*12*tiempos_travelGastoExtraMes*C39</f>
        <v/>
      </c>
      <c r="CZ39" s="7">
        <f>AJ39+CY39+CA39+CC39+CL39+CU39+I39+N39-BZ39-CB39</f>
        <v/>
      </c>
      <c r="DA39" s="7">
        <f>AH39-CZ39</f>
        <v/>
      </c>
      <c r="DB39" s="7">
        <f>IF(6=0,0,DB38)+DA39</f>
        <v/>
      </c>
      <c r="DC39" s="7">
        <f>AN39*vivienda_enganchePct+AN39*vivienda_cierrePct+general_reservaMeses/12*AJ39</f>
        <v/>
      </c>
      <c r="DD39" s="7">
        <f>IF(BB39=1,g_ret,IF(BD39&gt;0,MIN(1,DC39/BD39),1)*g_cash+(1-IF(BD39&gt;0,MIN(1,DC39/BD39),1))*g_ret)</f>
        <v/>
      </c>
      <c r="DE39" s="7">
        <f>IF(DA39&gt;=0,MIN(CX39,DA39),0)</f>
        <v/>
      </c>
      <c r="DF39" s="7">
        <f>IF(DA39&gt;=0,(1-general_tasaAhorro)*(DA39-DE39),0)</f>
        <v/>
      </c>
      <c r="DG39" s="7">
        <f>IF(DA39&gt;=0,DA39-DE39-DF39,0)</f>
        <v/>
      </c>
      <c r="DH39" s="7">
        <f>MIN(personal_rothAnual,DG39)</f>
        <v/>
      </c>
      <c r="DI39" s="7">
        <f>IF(AND(DA39&gt;=0,BB39=1,BP39+BT39&gt;0),MIN(vivienda_prepagoPct*(DG39-DH39),BP39+BT39),0)</f>
        <v/>
      </c>
      <c r="DJ39" s="7">
        <f>MIN(DI39,BP39)</f>
        <v/>
      </c>
      <c r="DK39" s="7">
        <f>IF(DA39&lt;0,MIN(MAX(0,BD39),-DA39),0)</f>
        <v/>
      </c>
      <c r="DL39" s="7">
        <f>IF(DA39&lt;0,-DA39-DK39,0)</f>
        <v/>
      </c>
      <c r="DM39" s="7">
        <f>IF(6=0,0,DZ38)</f>
        <v/>
      </c>
      <c r="DN39" s="7">
        <f>IF(AND(DL39&gt;0,J39&gt;0),MIN(DL39,MIN(prestamos_topeAnualPosgrado*MIN(1,J39),MAX(0,prestamos_topeTotalPosgrado-DM39))),0)</f>
        <v/>
      </c>
      <c r="DO39" s="7">
        <f>IF(AND(DL39&gt;0,J39&gt;0),DL39-DN39,0)</f>
        <v/>
      </c>
      <c r="DP39" s="7">
        <f>IF(AND(DL39&gt;0,J39&lt;=0),DL39,0)</f>
        <v/>
      </c>
      <c r="DQ39" s="7">
        <f>IF(DA39&gt;=0,DG39-DH39-DI39,-DK39)</f>
        <v/>
      </c>
      <c r="DR39" s="7">
        <f>BD39*(1+DD39)+DQ39*(1+DD39/2)</f>
        <v/>
      </c>
      <c r="DS39" s="7">
        <f>IF(6=0,personal_retiroInicial,DS38)*(1+g_ret)+(O39+P39+DH39)*(1+g_ret/2)</f>
        <v/>
      </c>
      <c r="DT39" s="7">
        <f>IF(BB39=1,BL39*(1+g_appr),0)</f>
        <v/>
      </c>
      <c r="DU39" s="7">
        <f>BP39-DJ39</f>
        <v/>
      </c>
      <c r="DV39" s="7">
        <f>BT39-(DI39-DJ39)</f>
        <v/>
      </c>
      <c r="DW39" s="7">
        <f>CP39+DN39</f>
        <v/>
      </c>
      <c r="DX39" s="7">
        <f>IF(DN39&gt;0,(CP39*CF39+DN39*prestamos_tasaFederalPosgrado)/(CP39+DN39),CF39)</f>
        <v/>
      </c>
      <c r="DY39" s="7">
        <f>IF(DN39&gt;0,0,CQ39)</f>
        <v/>
      </c>
      <c r="DZ39" s="7">
        <f>DM39+DN39</f>
        <v/>
      </c>
      <c r="EA39" s="7">
        <f>CV39+DO39</f>
        <v/>
      </c>
      <c r="EB39" s="7">
        <f>IF(DO39&gt;0,(CV39*CS39+DO39*prestamos_tasaPrivada)/(CV39+DO39),CS39)</f>
        <v/>
      </c>
      <c r="EC39" s="7">
        <f>IF(DO39&gt;0,0,CW39)</f>
        <v/>
      </c>
      <c r="ED39" s="7">
        <f>CX39-DE39+DP39</f>
        <v/>
      </c>
      <c r="EE39" s="7">
        <f>IF(IF(6=0,"",EE38)&lt;&gt;"",EE38,IF(AND(BB39=1,DU39&lt;=0.5,DV39&lt;=0.5,OR(BH39=0,BJ39=1)),A39,""))</f>
        <v/>
      </c>
      <c r="EF39" s="7">
        <f>DU39+DV39+DW39+EA39+ED39+CD39</f>
        <v/>
      </c>
      <c r="EG39" s="7">
        <f>DR39+DS39+DT39-EF39</f>
        <v/>
      </c>
      <c r="EH39" s="7">
        <f>EG39/(1+g_inf)^(A39+1-2026)</f>
        <v/>
      </c>
    </row>
    <row r="40">
      <c r="A40" t="n">
        <v>2034</v>
      </c>
      <c r="B40" t="n">
        <v>7</v>
      </c>
      <c r="C40" s="7">
        <f>(1+g_inf)^(A40-2026)</f>
        <v/>
      </c>
      <c r="D40" s="7">
        <f>SUMPRODUCT($AA$5:$AA$29,$E$5:$E$29*(1+$F$5:$F$29)^(A40-2026)*$G$5:$G$29*$H$5:$H$29*(1-$N$5:$N$29*$O$5:$O$29))*g_salMult+SUMPRODUCT(($B$5:$B$29&gt;=A40)*($B$5:$B$29&lt;A40+1)*$I$5:$I$29)*g_salMult</f>
        <v/>
      </c>
      <c r="E40" s="7">
        <f>SUMPRODUCT($AA$5:$AA$29,$E$5:$E$29*(1+$F$5:$F$29)^(A40-2026)*$G$5:$G$29*$H$5:$H$29*$M$5:$M$29)*g_salMult</f>
        <v/>
      </c>
      <c r="F40" s="7">
        <f>SUMPRODUCT($AA$5:$AA$29,$E$5:$E$29*(1+$F$5:$F$29)^(A40-2026)*$G$5:$G$29*$H$5:$H$29*$N$5:$N$29*$O$5:$O$29)*g_salMult</f>
        <v/>
      </c>
      <c r="G40" s="7">
        <f>SUMPRODUCT($AA$5:$AA$29,$P$5:$P$29*(1+$F$5:$F$29)^(A40-2026))</f>
        <v/>
      </c>
      <c r="H40" s="7">
        <f>SUMPRODUCT($AA$5:$AA$29,$Q$5:$Q$29*(1+$F$5:$F$29)^(A40-2026))+IF(personal_llcActivo=1,personal_llcNeto*(1+personal_llcCrecimiento)^7,0)</f>
        <v/>
      </c>
      <c r="I40" s="7">
        <f>SUMPRODUCT($AA$5:$AA$29,$J$5:$J$29/($C$5:$C$29-$B$5:$B$29+($C$5:$C$29=$B$5:$B$29)))*C40</f>
        <v/>
      </c>
      <c r="J40" s="7">
        <f>SUMPRODUCT($AA$5:$AA$29,$K$5:$K$29)</f>
        <v/>
      </c>
      <c r="K40" s="7">
        <f>SUMPRODUCT($AA$5:$AA$29,$L$5:$L$29)</f>
        <v/>
      </c>
      <c r="L40" s="7">
        <f>SUMPRODUCT($AA$5:$AA$29,$N$5:$N$29)</f>
        <v/>
      </c>
      <c r="M40" s="7">
        <f>IF(SUMPRODUCT($AA$5:$AA$29,$R$5:$R$29)&gt;0,1,0)</f>
        <v/>
      </c>
      <c r="N40" s="7">
        <f>SUMPRODUCT(($AO$5:$AO$24&gt;=A40)*($AO$5:$AO$24&lt;A40+1)*$AP$5:$AP$24)*C40+IF(7=0,IF(sel_loc&lt;&gt;"miami",personal_costoMudanzaInicial,0),0)</f>
        <v/>
      </c>
      <c r="O40" s="7">
        <f>MIN(personal_aporte403bPct*D40,retiro_limite403b*C40)</f>
        <v/>
      </c>
      <c r="P40" s="7">
        <f>MIN(personal_aporte403bPct,personal_match403bPct)*E40</f>
        <v/>
      </c>
      <c r="Q40" s="7">
        <f>IF(G40&gt;0,MAX(0,G40-impuestos_scorpCostoAnual*C40),0)</f>
        <v/>
      </c>
      <c r="R40" s="7">
        <f>Q40*impuestos_scorpSalarioPct/(1+impuestos_ssTasa+impuestos_medicareTasa)</f>
        <v/>
      </c>
      <c r="S40" s="7">
        <f>impuestos_ssTasa*MIN(R40,MAX(0,impuestos_ssTope*C40-D40))+impuestos_medicareTasa*R40</f>
        <v/>
      </c>
      <c r="T40" s="7">
        <f>Q40-R40-S40</f>
        <v/>
      </c>
      <c r="U40" s="7">
        <f>D40+R40</f>
        <v/>
      </c>
      <c r="V40" s="7">
        <f>H40*0.9235</f>
        <v/>
      </c>
      <c r="W40" s="7">
        <f>IF(H40&gt;0,2*impuestos_ssTasa*MIN(V40,MAX(0,impuestos_ssTope*C40-U40))+2*impuestos_medicareTasa*V40,0)</f>
        <v/>
      </c>
      <c r="X40" s="7">
        <f>impuestos_ssTasa*MIN(U40,impuestos_ssTope*C40)+impuestos_medicareTasa*U40+impuestos_medicareAdicional*MAX(0,U40+H40*0.9235-impuestos_medicareUmbral)</f>
        <v/>
      </c>
      <c r="Y40" s="7">
        <f>MAX(0,D40-O40+R40+T40+H40-W40/2)</f>
        <v/>
      </c>
      <c r="Z40" s="7">
        <f>MAX(0,Y40-impuestos_deduccionEstandar*C40)</f>
        <v/>
      </c>
      <c r="AA40" s="7">
        <f>MIN(0.2*MAX(0,T40+H40-W40/2)*MAX(0,MIN(1,1-(Z40-impuestos_qbiUmbral*C40)/(impuestos_qbiRango*C40))),0.2*Z40)</f>
        <v/>
      </c>
      <c r="AB40" s="7">
        <f>MAX(0,Z40-AA40)</f>
        <v/>
      </c>
      <c r="AC40" s="7">
        <f>SUMPRODUCT((AB40&gt;tb_federalBrackets_lo*C40)*(AB40-tb_federalBrackets_lo*C40)*tb_federalBrackets_dr)</f>
        <v/>
      </c>
      <c r="AD40" s="7">
        <f>MAX(0,Y40-impuestos_nyDeduccion*C40)</f>
        <v/>
      </c>
      <c r="AE40" s="7">
        <f>CHOOSE(loc_taxcode,0,impuestos_ohTasa*MAX(0,Y40-impuestos_ohExento*C40)+impuestos_ohMunicipal*U40,SUMPRODUCT((AD40&gt;tb_nyBrackets_lo*C40)*(AD40-tb_nyBrackets_lo*C40)*tb_nyBrackets_dr)+loc_nyc*SUMPRODUCT((AD40&gt;tb_nycBrackets_lo*C40)*(AD40-tb_nycBrackets_lo*C40)*tb_nycBrackets_dr))</f>
        <v/>
      </c>
      <c r="AF40" s="7">
        <f>AC40+AE40+X40+W40</f>
        <v/>
      </c>
      <c r="AG40" s="7">
        <f>D40+F40+R40+T40+H40</f>
        <v/>
      </c>
      <c r="AH40" s="7">
        <f>AG40-AF40-O40</f>
        <v/>
      </c>
      <c r="AI40" s="7">
        <f>D40+F40+G40+H40</f>
        <v/>
      </c>
      <c r="AJ40" s="7">
        <f>loc_gastosVida*C40*g_gastos</f>
        <v/>
      </c>
      <c r="AK40" s="7">
        <f>IF(7=0,personal_liquidoInicial,DR39)</f>
        <v/>
      </c>
      <c r="AL40" s="7">
        <f>IF(7=0,0,BB39)</f>
        <v/>
      </c>
      <c r="AM40" s="7">
        <f>CHOOSE(sel_cfgIdx,loc_precio_duplex,loc_precio_inlaw,loc_precio_dosCasas,loc_precio_casaAdu,loc_precio_multi)</f>
        <v/>
      </c>
      <c r="AN40" s="7">
        <f>AM40*(1+g_appr)^(A40-2026)</f>
        <v/>
      </c>
      <c r="AO40" s="7">
        <f>IF(AND(M40=1,vivienda_prestamoMedico=1),1,0)</f>
        <v/>
      </c>
      <c r="AP40" s="7">
        <f>IF(AO40=1,0.05,vivienda_enganchePct)</f>
        <v/>
      </c>
      <c r="AQ40" s="7">
        <f>AN40*(1-AP40)</f>
        <v/>
      </c>
      <c r="AR40" s="7">
        <f>PMT(g_mortRate/12,vivienda_plazoHipoteca*12,-AQ40)</f>
        <v/>
      </c>
      <c r="AS40" s="7">
        <f>INDEX(cfg_units,sel_cfgIdx)</f>
        <v/>
      </c>
      <c r="AT40" s="7">
        <f>AS40*loc_rentaUnidad*(1+g_inf)^(A40-2026)*(1-vivienda_vacancia)</f>
        <v/>
      </c>
      <c r="AU40" s="7">
        <f>AR40+AN40*loc_impuestoPropPct/12+AM40*loc_seguroPct*(1+vivienda_inflacionSeguro)^(A40-2026)/12+IF(AND(AO40=0,AP40&lt;0.2),AQ40*vivienda_pmiTasa/12,0)</f>
        <v/>
      </c>
      <c r="AV40" s="7">
        <f>AN40*AP40+AN40*vivienda_cierrePct+general_reservaMeses/12*AJ40</f>
        <v/>
      </c>
      <c r="AW40" s="7">
        <f>(IF(7=0,MIN(personal_irsSaldo,personal_irsPagoMensual*12),MIN(CD39,personal_irsPagoMensual*12))+IF(CE40&gt;0,PMT(CF40,MAX(1,prestamos_plazoAnios-CG40),-CE40),0)+IF(CR40&gt;0,PMT(CS40,MAX(1,prestamos_plazoAnios-CT40),-CR40),0))/12</f>
        <v/>
      </c>
      <c r="AX40" s="7">
        <f>IF(OR(sel_cfg="duplex",sel_cfg="multi",sel_cfg="dosCasas"),0.75*personal_aporteFamiliaMensual,0)</f>
        <v/>
      </c>
      <c r="AY40" s="7">
        <f>AU40-0.75*AT40-AX40+AW40</f>
        <v/>
      </c>
      <c r="AZ40" s="7">
        <f>(D40+G40+H40+0.5*F40)/12</f>
        <v/>
      </c>
      <c r="BA40" s="7">
        <f>IF(AND(AL40=0,A40&gt;=vivienda_anioMinCompra,J40&lt;0.5,AI40&gt;0,AK40&gt;=AV40,AY40&lt;=vivienda_dtiMax*AZ40),1,0)</f>
        <v/>
      </c>
      <c r="BB40" s="7">
        <f>MAX(AL40,BA40)</f>
        <v/>
      </c>
      <c r="BC40" s="7">
        <f>IF(BA40=1,A40,IF(7=0,"",BC39))</f>
        <v/>
      </c>
      <c r="BD40" s="7">
        <f>AK40-IF(BA40=1,AN40*AP40+AN40*vivienda_cierrePct,0)</f>
        <v/>
      </c>
      <c r="BE40" s="7">
        <f>IF(BA40=1,AN40,IF(7=0,0,BE39))</f>
        <v/>
      </c>
      <c r="BF40" s="7">
        <f>IF(BA40=1,AR40,IF(7=0,0,BF39))</f>
        <v/>
      </c>
      <c r="BG40" s="7">
        <f>IF(BA40=1,IF(AND(AO40=0,AP40&lt;0.2),1,0),IF(7=0,0,BY39))</f>
        <v/>
      </c>
      <c r="BH40" s="7">
        <f>IF(sel_cfg="casaAdu",1,0)</f>
        <v/>
      </c>
      <c r="BI40" s="7">
        <f>IF(AND(BB40=1,BH40=1,IF(7=0,0,BJ39)=0,A40&gt;=IF(BC40="",9999,BC40)+vivienda_aduRetrasoAnios),1,0)</f>
        <v/>
      </c>
      <c r="BJ40" s="7">
        <f>MAX(IF(7=0,0,BJ39),BI40)</f>
        <v/>
      </c>
      <c r="BK40" s="7">
        <f>IF(BI40=1,PMT((g_mortRate+0.005)/12,180,-loc_precio_aduCosto*C40),IF(7=0,0,BK39))</f>
        <v/>
      </c>
      <c r="BL40" s="7">
        <f>IF(BA40=1,AN40,IF(7=0,0,DT39))+IF(BI40=1,loc_precio_aduCosto*C40,0)</f>
        <v/>
      </c>
      <c r="BM40" s="7">
        <f>IF(BA40=1,AQ40,IF(7=0,0,DU39))</f>
        <v/>
      </c>
      <c r="BN40" s="7">
        <f>IF(BM40&lt;=0,0,FV(g_mortRate/12,12,BF40,-BM40))</f>
        <v/>
      </c>
      <c r="BO40" s="7">
        <f>IF(BM40&lt;=0,0,12*BF40+MIN(0,BN40))</f>
        <v/>
      </c>
      <c r="BP40" s="7">
        <f>MAX(0,BN40)</f>
        <v/>
      </c>
      <c r="BQ40" s="7">
        <f>IF(BI40=1,loc_precio_aduCosto*C40,IF(7=0,0,DV39))</f>
        <v/>
      </c>
      <c r="BR40" s="7">
        <f>IF(BQ40&lt;=0,0,FV((g_mortRate+0.005)/12,12,BK40,-BQ40))</f>
        <v/>
      </c>
      <c r="BS40" s="7">
        <f>IF(BQ40&lt;=0,0,12*BK40+MIN(0,BR40))</f>
        <v/>
      </c>
      <c r="BT40" s="7">
        <f>MAX(0,BR40)</f>
        <v/>
      </c>
      <c r="BU40" s="7">
        <f>IF(BB40=1,AM40*loc_seguroPct*(1+vivienda_inflacionSeguro)^(A40-2026)*IF(BJ40=1,1+loc_precio_aduCosto/AM40,1),0)</f>
        <v/>
      </c>
      <c r="BV40" s="7">
        <f>BL40*loc_impuestoPropPct</f>
        <v/>
      </c>
      <c r="BW40" s="7">
        <f>BL40*vivienda_mantenimientoPct</f>
        <v/>
      </c>
      <c r="BX40" s="7">
        <f>IF(AND(BG40=1,BP40&gt;0.8*BE40),BE40*(1-vivienda_enganchePct)*vivienda_pmiTasa,0)</f>
        <v/>
      </c>
      <c r="BY40" s="7">
        <f>IF(AND(BG40=1,BP40&gt;0.8*BE40),1,0)</f>
        <v/>
      </c>
      <c r="BZ40" s="7">
        <f>IF(BB40=1,AS40*loc_rentaUnidad*12*C40*(1-vivienda_vacancia)*(1-vivienda_gestionPct),0)</f>
        <v/>
      </c>
      <c r="CA40" s="7">
        <f>IF(BB40=1,BO40+BS40+BU40+BV40+BW40+BX40,loc_rentaMensual*12*C40)</f>
        <v/>
      </c>
      <c r="CB40" s="7">
        <f>IF(BB40=1,personal_aporteFamiliaMensual*12,0)</f>
        <v/>
      </c>
      <c r="CC40" s="7">
        <f>MIN(IF(7=0,personal_irsSaldo,CD39),personal_irsPagoMensual*12)</f>
        <v/>
      </c>
      <c r="CD40" s="7">
        <f>IF(7=0,personal_irsSaldo,CD39)-CC40</f>
        <v/>
      </c>
      <c r="CE40" s="7">
        <f>IF(7=0,IF(personal_deudaEsFederal=1,personal_deudaEstudiantil,0),DW39)</f>
        <v/>
      </c>
      <c r="CF40" s="7">
        <f>IF(7=0,personal_tasaDeudaEstudiantil,DX39)</f>
        <v/>
      </c>
      <c r="CG40" s="7">
        <f>IF(7=0,0,DY39)</f>
        <v/>
      </c>
      <c r="CH40" s="7">
        <f>IF(J40&gt;=0.5,1,0)</f>
        <v/>
      </c>
      <c r="CI40" s="7">
        <f>IF(AND(CH40=0,prestamos_pslfActivo=1,K40&gt;=0.5,CE40&gt;0),1,0)</f>
        <v/>
      </c>
      <c r="CJ40" s="7">
        <f>CE40*CF40</f>
        <v/>
      </c>
      <c r="CK40" s="7">
        <f>MAX(prestamos_rapPagoMinimoAnual,IF(Y40&lt;10000,0,MIN(0.1,INT(Y40/10000)/100))*Y40)</f>
        <v/>
      </c>
      <c r="CL40" s="7">
        <f>IF(CE40&lt;=0,0,IF(CH40=1,0,IF(CI40=1,MIN(CE40+CJ40,CK40),PMT(CF40,MAX(1,prestamos_plazoAnios-CG40),-CE40))))</f>
        <v/>
      </c>
      <c r="CM40" s="7">
        <f>IF(CE40&lt;=0,0,IF(CH40=1,CE40+CJ40,IF(CI40=1,MAX(0,CE40-MAX(CL40-CJ40,MIN(600,CL40))),MAX(0,CE40*(1+CF40)-CL40))))</f>
        <v/>
      </c>
      <c r="CN40" s="7">
        <f>IF(7=0,0,CN39)+IF(CI40=1,12*MIN(1,K40),0)</f>
        <v/>
      </c>
      <c r="CO40" s="7">
        <f>IF(AND(CI40=1,CN40&gt;=prestamos_pslfPagos,CM40&gt;0),CM40,0)</f>
        <v/>
      </c>
      <c r="CP40" s="7">
        <f>CM40-CO40</f>
        <v/>
      </c>
      <c r="CQ40" s="7">
        <f>IF(AND(CE40&gt;0,CH40=0,CI40=0),CG40+1,CG40)</f>
        <v/>
      </c>
      <c r="CR40" s="7">
        <f>IF(7=0,IF(personal_deudaEsFederal=1,0,personal_deudaEstudiantil),EA39)</f>
        <v/>
      </c>
      <c r="CS40" s="7">
        <f>IF(7=0,IF(personal_deudaEsFederal=1,prestamos_tasaPrivada,personal_tasaDeudaEstudiantil),EB39)</f>
        <v/>
      </c>
      <c r="CT40" s="7">
        <f>IF(7=0,0,EC39)</f>
        <v/>
      </c>
      <c r="CU40" s="7">
        <f>IF(OR(CR40&lt;=0,CH40=1),0,PMT(CS40,MAX(1,prestamos_plazoAnios-CT40),-CR40))</f>
        <v/>
      </c>
      <c r="CV40" s="7">
        <f>IF(CR40&lt;=0,0,IF(CH40=1,CR40*(1+CS40),MAX(0,CR40*(1+CS40)-CU40)))</f>
        <v/>
      </c>
      <c r="CW40" s="7">
        <f>IF(AND(CR40&gt;0,CH40=0),CT40+1,CT40)</f>
        <v/>
      </c>
      <c r="CX40" s="7">
        <f>IF(7=0,0,ED39)*(1+general_tasaDeudaConsumo)</f>
        <v/>
      </c>
      <c r="CY40" s="7">
        <f>L40*12*tiempos_travelGastoExtraMes*C40</f>
        <v/>
      </c>
      <c r="CZ40" s="7">
        <f>AJ40+CY40+CA40+CC40+CL40+CU40+I40+N40-BZ40-CB40</f>
        <v/>
      </c>
      <c r="DA40" s="7">
        <f>AH40-CZ40</f>
        <v/>
      </c>
      <c r="DB40" s="7">
        <f>IF(7=0,0,DB39)+DA40</f>
        <v/>
      </c>
      <c r="DC40" s="7">
        <f>AN40*vivienda_enganchePct+AN40*vivienda_cierrePct+general_reservaMeses/12*AJ40</f>
        <v/>
      </c>
      <c r="DD40" s="7">
        <f>IF(BB40=1,g_ret,IF(BD40&gt;0,MIN(1,DC40/BD40),1)*g_cash+(1-IF(BD40&gt;0,MIN(1,DC40/BD40),1))*g_ret)</f>
        <v/>
      </c>
      <c r="DE40" s="7">
        <f>IF(DA40&gt;=0,MIN(CX40,DA40),0)</f>
        <v/>
      </c>
      <c r="DF40" s="7">
        <f>IF(DA40&gt;=0,(1-general_tasaAhorro)*(DA40-DE40),0)</f>
        <v/>
      </c>
      <c r="DG40" s="7">
        <f>IF(DA40&gt;=0,DA40-DE40-DF40,0)</f>
        <v/>
      </c>
      <c r="DH40" s="7">
        <f>MIN(personal_rothAnual,DG40)</f>
        <v/>
      </c>
      <c r="DI40" s="7">
        <f>IF(AND(DA40&gt;=0,BB40=1,BP40+BT40&gt;0),MIN(vivienda_prepagoPct*(DG40-DH40),BP40+BT40),0)</f>
        <v/>
      </c>
      <c r="DJ40" s="7">
        <f>MIN(DI40,BP40)</f>
        <v/>
      </c>
      <c r="DK40" s="7">
        <f>IF(DA40&lt;0,MIN(MAX(0,BD40),-DA40),0)</f>
        <v/>
      </c>
      <c r="DL40" s="7">
        <f>IF(DA40&lt;0,-DA40-DK40,0)</f>
        <v/>
      </c>
      <c r="DM40" s="7">
        <f>IF(7=0,0,DZ39)</f>
        <v/>
      </c>
      <c r="DN40" s="7">
        <f>IF(AND(DL40&gt;0,J40&gt;0),MIN(DL40,MIN(prestamos_topeAnualPosgrado*MIN(1,J40),MAX(0,prestamos_topeTotalPosgrado-DM40))),0)</f>
        <v/>
      </c>
      <c r="DO40" s="7">
        <f>IF(AND(DL40&gt;0,J40&gt;0),DL40-DN40,0)</f>
        <v/>
      </c>
      <c r="DP40" s="7">
        <f>IF(AND(DL40&gt;0,J40&lt;=0),DL40,0)</f>
        <v/>
      </c>
      <c r="DQ40" s="7">
        <f>IF(DA40&gt;=0,DG40-DH40-DI40,-DK40)</f>
        <v/>
      </c>
      <c r="DR40" s="7">
        <f>BD40*(1+DD40)+DQ40*(1+DD40/2)</f>
        <v/>
      </c>
      <c r="DS40" s="7">
        <f>IF(7=0,personal_retiroInicial,DS39)*(1+g_ret)+(O40+P40+DH40)*(1+g_ret/2)</f>
        <v/>
      </c>
      <c r="DT40" s="7">
        <f>IF(BB40=1,BL40*(1+g_appr),0)</f>
        <v/>
      </c>
      <c r="DU40" s="7">
        <f>BP40-DJ40</f>
        <v/>
      </c>
      <c r="DV40" s="7">
        <f>BT40-(DI40-DJ40)</f>
        <v/>
      </c>
      <c r="DW40" s="7">
        <f>CP40+DN40</f>
        <v/>
      </c>
      <c r="DX40" s="7">
        <f>IF(DN40&gt;0,(CP40*CF40+DN40*prestamos_tasaFederalPosgrado)/(CP40+DN40),CF40)</f>
        <v/>
      </c>
      <c r="DY40" s="7">
        <f>IF(DN40&gt;0,0,CQ40)</f>
        <v/>
      </c>
      <c r="DZ40" s="7">
        <f>DM40+DN40</f>
        <v/>
      </c>
      <c r="EA40" s="7">
        <f>CV40+DO40</f>
        <v/>
      </c>
      <c r="EB40" s="7">
        <f>IF(DO40&gt;0,(CV40*CS40+DO40*prestamos_tasaPrivada)/(CV40+DO40),CS40)</f>
        <v/>
      </c>
      <c r="EC40" s="7">
        <f>IF(DO40&gt;0,0,CW40)</f>
        <v/>
      </c>
      <c r="ED40" s="7">
        <f>CX40-DE40+DP40</f>
        <v/>
      </c>
      <c r="EE40" s="7">
        <f>IF(IF(7=0,"",EE39)&lt;&gt;"",EE39,IF(AND(BB40=1,DU40&lt;=0.5,DV40&lt;=0.5,OR(BH40=0,BJ40=1)),A40,""))</f>
        <v/>
      </c>
      <c r="EF40" s="7">
        <f>DU40+DV40+DW40+EA40+ED40+CD40</f>
        <v/>
      </c>
      <c r="EG40" s="7">
        <f>DR40+DS40+DT40-EF40</f>
        <v/>
      </c>
      <c r="EH40" s="7">
        <f>EG40/(1+g_inf)^(A40+1-2026)</f>
        <v/>
      </c>
    </row>
    <row r="41">
      <c r="A41" t="n">
        <v>2035</v>
      </c>
      <c r="B41" t="n">
        <v>8</v>
      </c>
      <c r="C41" s="7">
        <f>(1+g_inf)^(A41-2026)</f>
        <v/>
      </c>
      <c r="D41" s="7">
        <f>SUMPRODUCT($AB$5:$AB$29,$E$5:$E$29*(1+$F$5:$F$29)^(A41-2026)*$G$5:$G$29*$H$5:$H$29*(1-$N$5:$N$29*$O$5:$O$29))*g_salMult+SUMPRODUCT(($B$5:$B$29&gt;=A41)*($B$5:$B$29&lt;A41+1)*$I$5:$I$29)*g_salMult</f>
        <v/>
      </c>
      <c r="E41" s="7">
        <f>SUMPRODUCT($AB$5:$AB$29,$E$5:$E$29*(1+$F$5:$F$29)^(A41-2026)*$G$5:$G$29*$H$5:$H$29*$M$5:$M$29)*g_salMult</f>
        <v/>
      </c>
      <c r="F41" s="7">
        <f>SUMPRODUCT($AB$5:$AB$29,$E$5:$E$29*(1+$F$5:$F$29)^(A41-2026)*$G$5:$G$29*$H$5:$H$29*$N$5:$N$29*$O$5:$O$29)*g_salMult</f>
        <v/>
      </c>
      <c r="G41" s="7">
        <f>SUMPRODUCT($AB$5:$AB$29,$P$5:$P$29*(1+$F$5:$F$29)^(A41-2026))</f>
        <v/>
      </c>
      <c r="H41" s="7">
        <f>SUMPRODUCT($AB$5:$AB$29,$Q$5:$Q$29*(1+$F$5:$F$29)^(A41-2026))+IF(personal_llcActivo=1,personal_llcNeto*(1+personal_llcCrecimiento)^8,0)</f>
        <v/>
      </c>
      <c r="I41" s="7">
        <f>SUMPRODUCT($AB$5:$AB$29,$J$5:$J$29/($C$5:$C$29-$B$5:$B$29+($C$5:$C$29=$B$5:$B$29)))*C41</f>
        <v/>
      </c>
      <c r="J41" s="7">
        <f>SUMPRODUCT($AB$5:$AB$29,$K$5:$K$29)</f>
        <v/>
      </c>
      <c r="K41" s="7">
        <f>SUMPRODUCT($AB$5:$AB$29,$L$5:$L$29)</f>
        <v/>
      </c>
      <c r="L41" s="7">
        <f>SUMPRODUCT($AB$5:$AB$29,$N$5:$N$29)</f>
        <v/>
      </c>
      <c r="M41" s="7">
        <f>IF(SUMPRODUCT($AB$5:$AB$29,$R$5:$R$29)&gt;0,1,0)</f>
        <v/>
      </c>
      <c r="N41" s="7">
        <f>SUMPRODUCT(($AO$5:$AO$24&gt;=A41)*($AO$5:$AO$24&lt;A41+1)*$AP$5:$AP$24)*C41+IF(8=0,IF(sel_loc&lt;&gt;"miami",personal_costoMudanzaInicial,0),0)</f>
        <v/>
      </c>
      <c r="O41" s="7">
        <f>MIN(personal_aporte403bPct*D41,retiro_limite403b*C41)</f>
        <v/>
      </c>
      <c r="P41" s="7">
        <f>MIN(personal_aporte403bPct,personal_match403bPct)*E41</f>
        <v/>
      </c>
      <c r="Q41" s="7">
        <f>IF(G41&gt;0,MAX(0,G41-impuestos_scorpCostoAnual*C41),0)</f>
        <v/>
      </c>
      <c r="R41" s="7">
        <f>Q41*impuestos_scorpSalarioPct/(1+impuestos_ssTasa+impuestos_medicareTasa)</f>
        <v/>
      </c>
      <c r="S41" s="7">
        <f>impuestos_ssTasa*MIN(R41,MAX(0,impuestos_ssTope*C41-D41))+impuestos_medicareTasa*R41</f>
        <v/>
      </c>
      <c r="T41" s="7">
        <f>Q41-R41-S41</f>
        <v/>
      </c>
      <c r="U41" s="7">
        <f>D41+R41</f>
        <v/>
      </c>
      <c r="V41" s="7">
        <f>H41*0.9235</f>
        <v/>
      </c>
      <c r="W41" s="7">
        <f>IF(H41&gt;0,2*impuestos_ssTasa*MIN(V41,MAX(0,impuestos_ssTope*C41-U41))+2*impuestos_medicareTasa*V41,0)</f>
        <v/>
      </c>
      <c r="X41" s="7">
        <f>impuestos_ssTasa*MIN(U41,impuestos_ssTope*C41)+impuestos_medicareTasa*U41+impuestos_medicareAdicional*MAX(0,U41+H41*0.9235-impuestos_medicareUmbral)</f>
        <v/>
      </c>
      <c r="Y41" s="7">
        <f>MAX(0,D41-O41+R41+T41+H41-W41/2)</f>
        <v/>
      </c>
      <c r="Z41" s="7">
        <f>MAX(0,Y41-impuestos_deduccionEstandar*C41)</f>
        <v/>
      </c>
      <c r="AA41" s="7">
        <f>MIN(0.2*MAX(0,T41+H41-W41/2)*MAX(0,MIN(1,1-(Z41-impuestos_qbiUmbral*C41)/(impuestos_qbiRango*C41))),0.2*Z41)</f>
        <v/>
      </c>
      <c r="AB41" s="7">
        <f>MAX(0,Z41-AA41)</f>
        <v/>
      </c>
      <c r="AC41" s="7">
        <f>SUMPRODUCT((AB41&gt;tb_federalBrackets_lo*C41)*(AB41-tb_federalBrackets_lo*C41)*tb_federalBrackets_dr)</f>
        <v/>
      </c>
      <c r="AD41" s="7">
        <f>MAX(0,Y41-impuestos_nyDeduccion*C41)</f>
        <v/>
      </c>
      <c r="AE41" s="7">
        <f>CHOOSE(loc_taxcode,0,impuestos_ohTasa*MAX(0,Y41-impuestos_ohExento*C41)+impuestos_ohMunicipal*U41,SUMPRODUCT((AD41&gt;tb_nyBrackets_lo*C41)*(AD41-tb_nyBrackets_lo*C41)*tb_nyBrackets_dr)+loc_nyc*SUMPRODUCT((AD41&gt;tb_nycBrackets_lo*C41)*(AD41-tb_nycBrackets_lo*C41)*tb_nycBrackets_dr))</f>
        <v/>
      </c>
      <c r="AF41" s="7">
        <f>AC41+AE41+X41+W41</f>
        <v/>
      </c>
      <c r="AG41" s="7">
        <f>D41+F41+R41+T41+H41</f>
        <v/>
      </c>
      <c r="AH41" s="7">
        <f>AG41-AF41-O41</f>
        <v/>
      </c>
      <c r="AI41" s="7">
        <f>D41+F41+G41+H41</f>
        <v/>
      </c>
      <c r="AJ41" s="7">
        <f>loc_gastosVida*C41*g_gastos</f>
        <v/>
      </c>
      <c r="AK41" s="7">
        <f>IF(8=0,personal_liquidoInicial,DR40)</f>
        <v/>
      </c>
      <c r="AL41" s="7">
        <f>IF(8=0,0,BB40)</f>
        <v/>
      </c>
      <c r="AM41" s="7">
        <f>CHOOSE(sel_cfgIdx,loc_precio_duplex,loc_precio_inlaw,loc_precio_dosCasas,loc_precio_casaAdu,loc_precio_multi)</f>
        <v/>
      </c>
      <c r="AN41" s="7">
        <f>AM41*(1+g_appr)^(A41-2026)</f>
        <v/>
      </c>
      <c r="AO41" s="7">
        <f>IF(AND(M41=1,vivienda_prestamoMedico=1),1,0)</f>
        <v/>
      </c>
      <c r="AP41" s="7">
        <f>IF(AO41=1,0.05,vivienda_enganchePct)</f>
        <v/>
      </c>
      <c r="AQ41" s="7">
        <f>AN41*(1-AP41)</f>
        <v/>
      </c>
      <c r="AR41" s="7">
        <f>PMT(g_mortRate/12,vivienda_plazoHipoteca*12,-AQ41)</f>
        <v/>
      </c>
      <c r="AS41" s="7">
        <f>INDEX(cfg_units,sel_cfgIdx)</f>
        <v/>
      </c>
      <c r="AT41" s="7">
        <f>AS41*loc_rentaUnidad*(1+g_inf)^(A41-2026)*(1-vivienda_vacancia)</f>
        <v/>
      </c>
      <c r="AU41" s="7">
        <f>AR41+AN41*loc_impuestoPropPct/12+AM41*loc_seguroPct*(1+vivienda_inflacionSeguro)^(A41-2026)/12+IF(AND(AO41=0,AP41&lt;0.2),AQ41*vivienda_pmiTasa/12,0)</f>
        <v/>
      </c>
      <c r="AV41" s="7">
        <f>AN41*AP41+AN41*vivienda_cierrePct+general_reservaMeses/12*AJ41</f>
        <v/>
      </c>
      <c r="AW41" s="7">
        <f>(IF(8=0,MIN(personal_irsSaldo,personal_irsPagoMensual*12),MIN(CD40,personal_irsPagoMensual*12))+IF(CE41&gt;0,PMT(CF41,MAX(1,prestamos_plazoAnios-CG41),-CE41),0)+IF(CR41&gt;0,PMT(CS41,MAX(1,prestamos_plazoAnios-CT41),-CR41),0))/12</f>
        <v/>
      </c>
      <c r="AX41" s="7">
        <f>IF(OR(sel_cfg="duplex",sel_cfg="multi",sel_cfg="dosCasas"),0.75*personal_aporteFamiliaMensual,0)</f>
        <v/>
      </c>
      <c r="AY41" s="7">
        <f>AU41-0.75*AT41-AX41+AW41</f>
        <v/>
      </c>
      <c r="AZ41" s="7">
        <f>(D41+G41+H41+0.5*F41)/12</f>
        <v/>
      </c>
      <c r="BA41" s="7">
        <f>IF(AND(AL41=0,A41&gt;=vivienda_anioMinCompra,J41&lt;0.5,AI41&gt;0,AK41&gt;=AV41,AY41&lt;=vivienda_dtiMax*AZ41),1,0)</f>
        <v/>
      </c>
      <c r="BB41" s="7">
        <f>MAX(AL41,BA41)</f>
        <v/>
      </c>
      <c r="BC41" s="7">
        <f>IF(BA41=1,A41,IF(8=0,"",BC40))</f>
        <v/>
      </c>
      <c r="BD41" s="7">
        <f>AK41-IF(BA41=1,AN41*AP41+AN41*vivienda_cierrePct,0)</f>
        <v/>
      </c>
      <c r="BE41" s="7">
        <f>IF(BA41=1,AN41,IF(8=0,0,BE40))</f>
        <v/>
      </c>
      <c r="BF41" s="7">
        <f>IF(BA41=1,AR41,IF(8=0,0,BF40))</f>
        <v/>
      </c>
      <c r="BG41" s="7">
        <f>IF(BA41=1,IF(AND(AO41=0,AP41&lt;0.2),1,0),IF(8=0,0,BY40))</f>
        <v/>
      </c>
      <c r="BH41" s="7">
        <f>IF(sel_cfg="casaAdu",1,0)</f>
        <v/>
      </c>
      <c r="BI41" s="7">
        <f>IF(AND(BB41=1,BH41=1,IF(8=0,0,BJ40)=0,A41&gt;=IF(BC41="",9999,BC41)+vivienda_aduRetrasoAnios),1,0)</f>
        <v/>
      </c>
      <c r="BJ41" s="7">
        <f>MAX(IF(8=0,0,BJ40),BI41)</f>
        <v/>
      </c>
      <c r="BK41" s="7">
        <f>IF(BI41=1,PMT((g_mortRate+0.005)/12,180,-loc_precio_aduCosto*C41),IF(8=0,0,BK40))</f>
        <v/>
      </c>
      <c r="BL41" s="7">
        <f>IF(BA41=1,AN41,IF(8=0,0,DT40))+IF(BI41=1,loc_precio_aduCosto*C41,0)</f>
        <v/>
      </c>
      <c r="BM41" s="7">
        <f>IF(BA41=1,AQ41,IF(8=0,0,DU40))</f>
        <v/>
      </c>
      <c r="BN41" s="7">
        <f>IF(BM41&lt;=0,0,FV(g_mortRate/12,12,BF41,-BM41))</f>
        <v/>
      </c>
      <c r="BO41" s="7">
        <f>IF(BM41&lt;=0,0,12*BF41+MIN(0,BN41))</f>
        <v/>
      </c>
      <c r="BP41" s="7">
        <f>MAX(0,BN41)</f>
        <v/>
      </c>
      <c r="BQ41" s="7">
        <f>IF(BI41=1,loc_precio_aduCosto*C41,IF(8=0,0,DV40))</f>
        <v/>
      </c>
      <c r="BR41" s="7">
        <f>IF(BQ41&lt;=0,0,FV((g_mortRate+0.005)/12,12,BK41,-BQ41))</f>
        <v/>
      </c>
      <c r="BS41" s="7">
        <f>IF(BQ41&lt;=0,0,12*BK41+MIN(0,BR41))</f>
        <v/>
      </c>
      <c r="BT41" s="7">
        <f>MAX(0,BR41)</f>
        <v/>
      </c>
      <c r="BU41" s="7">
        <f>IF(BB41=1,AM41*loc_seguroPct*(1+vivienda_inflacionSeguro)^(A41-2026)*IF(BJ41=1,1+loc_precio_aduCosto/AM41,1),0)</f>
        <v/>
      </c>
      <c r="BV41" s="7">
        <f>BL41*loc_impuestoPropPct</f>
        <v/>
      </c>
      <c r="BW41" s="7">
        <f>BL41*vivienda_mantenimientoPct</f>
        <v/>
      </c>
      <c r="BX41" s="7">
        <f>IF(AND(BG41=1,BP41&gt;0.8*BE41),BE41*(1-vivienda_enganchePct)*vivienda_pmiTasa,0)</f>
        <v/>
      </c>
      <c r="BY41" s="7">
        <f>IF(AND(BG41=1,BP41&gt;0.8*BE41),1,0)</f>
        <v/>
      </c>
      <c r="BZ41" s="7">
        <f>IF(BB41=1,AS41*loc_rentaUnidad*12*C41*(1-vivienda_vacancia)*(1-vivienda_gestionPct),0)</f>
        <v/>
      </c>
      <c r="CA41" s="7">
        <f>IF(BB41=1,BO41+BS41+BU41+BV41+BW41+BX41,loc_rentaMensual*12*C41)</f>
        <v/>
      </c>
      <c r="CB41" s="7">
        <f>IF(BB41=1,personal_aporteFamiliaMensual*12,0)</f>
        <v/>
      </c>
      <c r="CC41" s="7">
        <f>MIN(IF(8=0,personal_irsSaldo,CD40),personal_irsPagoMensual*12)</f>
        <v/>
      </c>
      <c r="CD41" s="7">
        <f>IF(8=0,personal_irsSaldo,CD40)-CC41</f>
        <v/>
      </c>
      <c r="CE41" s="7">
        <f>IF(8=0,IF(personal_deudaEsFederal=1,personal_deudaEstudiantil,0),DW40)</f>
        <v/>
      </c>
      <c r="CF41" s="7">
        <f>IF(8=0,personal_tasaDeudaEstudiantil,DX40)</f>
        <v/>
      </c>
      <c r="CG41" s="7">
        <f>IF(8=0,0,DY40)</f>
        <v/>
      </c>
      <c r="CH41" s="7">
        <f>IF(J41&gt;=0.5,1,0)</f>
        <v/>
      </c>
      <c r="CI41" s="7">
        <f>IF(AND(CH41=0,prestamos_pslfActivo=1,K41&gt;=0.5,CE41&gt;0),1,0)</f>
        <v/>
      </c>
      <c r="CJ41" s="7">
        <f>CE41*CF41</f>
        <v/>
      </c>
      <c r="CK41" s="7">
        <f>MAX(prestamos_rapPagoMinimoAnual,IF(Y41&lt;10000,0,MIN(0.1,INT(Y41/10000)/100))*Y41)</f>
        <v/>
      </c>
      <c r="CL41" s="7">
        <f>IF(CE41&lt;=0,0,IF(CH41=1,0,IF(CI41=1,MIN(CE41+CJ41,CK41),PMT(CF41,MAX(1,prestamos_plazoAnios-CG41),-CE41))))</f>
        <v/>
      </c>
      <c r="CM41" s="7">
        <f>IF(CE41&lt;=0,0,IF(CH41=1,CE41+CJ41,IF(CI41=1,MAX(0,CE41-MAX(CL41-CJ41,MIN(600,CL41))),MAX(0,CE41*(1+CF41)-CL41))))</f>
        <v/>
      </c>
      <c r="CN41" s="7">
        <f>IF(8=0,0,CN40)+IF(CI41=1,12*MIN(1,K41),0)</f>
        <v/>
      </c>
      <c r="CO41" s="7">
        <f>IF(AND(CI41=1,CN41&gt;=prestamos_pslfPagos,CM41&gt;0),CM41,0)</f>
        <v/>
      </c>
      <c r="CP41" s="7">
        <f>CM41-CO41</f>
        <v/>
      </c>
      <c r="CQ41" s="7">
        <f>IF(AND(CE41&gt;0,CH41=0,CI41=0),CG41+1,CG41)</f>
        <v/>
      </c>
      <c r="CR41" s="7">
        <f>IF(8=0,IF(personal_deudaEsFederal=1,0,personal_deudaEstudiantil),EA40)</f>
        <v/>
      </c>
      <c r="CS41" s="7">
        <f>IF(8=0,IF(personal_deudaEsFederal=1,prestamos_tasaPrivada,personal_tasaDeudaEstudiantil),EB40)</f>
        <v/>
      </c>
      <c r="CT41" s="7">
        <f>IF(8=0,0,EC40)</f>
        <v/>
      </c>
      <c r="CU41" s="7">
        <f>IF(OR(CR41&lt;=0,CH41=1),0,PMT(CS41,MAX(1,prestamos_plazoAnios-CT41),-CR41))</f>
        <v/>
      </c>
      <c r="CV41" s="7">
        <f>IF(CR41&lt;=0,0,IF(CH41=1,CR41*(1+CS41),MAX(0,CR41*(1+CS41)-CU41)))</f>
        <v/>
      </c>
      <c r="CW41" s="7">
        <f>IF(AND(CR41&gt;0,CH41=0),CT41+1,CT41)</f>
        <v/>
      </c>
      <c r="CX41" s="7">
        <f>IF(8=0,0,ED40)*(1+general_tasaDeudaConsumo)</f>
        <v/>
      </c>
      <c r="CY41" s="7">
        <f>L41*12*tiempos_travelGastoExtraMes*C41</f>
        <v/>
      </c>
      <c r="CZ41" s="7">
        <f>AJ41+CY41+CA41+CC41+CL41+CU41+I41+N41-BZ41-CB41</f>
        <v/>
      </c>
      <c r="DA41" s="7">
        <f>AH41-CZ41</f>
        <v/>
      </c>
      <c r="DB41" s="7">
        <f>IF(8=0,0,DB40)+DA41</f>
        <v/>
      </c>
      <c r="DC41" s="7">
        <f>AN41*vivienda_enganchePct+AN41*vivienda_cierrePct+general_reservaMeses/12*AJ41</f>
        <v/>
      </c>
      <c r="DD41" s="7">
        <f>IF(BB41=1,g_ret,IF(BD41&gt;0,MIN(1,DC41/BD41),1)*g_cash+(1-IF(BD41&gt;0,MIN(1,DC41/BD41),1))*g_ret)</f>
        <v/>
      </c>
      <c r="DE41" s="7">
        <f>IF(DA41&gt;=0,MIN(CX41,DA41),0)</f>
        <v/>
      </c>
      <c r="DF41" s="7">
        <f>IF(DA41&gt;=0,(1-general_tasaAhorro)*(DA41-DE41),0)</f>
        <v/>
      </c>
      <c r="DG41" s="7">
        <f>IF(DA41&gt;=0,DA41-DE41-DF41,0)</f>
        <v/>
      </c>
      <c r="DH41" s="7">
        <f>MIN(personal_rothAnual,DG41)</f>
        <v/>
      </c>
      <c r="DI41" s="7">
        <f>IF(AND(DA41&gt;=0,BB41=1,BP41+BT41&gt;0),MIN(vivienda_prepagoPct*(DG41-DH41),BP41+BT41),0)</f>
        <v/>
      </c>
      <c r="DJ41" s="7">
        <f>MIN(DI41,BP41)</f>
        <v/>
      </c>
      <c r="DK41" s="7">
        <f>IF(DA41&lt;0,MIN(MAX(0,BD41),-DA41),0)</f>
        <v/>
      </c>
      <c r="DL41" s="7">
        <f>IF(DA41&lt;0,-DA41-DK41,0)</f>
        <v/>
      </c>
      <c r="DM41" s="7">
        <f>IF(8=0,0,DZ40)</f>
        <v/>
      </c>
      <c r="DN41" s="7">
        <f>IF(AND(DL41&gt;0,J41&gt;0),MIN(DL41,MIN(prestamos_topeAnualPosgrado*MIN(1,J41),MAX(0,prestamos_topeTotalPosgrado-DM41))),0)</f>
        <v/>
      </c>
      <c r="DO41" s="7">
        <f>IF(AND(DL41&gt;0,J41&gt;0),DL41-DN41,0)</f>
        <v/>
      </c>
      <c r="DP41" s="7">
        <f>IF(AND(DL41&gt;0,J41&lt;=0),DL41,0)</f>
        <v/>
      </c>
      <c r="DQ41" s="7">
        <f>IF(DA41&gt;=0,DG41-DH41-DI41,-DK41)</f>
        <v/>
      </c>
      <c r="DR41" s="7">
        <f>BD41*(1+DD41)+DQ41*(1+DD41/2)</f>
        <v/>
      </c>
      <c r="DS41" s="7">
        <f>IF(8=0,personal_retiroInicial,DS40)*(1+g_ret)+(O41+P41+DH41)*(1+g_ret/2)</f>
        <v/>
      </c>
      <c r="DT41" s="7">
        <f>IF(BB41=1,BL41*(1+g_appr),0)</f>
        <v/>
      </c>
      <c r="DU41" s="7">
        <f>BP41-DJ41</f>
        <v/>
      </c>
      <c r="DV41" s="7">
        <f>BT41-(DI41-DJ41)</f>
        <v/>
      </c>
      <c r="DW41" s="7">
        <f>CP41+DN41</f>
        <v/>
      </c>
      <c r="DX41" s="7">
        <f>IF(DN41&gt;0,(CP41*CF41+DN41*prestamos_tasaFederalPosgrado)/(CP41+DN41),CF41)</f>
        <v/>
      </c>
      <c r="DY41" s="7">
        <f>IF(DN41&gt;0,0,CQ41)</f>
        <v/>
      </c>
      <c r="DZ41" s="7">
        <f>DM41+DN41</f>
        <v/>
      </c>
      <c r="EA41" s="7">
        <f>CV41+DO41</f>
        <v/>
      </c>
      <c r="EB41" s="7">
        <f>IF(DO41&gt;0,(CV41*CS41+DO41*prestamos_tasaPrivada)/(CV41+DO41),CS41)</f>
        <v/>
      </c>
      <c r="EC41" s="7">
        <f>IF(DO41&gt;0,0,CW41)</f>
        <v/>
      </c>
      <c r="ED41" s="7">
        <f>CX41-DE41+DP41</f>
        <v/>
      </c>
      <c r="EE41" s="7">
        <f>IF(IF(8=0,"",EE40)&lt;&gt;"",EE40,IF(AND(BB41=1,DU41&lt;=0.5,DV41&lt;=0.5,OR(BH41=0,BJ41=1)),A41,""))</f>
        <v/>
      </c>
      <c r="EF41" s="7">
        <f>DU41+DV41+DW41+EA41+ED41+CD41</f>
        <v/>
      </c>
      <c r="EG41" s="7">
        <f>DR41+DS41+DT41-EF41</f>
        <v/>
      </c>
      <c r="EH41" s="7">
        <f>EG41/(1+g_inf)^(A41+1-2026)</f>
        <v/>
      </c>
    </row>
    <row r="42">
      <c r="A42" t="n">
        <v>2036</v>
      </c>
      <c r="B42" t="n">
        <v>9</v>
      </c>
      <c r="C42" s="7">
        <f>(1+g_inf)^(A42-2026)</f>
        <v/>
      </c>
      <c r="D42" s="7">
        <f>SUMPRODUCT($AC$5:$AC$29,$E$5:$E$29*(1+$F$5:$F$29)^(A42-2026)*$G$5:$G$29*$H$5:$H$29*(1-$N$5:$N$29*$O$5:$O$29))*g_salMult+SUMPRODUCT(($B$5:$B$29&gt;=A42)*($B$5:$B$29&lt;A42+1)*$I$5:$I$29)*g_salMult</f>
        <v/>
      </c>
      <c r="E42" s="7">
        <f>SUMPRODUCT($AC$5:$AC$29,$E$5:$E$29*(1+$F$5:$F$29)^(A42-2026)*$G$5:$G$29*$H$5:$H$29*$M$5:$M$29)*g_salMult</f>
        <v/>
      </c>
      <c r="F42" s="7">
        <f>SUMPRODUCT($AC$5:$AC$29,$E$5:$E$29*(1+$F$5:$F$29)^(A42-2026)*$G$5:$G$29*$H$5:$H$29*$N$5:$N$29*$O$5:$O$29)*g_salMult</f>
        <v/>
      </c>
      <c r="G42" s="7">
        <f>SUMPRODUCT($AC$5:$AC$29,$P$5:$P$29*(1+$F$5:$F$29)^(A42-2026))</f>
        <v/>
      </c>
      <c r="H42" s="7">
        <f>SUMPRODUCT($AC$5:$AC$29,$Q$5:$Q$29*(1+$F$5:$F$29)^(A42-2026))+IF(personal_llcActivo=1,personal_llcNeto*(1+personal_llcCrecimiento)^9,0)</f>
        <v/>
      </c>
      <c r="I42" s="7">
        <f>SUMPRODUCT($AC$5:$AC$29,$J$5:$J$29/($C$5:$C$29-$B$5:$B$29+($C$5:$C$29=$B$5:$B$29)))*C42</f>
        <v/>
      </c>
      <c r="J42" s="7">
        <f>SUMPRODUCT($AC$5:$AC$29,$K$5:$K$29)</f>
        <v/>
      </c>
      <c r="K42" s="7">
        <f>SUMPRODUCT($AC$5:$AC$29,$L$5:$L$29)</f>
        <v/>
      </c>
      <c r="L42" s="7">
        <f>SUMPRODUCT($AC$5:$AC$29,$N$5:$N$29)</f>
        <v/>
      </c>
      <c r="M42" s="7">
        <f>IF(SUMPRODUCT($AC$5:$AC$29,$R$5:$R$29)&gt;0,1,0)</f>
        <v/>
      </c>
      <c r="N42" s="7">
        <f>SUMPRODUCT(($AO$5:$AO$24&gt;=A42)*($AO$5:$AO$24&lt;A42+1)*$AP$5:$AP$24)*C42+IF(9=0,IF(sel_loc&lt;&gt;"miami",personal_costoMudanzaInicial,0),0)</f>
        <v/>
      </c>
      <c r="O42" s="7">
        <f>MIN(personal_aporte403bPct*D42,retiro_limite403b*C42)</f>
        <v/>
      </c>
      <c r="P42" s="7">
        <f>MIN(personal_aporte403bPct,personal_match403bPct)*E42</f>
        <v/>
      </c>
      <c r="Q42" s="7">
        <f>IF(G42&gt;0,MAX(0,G42-impuestos_scorpCostoAnual*C42),0)</f>
        <v/>
      </c>
      <c r="R42" s="7">
        <f>Q42*impuestos_scorpSalarioPct/(1+impuestos_ssTasa+impuestos_medicareTasa)</f>
        <v/>
      </c>
      <c r="S42" s="7">
        <f>impuestos_ssTasa*MIN(R42,MAX(0,impuestos_ssTope*C42-D42))+impuestos_medicareTasa*R42</f>
        <v/>
      </c>
      <c r="T42" s="7">
        <f>Q42-R42-S42</f>
        <v/>
      </c>
      <c r="U42" s="7">
        <f>D42+R42</f>
        <v/>
      </c>
      <c r="V42" s="7">
        <f>H42*0.9235</f>
        <v/>
      </c>
      <c r="W42" s="7">
        <f>IF(H42&gt;0,2*impuestos_ssTasa*MIN(V42,MAX(0,impuestos_ssTope*C42-U42))+2*impuestos_medicareTasa*V42,0)</f>
        <v/>
      </c>
      <c r="X42" s="7">
        <f>impuestos_ssTasa*MIN(U42,impuestos_ssTope*C42)+impuestos_medicareTasa*U42+impuestos_medicareAdicional*MAX(0,U42+H42*0.9235-impuestos_medicareUmbral)</f>
        <v/>
      </c>
      <c r="Y42" s="7">
        <f>MAX(0,D42-O42+R42+T42+H42-W42/2)</f>
        <v/>
      </c>
      <c r="Z42" s="7">
        <f>MAX(0,Y42-impuestos_deduccionEstandar*C42)</f>
        <v/>
      </c>
      <c r="AA42" s="7">
        <f>MIN(0.2*MAX(0,T42+H42-W42/2)*MAX(0,MIN(1,1-(Z42-impuestos_qbiUmbral*C42)/(impuestos_qbiRango*C42))),0.2*Z42)</f>
        <v/>
      </c>
      <c r="AB42" s="7">
        <f>MAX(0,Z42-AA42)</f>
        <v/>
      </c>
      <c r="AC42" s="7">
        <f>SUMPRODUCT((AB42&gt;tb_federalBrackets_lo*C42)*(AB42-tb_federalBrackets_lo*C42)*tb_federalBrackets_dr)</f>
        <v/>
      </c>
      <c r="AD42" s="7">
        <f>MAX(0,Y42-impuestos_nyDeduccion*C42)</f>
        <v/>
      </c>
      <c r="AE42" s="7">
        <f>CHOOSE(loc_taxcode,0,impuestos_ohTasa*MAX(0,Y42-impuestos_ohExento*C42)+impuestos_ohMunicipal*U42,SUMPRODUCT((AD42&gt;tb_nyBrackets_lo*C42)*(AD42-tb_nyBrackets_lo*C42)*tb_nyBrackets_dr)+loc_nyc*SUMPRODUCT((AD42&gt;tb_nycBrackets_lo*C42)*(AD42-tb_nycBrackets_lo*C42)*tb_nycBrackets_dr))</f>
        <v/>
      </c>
      <c r="AF42" s="7">
        <f>AC42+AE42+X42+W42</f>
        <v/>
      </c>
      <c r="AG42" s="7">
        <f>D42+F42+R42+T42+H42</f>
        <v/>
      </c>
      <c r="AH42" s="7">
        <f>AG42-AF42-O42</f>
        <v/>
      </c>
      <c r="AI42" s="7">
        <f>D42+F42+G42+H42</f>
        <v/>
      </c>
      <c r="AJ42" s="7">
        <f>loc_gastosVida*C42*g_gastos</f>
        <v/>
      </c>
      <c r="AK42" s="7">
        <f>IF(9=0,personal_liquidoInicial,DR41)</f>
        <v/>
      </c>
      <c r="AL42" s="7">
        <f>IF(9=0,0,BB41)</f>
        <v/>
      </c>
      <c r="AM42" s="7">
        <f>CHOOSE(sel_cfgIdx,loc_precio_duplex,loc_precio_inlaw,loc_precio_dosCasas,loc_precio_casaAdu,loc_precio_multi)</f>
        <v/>
      </c>
      <c r="AN42" s="7">
        <f>AM42*(1+g_appr)^(A42-2026)</f>
        <v/>
      </c>
      <c r="AO42" s="7">
        <f>IF(AND(M42=1,vivienda_prestamoMedico=1),1,0)</f>
        <v/>
      </c>
      <c r="AP42" s="7">
        <f>IF(AO42=1,0.05,vivienda_enganchePct)</f>
        <v/>
      </c>
      <c r="AQ42" s="7">
        <f>AN42*(1-AP42)</f>
        <v/>
      </c>
      <c r="AR42" s="7">
        <f>PMT(g_mortRate/12,vivienda_plazoHipoteca*12,-AQ42)</f>
        <v/>
      </c>
      <c r="AS42" s="7">
        <f>INDEX(cfg_units,sel_cfgIdx)</f>
        <v/>
      </c>
      <c r="AT42" s="7">
        <f>AS42*loc_rentaUnidad*(1+g_inf)^(A42-2026)*(1-vivienda_vacancia)</f>
        <v/>
      </c>
      <c r="AU42" s="7">
        <f>AR42+AN42*loc_impuestoPropPct/12+AM42*loc_seguroPct*(1+vivienda_inflacionSeguro)^(A42-2026)/12+IF(AND(AO42=0,AP42&lt;0.2),AQ42*vivienda_pmiTasa/12,0)</f>
        <v/>
      </c>
      <c r="AV42" s="7">
        <f>AN42*AP42+AN42*vivienda_cierrePct+general_reservaMeses/12*AJ42</f>
        <v/>
      </c>
      <c r="AW42" s="7">
        <f>(IF(9=0,MIN(personal_irsSaldo,personal_irsPagoMensual*12),MIN(CD41,personal_irsPagoMensual*12))+IF(CE42&gt;0,PMT(CF42,MAX(1,prestamos_plazoAnios-CG42),-CE42),0)+IF(CR42&gt;0,PMT(CS42,MAX(1,prestamos_plazoAnios-CT42),-CR42),0))/12</f>
        <v/>
      </c>
      <c r="AX42" s="7">
        <f>IF(OR(sel_cfg="duplex",sel_cfg="multi",sel_cfg="dosCasas"),0.75*personal_aporteFamiliaMensual,0)</f>
        <v/>
      </c>
      <c r="AY42" s="7">
        <f>AU42-0.75*AT42-AX42+AW42</f>
        <v/>
      </c>
      <c r="AZ42" s="7">
        <f>(D42+G42+H42+0.5*F42)/12</f>
        <v/>
      </c>
      <c r="BA42" s="7">
        <f>IF(AND(AL42=0,A42&gt;=vivienda_anioMinCompra,J42&lt;0.5,AI42&gt;0,AK42&gt;=AV42,AY42&lt;=vivienda_dtiMax*AZ42),1,0)</f>
        <v/>
      </c>
      <c r="BB42" s="7">
        <f>MAX(AL42,BA42)</f>
        <v/>
      </c>
      <c r="BC42" s="7">
        <f>IF(BA42=1,A42,IF(9=0,"",BC41))</f>
        <v/>
      </c>
      <c r="BD42" s="7">
        <f>AK42-IF(BA42=1,AN42*AP42+AN42*vivienda_cierrePct,0)</f>
        <v/>
      </c>
      <c r="BE42" s="7">
        <f>IF(BA42=1,AN42,IF(9=0,0,BE41))</f>
        <v/>
      </c>
      <c r="BF42" s="7">
        <f>IF(BA42=1,AR42,IF(9=0,0,BF41))</f>
        <v/>
      </c>
      <c r="BG42" s="7">
        <f>IF(BA42=1,IF(AND(AO42=0,AP42&lt;0.2),1,0),IF(9=0,0,BY41))</f>
        <v/>
      </c>
      <c r="BH42" s="7">
        <f>IF(sel_cfg="casaAdu",1,0)</f>
        <v/>
      </c>
      <c r="BI42" s="7">
        <f>IF(AND(BB42=1,BH42=1,IF(9=0,0,BJ41)=0,A42&gt;=IF(BC42="",9999,BC42)+vivienda_aduRetrasoAnios),1,0)</f>
        <v/>
      </c>
      <c r="BJ42" s="7">
        <f>MAX(IF(9=0,0,BJ41),BI42)</f>
        <v/>
      </c>
      <c r="BK42" s="7">
        <f>IF(BI42=1,PMT((g_mortRate+0.005)/12,180,-loc_precio_aduCosto*C42),IF(9=0,0,BK41))</f>
        <v/>
      </c>
      <c r="BL42" s="7">
        <f>IF(BA42=1,AN42,IF(9=0,0,DT41))+IF(BI42=1,loc_precio_aduCosto*C42,0)</f>
        <v/>
      </c>
      <c r="BM42" s="7">
        <f>IF(BA42=1,AQ42,IF(9=0,0,DU41))</f>
        <v/>
      </c>
      <c r="BN42" s="7">
        <f>IF(BM42&lt;=0,0,FV(g_mortRate/12,12,BF42,-BM42))</f>
        <v/>
      </c>
      <c r="BO42" s="7">
        <f>IF(BM42&lt;=0,0,12*BF42+MIN(0,BN42))</f>
        <v/>
      </c>
      <c r="BP42" s="7">
        <f>MAX(0,BN42)</f>
        <v/>
      </c>
      <c r="BQ42" s="7">
        <f>IF(BI42=1,loc_precio_aduCosto*C42,IF(9=0,0,DV41))</f>
        <v/>
      </c>
      <c r="BR42" s="7">
        <f>IF(BQ42&lt;=0,0,FV((g_mortRate+0.005)/12,12,BK42,-BQ42))</f>
        <v/>
      </c>
      <c r="BS42" s="7">
        <f>IF(BQ42&lt;=0,0,12*BK42+MIN(0,BR42))</f>
        <v/>
      </c>
      <c r="BT42" s="7">
        <f>MAX(0,BR42)</f>
        <v/>
      </c>
      <c r="BU42" s="7">
        <f>IF(BB42=1,AM42*loc_seguroPct*(1+vivienda_inflacionSeguro)^(A42-2026)*IF(BJ42=1,1+loc_precio_aduCosto/AM42,1),0)</f>
        <v/>
      </c>
      <c r="BV42" s="7">
        <f>BL42*loc_impuestoPropPct</f>
        <v/>
      </c>
      <c r="BW42" s="7">
        <f>BL42*vivienda_mantenimientoPct</f>
        <v/>
      </c>
      <c r="BX42" s="7">
        <f>IF(AND(BG42=1,BP42&gt;0.8*BE42),BE42*(1-vivienda_enganchePct)*vivienda_pmiTasa,0)</f>
        <v/>
      </c>
      <c r="BY42" s="7">
        <f>IF(AND(BG42=1,BP42&gt;0.8*BE42),1,0)</f>
        <v/>
      </c>
      <c r="BZ42" s="7">
        <f>IF(BB42=1,AS42*loc_rentaUnidad*12*C42*(1-vivienda_vacancia)*(1-vivienda_gestionPct),0)</f>
        <v/>
      </c>
      <c r="CA42" s="7">
        <f>IF(BB42=1,BO42+BS42+BU42+BV42+BW42+BX42,loc_rentaMensual*12*C42)</f>
        <v/>
      </c>
      <c r="CB42" s="7">
        <f>IF(BB42=1,personal_aporteFamiliaMensual*12,0)</f>
        <v/>
      </c>
      <c r="CC42" s="7">
        <f>MIN(IF(9=0,personal_irsSaldo,CD41),personal_irsPagoMensual*12)</f>
        <v/>
      </c>
      <c r="CD42" s="7">
        <f>IF(9=0,personal_irsSaldo,CD41)-CC42</f>
        <v/>
      </c>
      <c r="CE42" s="7">
        <f>IF(9=0,IF(personal_deudaEsFederal=1,personal_deudaEstudiantil,0),DW41)</f>
        <v/>
      </c>
      <c r="CF42" s="7">
        <f>IF(9=0,personal_tasaDeudaEstudiantil,DX41)</f>
        <v/>
      </c>
      <c r="CG42" s="7">
        <f>IF(9=0,0,DY41)</f>
        <v/>
      </c>
      <c r="CH42" s="7">
        <f>IF(J42&gt;=0.5,1,0)</f>
        <v/>
      </c>
      <c r="CI42" s="7">
        <f>IF(AND(CH42=0,prestamos_pslfActivo=1,K42&gt;=0.5,CE42&gt;0),1,0)</f>
        <v/>
      </c>
      <c r="CJ42" s="7">
        <f>CE42*CF42</f>
        <v/>
      </c>
      <c r="CK42" s="7">
        <f>MAX(prestamos_rapPagoMinimoAnual,IF(Y42&lt;10000,0,MIN(0.1,INT(Y42/10000)/100))*Y42)</f>
        <v/>
      </c>
      <c r="CL42" s="7">
        <f>IF(CE42&lt;=0,0,IF(CH42=1,0,IF(CI42=1,MIN(CE42+CJ42,CK42),PMT(CF42,MAX(1,prestamos_plazoAnios-CG42),-CE42))))</f>
        <v/>
      </c>
      <c r="CM42" s="7">
        <f>IF(CE42&lt;=0,0,IF(CH42=1,CE42+CJ42,IF(CI42=1,MAX(0,CE42-MAX(CL42-CJ42,MIN(600,CL42))),MAX(0,CE42*(1+CF42)-CL42))))</f>
        <v/>
      </c>
      <c r="CN42" s="7">
        <f>IF(9=0,0,CN41)+IF(CI42=1,12*MIN(1,K42),0)</f>
        <v/>
      </c>
      <c r="CO42" s="7">
        <f>IF(AND(CI42=1,CN42&gt;=prestamos_pslfPagos,CM42&gt;0),CM42,0)</f>
        <v/>
      </c>
      <c r="CP42" s="7">
        <f>CM42-CO42</f>
        <v/>
      </c>
      <c r="CQ42" s="7">
        <f>IF(AND(CE42&gt;0,CH42=0,CI42=0),CG42+1,CG42)</f>
        <v/>
      </c>
      <c r="CR42" s="7">
        <f>IF(9=0,IF(personal_deudaEsFederal=1,0,personal_deudaEstudiantil),EA41)</f>
        <v/>
      </c>
      <c r="CS42" s="7">
        <f>IF(9=0,IF(personal_deudaEsFederal=1,prestamos_tasaPrivada,personal_tasaDeudaEstudiantil),EB41)</f>
        <v/>
      </c>
      <c r="CT42" s="7">
        <f>IF(9=0,0,EC41)</f>
        <v/>
      </c>
      <c r="CU42" s="7">
        <f>IF(OR(CR42&lt;=0,CH42=1),0,PMT(CS42,MAX(1,prestamos_plazoAnios-CT42),-CR42))</f>
        <v/>
      </c>
      <c r="CV42" s="7">
        <f>IF(CR42&lt;=0,0,IF(CH42=1,CR42*(1+CS42),MAX(0,CR42*(1+CS42)-CU42)))</f>
        <v/>
      </c>
      <c r="CW42" s="7">
        <f>IF(AND(CR42&gt;0,CH42=0),CT42+1,CT42)</f>
        <v/>
      </c>
      <c r="CX42" s="7">
        <f>IF(9=0,0,ED41)*(1+general_tasaDeudaConsumo)</f>
        <v/>
      </c>
      <c r="CY42" s="7">
        <f>L42*12*tiempos_travelGastoExtraMes*C42</f>
        <v/>
      </c>
      <c r="CZ42" s="7">
        <f>AJ42+CY42+CA42+CC42+CL42+CU42+I42+N42-BZ42-CB42</f>
        <v/>
      </c>
      <c r="DA42" s="7">
        <f>AH42-CZ42</f>
        <v/>
      </c>
      <c r="DB42" s="7">
        <f>IF(9=0,0,DB41)+DA42</f>
        <v/>
      </c>
      <c r="DC42" s="7">
        <f>AN42*vivienda_enganchePct+AN42*vivienda_cierrePct+general_reservaMeses/12*AJ42</f>
        <v/>
      </c>
      <c r="DD42" s="7">
        <f>IF(BB42=1,g_ret,IF(BD42&gt;0,MIN(1,DC42/BD42),1)*g_cash+(1-IF(BD42&gt;0,MIN(1,DC42/BD42),1))*g_ret)</f>
        <v/>
      </c>
      <c r="DE42" s="7">
        <f>IF(DA42&gt;=0,MIN(CX42,DA42),0)</f>
        <v/>
      </c>
      <c r="DF42" s="7">
        <f>IF(DA42&gt;=0,(1-general_tasaAhorro)*(DA42-DE42),0)</f>
        <v/>
      </c>
      <c r="DG42" s="7">
        <f>IF(DA42&gt;=0,DA42-DE42-DF42,0)</f>
        <v/>
      </c>
      <c r="DH42" s="7">
        <f>MIN(personal_rothAnual,DG42)</f>
        <v/>
      </c>
      <c r="DI42" s="7">
        <f>IF(AND(DA42&gt;=0,BB42=1,BP42+BT42&gt;0),MIN(vivienda_prepagoPct*(DG42-DH42),BP42+BT42),0)</f>
        <v/>
      </c>
      <c r="DJ42" s="7">
        <f>MIN(DI42,BP42)</f>
        <v/>
      </c>
      <c r="DK42" s="7">
        <f>IF(DA42&lt;0,MIN(MAX(0,BD42),-DA42),0)</f>
        <v/>
      </c>
      <c r="DL42" s="7">
        <f>IF(DA42&lt;0,-DA42-DK42,0)</f>
        <v/>
      </c>
      <c r="DM42" s="7">
        <f>IF(9=0,0,DZ41)</f>
        <v/>
      </c>
      <c r="DN42" s="7">
        <f>IF(AND(DL42&gt;0,J42&gt;0),MIN(DL42,MIN(prestamos_topeAnualPosgrado*MIN(1,J42),MAX(0,prestamos_topeTotalPosgrado-DM42))),0)</f>
        <v/>
      </c>
      <c r="DO42" s="7">
        <f>IF(AND(DL42&gt;0,J42&gt;0),DL42-DN42,0)</f>
        <v/>
      </c>
      <c r="DP42" s="7">
        <f>IF(AND(DL42&gt;0,J42&lt;=0),DL42,0)</f>
        <v/>
      </c>
      <c r="DQ42" s="7">
        <f>IF(DA42&gt;=0,DG42-DH42-DI42,-DK42)</f>
        <v/>
      </c>
      <c r="DR42" s="7">
        <f>BD42*(1+DD42)+DQ42*(1+DD42/2)</f>
        <v/>
      </c>
      <c r="DS42" s="7">
        <f>IF(9=0,personal_retiroInicial,DS41)*(1+g_ret)+(O42+P42+DH42)*(1+g_ret/2)</f>
        <v/>
      </c>
      <c r="DT42" s="7">
        <f>IF(BB42=1,BL42*(1+g_appr),0)</f>
        <v/>
      </c>
      <c r="DU42" s="7">
        <f>BP42-DJ42</f>
        <v/>
      </c>
      <c r="DV42" s="7">
        <f>BT42-(DI42-DJ42)</f>
        <v/>
      </c>
      <c r="DW42" s="7">
        <f>CP42+DN42</f>
        <v/>
      </c>
      <c r="DX42" s="7">
        <f>IF(DN42&gt;0,(CP42*CF42+DN42*prestamos_tasaFederalPosgrado)/(CP42+DN42),CF42)</f>
        <v/>
      </c>
      <c r="DY42" s="7">
        <f>IF(DN42&gt;0,0,CQ42)</f>
        <v/>
      </c>
      <c r="DZ42" s="7">
        <f>DM42+DN42</f>
        <v/>
      </c>
      <c r="EA42" s="7">
        <f>CV42+DO42</f>
        <v/>
      </c>
      <c r="EB42" s="7">
        <f>IF(DO42&gt;0,(CV42*CS42+DO42*prestamos_tasaPrivada)/(CV42+DO42),CS42)</f>
        <v/>
      </c>
      <c r="EC42" s="7">
        <f>IF(DO42&gt;0,0,CW42)</f>
        <v/>
      </c>
      <c r="ED42" s="7">
        <f>CX42-DE42+DP42</f>
        <v/>
      </c>
      <c r="EE42" s="7">
        <f>IF(IF(9=0,"",EE41)&lt;&gt;"",EE41,IF(AND(BB42=1,DU42&lt;=0.5,DV42&lt;=0.5,OR(BH42=0,BJ42=1)),A42,""))</f>
        <v/>
      </c>
      <c r="EF42" s="7">
        <f>DU42+DV42+DW42+EA42+ED42+CD42</f>
        <v/>
      </c>
      <c r="EG42" s="7">
        <f>DR42+DS42+DT42-EF42</f>
        <v/>
      </c>
      <c r="EH42" s="7">
        <f>EG42/(1+g_inf)^(A42+1-2026)</f>
        <v/>
      </c>
    </row>
    <row r="43">
      <c r="A43" t="n">
        <v>2037</v>
      </c>
      <c r="B43" t="n">
        <v>10</v>
      </c>
      <c r="C43" s="7">
        <f>(1+g_inf)^(A43-2026)</f>
        <v/>
      </c>
      <c r="D43" s="7">
        <f>SUMPRODUCT($AD$5:$AD$29,$E$5:$E$29*(1+$F$5:$F$29)^(A43-2026)*$G$5:$G$29*$H$5:$H$29*(1-$N$5:$N$29*$O$5:$O$29))*g_salMult+SUMPRODUCT(($B$5:$B$29&gt;=A43)*($B$5:$B$29&lt;A43+1)*$I$5:$I$29)*g_salMult</f>
        <v/>
      </c>
      <c r="E43" s="7">
        <f>SUMPRODUCT($AD$5:$AD$29,$E$5:$E$29*(1+$F$5:$F$29)^(A43-2026)*$G$5:$G$29*$H$5:$H$29*$M$5:$M$29)*g_salMult</f>
        <v/>
      </c>
      <c r="F43" s="7">
        <f>SUMPRODUCT($AD$5:$AD$29,$E$5:$E$29*(1+$F$5:$F$29)^(A43-2026)*$G$5:$G$29*$H$5:$H$29*$N$5:$N$29*$O$5:$O$29)*g_salMult</f>
        <v/>
      </c>
      <c r="G43" s="7">
        <f>SUMPRODUCT($AD$5:$AD$29,$P$5:$P$29*(1+$F$5:$F$29)^(A43-2026))</f>
        <v/>
      </c>
      <c r="H43" s="7">
        <f>SUMPRODUCT($AD$5:$AD$29,$Q$5:$Q$29*(1+$F$5:$F$29)^(A43-2026))+IF(personal_llcActivo=1,personal_llcNeto*(1+personal_llcCrecimiento)^10,0)</f>
        <v/>
      </c>
      <c r="I43" s="7">
        <f>SUMPRODUCT($AD$5:$AD$29,$J$5:$J$29/($C$5:$C$29-$B$5:$B$29+($C$5:$C$29=$B$5:$B$29)))*C43</f>
        <v/>
      </c>
      <c r="J43" s="7">
        <f>SUMPRODUCT($AD$5:$AD$29,$K$5:$K$29)</f>
        <v/>
      </c>
      <c r="K43" s="7">
        <f>SUMPRODUCT($AD$5:$AD$29,$L$5:$L$29)</f>
        <v/>
      </c>
      <c r="L43" s="7">
        <f>SUMPRODUCT($AD$5:$AD$29,$N$5:$N$29)</f>
        <v/>
      </c>
      <c r="M43" s="7">
        <f>IF(SUMPRODUCT($AD$5:$AD$29,$R$5:$R$29)&gt;0,1,0)</f>
        <v/>
      </c>
      <c r="N43" s="7">
        <f>SUMPRODUCT(($AO$5:$AO$24&gt;=A43)*($AO$5:$AO$24&lt;A43+1)*$AP$5:$AP$24)*C43+IF(10=0,IF(sel_loc&lt;&gt;"miami",personal_costoMudanzaInicial,0),0)</f>
        <v/>
      </c>
      <c r="O43" s="7">
        <f>MIN(personal_aporte403bPct*D43,retiro_limite403b*C43)</f>
        <v/>
      </c>
      <c r="P43" s="7">
        <f>MIN(personal_aporte403bPct,personal_match403bPct)*E43</f>
        <v/>
      </c>
      <c r="Q43" s="7">
        <f>IF(G43&gt;0,MAX(0,G43-impuestos_scorpCostoAnual*C43),0)</f>
        <v/>
      </c>
      <c r="R43" s="7">
        <f>Q43*impuestos_scorpSalarioPct/(1+impuestos_ssTasa+impuestos_medicareTasa)</f>
        <v/>
      </c>
      <c r="S43" s="7">
        <f>impuestos_ssTasa*MIN(R43,MAX(0,impuestos_ssTope*C43-D43))+impuestos_medicareTasa*R43</f>
        <v/>
      </c>
      <c r="T43" s="7">
        <f>Q43-R43-S43</f>
        <v/>
      </c>
      <c r="U43" s="7">
        <f>D43+R43</f>
        <v/>
      </c>
      <c r="V43" s="7">
        <f>H43*0.9235</f>
        <v/>
      </c>
      <c r="W43" s="7">
        <f>IF(H43&gt;0,2*impuestos_ssTasa*MIN(V43,MAX(0,impuestos_ssTope*C43-U43))+2*impuestos_medicareTasa*V43,0)</f>
        <v/>
      </c>
      <c r="X43" s="7">
        <f>impuestos_ssTasa*MIN(U43,impuestos_ssTope*C43)+impuestos_medicareTasa*U43+impuestos_medicareAdicional*MAX(0,U43+H43*0.9235-impuestos_medicareUmbral)</f>
        <v/>
      </c>
      <c r="Y43" s="7">
        <f>MAX(0,D43-O43+R43+T43+H43-W43/2)</f>
        <v/>
      </c>
      <c r="Z43" s="7">
        <f>MAX(0,Y43-impuestos_deduccionEstandar*C43)</f>
        <v/>
      </c>
      <c r="AA43" s="7">
        <f>MIN(0.2*MAX(0,T43+H43-W43/2)*MAX(0,MIN(1,1-(Z43-impuestos_qbiUmbral*C43)/(impuestos_qbiRango*C43))),0.2*Z43)</f>
        <v/>
      </c>
      <c r="AB43" s="7">
        <f>MAX(0,Z43-AA43)</f>
        <v/>
      </c>
      <c r="AC43" s="7">
        <f>SUMPRODUCT((AB43&gt;tb_federalBrackets_lo*C43)*(AB43-tb_federalBrackets_lo*C43)*tb_federalBrackets_dr)</f>
        <v/>
      </c>
      <c r="AD43" s="7">
        <f>MAX(0,Y43-impuestos_nyDeduccion*C43)</f>
        <v/>
      </c>
      <c r="AE43" s="7">
        <f>CHOOSE(loc_taxcode,0,impuestos_ohTasa*MAX(0,Y43-impuestos_ohExento*C43)+impuestos_ohMunicipal*U43,SUMPRODUCT((AD43&gt;tb_nyBrackets_lo*C43)*(AD43-tb_nyBrackets_lo*C43)*tb_nyBrackets_dr)+loc_nyc*SUMPRODUCT((AD43&gt;tb_nycBrackets_lo*C43)*(AD43-tb_nycBrackets_lo*C43)*tb_nycBrackets_dr))</f>
        <v/>
      </c>
      <c r="AF43" s="7">
        <f>AC43+AE43+X43+W43</f>
        <v/>
      </c>
      <c r="AG43" s="7">
        <f>D43+F43+R43+T43+H43</f>
        <v/>
      </c>
      <c r="AH43" s="7">
        <f>AG43-AF43-O43</f>
        <v/>
      </c>
      <c r="AI43" s="7">
        <f>D43+F43+G43+H43</f>
        <v/>
      </c>
      <c r="AJ43" s="7">
        <f>loc_gastosVida*C43*g_gastos</f>
        <v/>
      </c>
      <c r="AK43" s="7">
        <f>IF(10=0,personal_liquidoInicial,DR42)</f>
        <v/>
      </c>
      <c r="AL43" s="7">
        <f>IF(10=0,0,BB42)</f>
        <v/>
      </c>
      <c r="AM43" s="7">
        <f>CHOOSE(sel_cfgIdx,loc_precio_duplex,loc_precio_inlaw,loc_precio_dosCasas,loc_precio_casaAdu,loc_precio_multi)</f>
        <v/>
      </c>
      <c r="AN43" s="7">
        <f>AM43*(1+g_appr)^(A43-2026)</f>
        <v/>
      </c>
      <c r="AO43" s="7">
        <f>IF(AND(M43=1,vivienda_prestamoMedico=1),1,0)</f>
        <v/>
      </c>
      <c r="AP43" s="7">
        <f>IF(AO43=1,0.05,vivienda_enganchePct)</f>
        <v/>
      </c>
      <c r="AQ43" s="7">
        <f>AN43*(1-AP43)</f>
        <v/>
      </c>
      <c r="AR43" s="7">
        <f>PMT(g_mortRate/12,vivienda_plazoHipoteca*12,-AQ43)</f>
        <v/>
      </c>
      <c r="AS43" s="7">
        <f>INDEX(cfg_units,sel_cfgIdx)</f>
        <v/>
      </c>
      <c r="AT43" s="7">
        <f>AS43*loc_rentaUnidad*(1+g_inf)^(A43-2026)*(1-vivienda_vacancia)</f>
        <v/>
      </c>
      <c r="AU43" s="7">
        <f>AR43+AN43*loc_impuestoPropPct/12+AM43*loc_seguroPct*(1+vivienda_inflacionSeguro)^(A43-2026)/12+IF(AND(AO43=0,AP43&lt;0.2),AQ43*vivienda_pmiTasa/12,0)</f>
        <v/>
      </c>
      <c r="AV43" s="7">
        <f>AN43*AP43+AN43*vivienda_cierrePct+general_reservaMeses/12*AJ43</f>
        <v/>
      </c>
      <c r="AW43" s="7">
        <f>(IF(10=0,MIN(personal_irsSaldo,personal_irsPagoMensual*12),MIN(CD42,personal_irsPagoMensual*12))+IF(CE43&gt;0,PMT(CF43,MAX(1,prestamos_plazoAnios-CG43),-CE43),0)+IF(CR43&gt;0,PMT(CS43,MAX(1,prestamos_plazoAnios-CT43),-CR43),0))/12</f>
        <v/>
      </c>
      <c r="AX43" s="7">
        <f>IF(OR(sel_cfg="duplex",sel_cfg="multi",sel_cfg="dosCasas"),0.75*personal_aporteFamiliaMensual,0)</f>
        <v/>
      </c>
      <c r="AY43" s="7">
        <f>AU43-0.75*AT43-AX43+AW43</f>
        <v/>
      </c>
      <c r="AZ43" s="7">
        <f>(D43+G43+H43+0.5*F43)/12</f>
        <v/>
      </c>
      <c r="BA43" s="7">
        <f>IF(AND(AL43=0,A43&gt;=vivienda_anioMinCompra,J43&lt;0.5,AI43&gt;0,AK43&gt;=AV43,AY43&lt;=vivienda_dtiMax*AZ43),1,0)</f>
        <v/>
      </c>
      <c r="BB43" s="7">
        <f>MAX(AL43,BA43)</f>
        <v/>
      </c>
      <c r="BC43" s="7">
        <f>IF(BA43=1,A43,IF(10=0,"",BC42))</f>
        <v/>
      </c>
      <c r="BD43" s="7">
        <f>AK43-IF(BA43=1,AN43*AP43+AN43*vivienda_cierrePct,0)</f>
        <v/>
      </c>
      <c r="BE43" s="7">
        <f>IF(BA43=1,AN43,IF(10=0,0,BE42))</f>
        <v/>
      </c>
      <c r="BF43" s="7">
        <f>IF(BA43=1,AR43,IF(10=0,0,BF42))</f>
        <v/>
      </c>
      <c r="BG43" s="7">
        <f>IF(BA43=1,IF(AND(AO43=0,AP43&lt;0.2),1,0),IF(10=0,0,BY42))</f>
        <v/>
      </c>
      <c r="BH43" s="7">
        <f>IF(sel_cfg="casaAdu",1,0)</f>
        <v/>
      </c>
      <c r="BI43" s="7">
        <f>IF(AND(BB43=1,BH43=1,IF(10=0,0,BJ42)=0,A43&gt;=IF(BC43="",9999,BC43)+vivienda_aduRetrasoAnios),1,0)</f>
        <v/>
      </c>
      <c r="BJ43" s="7">
        <f>MAX(IF(10=0,0,BJ42),BI43)</f>
        <v/>
      </c>
      <c r="BK43" s="7">
        <f>IF(BI43=1,PMT((g_mortRate+0.005)/12,180,-loc_precio_aduCosto*C43),IF(10=0,0,BK42))</f>
        <v/>
      </c>
      <c r="BL43" s="7">
        <f>IF(BA43=1,AN43,IF(10=0,0,DT42))+IF(BI43=1,loc_precio_aduCosto*C43,0)</f>
        <v/>
      </c>
      <c r="BM43" s="7">
        <f>IF(BA43=1,AQ43,IF(10=0,0,DU42))</f>
        <v/>
      </c>
      <c r="BN43" s="7">
        <f>IF(BM43&lt;=0,0,FV(g_mortRate/12,12,BF43,-BM43))</f>
        <v/>
      </c>
      <c r="BO43" s="7">
        <f>IF(BM43&lt;=0,0,12*BF43+MIN(0,BN43))</f>
        <v/>
      </c>
      <c r="BP43" s="7">
        <f>MAX(0,BN43)</f>
        <v/>
      </c>
      <c r="BQ43" s="7">
        <f>IF(BI43=1,loc_precio_aduCosto*C43,IF(10=0,0,DV42))</f>
        <v/>
      </c>
      <c r="BR43" s="7">
        <f>IF(BQ43&lt;=0,0,FV((g_mortRate+0.005)/12,12,BK43,-BQ43))</f>
        <v/>
      </c>
      <c r="BS43" s="7">
        <f>IF(BQ43&lt;=0,0,12*BK43+MIN(0,BR43))</f>
        <v/>
      </c>
      <c r="BT43" s="7">
        <f>MAX(0,BR43)</f>
        <v/>
      </c>
      <c r="BU43" s="7">
        <f>IF(BB43=1,AM43*loc_seguroPct*(1+vivienda_inflacionSeguro)^(A43-2026)*IF(BJ43=1,1+loc_precio_aduCosto/AM43,1),0)</f>
        <v/>
      </c>
      <c r="BV43" s="7">
        <f>BL43*loc_impuestoPropPct</f>
        <v/>
      </c>
      <c r="BW43" s="7">
        <f>BL43*vivienda_mantenimientoPct</f>
        <v/>
      </c>
      <c r="BX43" s="7">
        <f>IF(AND(BG43=1,BP43&gt;0.8*BE43),BE43*(1-vivienda_enganchePct)*vivienda_pmiTasa,0)</f>
        <v/>
      </c>
      <c r="BY43" s="7">
        <f>IF(AND(BG43=1,BP43&gt;0.8*BE43),1,0)</f>
        <v/>
      </c>
      <c r="BZ43" s="7">
        <f>IF(BB43=1,AS43*loc_rentaUnidad*12*C43*(1-vivienda_vacancia)*(1-vivienda_gestionPct),0)</f>
        <v/>
      </c>
      <c r="CA43" s="7">
        <f>IF(BB43=1,BO43+BS43+BU43+BV43+BW43+BX43,loc_rentaMensual*12*C43)</f>
        <v/>
      </c>
      <c r="CB43" s="7">
        <f>IF(BB43=1,personal_aporteFamiliaMensual*12,0)</f>
        <v/>
      </c>
      <c r="CC43" s="7">
        <f>MIN(IF(10=0,personal_irsSaldo,CD42),personal_irsPagoMensual*12)</f>
        <v/>
      </c>
      <c r="CD43" s="7">
        <f>IF(10=0,personal_irsSaldo,CD42)-CC43</f>
        <v/>
      </c>
      <c r="CE43" s="7">
        <f>IF(10=0,IF(personal_deudaEsFederal=1,personal_deudaEstudiantil,0),DW42)</f>
        <v/>
      </c>
      <c r="CF43" s="7">
        <f>IF(10=0,personal_tasaDeudaEstudiantil,DX42)</f>
        <v/>
      </c>
      <c r="CG43" s="7">
        <f>IF(10=0,0,DY42)</f>
        <v/>
      </c>
      <c r="CH43" s="7">
        <f>IF(J43&gt;=0.5,1,0)</f>
        <v/>
      </c>
      <c r="CI43" s="7">
        <f>IF(AND(CH43=0,prestamos_pslfActivo=1,K43&gt;=0.5,CE43&gt;0),1,0)</f>
        <v/>
      </c>
      <c r="CJ43" s="7">
        <f>CE43*CF43</f>
        <v/>
      </c>
      <c r="CK43" s="7">
        <f>MAX(prestamos_rapPagoMinimoAnual,IF(Y43&lt;10000,0,MIN(0.1,INT(Y43/10000)/100))*Y43)</f>
        <v/>
      </c>
      <c r="CL43" s="7">
        <f>IF(CE43&lt;=0,0,IF(CH43=1,0,IF(CI43=1,MIN(CE43+CJ43,CK43),PMT(CF43,MAX(1,prestamos_plazoAnios-CG43),-CE43))))</f>
        <v/>
      </c>
      <c r="CM43" s="7">
        <f>IF(CE43&lt;=0,0,IF(CH43=1,CE43+CJ43,IF(CI43=1,MAX(0,CE43-MAX(CL43-CJ43,MIN(600,CL43))),MAX(0,CE43*(1+CF43)-CL43))))</f>
        <v/>
      </c>
      <c r="CN43" s="7">
        <f>IF(10=0,0,CN42)+IF(CI43=1,12*MIN(1,K43),0)</f>
        <v/>
      </c>
      <c r="CO43" s="7">
        <f>IF(AND(CI43=1,CN43&gt;=prestamos_pslfPagos,CM43&gt;0),CM43,0)</f>
        <v/>
      </c>
      <c r="CP43" s="7">
        <f>CM43-CO43</f>
        <v/>
      </c>
      <c r="CQ43" s="7">
        <f>IF(AND(CE43&gt;0,CH43=0,CI43=0),CG43+1,CG43)</f>
        <v/>
      </c>
      <c r="CR43" s="7">
        <f>IF(10=0,IF(personal_deudaEsFederal=1,0,personal_deudaEstudiantil),EA42)</f>
        <v/>
      </c>
      <c r="CS43" s="7">
        <f>IF(10=0,IF(personal_deudaEsFederal=1,prestamos_tasaPrivada,personal_tasaDeudaEstudiantil),EB42)</f>
        <v/>
      </c>
      <c r="CT43" s="7">
        <f>IF(10=0,0,EC42)</f>
        <v/>
      </c>
      <c r="CU43" s="7">
        <f>IF(OR(CR43&lt;=0,CH43=1),0,PMT(CS43,MAX(1,prestamos_plazoAnios-CT43),-CR43))</f>
        <v/>
      </c>
      <c r="CV43" s="7">
        <f>IF(CR43&lt;=0,0,IF(CH43=1,CR43*(1+CS43),MAX(0,CR43*(1+CS43)-CU43)))</f>
        <v/>
      </c>
      <c r="CW43" s="7">
        <f>IF(AND(CR43&gt;0,CH43=0),CT43+1,CT43)</f>
        <v/>
      </c>
      <c r="CX43" s="7">
        <f>IF(10=0,0,ED42)*(1+general_tasaDeudaConsumo)</f>
        <v/>
      </c>
      <c r="CY43" s="7">
        <f>L43*12*tiempos_travelGastoExtraMes*C43</f>
        <v/>
      </c>
      <c r="CZ43" s="7">
        <f>AJ43+CY43+CA43+CC43+CL43+CU43+I43+N43-BZ43-CB43</f>
        <v/>
      </c>
      <c r="DA43" s="7">
        <f>AH43-CZ43</f>
        <v/>
      </c>
      <c r="DB43" s="7">
        <f>IF(10=0,0,DB42)+DA43</f>
        <v/>
      </c>
      <c r="DC43" s="7">
        <f>AN43*vivienda_enganchePct+AN43*vivienda_cierrePct+general_reservaMeses/12*AJ43</f>
        <v/>
      </c>
      <c r="DD43" s="7">
        <f>IF(BB43=1,g_ret,IF(BD43&gt;0,MIN(1,DC43/BD43),1)*g_cash+(1-IF(BD43&gt;0,MIN(1,DC43/BD43),1))*g_ret)</f>
        <v/>
      </c>
      <c r="DE43" s="7">
        <f>IF(DA43&gt;=0,MIN(CX43,DA43),0)</f>
        <v/>
      </c>
      <c r="DF43" s="7">
        <f>IF(DA43&gt;=0,(1-general_tasaAhorro)*(DA43-DE43),0)</f>
        <v/>
      </c>
      <c r="DG43" s="7">
        <f>IF(DA43&gt;=0,DA43-DE43-DF43,0)</f>
        <v/>
      </c>
      <c r="DH43" s="7">
        <f>MIN(personal_rothAnual,DG43)</f>
        <v/>
      </c>
      <c r="DI43" s="7">
        <f>IF(AND(DA43&gt;=0,BB43=1,BP43+BT43&gt;0),MIN(vivienda_prepagoPct*(DG43-DH43),BP43+BT43),0)</f>
        <v/>
      </c>
      <c r="DJ43" s="7">
        <f>MIN(DI43,BP43)</f>
        <v/>
      </c>
      <c r="DK43" s="7">
        <f>IF(DA43&lt;0,MIN(MAX(0,BD43),-DA43),0)</f>
        <v/>
      </c>
      <c r="DL43" s="7">
        <f>IF(DA43&lt;0,-DA43-DK43,0)</f>
        <v/>
      </c>
      <c r="DM43" s="7">
        <f>IF(10=0,0,DZ42)</f>
        <v/>
      </c>
      <c r="DN43" s="7">
        <f>IF(AND(DL43&gt;0,J43&gt;0),MIN(DL43,MIN(prestamos_topeAnualPosgrado*MIN(1,J43),MAX(0,prestamos_topeTotalPosgrado-DM43))),0)</f>
        <v/>
      </c>
      <c r="DO43" s="7">
        <f>IF(AND(DL43&gt;0,J43&gt;0),DL43-DN43,0)</f>
        <v/>
      </c>
      <c r="DP43" s="7">
        <f>IF(AND(DL43&gt;0,J43&lt;=0),DL43,0)</f>
        <v/>
      </c>
      <c r="DQ43" s="7">
        <f>IF(DA43&gt;=0,DG43-DH43-DI43,-DK43)</f>
        <v/>
      </c>
      <c r="DR43" s="7">
        <f>BD43*(1+DD43)+DQ43*(1+DD43/2)</f>
        <v/>
      </c>
      <c r="DS43" s="7">
        <f>IF(10=0,personal_retiroInicial,DS42)*(1+g_ret)+(O43+P43+DH43)*(1+g_ret/2)</f>
        <v/>
      </c>
      <c r="DT43" s="7">
        <f>IF(BB43=1,BL43*(1+g_appr),0)</f>
        <v/>
      </c>
      <c r="DU43" s="7">
        <f>BP43-DJ43</f>
        <v/>
      </c>
      <c r="DV43" s="7">
        <f>BT43-(DI43-DJ43)</f>
        <v/>
      </c>
      <c r="DW43" s="7">
        <f>CP43+DN43</f>
        <v/>
      </c>
      <c r="DX43" s="7">
        <f>IF(DN43&gt;0,(CP43*CF43+DN43*prestamos_tasaFederalPosgrado)/(CP43+DN43),CF43)</f>
        <v/>
      </c>
      <c r="DY43" s="7">
        <f>IF(DN43&gt;0,0,CQ43)</f>
        <v/>
      </c>
      <c r="DZ43" s="7">
        <f>DM43+DN43</f>
        <v/>
      </c>
      <c r="EA43" s="7">
        <f>CV43+DO43</f>
        <v/>
      </c>
      <c r="EB43" s="7">
        <f>IF(DO43&gt;0,(CV43*CS43+DO43*prestamos_tasaPrivada)/(CV43+DO43),CS43)</f>
        <v/>
      </c>
      <c r="EC43" s="7">
        <f>IF(DO43&gt;0,0,CW43)</f>
        <v/>
      </c>
      <c r="ED43" s="7">
        <f>CX43-DE43+DP43</f>
        <v/>
      </c>
      <c r="EE43" s="7">
        <f>IF(IF(10=0,"",EE42)&lt;&gt;"",EE42,IF(AND(BB43=1,DU43&lt;=0.5,DV43&lt;=0.5,OR(BH43=0,BJ43=1)),A43,""))</f>
        <v/>
      </c>
      <c r="EF43" s="7">
        <f>DU43+DV43+DW43+EA43+ED43+CD43</f>
        <v/>
      </c>
      <c r="EG43" s="7">
        <f>DR43+DS43+DT43-EF43</f>
        <v/>
      </c>
      <c r="EH43" s="7">
        <f>EG43/(1+g_inf)^(A43+1-2026)</f>
        <v/>
      </c>
    </row>
    <row r="44">
      <c r="A44" t="n">
        <v>2038</v>
      </c>
      <c r="B44" t="n">
        <v>11</v>
      </c>
      <c r="C44" s="7">
        <f>(1+g_inf)^(A44-2026)</f>
        <v/>
      </c>
      <c r="D44" s="7">
        <f>SUMPRODUCT($AE$5:$AE$29,$E$5:$E$29*(1+$F$5:$F$29)^(A44-2026)*$G$5:$G$29*$H$5:$H$29*(1-$N$5:$N$29*$O$5:$O$29))*g_salMult+SUMPRODUCT(($B$5:$B$29&gt;=A44)*($B$5:$B$29&lt;A44+1)*$I$5:$I$29)*g_salMult</f>
        <v/>
      </c>
      <c r="E44" s="7">
        <f>SUMPRODUCT($AE$5:$AE$29,$E$5:$E$29*(1+$F$5:$F$29)^(A44-2026)*$G$5:$G$29*$H$5:$H$29*$M$5:$M$29)*g_salMult</f>
        <v/>
      </c>
      <c r="F44" s="7">
        <f>SUMPRODUCT($AE$5:$AE$29,$E$5:$E$29*(1+$F$5:$F$29)^(A44-2026)*$G$5:$G$29*$H$5:$H$29*$N$5:$N$29*$O$5:$O$29)*g_salMult</f>
        <v/>
      </c>
      <c r="G44" s="7">
        <f>SUMPRODUCT($AE$5:$AE$29,$P$5:$P$29*(1+$F$5:$F$29)^(A44-2026))</f>
        <v/>
      </c>
      <c r="H44" s="7">
        <f>SUMPRODUCT($AE$5:$AE$29,$Q$5:$Q$29*(1+$F$5:$F$29)^(A44-2026))+IF(personal_llcActivo=1,personal_llcNeto*(1+personal_llcCrecimiento)^11,0)</f>
        <v/>
      </c>
      <c r="I44" s="7">
        <f>SUMPRODUCT($AE$5:$AE$29,$J$5:$J$29/($C$5:$C$29-$B$5:$B$29+($C$5:$C$29=$B$5:$B$29)))*C44</f>
        <v/>
      </c>
      <c r="J44" s="7">
        <f>SUMPRODUCT($AE$5:$AE$29,$K$5:$K$29)</f>
        <v/>
      </c>
      <c r="K44" s="7">
        <f>SUMPRODUCT($AE$5:$AE$29,$L$5:$L$29)</f>
        <v/>
      </c>
      <c r="L44" s="7">
        <f>SUMPRODUCT($AE$5:$AE$29,$N$5:$N$29)</f>
        <v/>
      </c>
      <c r="M44" s="7">
        <f>IF(SUMPRODUCT($AE$5:$AE$29,$R$5:$R$29)&gt;0,1,0)</f>
        <v/>
      </c>
      <c r="N44" s="7">
        <f>SUMPRODUCT(($AO$5:$AO$24&gt;=A44)*($AO$5:$AO$24&lt;A44+1)*$AP$5:$AP$24)*C44+IF(11=0,IF(sel_loc&lt;&gt;"miami",personal_costoMudanzaInicial,0),0)</f>
        <v/>
      </c>
      <c r="O44" s="7">
        <f>MIN(personal_aporte403bPct*D44,retiro_limite403b*C44)</f>
        <v/>
      </c>
      <c r="P44" s="7">
        <f>MIN(personal_aporte403bPct,personal_match403bPct)*E44</f>
        <v/>
      </c>
      <c r="Q44" s="7">
        <f>IF(G44&gt;0,MAX(0,G44-impuestos_scorpCostoAnual*C44),0)</f>
        <v/>
      </c>
      <c r="R44" s="7">
        <f>Q44*impuestos_scorpSalarioPct/(1+impuestos_ssTasa+impuestos_medicareTasa)</f>
        <v/>
      </c>
      <c r="S44" s="7">
        <f>impuestos_ssTasa*MIN(R44,MAX(0,impuestos_ssTope*C44-D44))+impuestos_medicareTasa*R44</f>
        <v/>
      </c>
      <c r="T44" s="7">
        <f>Q44-R44-S44</f>
        <v/>
      </c>
      <c r="U44" s="7">
        <f>D44+R44</f>
        <v/>
      </c>
      <c r="V44" s="7">
        <f>H44*0.9235</f>
        <v/>
      </c>
      <c r="W44" s="7">
        <f>IF(H44&gt;0,2*impuestos_ssTasa*MIN(V44,MAX(0,impuestos_ssTope*C44-U44))+2*impuestos_medicareTasa*V44,0)</f>
        <v/>
      </c>
      <c r="X44" s="7">
        <f>impuestos_ssTasa*MIN(U44,impuestos_ssTope*C44)+impuestos_medicareTasa*U44+impuestos_medicareAdicional*MAX(0,U44+H44*0.9235-impuestos_medicareUmbral)</f>
        <v/>
      </c>
      <c r="Y44" s="7">
        <f>MAX(0,D44-O44+R44+T44+H44-W44/2)</f>
        <v/>
      </c>
      <c r="Z44" s="7">
        <f>MAX(0,Y44-impuestos_deduccionEstandar*C44)</f>
        <v/>
      </c>
      <c r="AA44" s="7">
        <f>MIN(0.2*MAX(0,T44+H44-W44/2)*MAX(0,MIN(1,1-(Z44-impuestos_qbiUmbral*C44)/(impuestos_qbiRango*C44))),0.2*Z44)</f>
        <v/>
      </c>
      <c r="AB44" s="7">
        <f>MAX(0,Z44-AA44)</f>
        <v/>
      </c>
      <c r="AC44" s="7">
        <f>SUMPRODUCT((AB44&gt;tb_federalBrackets_lo*C44)*(AB44-tb_federalBrackets_lo*C44)*tb_federalBrackets_dr)</f>
        <v/>
      </c>
      <c r="AD44" s="7">
        <f>MAX(0,Y44-impuestos_nyDeduccion*C44)</f>
        <v/>
      </c>
      <c r="AE44" s="7">
        <f>CHOOSE(loc_taxcode,0,impuestos_ohTasa*MAX(0,Y44-impuestos_ohExento*C44)+impuestos_ohMunicipal*U44,SUMPRODUCT((AD44&gt;tb_nyBrackets_lo*C44)*(AD44-tb_nyBrackets_lo*C44)*tb_nyBrackets_dr)+loc_nyc*SUMPRODUCT((AD44&gt;tb_nycBrackets_lo*C44)*(AD44-tb_nycBrackets_lo*C44)*tb_nycBrackets_dr))</f>
        <v/>
      </c>
      <c r="AF44" s="7">
        <f>AC44+AE44+X44+W44</f>
        <v/>
      </c>
      <c r="AG44" s="7">
        <f>D44+F44+R44+T44+H44</f>
        <v/>
      </c>
      <c r="AH44" s="7">
        <f>AG44-AF44-O44</f>
        <v/>
      </c>
      <c r="AI44" s="7">
        <f>D44+F44+G44+H44</f>
        <v/>
      </c>
      <c r="AJ44" s="7">
        <f>loc_gastosVida*C44*g_gastos</f>
        <v/>
      </c>
      <c r="AK44" s="7">
        <f>IF(11=0,personal_liquidoInicial,DR43)</f>
        <v/>
      </c>
      <c r="AL44" s="7">
        <f>IF(11=0,0,BB43)</f>
        <v/>
      </c>
      <c r="AM44" s="7">
        <f>CHOOSE(sel_cfgIdx,loc_precio_duplex,loc_precio_inlaw,loc_precio_dosCasas,loc_precio_casaAdu,loc_precio_multi)</f>
        <v/>
      </c>
      <c r="AN44" s="7">
        <f>AM44*(1+g_appr)^(A44-2026)</f>
        <v/>
      </c>
      <c r="AO44" s="7">
        <f>IF(AND(M44=1,vivienda_prestamoMedico=1),1,0)</f>
        <v/>
      </c>
      <c r="AP44" s="7">
        <f>IF(AO44=1,0.05,vivienda_enganchePct)</f>
        <v/>
      </c>
      <c r="AQ44" s="7">
        <f>AN44*(1-AP44)</f>
        <v/>
      </c>
      <c r="AR44" s="7">
        <f>PMT(g_mortRate/12,vivienda_plazoHipoteca*12,-AQ44)</f>
        <v/>
      </c>
      <c r="AS44" s="7">
        <f>INDEX(cfg_units,sel_cfgIdx)</f>
        <v/>
      </c>
      <c r="AT44" s="7">
        <f>AS44*loc_rentaUnidad*(1+g_inf)^(A44-2026)*(1-vivienda_vacancia)</f>
        <v/>
      </c>
      <c r="AU44" s="7">
        <f>AR44+AN44*loc_impuestoPropPct/12+AM44*loc_seguroPct*(1+vivienda_inflacionSeguro)^(A44-2026)/12+IF(AND(AO44=0,AP44&lt;0.2),AQ44*vivienda_pmiTasa/12,0)</f>
        <v/>
      </c>
      <c r="AV44" s="7">
        <f>AN44*AP44+AN44*vivienda_cierrePct+general_reservaMeses/12*AJ44</f>
        <v/>
      </c>
      <c r="AW44" s="7">
        <f>(IF(11=0,MIN(personal_irsSaldo,personal_irsPagoMensual*12),MIN(CD43,personal_irsPagoMensual*12))+IF(CE44&gt;0,PMT(CF44,MAX(1,prestamos_plazoAnios-CG44),-CE44),0)+IF(CR44&gt;0,PMT(CS44,MAX(1,prestamos_plazoAnios-CT44),-CR44),0))/12</f>
        <v/>
      </c>
      <c r="AX44" s="7">
        <f>IF(OR(sel_cfg="duplex",sel_cfg="multi",sel_cfg="dosCasas"),0.75*personal_aporteFamiliaMensual,0)</f>
        <v/>
      </c>
      <c r="AY44" s="7">
        <f>AU44-0.75*AT44-AX44+AW44</f>
        <v/>
      </c>
      <c r="AZ44" s="7">
        <f>(D44+G44+H44+0.5*F44)/12</f>
        <v/>
      </c>
      <c r="BA44" s="7">
        <f>IF(AND(AL44=0,A44&gt;=vivienda_anioMinCompra,J44&lt;0.5,AI44&gt;0,AK44&gt;=AV44,AY44&lt;=vivienda_dtiMax*AZ44),1,0)</f>
        <v/>
      </c>
      <c r="BB44" s="7">
        <f>MAX(AL44,BA44)</f>
        <v/>
      </c>
      <c r="BC44" s="7">
        <f>IF(BA44=1,A44,IF(11=0,"",BC43))</f>
        <v/>
      </c>
      <c r="BD44" s="7">
        <f>AK44-IF(BA44=1,AN44*AP44+AN44*vivienda_cierrePct,0)</f>
        <v/>
      </c>
      <c r="BE44" s="7">
        <f>IF(BA44=1,AN44,IF(11=0,0,BE43))</f>
        <v/>
      </c>
      <c r="BF44" s="7">
        <f>IF(BA44=1,AR44,IF(11=0,0,BF43))</f>
        <v/>
      </c>
      <c r="BG44" s="7">
        <f>IF(BA44=1,IF(AND(AO44=0,AP44&lt;0.2),1,0),IF(11=0,0,BY43))</f>
        <v/>
      </c>
      <c r="BH44" s="7">
        <f>IF(sel_cfg="casaAdu",1,0)</f>
        <v/>
      </c>
      <c r="BI44" s="7">
        <f>IF(AND(BB44=1,BH44=1,IF(11=0,0,BJ43)=0,A44&gt;=IF(BC44="",9999,BC44)+vivienda_aduRetrasoAnios),1,0)</f>
        <v/>
      </c>
      <c r="BJ44" s="7">
        <f>MAX(IF(11=0,0,BJ43),BI44)</f>
        <v/>
      </c>
      <c r="BK44" s="7">
        <f>IF(BI44=1,PMT((g_mortRate+0.005)/12,180,-loc_precio_aduCosto*C44),IF(11=0,0,BK43))</f>
        <v/>
      </c>
      <c r="BL44" s="7">
        <f>IF(BA44=1,AN44,IF(11=0,0,DT43))+IF(BI44=1,loc_precio_aduCosto*C44,0)</f>
        <v/>
      </c>
      <c r="BM44" s="7">
        <f>IF(BA44=1,AQ44,IF(11=0,0,DU43))</f>
        <v/>
      </c>
      <c r="BN44" s="7">
        <f>IF(BM44&lt;=0,0,FV(g_mortRate/12,12,BF44,-BM44))</f>
        <v/>
      </c>
      <c r="BO44" s="7">
        <f>IF(BM44&lt;=0,0,12*BF44+MIN(0,BN44))</f>
        <v/>
      </c>
      <c r="BP44" s="7">
        <f>MAX(0,BN44)</f>
        <v/>
      </c>
      <c r="BQ44" s="7">
        <f>IF(BI44=1,loc_precio_aduCosto*C44,IF(11=0,0,DV43))</f>
        <v/>
      </c>
      <c r="BR44" s="7">
        <f>IF(BQ44&lt;=0,0,FV((g_mortRate+0.005)/12,12,BK44,-BQ44))</f>
        <v/>
      </c>
      <c r="BS44" s="7">
        <f>IF(BQ44&lt;=0,0,12*BK44+MIN(0,BR44))</f>
        <v/>
      </c>
      <c r="BT44" s="7">
        <f>MAX(0,BR44)</f>
        <v/>
      </c>
      <c r="BU44" s="7">
        <f>IF(BB44=1,AM44*loc_seguroPct*(1+vivienda_inflacionSeguro)^(A44-2026)*IF(BJ44=1,1+loc_precio_aduCosto/AM44,1),0)</f>
        <v/>
      </c>
      <c r="BV44" s="7">
        <f>BL44*loc_impuestoPropPct</f>
        <v/>
      </c>
      <c r="BW44" s="7">
        <f>BL44*vivienda_mantenimientoPct</f>
        <v/>
      </c>
      <c r="BX44" s="7">
        <f>IF(AND(BG44=1,BP44&gt;0.8*BE44),BE44*(1-vivienda_enganchePct)*vivienda_pmiTasa,0)</f>
        <v/>
      </c>
      <c r="BY44" s="7">
        <f>IF(AND(BG44=1,BP44&gt;0.8*BE44),1,0)</f>
        <v/>
      </c>
      <c r="BZ44" s="7">
        <f>IF(BB44=1,AS44*loc_rentaUnidad*12*C44*(1-vivienda_vacancia)*(1-vivienda_gestionPct),0)</f>
        <v/>
      </c>
      <c r="CA44" s="7">
        <f>IF(BB44=1,BO44+BS44+BU44+BV44+BW44+BX44,loc_rentaMensual*12*C44)</f>
        <v/>
      </c>
      <c r="CB44" s="7">
        <f>IF(BB44=1,personal_aporteFamiliaMensual*12,0)</f>
        <v/>
      </c>
      <c r="CC44" s="7">
        <f>MIN(IF(11=0,personal_irsSaldo,CD43),personal_irsPagoMensual*12)</f>
        <v/>
      </c>
      <c r="CD44" s="7">
        <f>IF(11=0,personal_irsSaldo,CD43)-CC44</f>
        <v/>
      </c>
      <c r="CE44" s="7">
        <f>IF(11=0,IF(personal_deudaEsFederal=1,personal_deudaEstudiantil,0),DW43)</f>
        <v/>
      </c>
      <c r="CF44" s="7">
        <f>IF(11=0,personal_tasaDeudaEstudiantil,DX43)</f>
        <v/>
      </c>
      <c r="CG44" s="7">
        <f>IF(11=0,0,DY43)</f>
        <v/>
      </c>
      <c r="CH44" s="7">
        <f>IF(J44&gt;=0.5,1,0)</f>
        <v/>
      </c>
      <c r="CI44" s="7">
        <f>IF(AND(CH44=0,prestamos_pslfActivo=1,K44&gt;=0.5,CE44&gt;0),1,0)</f>
        <v/>
      </c>
      <c r="CJ44" s="7">
        <f>CE44*CF44</f>
        <v/>
      </c>
      <c r="CK44" s="7">
        <f>MAX(prestamos_rapPagoMinimoAnual,IF(Y44&lt;10000,0,MIN(0.1,INT(Y44/10000)/100))*Y44)</f>
        <v/>
      </c>
      <c r="CL44" s="7">
        <f>IF(CE44&lt;=0,0,IF(CH44=1,0,IF(CI44=1,MIN(CE44+CJ44,CK44),PMT(CF44,MAX(1,prestamos_plazoAnios-CG44),-CE44))))</f>
        <v/>
      </c>
      <c r="CM44" s="7">
        <f>IF(CE44&lt;=0,0,IF(CH44=1,CE44+CJ44,IF(CI44=1,MAX(0,CE44-MAX(CL44-CJ44,MIN(600,CL44))),MAX(0,CE44*(1+CF44)-CL44))))</f>
        <v/>
      </c>
      <c r="CN44" s="7">
        <f>IF(11=0,0,CN43)+IF(CI44=1,12*MIN(1,K44),0)</f>
        <v/>
      </c>
      <c r="CO44" s="7">
        <f>IF(AND(CI44=1,CN44&gt;=prestamos_pslfPagos,CM44&gt;0),CM44,0)</f>
        <v/>
      </c>
      <c r="CP44" s="7">
        <f>CM44-CO44</f>
        <v/>
      </c>
      <c r="CQ44" s="7">
        <f>IF(AND(CE44&gt;0,CH44=0,CI44=0),CG44+1,CG44)</f>
        <v/>
      </c>
      <c r="CR44" s="7">
        <f>IF(11=0,IF(personal_deudaEsFederal=1,0,personal_deudaEstudiantil),EA43)</f>
        <v/>
      </c>
      <c r="CS44" s="7">
        <f>IF(11=0,IF(personal_deudaEsFederal=1,prestamos_tasaPrivada,personal_tasaDeudaEstudiantil),EB43)</f>
        <v/>
      </c>
      <c r="CT44" s="7">
        <f>IF(11=0,0,EC43)</f>
        <v/>
      </c>
      <c r="CU44" s="7">
        <f>IF(OR(CR44&lt;=0,CH44=1),0,PMT(CS44,MAX(1,prestamos_plazoAnios-CT44),-CR44))</f>
        <v/>
      </c>
      <c r="CV44" s="7">
        <f>IF(CR44&lt;=0,0,IF(CH44=1,CR44*(1+CS44),MAX(0,CR44*(1+CS44)-CU44)))</f>
        <v/>
      </c>
      <c r="CW44" s="7">
        <f>IF(AND(CR44&gt;0,CH44=0),CT44+1,CT44)</f>
        <v/>
      </c>
      <c r="CX44" s="7">
        <f>IF(11=0,0,ED43)*(1+general_tasaDeudaConsumo)</f>
        <v/>
      </c>
      <c r="CY44" s="7">
        <f>L44*12*tiempos_travelGastoExtraMes*C44</f>
        <v/>
      </c>
      <c r="CZ44" s="7">
        <f>AJ44+CY44+CA44+CC44+CL44+CU44+I44+N44-BZ44-CB44</f>
        <v/>
      </c>
      <c r="DA44" s="7">
        <f>AH44-CZ44</f>
        <v/>
      </c>
      <c r="DB44" s="7">
        <f>IF(11=0,0,DB43)+DA44</f>
        <v/>
      </c>
      <c r="DC44" s="7">
        <f>AN44*vivienda_enganchePct+AN44*vivienda_cierrePct+general_reservaMeses/12*AJ44</f>
        <v/>
      </c>
      <c r="DD44" s="7">
        <f>IF(BB44=1,g_ret,IF(BD44&gt;0,MIN(1,DC44/BD44),1)*g_cash+(1-IF(BD44&gt;0,MIN(1,DC44/BD44),1))*g_ret)</f>
        <v/>
      </c>
      <c r="DE44" s="7">
        <f>IF(DA44&gt;=0,MIN(CX44,DA44),0)</f>
        <v/>
      </c>
      <c r="DF44" s="7">
        <f>IF(DA44&gt;=0,(1-general_tasaAhorro)*(DA44-DE44),0)</f>
        <v/>
      </c>
      <c r="DG44" s="7">
        <f>IF(DA44&gt;=0,DA44-DE44-DF44,0)</f>
        <v/>
      </c>
      <c r="DH44" s="7">
        <f>MIN(personal_rothAnual,DG44)</f>
        <v/>
      </c>
      <c r="DI44" s="7">
        <f>IF(AND(DA44&gt;=0,BB44=1,BP44+BT44&gt;0),MIN(vivienda_prepagoPct*(DG44-DH44),BP44+BT44),0)</f>
        <v/>
      </c>
      <c r="DJ44" s="7">
        <f>MIN(DI44,BP44)</f>
        <v/>
      </c>
      <c r="DK44" s="7">
        <f>IF(DA44&lt;0,MIN(MAX(0,BD44),-DA44),0)</f>
        <v/>
      </c>
      <c r="DL44" s="7">
        <f>IF(DA44&lt;0,-DA44-DK44,0)</f>
        <v/>
      </c>
      <c r="DM44" s="7">
        <f>IF(11=0,0,DZ43)</f>
        <v/>
      </c>
      <c r="DN44" s="7">
        <f>IF(AND(DL44&gt;0,J44&gt;0),MIN(DL44,MIN(prestamos_topeAnualPosgrado*MIN(1,J44),MAX(0,prestamos_topeTotalPosgrado-DM44))),0)</f>
        <v/>
      </c>
      <c r="DO44" s="7">
        <f>IF(AND(DL44&gt;0,J44&gt;0),DL44-DN44,0)</f>
        <v/>
      </c>
      <c r="DP44" s="7">
        <f>IF(AND(DL44&gt;0,J44&lt;=0),DL44,0)</f>
        <v/>
      </c>
      <c r="DQ44" s="7">
        <f>IF(DA44&gt;=0,DG44-DH44-DI44,-DK44)</f>
        <v/>
      </c>
      <c r="DR44" s="7">
        <f>BD44*(1+DD44)+DQ44*(1+DD44/2)</f>
        <v/>
      </c>
      <c r="DS44" s="7">
        <f>IF(11=0,personal_retiroInicial,DS43)*(1+g_ret)+(O44+P44+DH44)*(1+g_ret/2)</f>
        <v/>
      </c>
      <c r="DT44" s="7">
        <f>IF(BB44=1,BL44*(1+g_appr),0)</f>
        <v/>
      </c>
      <c r="DU44" s="7">
        <f>BP44-DJ44</f>
        <v/>
      </c>
      <c r="DV44" s="7">
        <f>BT44-(DI44-DJ44)</f>
        <v/>
      </c>
      <c r="DW44" s="7">
        <f>CP44+DN44</f>
        <v/>
      </c>
      <c r="DX44" s="7">
        <f>IF(DN44&gt;0,(CP44*CF44+DN44*prestamos_tasaFederalPosgrado)/(CP44+DN44),CF44)</f>
        <v/>
      </c>
      <c r="DY44" s="7">
        <f>IF(DN44&gt;0,0,CQ44)</f>
        <v/>
      </c>
      <c r="DZ44" s="7">
        <f>DM44+DN44</f>
        <v/>
      </c>
      <c r="EA44" s="7">
        <f>CV44+DO44</f>
        <v/>
      </c>
      <c r="EB44" s="7">
        <f>IF(DO44&gt;0,(CV44*CS44+DO44*prestamos_tasaPrivada)/(CV44+DO44),CS44)</f>
        <v/>
      </c>
      <c r="EC44" s="7">
        <f>IF(DO44&gt;0,0,CW44)</f>
        <v/>
      </c>
      <c r="ED44" s="7">
        <f>CX44-DE44+DP44</f>
        <v/>
      </c>
      <c r="EE44" s="7">
        <f>IF(IF(11=0,"",EE43)&lt;&gt;"",EE43,IF(AND(BB44=1,DU44&lt;=0.5,DV44&lt;=0.5,OR(BH44=0,BJ44=1)),A44,""))</f>
        <v/>
      </c>
      <c r="EF44" s="7">
        <f>DU44+DV44+DW44+EA44+ED44+CD44</f>
        <v/>
      </c>
      <c r="EG44" s="7">
        <f>DR44+DS44+DT44-EF44</f>
        <v/>
      </c>
      <c r="EH44" s="7">
        <f>EG44/(1+g_inf)^(A44+1-2026)</f>
        <v/>
      </c>
    </row>
    <row r="45">
      <c r="A45" t="n">
        <v>2039</v>
      </c>
      <c r="B45" t="n">
        <v>12</v>
      </c>
      <c r="C45" s="7">
        <f>(1+g_inf)^(A45-2026)</f>
        <v/>
      </c>
      <c r="D45" s="7">
        <f>SUMPRODUCT($AF$5:$AF$29,$E$5:$E$29*(1+$F$5:$F$29)^(A45-2026)*$G$5:$G$29*$H$5:$H$29*(1-$N$5:$N$29*$O$5:$O$29))*g_salMult+SUMPRODUCT(($B$5:$B$29&gt;=A45)*($B$5:$B$29&lt;A45+1)*$I$5:$I$29)*g_salMult</f>
        <v/>
      </c>
      <c r="E45" s="7">
        <f>SUMPRODUCT($AF$5:$AF$29,$E$5:$E$29*(1+$F$5:$F$29)^(A45-2026)*$G$5:$G$29*$H$5:$H$29*$M$5:$M$29)*g_salMult</f>
        <v/>
      </c>
      <c r="F45" s="7">
        <f>SUMPRODUCT($AF$5:$AF$29,$E$5:$E$29*(1+$F$5:$F$29)^(A45-2026)*$G$5:$G$29*$H$5:$H$29*$N$5:$N$29*$O$5:$O$29)*g_salMult</f>
        <v/>
      </c>
      <c r="G45" s="7">
        <f>SUMPRODUCT($AF$5:$AF$29,$P$5:$P$29*(1+$F$5:$F$29)^(A45-2026))</f>
        <v/>
      </c>
      <c r="H45" s="7">
        <f>SUMPRODUCT($AF$5:$AF$29,$Q$5:$Q$29*(1+$F$5:$F$29)^(A45-2026))+IF(personal_llcActivo=1,personal_llcNeto*(1+personal_llcCrecimiento)^12,0)</f>
        <v/>
      </c>
      <c r="I45" s="7">
        <f>SUMPRODUCT($AF$5:$AF$29,$J$5:$J$29/($C$5:$C$29-$B$5:$B$29+($C$5:$C$29=$B$5:$B$29)))*C45</f>
        <v/>
      </c>
      <c r="J45" s="7">
        <f>SUMPRODUCT($AF$5:$AF$29,$K$5:$K$29)</f>
        <v/>
      </c>
      <c r="K45" s="7">
        <f>SUMPRODUCT($AF$5:$AF$29,$L$5:$L$29)</f>
        <v/>
      </c>
      <c r="L45" s="7">
        <f>SUMPRODUCT($AF$5:$AF$29,$N$5:$N$29)</f>
        <v/>
      </c>
      <c r="M45" s="7">
        <f>IF(SUMPRODUCT($AF$5:$AF$29,$R$5:$R$29)&gt;0,1,0)</f>
        <v/>
      </c>
      <c r="N45" s="7">
        <f>SUMPRODUCT(($AO$5:$AO$24&gt;=A45)*($AO$5:$AO$24&lt;A45+1)*$AP$5:$AP$24)*C45+IF(12=0,IF(sel_loc&lt;&gt;"miami",personal_costoMudanzaInicial,0),0)</f>
        <v/>
      </c>
      <c r="O45" s="7">
        <f>MIN(personal_aporte403bPct*D45,retiro_limite403b*C45)</f>
        <v/>
      </c>
      <c r="P45" s="7">
        <f>MIN(personal_aporte403bPct,personal_match403bPct)*E45</f>
        <v/>
      </c>
      <c r="Q45" s="7">
        <f>IF(G45&gt;0,MAX(0,G45-impuestos_scorpCostoAnual*C45),0)</f>
        <v/>
      </c>
      <c r="R45" s="7">
        <f>Q45*impuestos_scorpSalarioPct/(1+impuestos_ssTasa+impuestos_medicareTasa)</f>
        <v/>
      </c>
      <c r="S45" s="7">
        <f>impuestos_ssTasa*MIN(R45,MAX(0,impuestos_ssTope*C45-D45))+impuestos_medicareTasa*R45</f>
        <v/>
      </c>
      <c r="T45" s="7">
        <f>Q45-R45-S45</f>
        <v/>
      </c>
      <c r="U45" s="7">
        <f>D45+R45</f>
        <v/>
      </c>
      <c r="V45" s="7">
        <f>H45*0.9235</f>
        <v/>
      </c>
      <c r="W45" s="7">
        <f>IF(H45&gt;0,2*impuestos_ssTasa*MIN(V45,MAX(0,impuestos_ssTope*C45-U45))+2*impuestos_medicareTasa*V45,0)</f>
        <v/>
      </c>
      <c r="X45" s="7">
        <f>impuestos_ssTasa*MIN(U45,impuestos_ssTope*C45)+impuestos_medicareTasa*U45+impuestos_medicareAdicional*MAX(0,U45+H45*0.9235-impuestos_medicareUmbral)</f>
        <v/>
      </c>
      <c r="Y45" s="7">
        <f>MAX(0,D45-O45+R45+T45+H45-W45/2)</f>
        <v/>
      </c>
      <c r="Z45" s="7">
        <f>MAX(0,Y45-impuestos_deduccionEstandar*C45)</f>
        <v/>
      </c>
      <c r="AA45" s="7">
        <f>MIN(0.2*MAX(0,T45+H45-W45/2)*MAX(0,MIN(1,1-(Z45-impuestos_qbiUmbral*C45)/(impuestos_qbiRango*C45))),0.2*Z45)</f>
        <v/>
      </c>
      <c r="AB45" s="7">
        <f>MAX(0,Z45-AA45)</f>
        <v/>
      </c>
      <c r="AC45" s="7">
        <f>SUMPRODUCT((AB45&gt;tb_federalBrackets_lo*C45)*(AB45-tb_federalBrackets_lo*C45)*tb_federalBrackets_dr)</f>
        <v/>
      </c>
      <c r="AD45" s="7">
        <f>MAX(0,Y45-impuestos_nyDeduccion*C45)</f>
        <v/>
      </c>
      <c r="AE45" s="7">
        <f>CHOOSE(loc_taxcode,0,impuestos_ohTasa*MAX(0,Y45-impuestos_ohExento*C45)+impuestos_ohMunicipal*U45,SUMPRODUCT((AD45&gt;tb_nyBrackets_lo*C45)*(AD45-tb_nyBrackets_lo*C45)*tb_nyBrackets_dr)+loc_nyc*SUMPRODUCT((AD45&gt;tb_nycBrackets_lo*C45)*(AD45-tb_nycBrackets_lo*C45)*tb_nycBrackets_dr))</f>
        <v/>
      </c>
      <c r="AF45" s="7">
        <f>AC45+AE45+X45+W45</f>
        <v/>
      </c>
      <c r="AG45" s="7">
        <f>D45+F45+R45+T45+H45</f>
        <v/>
      </c>
      <c r="AH45" s="7">
        <f>AG45-AF45-O45</f>
        <v/>
      </c>
      <c r="AI45" s="7">
        <f>D45+F45+G45+H45</f>
        <v/>
      </c>
      <c r="AJ45" s="7">
        <f>loc_gastosVida*C45*g_gastos</f>
        <v/>
      </c>
      <c r="AK45" s="7">
        <f>IF(12=0,personal_liquidoInicial,DR44)</f>
        <v/>
      </c>
      <c r="AL45" s="7">
        <f>IF(12=0,0,BB44)</f>
        <v/>
      </c>
      <c r="AM45" s="7">
        <f>CHOOSE(sel_cfgIdx,loc_precio_duplex,loc_precio_inlaw,loc_precio_dosCasas,loc_precio_casaAdu,loc_precio_multi)</f>
        <v/>
      </c>
      <c r="AN45" s="7">
        <f>AM45*(1+g_appr)^(A45-2026)</f>
        <v/>
      </c>
      <c r="AO45" s="7">
        <f>IF(AND(M45=1,vivienda_prestamoMedico=1),1,0)</f>
        <v/>
      </c>
      <c r="AP45" s="7">
        <f>IF(AO45=1,0.05,vivienda_enganchePct)</f>
        <v/>
      </c>
      <c r="AQ45" s="7">
        <f>AN45*(1-AP45)</f>
        <v/>
      </c>
      <c r="AR45" s="7">
        <f>PMT(g_mortRate/12,vivienda_plazoHipoteca*12,-AQ45)</f>
        <v/>
      </c>
      <c r="AS45" s="7">
        <f>INDEX(cfg_units,sel_cfgIdx)</f>
        <v/>
      </c>
      <c r="AT45" s="7">
        <f>AS45*loc_rentaUnidad*(1+g_inf)^(A45-2026)*(1-vivienda_vacancia)</f>
        <v/>
      </c>
      <c r="AU45" s="7">
        <f>AR45+AN45*loc_impuestoPropPct/12+AM45*loc_seguroPct*(1+vivienda_inflacionSeguro)^(A45-2026)/12+IF(AND(AO45=0,AP45&lt;0.2),AQ45*vivienda_pmiTasa/12,0)</f>
        <v/>
      </c>
      <c r="AV45" s="7">
        <f>AN45*AP45+AN45*vivienda_cierrePct+general_reservaMeses/12*AJ45</f>
        <v/>
      </c>
      <c r="AW45" s="7">
        <f>(IF(12=0,MIN(personal_irsSaldo,personal_irsPagoMensual*12),MIN(CD44,personal_irsPagoMensual*12))+IF(CE45&gt;0,PMT(CF45,MAX(1,prestamos_plazoAnios-CG45),-CE45),0)+IF(CR45&gt;0,PMT(CS45,MAX(1,prestamos_plazoAnios-CT45),-CR45),0))/12</f>
        <v/>
      </c>
      <c r="AX45" s="7">
        <f>IF(OR(sel_cfg="duplex",sel_cfg="multi",sel_cfg="dosCasas"),0.75*personal_aporteFamiliaMensual,0)</f>
        <v/>
      </c>
      <c r="AY45" s="7">
        <f>AU45-0.75*AT45-AX45+AW45</f>
        <v/>
      </c>
      <c r="AZ45" s="7">
        <f>(D45+G45+H45+0.5*F45)/12</f>
        <v/>
      </c>
      <c r="BA45" s="7">
        <f>IF(AND(AL45=0,A45&gt;=vivienda_anioMinCompra,J45&lt;0.5,AI45&gt;0,AK45&gt;=AV45,AY45&lt;=vivienda_dtiMax*AZ45),1,0)</f>
        <v/>
      </c>
      <c r="BB45" s="7">
        <f>MAX(AL45,BA45)</f>
        <v/>
      </c>
      <c r="BC45" s="7">
        <f>IF(BA45=1,A45,IF(12=0,"",BC44))</f>
        <v/>
      </c>
      <c r="BD45" s="7">
        <f>AK45-IF(BA45=1,AN45*AP45+AN45*vivienda_cierrePct,0)</f>
        <v/>
      </c>
      <c r="BE45" s="7">
        <f>IF(BA45=1,AN45,IF(12=0,0,BE44))</f>
        <v/>
      </c>
      <c r="BF45" s="7">
        <f>IF(BA45=1,AR45,IF(12=0,0,BF44))</f>
        <v/>
      </c>
      <c r="BG45" s="7">
        <f>IF(BA45=1,IF(AND(AO45=0,AP45&lt;0.2),1,0),IF(12=0,0,BY44))</f>
        <v/>
      </c>
      <c r="BH45" s="7">
        <f>IF(sel_cfg="casaAdu",1,0)</f>
        <v/>
      </c>
      <c r="BI45" s="7">
        <f>IF(AND(BB45=1,BH45=1,IF(12=0,0,BJ44)=0,A45&gt;=IF(BC45="",9999,BC45)+vivienda_aduRetrasoAnios),1,0)</f>
        <v/>
      </c>
      <c r="BJ45" s="7">
        <f>MAX(IF(12=0,0,BJ44),BI45)</f>
        <v/>
      </c>
      <c r="BK45" s="7">
        <f>IF(BI45=1,PMT((g_mortRate+0.005)/12,180,-loc_precio_aduCosto*C45),IF(12=0,0,BK44))</f>
        <v/>
      </c>
      <c r="BL45" s="7">
        <f>IF(BA45=1,AN45,IF(12=0,0,DT44))+IF(BI45=1,loc_precio_aduCosto*C45,0)</f>
        <v/>
      </c>
      <c r="BM45" s="7">
        <f>IF(BA45=1,AQ45,IF(12=0,0,DU44))</f>
        <v/>
      </c>
      <c r="BN45" s="7">
        <f>IF(BM45&lt;=0,0,FV(g_mortRate/12,12,BF45,-BM45))</f>
        <v/>
      </c>
      <c r="BO45" s="7">
        <f>IF(BM45&lt;=0,0,12*BF45+MIN(0,BN45))</f>
        <v/>
      </c>
      <c r="BP45" s="7">
        <f>MAX(0,BN45)</f>
        <v/>
      </c>
      <c r="BQ45" s="7">
        <f>IF(BI45=1,loc_precio_aduCosto*C45,IF(12=0,0,DV44))</f>
        <v/>
      </c>
      <c r="BR45" s="7">
        <f>IF(BQ45&lt;=0,0,FV((g_mortRate+0.005)/12,12,BK45,-BQ45))</f>
        <v/>
      </c>
      <c r="BS45" s="7">
        <f>IF(BQ45&lt;=0,0,12*BK45+MIN(0,BR45))</f>
        <v/>
      </c>
      <c r="BT45" s="7">
        <f>MAX(0,BR45)</f>
        <v/>
      </c>
      <c r="BU45" s="7">
        <f>IF(BB45=1,AM45*loc_seguroPct*(1+vivienda_inflacionSeguro)^(A45-2026)*IF(BJ45=1,1+loc_precio_aduCosto/AM45,1),0)</f>
        <v/>
      </c>
      <c r="BV45" s="7">
        <f>BL45*loc_impuestoPropPct</f>
        <v/>
      </c>
      <c r="BW45" s="7">
        <f>BL45*vivienda_mantenimientoPct</f>
        <v/>
      </c>
      <c r="BX45" s="7">
        <f>IF(AND(BG45=1,BP45&gt;0.8*BE45),BE45*(1-vivienda_enganchePct)*vivienda_pmiTasa,0)</f>
        <v/>
      </c>
      <c r="BY45" s="7">
        <f>IF(AND(BG45=1,BP45&gt;0.8*BE45),1,0)</f>
        <v/>
      </c>
      <c r="BZ45" s="7">
        <f>IF(BB45=1,AS45*loc_rentaUnidad*12*C45*(1-vivienda_vacancia)*(1-vivienda_gestionPct),0)</f>
        <v/>
      </c>
      <c r="CA45" s="7">
        <f>IF(BB45=1,BO45+BS45+BU45+BV45+BW45+BX45,loc_rentaMensual*12*C45)</f>
        <v/>
      </c>
      <c r="CB45" s="7">
        <f>IF(BB45=1,personal_aporteFamiliaMensual*12,0)</f>
        <v/>
      </c>
      <c r="CC45" s="7">
        <f>MIN(IF(12=0,personal_irsSaldo,CD44),personal_irsPagoMensual*12)</f>
        <v/>
      </c>
      <c r="CD45" s="7">
        <f>IF(12=0,personal_irsSaldo,CD44)-CC45</f>
        <v/>
      </c>
      <c r="CE45" s="7">
        <f>IF(12=0,IF(personal_deudaEsFederal=1,personal_deudaEstudiantil,0),DW44)</f>
        <v/>
      </c>
      <c r="CF45" s="7">
        <f>IF(12=0,personal_tasaDeudaEstudiantil,DX44)</f>
        <v/>
      </c>
      <c r="CG45" s="7">
        <f>IF(12=0,0,DY44)</f>
        <v/>
      </c>
      <c r="CH45" s="7">
        <f>IF(J45&gt;=0.5,1,0)</f>
        <v/>
      </c>
      <c r="CI45" s="7">
        <f>IF(AND(CH45=0,prestamos_pslfActivo=1,K45&gt;=0.5,CE45&gt;0),1,0)</f>
        <v/>
      </c>
      <c r="CJ45" s="7">
        <f>CE45*CF45</f>
        <v/>
      </c>
      <c r="CK45" s="7">
        <f>MAX(prestamos_rapPagoMinimoAnual,IF(Y45&lt;10000,0,MIN(0.1,INT(Y45/10000)/100))*Y45)</f>
        <v/>
      </c>
      <c r="CL45" s="7">
        <f>IF(CE45&lt;=0,0,IF(CH45=1,0,IF(CI45=1,MIN(CE45+CJ45,CK45),PMT(CF45,MAX(1,prestamos_plazoAnios-CG45),-CE45))))</f>
        <v/>
      </c>
      <c r="CM45" s="7">
        <f>IF(CE45&lt;=0,0,IF(CH45=1,CE45+CJ45,IF(CI45=1,MAX(0,CE45-MAX(CL45-CJ45,MIN(600,CL45))),MAX(0,CE45*(1+CF45)-CL45))))</f>
        <v/>
      </c>
      <c r="CN45" s="7">
        <f>IF(12=0,0,CN44)+IF(CI45=1,12*MIN(1,K45),0)</f>
        <v/>
      </c>
      <c r="CO45" s="7">
        <f>IF(AND(CI45=1,CN45&gt;=prestamos_pslfPagos,CM45&gt;0),CM45,0)</f>
        <v/>
      </c>
      <c r="CP45" s="7">
        <f>CM45-CO45</f>
        <v/>
      </c>
      <c r="CQ45" s="7">
        <f>IF(AND(CE45&gt;0,CH45=0,CI45=0),CG45+1,CG45)</f>
        <v/>
      </c>
      <c r="CR45" s="7">
        <f>IF(12=0,IF(personal_deudaEsFederal=1,0,personal_deudaEstudiantil),EA44)</f>
        <v/>
      </c>
      <c r="CS45" s="7">
        <f>IF(12=0,IF(personal_deudaEsFederal=1,prestamos_tasaPrivada,personal_tasaDeudaEstudiantil),EB44)</f>
        <v/>
      </c>
      <c r="CT45" s="7">
        <f>IF(12=0,0,EC44)</f>
        <v/>
      </c>
      <c r="CU45" s="7">
        <f>IF(OR(CR45&lt;=0,CH45=1),0,PMT(CS45,MAX(1,prestamos_plazoAnios-CT45),-CR45))</f>
        <v/>
      </c>
      <c r="CV45" s="7">
        <f>IF(CR45&lt;=0,0,IF(CH45=1,CR45*(1+CS45),MAX(0,CR45*(1+CS45)-CU45)))</f>
        <v/>
      </c>
      <c r="CW45" s="7">
        <f>IF(AND(CR45&gt;0,CH45=0),CT45+1,CT45)</f>
        <v/>
      </c>
      <c r="CX45" s="7">
        <f>IF(12=0,0,ED44)*(1+general_tasaDeudaConsumo)</f>
        <v/>
      </c>
      <c r="CY45" s="7">
        <f>L45*12*tiempos_travelGastoExtraMes*C45</f>
        <v/>
      </c>
      <c r="CZ45" s="7">
        <f>AJ45+CY45+CA45+CC45+CL45+CU45+I45+N45-BZ45-CB45</f>
        <v/>
      </c>
      <c r="DA45" s="7">
        <f>AH45-CZ45</f>
        <v/>
      </c>
      <c r="DB45" s="7">
        <f>IF(12=0,0,DB44)+DA45</f>
        <v/>
      </c>
      <c r="DC45" s="7">
        <f>AN45*vivienda_enganchePct+AN45*vivienda_cierrePct+general_reservaMeses/12*AJ45</f>
        <v/>
      </c>
      <c r="DD45" s="7">
        <f>IF(BB45=1,g_ret,IF(BD45&gt;0,MIN(1,DC45/BD45),1)*g_cash+(1-IF(BD45&gt;0,MIN(1,DC45/BD45),1))*g_ret)</f>
        <v/>
      </c>
      <c r="DE45" s="7">
        <f>IF(DA45&gt;=0,MIN(CX45,DA45),0)</f>
        <v/>
      </c>
      <c r="DF45" s="7">
        <f>IF(DA45&gt;=0,(1-general_tasaAhorro)*(DA45-DE45),0)</f>
        <v/>
      </c>
      <c r="DG45" s="7">
        <f>IF(DA45&gt;=0,DA45-DE45-DF45,0)</f>
        <v/>
      </c>
      <c r="DH45" s="7">
        <f>MIN(personal_rothAnual,DG45)</f>
        <v/>
      </c>
      <c r="DI45" s="7">
        <f>IF(AND(DA45&gt;=0,BB45=1,BP45+BT45&gt;0),MIN(vivienda_prepagoPct*(DG45-DH45),BP45+BT45),0)</f>
        <v/>
      </c>
      <c r="DJ45" s="7">
        <f>MIN(DI45,BP45)</f>
        <v/>
      </c>
      <c r="DK45" s="7">
        <f>IF(DA45&lt;0,MIN(MAX(0,BD45),-DA45),0)</f>
        <v/>
      </c>
      <c r="DL45" s="7">
        <f>IF(DA45&lt;0,-DA45-DK45,0)</f>
        <v/>
      </c>
      <c r="DM45" s="7">
        <f>IF(12=0,0,DZ44)</f>
        <v/>
      </c>
      <c r="DN45" s="7">
        <f>IF(AND(DL45&gt;0,J45&gt;0),MIN(DL45,MIN(prestamos_topeAnualPosgrado*MIN(1,J45),MAX(0,prestamos_topeTotalPosgrado-DM45))),0)</f>
        <v/>
      </c>
      <c r="DO45" s="7">
        <f>IF(AND(DL45&gt;0,J45&gt;0),DL45-DN45,0)</f>
        <v/>
      </c>
      <c r="DP45" s="7">
        <f>IF(AND(DL45&gt;0,J45&lt;=0),DL45,0)</f>
        <v/>
      </c>
      <c r="DQ45" s="7">
        <f>IF(DA45&gt;=0,DG45-DH45-DI45,-DK45)</f>
        <v/>
      </c>
      <c r="DR45" s="7">
        <f>BD45*(1+DD45)+DQ45*(1+DD45/2)</f>
        <v/>
      </c>
      <c r="DS45" s="7">
        <f>IF(12=0,personal_retiroInicial,DS44)*(1+g_ret)+(O45+P45+DH45)*(1+g_ret/2)</f>
        <v/>
      </c>
      <c r="DT45" s="7">
        <f>IF(BB45=1,BL45*(1+g_appr),0)</f>
        <v/>
      </c>
      <c r="DU45" s="7">
        <f>BP45-DJ45</f>
        <v/>
      </c>
      <c r="DV45" s="7">
        <f>BT45-(DI45-DJ45)</f>
        <v/>
      </c>
      <c r="DW45" s="7">
        <f>CP45+DN45</f>
        <v/>
      </c>
      <c r="DX45" s="7">
        <f>IF(DN45&gt;0,(CP45*CF45+DN45*prestamos_tasaFederalPosgrado)/(CP45+DN45),CF45)</f>
        <v/>
      </c>
      <c r="DY45" s="7">
        <f>IF(DN45&gt;0,0,CQ45)</f>
        <v/>
      </c>
      <c r="DZ45" s="7">
        <f>DM45+DN45</f>
        <v/>
      </c>
      <c r="EA45" s="7">
        <f>CV45+DO45</f>
        <v/>
      </c>
      <c r="EB45" s="7">
        <f>IF(DO45&gt;0,(CV45*CS45+DO45*prestamos_tasaPrivada)/(CV45+DO45),CS45)</f>
        <v/>
      </c>
      <c r="EC45" s="7">
        <f>IF(DO45&gt;0,0,CW45)</f>
        <v/>
      </c>
      <c r="ED45" s="7">
        <f>CX45-DE45+DP45</f>
        <v/>
      </c>
      <c r="EE45" s="7">
        <f>IF(IF(12=0,"",EE44)&lt;&gt;"",EE44,IF(AND(BB45=1,DU45&lt;=0.5,DV45&lt;=0.5,OR(BH45=0,BJ45=1)),A45,""))</f>
        <v/>
      </c>
      <c r="EF45" s="7">
        <f>DU45+DV45+DW45+EA45+ED45+CD45</f>
        <v/>
      </c>
      <c r="EG45" s="7">
        <f>DR45+DS45+DT45-EF45</f>
        <v/>
      </c>
      <c r="EH45" s="7">
        <f>EG45/(1+g_inf)^(A45+1-2026)</f>
        <v/>
      </c>
    </row>
    <row r="46">
      <c r="A46" t="n">
        <v>2040</v>
      </c>
      <c r="B46" t="n">
        <v>13</v>
      </c>
      <c r="C46" s="7">
        <f>(1+g_inf)^(A46-2026)</f>
        <v/>
      </c>
      <c r="D46" s="7">
        <f>SUMPRODUCT($AG$5:$AG$29,$E$5:$E$29*(1+$F$5:$F$29)^(A46-2026)*$G$5:$G$29*$H$5:$H$29*(1-$N$5:$N$29*$O$5:$O$29))*g_salMult+SUMPRODUCT(($B$5:$B$29&gt;=A46)*($B$5:$B$29&lt;A46+1)*$I$5:$I$29)*g_salMult</f>
        <v/>
      </c>
      <c r="E46" s="7">
        <f>SUMPRODUCT($AG$5:$AG$29,$E$5:$E$29*(1+$F$5:$F$29)^(A46-2026)*$G$5:$G$29*$H$5:$H$29*$M$5:$M$29)*g_salMult</f>
        <v/>
      </c>
      <c r="F46" s="7">
        <f>SUMPRODUCT($AG$5:$AG$29,$E$5:$E$29*(1+$F$5:$F$29)^(A46-2026)*$G$5:$G$29*$H$5:$H$29*$N$5:$N$29*$O$5:$O$29)*g_salMult</f>
        <v/>
      </c>
      <c r="G46" s="7">
        <f>SUMPRODUCT($AG$5:$AG$29,$P$5:$P$29*(1+$F$5:$F$29)^(A46-2026))</f>
        <v/>
      </c>
      <c r="H46" s="7">
        <f>SUMPRODUCT($AG$5:$AG$29,$Q$5:$Q$29*(1+$F$5:$F$29)^(A46-2026))+IF(personal_llcActivo=1,personal_llcNeto*(1+personal_llcCrecimiento)^13,0)</f>
        <v/>
      </c>
      <c r="I46" s="7">
        <f>SUMPRODUCT($AG$5:$AG$29,$J$5:$J$29/($C$5:$C$29-$B$5:$B$29+($C$5:$C$29=$B$5:$B$29)))*C46</f>
        <v/>
      </c>
      <c r="J46" s="7">
        <f>SUMPRODUCT($AG$5:$AG$29,$K$5:$K$29)</f>
        <v/>
      </c>
      <c r="K46" s="7">
        <f>SUMPRODUCT($AG$5:$AG$29,$L$5:$L$29)</f>
        <v/>
      </c>
      <c r="L46" s="7">
        <f>SUMPRODUCT($AG$5:$AG$29,$N$5:$N$29)</f>
        <v/>
      </c>
      <c r="M46" s="7">
        <f>IF(SUMPRODUCT($AG$5:$AG$29,$R$5:$R$29)&gt;0,1,0)</f>
        <v/>
      </c>
      <c r="N46" s="7">
        <f>SUMPRODUCT(($AO$5:$AO$24&gt;=A46)*($AO$5:$AO$24&lt;A46+1)*$AP$5:$AP$24)*C46+IF(13=0,IF(sel_loc&lt;&gt;"miami",personal_costoMudanzaInicial,0),0)</f>
        <v/>
      </c>
      <c r="O46" s="7">
        <f>MIN(personal_aporte403bPct*D46,retiro_limite403b*C46)</f>
        <v/>
      </c>
      <c r="P46" s="7">
        <f>MIN(personal_aporte403bPct,personal_match403bPct)*E46</f>
        <v/>
      </c>
      <c r="Q46" s="7">
        <f>IF(G46&gt;0,MAX(0,G46-impuestos_scorpCostoAnual*C46),0)</f>
        <v/>
      </c>
      <c r="R46" s="7">
        <f>Q46*impuestos_scorpSalarioPct/(1+impuestos_ssTasa+impuestos_medicareTasa)</f>
        <v/>
      </c>
      <c r="S46" s="7">
        <f>impuestos_ssTasa*MIN(R46,MAX(0,impuestos_ssTope*C46-D46))+impuestos_medicareTasa*R46</f>
        <v/>
      </c>
      <c r="T46" s="7">
        <f>Q46-R46-S46</f>
        <v/>
      </c>
      <c r="U46" s="7">
        <f>D46+R46</f>
        <v/>
      </c>
      <c r="V46" s="7">
        <f>H46*0.9235</f>
        <v/>
      </c>
      <c r="W46" s="7">
        <f>IF(H46&gt;0,2*impuestos_ssTasa*MIN(V46,MAX(0,impuestos_ssTope*C46-U46))+2*impuestos_medicareTasa*V46,0)</f>
        <v/>
      </c>
      <c r="X46" s="7">
        <f>impuestos_ssTasa*MIN(U46,impuestos_ssTope*C46)+impuestos_medicareTasa*U46+impuestos_medicareAdicional*MAX(0,U46+H46*0.9235-impuestos_medicareUmbral)</f>
        <v/>
      </c>
      <c r="Y46" s="7">
        <f>MAX(0,D46-O46+R46+T46+H46-W46/2)</f>
        <v/>
      </c>
      <c r="Z46" s="7">
        <f>MAX(0,Y46-impuestos_deduccionEstandar*C46)</f>
        <v/>
      </c>
      <c r="AA46" s="7">
        <f>MIN(0.2*MAX(0,T46+H46-W46/2)*MAX(0,MIN(1,1-(Z46-impuestos_qbiUmbral*C46)/(impuestos_qbiRango*C46))),0.2*Z46)</f>
        <v/>
      </c>
      <c r="AB46" s="7">
        <f>MAX(0,Z46-AA46)</f>
        <v/>
      </c>
      <c r="AC46" s="7">
        <f>SUMPRODUCT((AB46&gt;tb_federalBrackets_lo*C46)*(AB46-tb_federalBrackets_lo*C46)*tb_federalBrackets_dr)</f>
        <v/>
      </c>
      <c r="AD46" s="7">
        <f>MAX(0,Y46-impuestos_nyDeduccion*C46)</f>
        <v/>
      </c>
      <c r="AE46" s="7">
        <f>CHOOSE(loc_taxcode,0,impuestos_ohTasa*MAX(0,Y46-impuestos_ohExento*C46)+impuestos_ohMunicipal*U46,SUMPRODUCT((AD46&gt;tb_nyBrackets_lo*C46)*(AD46-tb_nyBrackets_lo*C46)*tb_nyBrackets_dr)+loc_nyc*SUMPRODUCT((AD46&gt;tb_nycBrackets_lo*C46)*(AD46-tb_nycBrackets_lo*C46)*tb_nycBrackets_dr))</f>
        <v/>
      </c>
      <c r="AF46" s="7">
        <f>AC46+AE46+X46+W46</f>
        <v/>
      </c>
      <c r="AG46" s="7">
        <f>D46+F46+R46+T46+H46</f>
        <v/>
      </c>
      <c r="AH46" s="7">
        <f>AG46-AF46-O46</f>
        <v/>
      </c>
      <c r="AI46" s="7">
        <f>D46+F46+G46+H46</f>
        <v/>
      </c>
      <c r="AJ46" s="7">
        <f>loc_gastosVida*C46*g_gastos</f>
        <v/>
      </c>
      <c r="AK46" s="7">
        <f>IF(13=0,personal_liquidoInicial,DR45)</f>
        <v/>
      </c>
      <c r="AL46" s="7">
        <f>IF(13=0,0,BB45)</f>
        <v/>
      </c>
      <c r="AM46" s="7">
        <f>CHOOSE(sel_cfgIdx,loc_precio_duplex,loc_precio_inlaw,loc_precio_dosCasas,loc_precio_casaAdu,loc_precio_multi)</f>
        <v/>
      </c>
      <c r="AN46" s="7">
        <f>AM46*(1+g_appr)^(A46-2026)</f>
        <v/>
      </c>
      <c r="AO46" s="7">
        <f>IF(AND(M46=1,vivienda_prestamoMedico=1),1,0)</f>
        <v/>
      </c>
      <c r="AP46" s="7">
        <f>IF(AO46=1,0.05,vivienda_enganchePct)</f>
        <v/>
      </c>
      <c r="AQ46" s="7">
        <f>AN46*(1-AP46)</f>
        <v/>
      </c>
      <c r="AR46" s="7">
        <f>PMT(g_mortRate/12,vivienda_plazoHipoteca*12,-AQ46)</f>
        <v/>
      </c>
      <c r="AS46" s="7">
        <f>INDEX(cfg_units,sel_cfgIdx)</f>
        <v/>
      </c>
      <c r="AT46" s="7">
        <f>AS46*loc_rentaUnidad*(1+g_inf)^(A46-2026)*(1-vivienda_vacancia)</f>
        <v/>
      </c>
      <c r="AU46" s="7">
        <f>AR46+AN46*loc_impuestoPropPct/12+AM46*loc_seguroPct*(1+vivienda_inflacionSeguro)^(A46-2026)/12+IF(AND(AO46=0,AP46&lt;0.2),AQ46*vivienda_pmiTasa/12,0)</f>
        <v/>
      </c>
      <c r="AV46" s="7">
        <f>AN46*AP46+AN46*vivienda_cierrePct+general_reservaMeses/12*AJ46</f>
        <v/>
      </c>
      <c r="AW46" s="7">
        <f>(IF(13=0,MIN(personal_irsSaldo,personal_irsPagoMensual*12),MIN(CD45,personal_irsPagoMensual*12))+IF(CE46&gt;0,PMT(CF46,MAX(1,prestamos_plazoAnios-CG46),-CE46),0)+IF(CR46&gt;0,PMT(CS46,MAX(1,prestamos_plazoAnios-CT46),-CR46),0))/12</f>
        <v/>
      </c>
      <c r="AX46" s="7">
        <f>IF(OR(sel_cfg="duplex",sel_cfg="multi",sel_cfg="dosCasas"),0.75*personal_aporteFamiliaMensual,0)</f>
        <v/>
      </c>
      <c r="AY46" s="7">
        <f>AU46-0.75*AT46-AX46+AW46</f>
        <v/>
      </c>
      <c r="AZ46" s="7">
        <f>(D46+G46+H46+0.5*F46)/12</f>
        <v/>
      </c>
      <c r="BA46" s="7">
        <f>IF(AND(AL46=0,A46&gt;=vivienda_anioMinCompra,J46&lt;0.5,AI46&gt;0,AK46&gt;=AV46,AY46&lt;=vivienda_dtiMax*AZ46),1,0)</f>
        <v/>
      </c>
      <c r="BB46" s="7">
        <f>MAX(AL46,BA46)</f>
        <v/>
      </c>
      <c r="BC46" s="7">
        <f>IF(BA46=1,A46,IF(13=0,"",BC45))</f>
        <v/>
      </c>
      <c r="BD46" s="7">
        <f>AK46-IF(BA46=1,AN46*AP46+AN46*vivienda_cierrePct,0)</f>
        <v/>
      </c>
      <c r="BE46" s="7">
        <f>IF(BA46=1,AN46,IF(13=0,0,BE45))</f>
        <v/>
      </c>
      <c r="BF46" s="7">
        <f>IF(BA46=1,AR46,IF(13=0,0,BF45))</f>
        <v/>
      </c>
      <c r="BG46" s="7">
        <f>IF(BA46=1,IF(AND(AO46=0,AP46&lt;0.2),1,0),IF(13=0,0,BY45))</f>
        <v/>
      </c>
      <c r="BH46" s="7">
        <f>IF(sel_cfg="casaAdu",1,0)</f>
        <v/>
      </c>
      <c r="BI46" s="7">
        <f>IF(AND(BB46=1,BH46=1,IF(13=0,0,BJ45)=0,A46&gt;=IF(BC46="",9999,BC46)+vivienda_aduRetrasoAnios),1,0)</f>
        <v/>
      </c>
      <c r="BJ46" s="7">
        <f>MAX(IF(13=0,0,BJ45),BI46)</f>
        <v/>
      </c>
      <c r="BK46" s="7">
        <f>IF(BI46=1,PMT((g_mortRate+0.005)/12,180,-loc_precio_aduCosto*C46),IF(13=0,0,BK45))</f>
        <v/>
      </c>
      <c r="BL46" s="7">
        <f>IF(BA46=1,AN46,IF(13=0,0,DT45))+IF(BI46=1,loc_precio_aduCosto*C46,0)</f>
        <v/>
      </c>
      <c r="BM46" s="7">
        <f>IF(BA46=1,AQ46,IF(13=0,0,DU45))</f>
        <v/>
      </c>
      <c r="BN46" s="7">
        <f>IF(BM46&lt;=0,0,FV(g_mortRate/12,12,BF46,-BM46))</f>
        <v/>
      </c>
      <c r="BO46" s="7">
        <f>IF(BM46&lt;=0,0,12*BF46+MIN(0,BN46))</f>
        <v/>
      </c>
      <c r="BP46" s="7">
        <f>MAX(0,BN46)</f>
        <v/>
      </c>
      <c r="BQ46" s="7">
        <f>IF(BI46=1,loc_precio_aduCosto*C46,IF(13=0,0,DV45))</f>
        <v/>
      </c>
      <c r="BR46" s="7">
        <f>IF(BQ46&lt;=0,0,FV((g_mortRate+0.005)/12,12,BK46,-BQ46))</f>
        <v/>
      </c>
      <c r="BS46" s="7">
        <f>IF(BQ46&lt;=0,0,12*BK46+MIN(0,BR46))</f>
        <v/>
      </c>
      <c r="BT46" s="7">
        <f>MAX(0,BR46)</f>
        <v/>
      </c>
      <c r="BU46" s="7">
        <f>IF(BB46=1,AM46*loc_seguroPct*(1+vivienda_inflacionSeguro)^(A46-2026)*IF(BJ46=1,1+loc_precio_aduCosto/AM46,1),0)</f>
        <v/>
      </c>
      <c r="BV46" s="7">
        <f>BL46*loc_impuestoPropPct</f>
        <v/>
      </c>
      <c r="BW46" s="7">
        <f>BL46*vivienda_mantenimientoPct</f>
        <v/>
      </c>
      <c r="BX46" s="7">
        <f>IF(AND(BG46=1,BP46&gt;0.8*BE46),BE46*(1-vivienda_enganchePct)*vivienda_pmiTasa,0)</f>
        <v/>
      </c>
      <c r="BY46" s="7">
        <f>IF(AND(BG46=1,BP46&gt;0.8*BE46),1,0)</f>
        <v/>
      </c>
      <c r="BZ46" s="7">
        <f>IF(BB46=1,AS46*loc_rentaUnidad*12*C46*(1-vivienda_vacancia)*(1-vivienda_gestionPct),0)</f>
        <v/>
      </c>
      <c r="CA46" s="7">
        <f>IF(BB46=1,BO46+BS46+BU46+BV46+BW46+BX46,loc_rentaMensual*12*C46)</f>
        <v/>
      </c>
      <c r="CB46" s="7">
        <f>IF(BB46=1,personal_aporteFamiliaMensual*12,0)</f>
        <v/>
      </c>
      <c r="CC46" s="7">
        <f>MIN(IF(13=0,personal_irsSaldo,CD45),personal_irsPagoMensual*12)</f>
        <v/>
      </c>
      <c r="CD46" s="7">
        <f>IF(13=0,personal_irsSaldo,CD45)-CC46</f>
        <v/>
      </c>
      <c r="CE46" s="7">
        <f>IF(13=0,IF(personal_deudaEsFederal=1,personal_deudaEstudiantil,0),DW45)</f>
        <v/>
      </c>
      <c r="CF46" s="7">
        <f>IF(13=0,personal_tasaDeudaEstudiantil,DX45)</f>
        <v/>
      </c>
      <c r="CG46" s="7">
        <f>IF(13=0,0,DY45)</f>
        <v/>
      </c>
      <c r="CH46" s="7">
        <f>IF(J46&gt;=0.5,1,0)</f>
        <v/>
      </c>
      <c r="CI46" s="7">
        <f>IF(AND(CH46=0,prestamos_pslfActivo=1,K46&gt;=0.5,CE46&gt;0),1,0)</f>
        <v/>
      </c>
      <c r="CJ46" s="7">
        <f>CE46*CF46</f>
        <v/>
      </c>
      <c r="CK46" s="7">
        <f>MAX(prestamos_rapPagoMinimoAnual,IF(Y46&lt;10000,0,MIN(0.1,INT(Y46/10000)/100))*Y46)</f>
        <v/>
      </c>
      <c r="CL46" s="7">
        <f>IF(CE46&lt;=0,0,IF(CH46=1,0,IF(CI46=1,MIN(CE46+CJ46,CK46),PMT(CF46,MAX(1,prestamos_plazoAnios-CG46),-CE46))))</f>
        <v/>
      </c>
      <c r="CM46" s="7">
        <f>IF(CE46&lt;=0,0,IF(CH46=1,CE46+CJ46,IF(CI46=1,MAX(0,CE46-MAX(CL46-CJ46,MIN(600,CL46))),MAX(0,CE46*(1+CF46)-CL46))))</f>
        <v/>
      </c>
      <c r="CN46" s="7">
        <f>IF(13=0,0,CN45)+IF(CI46=1,12*MIN(1,K46),0)</f>
        <v/>
      </c>
      <c r="CO46" s="7">
        <f>IF(AND(CI46=1,CN46&gt;=prestamos_pslfPagos,CM46&gt;0),CM46,0)</f>
        <v/>
      </c>
      <c r="CP46" s="7">
        <f>CM46-CO46</f>
        <v/>
      </c>
      <c r="CQ46" s="7">
        <f>IF(AND(CE46&gt;0,CH46=0,CI46=0),CG46+1,CG46)</f>
        <v/>
      </c>
      <c r="CR46" s="7">
        <f>IF(13=0,IF(personal_deudaEsFederal=1,0,personal_deudaEstudiantil),EA45)</f>
        <v/>
      </c>
      <c r="CS46" s="7">
        <f>IF(13=0,IF(personal_deudaEsFederal=1,prestamos_tasaPrivada,personal_tasaDeudaEstudiantil),EB45)</f>
        <v/>
      </c>
      <c r="CT46" s="7">
        <f>IF(13=0,0,EC45)</f>
        <v/>
      </c>
      <c r="CU46" s="7">
        <f>IF(OR(CR46&lt;=0,CH46=1),0,PMT(CS46,MAX(1,prestamos_plazoAnios-CT46),-CR46))</f>
        <v/>
      </c>
      <c r="CV46" s="7">
        <f>IF(CR46&lt;=0,0,IF(CH46=1,CR46*(1+CS46),MAX(0,CR46*(1+CS46)-CU46)))</f>
        <v/>
      </c>
      <c r="CW46" s="7">
        <f>IF(AND(CR46&gt;0,CH46=0),CT46+1,CT46)</f>
        <v/>
      </c>
      <c r="CX46" s="7">
        <f>IF(13=0,0,ED45)*(1+general_tasaDeudaConsumo)</f>
        <v/>
      </c>
      <c r="CY46" s="7">
        <f>L46*12*tiempos_travelGastoExtraMes*C46</f>
        <v/>
      </c>
      <c r="CZ46" s="7">
        <f>AJ46+CY46+CA46+CC46+CL46+CU46+I46+N46-BZ46-CB46</f>
        <v/>
      </c>
      <c r="DA46" s="7">
        <f>AH46-CZ46</f>
        <v/>
      </c>
      <c r="DB46" s="7">
        <f>IF(13=0,0,DB45)+DA46</f>
        <v/>
      </c>
      <c r="DC46" s="7">
        <f>AN46*vivienda_enganchePct+AN46*vivienda_cierrePct+general_reservaMeses/12*AJ46</f>
        <v/>
      </c>
      <c r="DD46" s="7">
        <f>IF(BB46=1,g_ret,IF(BD46&gt;0,MIN(1,DC46/BD46),1)*g_cash+(1-IF(BD46&gt;0,MIN(1,DC46/BD46),1))*g_ret)</f>
        <v/>
      </c>
      <c r="DE46" s="7">
        <f>IF(DA46&gt;=0,MIN(CX46,DA46),0)</f>
        <v/>
      </c>
      <c r="DF46" s="7">
        <f>IF(DA46&gt;=0,(1-general_tasaAhorro)*(DA46-DE46),0)</f>
        <v/>
      </c>
      <c r="DG46" s="7">
        <f>IF(DA46&gt;=0,DA46-DE46-DF46,0)</f>
        <v/>
      </c>
      <c r="DH46" s="7">
        <f>MIN(personal_rothAnual,DG46)</f>
        <v/>
      </c>
      <c r="DI46" s="7">
        <f>IF(AND(DA46&gt;=0,BB46=1,BP46+BT46&gt;0),MIN(vivienda_prepagoPct*(DG46-DH46),BP46+BT46),0)</f>
        <v/>
      </c>
      <c r="DJ46" s="7">
        <f>MIN(DI46,BP46)</f>
        <v/>
      </c>
      <c r="DK46" s="7">
        <f>IF(DA46&lt;0,MIN(MAX(0,BD46),-DA46),0)</f>
        <v/>
      </c>
      <c r="DL46" s="7">
        <f>IF(DA46&lt;0,-DA46-DK46,0)</f>
        <v/>
      </c>
      <c r="DM46" s="7">
        <f>IF(13=0,0,DZ45)</f>
        <v/>
      </c>
      <c r="DN46" s="7">
        <f>IF(AND(DL46&gt;0,J46&gt;0),MIN(DL46,MIN(prestamos_topeAnualPosgrado*MIN(1,J46),MAX(0,prestamos_topeTotalPosgrado-DM46))),0)</f>
        <v/>
      </c>
      <c r="DO46" s="7">
        <f>IF(AND(DL46&gt;0,J46&gt;0),DL46-DN46,0)</f>
        <v/>
      </c>
      <c r="DP46" s="7">
        <f>IF(AND(DL46&gt;0,J46&lt;=0),DL46,0)</f>
        <v/>
      </c>
      <c r="DQ46" s="7">
        <f>IF(DA46&gt;=0,DG46-DH46-DI46,-DK46)</f>
        <v/>
      </c>
      <c r="DR46" s="7">
        <f>BD46*(1+DD46)+DQ46*(1+DD46/2)</f>
        <v/>
      </c>
      <c r="DS46" s="7">
        <f>IF(13=0,personal_retiroInicial,DS45)*(1+g_ret)+(O46+P46+DH46)*(1+g_ret/2)</f>
        <v/>
      </c>
      <c r="DT46" s="7">
        <f>IF(BB46=1,BL46*(1+g_appr),0)</f>
        <v/>
      </c>
      <c r="DU46" s="7">
        <f>BP46-DJ46</f>
        <v/>
      </c>
      <c r="DV46" s="7">
        <f>BT46-(DI46-DJ46)</f>
        <v/>
      </c>
      <c r="DW46" s="7">
        <f>CP46+DN46</f>
        <v/>
      </c>
      <c r="DX46" s="7">
        <f>IF(DN46&gt;0,(CP46*CF46+DN46*prestamos_tasaFederalPosgrado)/(CP46+DN46),CF46)</f>
        <v/>
      </c>
      <c r="DY46" s="7">
        <f>IF(DN46&gt;0,0,CQ46)</f>
        <v/>
      </c>
      <c r="DZ46" s="7">
        <f>DM46+DN46</f>
        <v/>
      </c>
      <c r="EA46" s="7">
        <f>CV46+DO46</f>
        <v/>
      </c>
      <c r="EB46" s="7">
        <f>IF(DO46&gt;0,(CV46*CS46+DO46*prestamos_tasaPrivada)/(CV46+DO46),CS46)</f>
        <v/>
      </c>
      <c r="EC46" s="7">
        <f>IF(DO46&gt;0,0,CW46)</f>
        <v/>
      </c>
      <c r="ED46" s="7">
        <f>CX46-DE46+DP46</f>
        <v/>
      </c>
      <c r="EE46" s="7">
        <f>IF(IF(13=0,"",EE45)&lt;&gt;"",EE45,IF(AND(BB46=1,DU46&lt;=0.5,DV46&lt;=0.5,OR(BH46=0,BJ46=1)),A46,""))</f>
        <v/>
      </c>
      <c r="EF46" s="7">
        <f>DU46+DV46+DW46+EA46+ED46+CD46</f>
        <v/>
      </c>
      <c r="EG46" s="7">
        <f>DR46+DS46+DT46-EF46</f>
        <v/>
      </c>
      <c r="EH46" s="7">
        <f>EG46/(1+g_inf)^(A46+1-2026)</f>
        <v/>
      </c>
    </row>
    <row r="47">
      <c r="A47" t="n">
        <v>2041</v>
      </c>
      <c r="B47" t="n">
        <v>14</v>
      </c>
      <c r="C47" s="7">
        <f>(1+g_inf)^(A47-2026)</f>
        <v/>
      </c>
      <c r="D47" s="7">
        <f>SUMPRODUCT($AH$5:$AH$29,$E$5:$E$29*(1+$F$5:$F$29)^(A47-2026)*$G$5:$G$29*$H$5:$H$29*(1-$N$5:$N$29*$O$5:$O$29))*g_salMult+SUMPRODUCT(($B$5:$B$29&gt;=A47)*($B$5:$B$29&lt;A47+1)*$I$5:$I$29)*g_salMult</f>
        <v/>
      </c>
      <c r="E47" s="7">
        <f>SUMPRODUCT($AH$5:$AH$29,$E$5:$E$29*(1+$F$5:$F$29)^(A47-2026)*$G$5:$G$29*$H$5:$H$29*$M$5:$M$29)*g_salMult</f>
        <v/>
      </c>
      <c r="F47" s="7">
        <f>SUMPRODUCT($AH$5:$AH$29,$E$5:$E$29*(1+$F$5:$F$29)^(A47-2026)*$G$5:$G$29*$H$5:$H$29*$N$5:$N$29*$O$5:$O$29)*g_salMult</f>
        <v/>
      </c>
      <c r="G47" s="7">
        <f>SUMPRODUCT($AH$5:$AH$29,$P$5:$P$29*(1+$F$5:$F$29)^(A47-2026))</f>
        <v/>
      </c>
      <c r="H47" s="7">
        <f>SUMPRODUCT($AH$5:$AH$29,$Q$5:$Q$29*(1+$F$5:$F$29)^(A47-2026))+IF(personal_llcActivo=1,personal_llcNeto*(1+personal_llcCrecimiento)^14,0)</f>
        <v/>
      </c>
      <c r="I47" s="7">
        <f>SUMPRODUCT($AH$5:$AH$29,$J$5:$J$29/($C$5:$C$29-$B$5:$B$29+($C$5:$C$29=$B$5:$B$29)))*C47</f>
        <v/>
      </c>
      <c r="J47" s="7">
        <f>SUMPRODUCT($AH$5:$AH$29,$K$5:$K$29)</f>
        <v/>
      </c>
      <c r="K47" s="7">
        <f>SUMPRODUCT($AH$5:$AH$29,$L$5:$L$29)</f>
        <v/>
      </c>
      <c r="L47" s="7">
        <f>SUMPRODUCT($AH$5:$AH$29,$N$5:$N$29)</f>
        <v/>
      </c>
      <c r="M47" s="7">
        <f>IF(SUMPRODUCT($AH$5:$AH$29,$R$5:$R$29)&gt;0,1,0)</f>
        <v/>
      </c>
      <c r="N47" s="7">
        <f>SUMPRODUCT(($AO$5:$AO$24&gt;=A47)*($AO$5:$AO$24&lt;A47+1)*$AP$5:$AP$24)*C47+IF(14=0,IF(sel_loc&lt;&gt;"miami",personal_costoMudanzaInicial,0),0)</f>
        <v/>
      </c>
      <c r="O47" s="7">
        <f>MIN(personal_aporte403bPct*D47,retiro_limite403b*C47)</f>
        <v/>
      </c>
      <c r="P47" s="7">
        <f>MIN(personal_aporte403bPct,personal_match403bPct)*E47</f>
        <v/>
      </c>
      <c r="Q47" s="7">
        <f>IF(G47&gt;0,MAX(0,G47-impuestos_scorpCostoAnual*C47),0)</f>
        <v/>
      </c>
      <c r="R47" s="7">
        <f>Q47*impuestos_scorpSalarioPct/(1+impuestos_ssTasa+impuestos_medicareTasa)</f>
        <v/>
      </c>
      <c r="S47" s="7">
        <f>impuestos_ssTasa*MIN(R47,MAX(0,impuestos_ssTope*C47-D47))+impuestos_medicareTasa*R47</f>
        <v/>
      </c>
      <c r="T47" s="7">
        <f>Q47-R47-S47</f>
        <v/>
      </c>
      <c r="U47" s="7">
        <f>D47+R47</f>
        <v/>
      </c>
      <c r="V47" s="7">
        <f>H47*0.9235</f>
        <v/>
      </c>
      <c r="W47" s="7">
        <f>IF(H47&gt;0,2*impuestos_ssTasa*MIN(V47,MAX(0,impuestos_ssTope*C47-U47))+2*impuestos_medicareTasa*V47,0)</f>
        <v/>
      </c>
      <c r="X47" s="7">
        <f>impuestos_ssTasa*MIN(U47,impuestos_ssTope*C47)+impuestos_medicareTasa*U47+impuestos_medicareAdicional*MAX(0,U47+H47*0.9235-impuestos_medicareUmbral)</f>
        <v/>
      </c>
      <c r="Y47" s="7">
        <f>MAX(0,D47-O47+R47+T47+H47-W47/2)</f>
        <v/>
      </c>
      <c r="Z47" s="7">
        <f>MAX(0,Y47-impuestos_deduccionEstandar*C47)</f>
        <v/>
      </c>
      <c r="AA47" s="7">
        <f>MIN(0.2*MAX(0,T47+H47-W47/2)*MAX(0,MIN(1,1-(Z47-impuestos_qbiUmbral*C47)/(impuestos_qbiRango*C47))),0.2*Z47)</f>
        <v/>
      </c>
      <c r="AB47" s="7">
        <f>MAX(0,Z47-AA47)</f>
        <v/>
      </c>
      <c r="AC47" s="7">
        <f>SUMPRODUCT((AB47&gt;tb_federalBrackets_lo*C47)*(AB47-tb_federalBrackets_lo*C47)*tb_federalBrackets_dr)</f>
        <v/>
      </c>
      <c r="AD47" s="7">
        <f>MAX(0,Y47-impuestos_nyDeduccion*C47)</f>
        <v/>
      </c>
      <c r="AE47" s="7">
        <f>CHOOSE(loc_taxcode,0,impuestos_ohTasa*MAX(0,Y47-impuestos_ohExento*C47)+impuestos_ohMunicipal*U47,SUMPRODUCT((AD47&gt;tb_nyBrackets_lo*C47)*(AD47-tb_nyBrackets_lo*C47)*tb_nyBrackets_dr)+loc_nyc*SUMPRODUCT((AD47&gt;tb_nycBrackets_lo*C47)*(AD47-tb_nycBrackets_lo*C47)*tb_nycBrackets_dr))</f>
        <v/>
      </c>
      <c r="AF47" s="7">
        <f>AC47+AE47+X47+W47</f>
        <v/>
      </c>
      <c r="AG47" s="7">
        <f>D47+F47+R47+T47+H47</f>
        <v/>
      </c>
      <c r="AH47" s="7">
        <f>AG47-AF47-O47</f>
        <v/>
      </c>
      <c r="AI47" s="7">
        <f>D47+F47+G47+H47</f>
        <v/>
      </c>
      <c r="AJ47" s="7">
        <f>loc_gastosVida*C47*g_gastos</f>
        <v/>
      </c>
      <c r="AK47" s="7">
        <f>IF(14=0,personal_liquidoInicial,DR46)</f>
        <v/>
      </c>
      <c r="AL47" s="7">
        <f>IF(14=0,0,BB46)</f>
        <v/>
      </c>
      <c r="AM47" s="7">
        <f>CHOOSE(sel_cfgIdx,loc_precio_duplex,loc_precio_inlaw,loc_precio_dosCasas,loc_precio_casaAdu,loc_precio_multi)</f>
        <v/>
      </c>
      <c r="AN47" s="7">
        <f>AM47*(1+g_appr)^(A47-2026)</f>
        <v/>
      </c>
      <c r="AO47" s="7">
        <f>IF(AND(M47=1,vivienda_prestamoMedico=1),1,0)</f>
        <v/>
      </c>
      <c r="AP47" s="7">
        <f>IF(AO47=1,0.05,vivienda_enganchePct)</f>
        <v/>
      </c>
      <c r="AQ47" s="7">
        <f>AN47*(1-AP47)</f>
        <v/>
      </c>
      <c r="AR47" s="7">
        <f>PMT(g_mortRate/12,vivienda_plazoHipoteca*12,-AQ47)</f>
        <v/>
      </c>
      <c r="AS47" s="7">
        <f>INDEX(cfg_units,sel_cfgIdx)</f>
        <v/>
      </c>
      <c r="AT47" s="7">
        <f>AS47*loc_rentaUnidad*(1+g_inf)^(A47-2026)*(1-vivienda_vacancia)</f>
        <v/>
      </c>
      <c r="AU47" s="7">
        <f>AR47+AN47*loc_impuestoPropPct/12+AM47*loc_seguroPct*(1+vivienda_inflacionSeguro)^(A47-2026)/12+IF(AND(AO47=0,AP47&lt;0.2),AQ47*vivienda_pmiTasa/12,0)</f>
        <v/>
      </c>
      <c r="AV47" s="7">
        <f>AN47*AP47+AN47*vivienda_cierrePct+general_reservaMeses/12*AJ47</f>
        <v/>
      </c>
      <c r="AW47" s="7">
        <f>(IF(14=0,MIN(personal_irsSaldo,personal_irsPagoMensual*12),MIN(CD46,personal_irsPagoMensual*12))+IF(CE47&gt;0,PMT(CF47,MAX(1,prestamos_plazoAnios-CG47),-CE47),0)+IF(CR47&gt;0,PMT(CS47,MAX(1,prestamos_plazoAnios-CT47),-CR47),0))/12</f>
        <v/>
      </c>
      <c r="AX47" s="7">
        <f>IF(OR(sel_cfg="duplex",sel_cfg="multi",sel_cfg="dosCasas"),0.75*personal_aporteFamiliaMensual,0)</f>
        <v/>
      </c>
      <c r="AY47" s="7">
        <f>AU47-0.75*AT47-AX47+AW47</f>
        <v/>
      </c>
      <c r="AZ47" s="7">
        <f>(D47+G47+H47+0.5*F47)/12</f>
        <v/>
      </c>
      <c r="BA47" s="7">
        <f>IF(AND(AL47=0,A47&gt;=vivienda_anioMinCompra,J47&lt;0.5,AI47&gt;0,AK47&gt;=AV47,AY47&lt;=vivienda_dtiMax*AZ47),1,0)</f>
        <v/>
      </c>
      <c r="BB47" s="7">
        <f>MAX(AL47,BA47)</f>
        <v/>
      </c>
      <c r="BC47" s="7">
        <f>IF(BA47=1,A47,IF(14=0,"",BC46))</f>
        <v/>
      </c>
      <c r="BD47" s="7">
        <f>AK47-IF(BA47=1,AN47*AP47+AN47*vivienda_cierrePct,0)</f>
        <v/>
      </c>
      <c r="BE47" s="7">
        <f>IF(BA47=1,AN47,IF(14=0,0,BE46))</f>
        <v/>
      </c>
      <c r="BF47" s="7">
        <f>IF(BA47=1,AR47,IF(14=0,0,BF46))</f>
        <v/>
      </c>
      <c r="BG47" s="7">
        <f>IF(BA47=1,IF(AND(AO47=0,AP47&lt;0.2),1,0),IF(14=0,0,BY46))</f>
        <v/>
      </c>
      <c r="BH47" s="7">
        <f>IF(sel_cfg="casaAdu",1,0)</f>
        <v/>
      </c>
      <c r="BI47" s="7">
        <f>IF(AND(BB47=1,BH47=1,IF(14=0,0,BJ46)=0,A47&gt;=IF(BC47="",9999,BC47)+vivienda_aduRetrasoAnios),1,0)</f>
        <v/>
      </c>
      <c r="BJ47" s="7">
        <f>MAX(IF(14=0,0,BJ46),BI47)</f>
        <v/>
      </c>
      <c r="BK47" s="7">
        <f>IF(BI47=1,PMT((g_mortRate+0.005)/12,180,-loc_precio_aduCosto*C47),IF(14=0,0,BK46))</f>
        <v/>
      </c>
      <c r="BL47" s="7">
        <f>IF(BA47=1,AN47,IF(14=0,0,DT46))+IF(BI47=1,loc_precio_aduCosto*C47,0)</f>
        <v/>
      </c>
      <c r="BM47" s="7">
        <f>IF(BA47=1,AQ47,IF(14=0,0,DU46))</f>
        <v/>
      </c>
      <c r="BN47" s="7">
        <f>IF(BM47&lt;=0,0,FV(g_mortRate/12,12,BF47,-BM47))</f>
        <v/>
      </c>
      <c r="BO47" s="7">
        <f>IF(BM47&lt;=0,0,12*BF47+MIN(0,BN47))</f>
        <v/>
      </c>
      <c r="BP47" s="7">
        <f>MAX(0,BN47)</f>
        <v/>
      </c>
      <c r="BQ47" s="7">
        <f>IF(BI47=1,loc_precio_aduCosto*C47,IF(14=0,0,DV46))</f>
        <v/>
      </c>
      <c r="BR47" s="7">
        <f>IF(BQ47&lt;=0,0,FV((g_mortRate+0.005)/12,12,BK47,-BQ47))</f>
        <v/>
      </c>
      <c r="BS47" s="7">
        <f>IF(BQ47&lt;=0,0,12*BK47+MIN(0,BR47))</f>
        <v/>
      </c>
      <c r="BT47" s="7">
        <f>MAX(0,BR47)</f>
        <v/>
      </c>
      <c r="BU47" s="7">
        <f>IF(BB47=1,AM47*loc_seguroPct*(1+vivienda_inflacionSeguro)^(A47-2026)*IF(BJ47=1,1+loc_precio_aduCosto/AM47,1),0)</f>
        <v/>
      </c>
      <c r="BV47" s="7">
        <f>BL47*loc_impuestoPropPct</f>
        <v/>
      </c>
      <c r="BW47" s="7">
        <f>BL47*vivienda_mantenimientoPct</f>
        <v/>
      </c>
      <c r="BX47" s="7">
        <f>IF(AND(BG47=1,BP47&gt;0.8*BE47),BE47*(1-vivienda_enganchePct)*vivienda_pmiTasa,0)</f>
        <v/>
      </c>
      <c r="BY47" s="7">
        <f>IF(AND(BG47=1,BP47&gt;0.8*BE47),1,0)</f>
        <v/>
      </c>
      <c r="BZ47" s="7">
        <f>IF(BB47=1,AS47*loc_rentaUnidad*12*C47*(1-vivienda_vacancia)*(1-vivienda_gestionPct),0)</f>
        <v/>
      </c>
      <c r="CA47" s="7">
        <f>IF(BB47=1,BO47+BS47+BU47+BV47+BW47+BX47,loc_rentaMensual*12*C47)</f>
        <v/>
      </c>
      <c r="CB47" s="7">
        <f>IF(BB47=1,personal_aporteFamiliaMensual*12,0)</f>
        <v/>
      </c>
      <c r="CC47" s="7">
        <f>MIN(IF(14=0,personal_irsSaldo,CD46),personal_irsPagoMensual*12)</f>
        <v/>
      </c>
      <c r="CD47" s="7">
        <f>IF(14=0,personal_irsSaldo,CD46)-CC47</f>
        <v/>
      </c>
      <c r="CE47" s="7">
        <f>IF(14=0,IF(personal_deudaEsFederal=1,personal_deudaEstudiantil,0),DW46)</f>
        <v/>
      </c>
      <c r="CF47" s="7">
        <f>IF(14=0,personal_tasaDeudaEstudiantil,DX46)</f>
        <v/>
      </c>
      <c r="CG47" s="7">
        <f>IF(14=0,0,DY46)</f>
        <v/>
      </c>
      <c r="CH47" s="7">
        <f>IF(J47&gt;=0.5,1,0)</f>
        <v/>
      </c>
      <c r="CI47" s="7">
        <f>IF(AND(CH47=0,prestamos_pslfActivo=1,K47&gt;=0.5,CE47&gt;0),1,0)</f>
        <v/>
      </c>
      <c r="CJ47" s="7">
        <f>CE47*CF47</f>
        <v/>
      </c>
      <c r="CK47" s="7">
        <f>MAX(prestamos_rapPagoMinimoAnual,IF(Y47&lt;10000,0,MIN(0.1,INT(Y47/10000)/100))*Y47)</f>
        <v/>
      </c>
      <c r="CL47" s="7">
        <f>IF(CE47&lt;=0,0,IF(CH47=1,0,IF(CI47=1,MIN(CE47+CJ47,CK47),PMT(CF47,MAX(1,prestamos_plazoAnios-CG47),-CE47))))</f>
        <v/>
      </c>
      <c r="CM47" s="7">
        <f>IF(CE47&lt;=0,0,IF(CH47=1,CE47+CJ47,IF(CI47=1,MAX(0,CE47-MAX(CL47-CJ47,MIN(600,CL47))),MAX(0,CE47*(1+CF47)-CL47))))</f>
        <v/>
      </c>
      <c r="CN47" s="7">
        <f>IF(14=0,0,CN46)+IF(CI47=1,12*MIN(1,K47),0)</f>
        <v/>
      </c>
      <c r="CO47" s="7">
        <f>IF(AND(CI47=1,CN47&gt;=prestamos_pslfPagos,CM47&gt;0),CM47,0)</f>
        <v/>
      </c>
      <c r="CP47" s="7">
        <f>CM47-CO47</f>
        <v/>
      </c>
      <c r="CQ47" s="7">
        <f>IF(AND(CE47&gt;0,CH47=0,CI47=0),CG47+1,CG47)</f>
        <v/>
      </c>
      <c r="CR47" s="7">
        <f>IF(14=0,IF(personal_deudaEsFederal=1,0,personal_deudaEstudiantil),EA46)</f>
        <v/>
      </c>
      <c r="CS47" s="7">
        <f>IF(14=0,IF(personal_deudaEsFederal=1,prestamos_tasaPrivada,personal_tasaDeudaEstudiantil),EB46)</f>
        <v/>
      </c>
      <c r="CT47" s="7">
        <f>IF(14=0,0,EC46)</f>
        <v/>
      </c>
      <c r="CU47" s="7">
        <f>IF(OR(CR47&lt;=0,CH47=1),0,PMT(CS47,MAX(1,prestamos_plazoAnios-CT47),-CR47))</f>
        <v/>
      </c>
      <c r="CV47" s="7">
        <f>IF(CR47&lt;=0,0,IF(CH47=1,CR47*(1+CS47),MAX(0,CR47*(1+CS47)-CU47)))</f>
        <v/>
      </c>
      <c r="CW47" s="7">
        <f>IF(AND(CR47&gt;0,CH47=0),CT47+1,CT47)</f>
        <v/>
      </c>
      <c r="CX47" s="7">
        <f>IF(14=0,0,ED46)*(1+general_tasaDeudaConsumo)</f>
        <v/>
      </c>
      <c r="CY47" s="7">
        <f>L47*12*tiempos_travelGastoExtraMes*C47</f>
        <v/>
      </c>
      <c r="CZ47" s="7">
        <f>AJ47+CY47+CA47+CC47+CL47+CU47+I47+N47-BZ47-CB47</f>
        <v/>
      </c>
      <c r="DA47" s="7">
        <f>AH47-CZ47</f>
        <v/>
      </c>
      <c r="DB47" s="7">
        <f>IF(14=0,0,DB46)+DA47</f>
        <v/>
      </c>
      <c r="DC47" s="7">
        <f>AN47*vivienda_enganchePct+AN47*vivienda_cierrePct+general_reservaMeses/12*AJ47</f>
        <v/>
      </c>
      <c r="DD47" s="7">
        <f>IF(BB47=1,g_ret,IF(BD47&gt;0,MIN(1,DC47/BD47),1)*g_cash+(1-IF(BD47&gt;0,MIN(1,DC47/BD47),1))*g_ret)</f>
        <v/>
      </c>
      <c r="DE47" s="7">
        <f>IF(DA47&gt;=0,MIN(CX47,DA47),0)</f>
        <v/>
      </c>
      <c r="DF47" s="7">
        <f>IF(DA47&gt;=0,(1-general_tasaAhorro)*(DA47-DE47),0)</f>
        <v/>
      </c>
      <c r="DG47" s="7">
        <f>IF(DA47&gt;=0,DA47-DE47-DF47,0)</f>
        <v/>
      </c>
      <c r="DH47" s="7">
        <f>MIN(personal_rothAnual,DG47)</f>
        <v/>
      </c>
      <c r="DI47" s="7">
        <f>IF(AND(DA47&gt;=0,BB47=1,BP47+BT47&gt;0),MIN(vivienda_prepagoPct*(DG47-DH47),BP47+BT47),0)</f>
        <v/>
      </c>
      <c r="DJ47" s="7">
        <f>MIN(DI47,BP47)</f>
        <v/>
      </c>
      <c r="DK47" s="7">
        <f>IF(DA47&lt;0,MIN(MAX(0,BD47),-DA47),0)</f>
        <v/>
      </c>
      <c r="DL47" s="7">
        <f>IF(DA47&lt;0,-DA47-DK47,0)</f>
        <v/>
      </c>
      <c r="DM47" s="7">
        <f>IF(14=0,0,DZ46)</f>
        <v/>
      </c>
      <c r="DN47" s="7">
        <f>IF(AND(DL47&gt;0,J47&gt;0),MIN(DL47,MIN(prestamos_topeAnualPosgrado*MIN(1,J47),MAX(0,prestamos_topeTotalPosgrado-DM47))),0)</f>
        <v/>
      </c>
      <c r="DO47" s="7">
        <f>IF(AND(DL47&gt;0,J47&gt;0),DL47-DN47,0)</f>
        <v/>
      </c>
      <c r="DP47" s="7">
        <f>IF(AND(DL47&gt;0,J47&lt;=0),DL47,0)</f>
        <v/>
      </c>
      <c r="DQ47" s="7">
        <f>IF(DA47&gt;=0,DG47-DH47-DI47,-DK47)</f>
        <v/>
      </c>
      <c r="DR47" s="7">
        <f>BD47*(1+DD47)+DQ47*(1+DD47/2)</f>
        <v/>
      </c>
      <c r="DS47" s="7">
        <f>IF(14=0,personal_retiroInicial,DS46)*(1+g_ret)+(O47+P47+DH47)*(1+g_ret/2)</f>
        <v/>
      </c>
      <c r="DT47" s="7">
        <f>IF(BB47=1,BL47*(1+g_appr),0)</f>
        <v/>
      </c>
      <c r="DU47" s="7">
        <f>BP47-DJ47</f>
        <v/>
      </c>
      <c r="DV47" s="7">
        <f>BT47-(DI47-DJ47)</f>
        <v/>
      </c>
      <c r="DW47" s="7">
        <f>CP47+DN47</f>
        <v/>
      </c>
      <c r="DX47" s="7">
        <f>IF(DN47&gt;0,(CP47*CF47+DN47*prestamos_tasaFederalPosgrado)/(CP47+DN47),CF47)</f>
        <v/>
      </c>
      <c r="DY47" s="7">
        <f>IF(DN47&gt;0,0,CQ47)</f>
        <v/>
      </c>
      <c r="DZ47" s="7">
        <f>DM47+DN47</f>
        <v/>
      </c>
      <c r="EA47" s="7">
        <f>CV47+DO47</f>
        <v/>
      </c>
      <c r="EB47" s="7">
        <f>IF(DO47&gt;0,(CV47*CS47+DO47*prestamos_tasaPrivada)/(CV47+DO47),CS47)</f>
        <v/>
      </c>
      <c r="EC47" s="7">
        <f>IF(DO47&gt;0,0,CW47)</f>
        <v/>
      </c>
      <c r="ED47" s="7">
        <f>CX47-DE47+DP47</f>
        <v/>
      </c>
      <c r="EE47" s="7">
        <f>IF(IF(14=0,"",EE46)&lt;&gt;"",EE46,IF(AND(BB47=1,DU47&lt;=0.5,DV47&lt;=0.5,OR(BH47=0,BJ47=1)),A47,""))</f>
        <v/>
      </c>
      <c r="EF47" s="7">
        <f>DU47+DV47+DW47+EA47+ED47+CD47</f>
        <v/>
      </c>
      <c r="EG47" s="7">
        <f>DR47+DS47+DT47-EF47</f>
        <v/>
      </c>
      <c r="EH47" s="7">
        <f>EG47/(1+g_inf)^(A47+1-2026)</f>
        <v/>
      </c>
    </row>
    <row r="48">
      <c r="A48" t="n">
        <v>2042</v>
      </c>
      <c r="B48" t="n">
        <v>15</v>
      </c>
      <c r="C48" s="7">
        <f>(1+g_inf)^(A48-2026)</f>
        <v/>
      </c>
      <c r="D48" s="7">
        <f>SUMPRODUCT($AI$5:$AI$29,$E$5:$E$29*(1+$F$5:$F$29)^(A48-2026)*$G$5:$G$29*$H$5:$H$29*(1-$N$5:$N$29*$O$5:$O$29))*g_salMult+SUMPRODUCT(($B$5:$B$29&gt;=A48)*($B$5:$B$29&lt;A48+1)*$I$5:$I$29)*g_salMult</f>
        <v/>
      </c>
      <c r="E48" s="7">
        <f>SUMPRODUCT($AI$5:$AI$29,$E$5:$E$29*(1+$F$5:$F$29)^(A48-2026)*$G$5:$G$29*$H$5:$H$29*$M$5:$M$29)*g_salMult</f>
        <v/>
      </c>
      <c r="F48" s="7">
        <f>SUMPRODUCT($AI$5:$AI$29,$E$5:$E$29*(1+$F$5:$F$29)^(A48-2026)*$G$5:$G$29*$H$5:$H$29*$N$5:$N$29*$O$5:$O$29)*g_salMult</f>
        <v/>
      </c>
      <c r="G48" s="7">
        <f>SUMPRODUCT($AI$5:$AI$29,$P$5:$P$29*(1+$F$5:$F$29)^(A48-2026))</f>
        <v/>
      </c>
      <c r="H48" s="7">
        <f>SUMPRODUCT($AI$5:$AI$29,$Q$5:$Q$29*(1+$F$5:$F$29)^(A48-2026))+IF(personal_llcActivo=1,personal_llcNeto*(1+personal_llcCrecimiento)^15,0)</f>
        <v/>
      </c>
      <c r="I48" s="7">
        <f>SUMPRODUCT($AI$5:$AI$29,$J$5:$J$29/($C$5:$C$29-$B$5:$B$29+($C$5:$C$29=$B$5:$B$29)))*C48</f>
        <v/>
      </c>
      <c r="J48" s="7">
        <f>SUMPRODUCT($AI$5:$AI$29,$K$5:$K$29)</f>
        <v/>
      </c>
      <c r="K48" s="7">
        <f>SUMPRODUCT($AI$5:$AI$29,$L$5:$L$29)</f>
        <v/>
      </c>
      <c r="L48" s="7">
        <f>SUMPRODUCT($AI$5:$AI$29,$N$5:$N$29)</f>
        <v/>
      </c>
      <c r="M48" s="7">
        <f>IF(SUMPRODUCT($AI$5:$AI$29,$R$5:$R$29)&gt;0,1,0)</f>
        <v/>
      </c>
      <c r="N48" s="7">
        <f>SUMPRODUCT(($AO$5:$AO$24&gt;=A48)*($AO$5:$AO$24&lt;A48+1)*$AP$5:$AP$24)*C48+IF(15=0,IF(sel_loc&lt;&gt;"miami",personal_costoMudanzaInicial,0),0)</f>
        <v/>
      </c>
      <c r="O48" s="7">
        <f>MIN(personal_aporte403bPct*D48,retiro_limite403b*C48)</f>
        <v/>
      </c>
      <c r="P48" s="7">
        <f>MIN(personal_aporte403bPct,personal_match403bPct)*E48</f>
        <v/>
      </c>
      <c r="Q48" s="7">
        <f>IF(G48&gt;0,MAX(0,G48-impuestos_scorpCostoAnual*C48),0)</f>
        <v/>
      </c>
      <c r="R48" s="7">
        <f>Q48*impuestos_scorpSalarioPct/(1+impuestos_ssTasa+impuestos_medicareTasa)</f>
        <v/>
      </c>
      <c r="S48" s="7">
        <f>impuestos_ssTasa*MIN(R48,MAX(0,impuestos_ssTope*C48-D48))+impuestos_medicareTasa*R48</f>
        <v/>
      </c>
      <c r="T48" s="7">
        <f>Q48-R48-S48</f>
        <v/>
      </c>
      <c r="U48" s="7">
        <f>D48+R48</f>
        <v/>
      </c>
      <c r="V48" s="7">
        <f>H48*0.9235</f>
        <v/>
      </c>
      <c r="W48" s="7">
        <f>IF(H48&gt;0,2*impuestos_ssTasa*MIN(V48,MAX(0,impuestos_ssTope*C48-U48))+2*impuestos_medicareTasa*V48,0)</f>
        <v/>
      </c>
      <c r="X48" s="7">
        <f>impuestos_ssTasa*MIN(U48,impuestos_ssTope*C48)+impuestos_medicareTasa*U48+impuestos_medicareAdicional*MAX(0,U48+H48*0.9235-impuestos_medicareUmbral)</f>
        <v/>
      </c>
      <c r="Y48" s="7">
        <f>MAX(0,D48-O48+R48+T48+H48-W48/2)</f>
        <v/>
      </c>
      <c r="Z48" s="7">
        <f>MAX(0,Y48-impuestos_deduccionEstandar*C48)</f>
        <v/>
      </c>
      <c r="AA48" s="7">
        <f>MIN(0.2*MAX(0,T48+H48-W48/2)*MAX(0,MIN(1,1-(Z48-impuestos_qbiUmbral*C48)/(impuestos_qbiRango*C48))),0.2*Z48)</f>
        <v/>
      </c>
      <c r="AB48" s="7">
        <f>MAX(0,Z48-AA48)</f>
        <v/>
      </c>
      <c r="AC48" s="7">
        <f>SUMPRODUCT((AB48&gt;tb_federalBrackets_lo*C48)*(AB48-tb_federalBrackets_lo*C48)*tb_federalBrackets_dr)</f>
        <v/>
      </c>
      <c r="AD48" s="7">
        <f>MAX(0,Y48-impuestos_nyDeduccion*C48)</f>
        <v/>
      </c>
      <c r="AE48" s="7">
        <f>CHOOSE(loc_taxcode,0,impuestos_ohTasa*MAX(0,Y48-impuestos_ohExento*C48)+impuestos_ohMunicipal*U48,SUMPRODUCT((AD48&gt;tb_nyBrackets_lo*C48)*(AD48-tb_nyBrackets_lo*C48)*tb_nyBrackets_dr)+loc_nyc*SUMPRODUCT((AD48&gt;tb_nycBrackets_lo*C48)*(AD48-tb_nycBrackets_lo*C48)*tb_nycBrackets_dr))</f>
        <v/>
      </c>
      <c r="AF48" s="7">
        <f>AC48+AE48+X48+W48</f>
        <v/>
      </c>
      <c r="AG48" s="7">
        <f>D48+F48+R48+T48+H48</f>
        <v/>
      </c>
      <c r="AH48" s="7">
        <f>AG48-AF48-O48</f>
        <v/>
      </c>
      <c r="AI48" s="7">
        <f>D48+F48+G48+H48</f>
        <v/>
      </c>
      <c r="AJ48" s="7">
        <f>loc_gastosVida*C48*g_gastos</f>
        <v/>
      </c>
      <c r="AK48" s="7">
        <f>IF(15=0,personal_liquidoInicial,DR47)</f>
        <v/>
      </c>
      <c r="AL48" s="7">
        <f>IF(15=0,0,BB47)</f>
        <v/>
      </c>
      <c r="AM48" s="7">
        <f>CHOOSE(sel_cfgIdx,loc_precio_duplex,loc_precio_inlaw,loc_precio_dosCasas,loc_precio_casaAdu,loc_precio_multi)</f>
        <v/>
      </c>
      <c r="AN48" s="7">
        <f>AM48*(1+g_appr)^(A48-2026)</f>
        <v/>
      </c>
      <c r="AO48" s="7">
        <f>IF(AND(M48=1,vivienda_prestamoMedico=1),1,0)</f>
        <v/>
      </c>
      <c r="AP48" s="7">
        <f>IF(AO48=1,0.05,vivienda_enganchePct)</f>
        <v/>
      </c>
      <c r="AQ48" s="7">
        <f>AN48*(1-AP48)</f>
        <v/>
      </c>
      <c r="AR48" s="7">
        <f>PMT(g_mortRate/12,vivienda_plazoHipoteca*12,-AQ48)</f>
        <v/>
      </c>
      <c r="AS48" s="7">
        <f>INDEX(cfg_units,sel_cfgIdx)</f>
        <v/>
      </c>
      <c r="AT48" s="7">
        <f>AS48*loc_rentaUnidad*(1+g_inf)^(A48-2026)*(1-vivienda_vacancia)</f>
        <v/>
      </c>
      <c r="AU48" s="7">
        <f>AR48+AN48*loc_impuestoPropPct/12+AM48*loc_seguroPct*(1+vivienda_inflacionSeguro)^(A48-2026)/12+IF(AND(AO48=0,AP48&lt;0.2),AQ48*vivienda_pmiTasa/12,0)</f>
        <v/>
      </c>
      <c r="AV48" s="7">
        <f>AN48*AP48+AN48*vivienda_cierrePct+general_reservaMeses/12*AJ48</f>
        <v/>
      </c>
      <c r="AW48" s="7">
        <f>(IF(15=0,MIN(personal_irsSaldo,personal_irsPagoMensual*12),MIN(CD47,personal_irsPagoMensual*12))+IF(CE48&gt;0,PMT(CF48,MAX(1,prestamos_plazoAnios-CG48),-CE48),0)+IF(CR48&gt;0,PMT(CS48,MAX(1,prestamos_plazoAnios-CT48),-CR48),0))/12</f>
        <v/>
      </c>
      <c r="AX48" s="7">
        <f>IF(OR(sel_cfg="duplex",sel_cfg="multi",sel_cfg="dosCasas"),0.75*personal_aporteFamiliaMensual,0)</f>
        <v/>
      </c>
      <c r="AY48" s="7">
        <f>AU48-0.75*AT48-AX48+AW48</f>
        <v/>
      </c>
      <c r="AZ48" s="7">
        <f>(D48+G48+H48+0.5*F48)/12</f>
        <v/>
      </c>
      <c r="BA48" s="7">
        <f>IF(AND(AL48=0,A48&gt;=vivienda_anioMinCompra,J48&lt;0.5,AI48&gt;0,AK48&gt;=AV48,AY48&lt;=vivienda_dtiMax*AZ48),1,0)</f>
        <v/>
      </c>
      <c r="BB48" s="7">
        <f>MAX(AL48,BA48)</f>
        <v/>
      </c>
      <c r="BC48" s="7">
        <f>IF(BA48=1,A48,IF(15=0,"",BC47))</f>
        <v/>
      </c>
      <c r="BD48" s="7">
        <f>AK48-IF(BA48=1,AN48*AP48+AN48*vivienda_cierrePct,0)</f>
        <v/>
      </c>
      <c r="BE48" s="7">
        <f>IF(BA48=1,AN48,IF(15=0,0,BE47))</f>
        <v/>
      </c>
      <c r="BF48" s="7">
        <f>IF(BA48=1,AR48,IF(15=0,0,BF47))</f>
        <v/>
      </c>
      <c r="BG48" s="7">
        <f>IF(BA48=1,IF(AND(AO48=0,AP48&lt;0.2),1,0),IF(15=0,0,BY47))</f>
        <v/>
      </c>
      <c r="BH48" s="7">
        <f>IF(sel_cfg="casaAdu",1,0)</f>
        <v/>
      </c>
      <c r="BI48" s="7">
        <f>IF(AND(BB48=1,BH48=1,IF(15=0,0,BJ47)=0,A48&gt;=IF(BC48="",9999,BC48)+vivienda_aduRetrasoAnios),1,0)</f>
        <v/>
      </c>
      <c r="BJ48" s="7">
        <f>MAX(IF(15=0,0,BJ47),BI48)</f>
        <v/>
      </c>
      <c r="BK48" s="7">
        <f>IF(BI48=1,PMT((g_mortRate+0.005)/12,180,-loc_precio_aduCosto*C48),IF(15=0,0,BK47))</f>
        <v/>
      </c>
      <c r="BL48" s="7">
        <f>IF(BA48=1,AN48,IF(15=0,0,DT47))+IF(BI48=1,loc_precio_aduCosto*C48,0)</f>
        <v/>
      </c>
      <c r="BM48" s="7">
        <f>IF(BA48=1,AQ48,IF(15=0,0,DU47))</f>
        <v/>
      </c>
      <c r="BN48" s="7">
        <f>IF(BM48&lt;=0,0,FV(g_mortRate/12,12,BF48,-BM48))</f>
        <v/>
      </c>
      <c r="BO48" s="7">
        <f>IF(BM48&lt;=0,0,12*BF48+MIN(0,BN48))</f>
        <v/>
      </c>
      <c r="BP48" s="7">
        <f>MAX(0,BN48)</f>
        <v/>
      </c>
      <c r="BQ48" s="7">
        <f>IF(BI48=1,loc_precio_aduCosto*C48,IF(15=0,0,DV47))</f>
        <v/>
      </c>
      <c r="BR48" s="7">
        <f>IF(BQ48&lt;=0,0,FV((g_mortRate+0.005)/12,12,BK48,-BQ48))</f>
        <v/>
      </c>
      <c r="BS48" s="7">
        <f>IF(BQ48&lt;=0,0,12*BK48+MIN(0,BR48))</f>
        <v/>
      </c>
      <c r="BT48" s="7">
        <f>MAX(0,BR48)</f>
        <v/>
      </c>
      <c r="BU48" s="7">
        <f>IF(BB48=1,AM48*loc_seguroPct*(1+vivienda_inflacionSeguro)^(A48-2026)*IF(BJ48=1,1+loc_precio_aduCosto/AM48,1),0)</f>
        <v/>
      </c>
      <c r="BV48" s="7">
        <f>BL48*loc_impuestoPropPct</f>
        <v/>
      </c>
      <c r="BW48" s="7">
        <f>BL48*vivienda_mantenimientoPct</f>
        <v/>
      </c>
      <c r="BX48" s="7">
        <f>IF(AND(BG48=1,BP48&gt;0.8*BE48),BE48*(1-vivienda_enganchePct)*vivienda_pmiTasa,0)</f>
        <v/>
      </c>
      <c r="BY48" s="7">
        <f>IF(AND(BG48=1,BP48&gt;0.8*BE48),1,0)</f>
        <v/>
      </c>
      <c r="BZ48" s="7">
        <f>IF(BB48=1,AS48*loc_rentaUnidad*12*C48*(1-vivienda_vacancia)*(1-vivienda_gestionPct),0)</f>
        <v/>
      </c>
      <c r="CA48" s="7">
        <f>IF(BB48=1,BO48+BS48+BU48+BV48+BW48+BX48,loc_rentaMensual*12*C48)</f>
        <v/>
      </c>
      <c r="CB48" s="7">
        <f>IF(BB48=1,personal_aporteFamiliaMensual*12,0)</f>
        <v/>
      </c>
      <c r="CC48" s="7">
        <f>MIN(IF(15=0,personal_irsSaldo,CD47),personal_irsPagoMensual*12)</f>
        <v/>
      </c>
      <c r="CD48" s="7">
        <f>IF(15=0,personal_irsSaldo,CD47)-CC48</f>
        <v/>
      </c>
      <c r="CE48" s="7">
        <f>IF(15=0,IF(personal_deudaEsFederal=1,personal_deudaEstudiantil,0),DW47)</f>
        <v/>
      </c>
      <c r="CF48" s="7">
        <f>IF(15=0,personal_tasaDeudaEstudiantil,DX47)</f>
        <v/>
      </c>
      <c r="CG48" s="7">
        <f>IF(15=0,0,DY47)</f>
        <v/>
      </c>
      <c r="CH48" s="7">
        <f>IF(J48&gt;=0.5,1,0)</f>
        <v/>
      </c>
      <c r="CI48" s="7">
        <f>IF(AND(CH48=0,prestamos_pslfActivo=1,K48&gt;=0.5,CE48&gt;0),1,0)</f>
        <v/>
      </c>
      <c r="CJ48" s="7">
        <f>CE48*CF48</f>
        <v/>
      </c>
      <c r="CK48" s="7">
        <f>MAX(prestamos_rapPagoMinimoAnual,IF(Y48&lt;10000,0,MIN(0.1,INT(Y48/10000)/100))*Y48)</f>
        <v/>
      </c>
      <c r="CL48" s="7">
        <f>IF(CE48&lt;=0,0,IF(CH48=1,0,IF(CI48=1,MIN(CE48+CJ48,CK48),PMT(CF48,MAX(1,prestamos_plazoAnios-CG48),-CE48))))</f>
        <v/>
      </c>
      <c r="CM48" s="7">
        <f>IF(CE48&lt;=0,0,IF(CH48=1,CE48+CJ48,IF(CI48=1,MAX(0,CE48-MAX(CL48-CJ48,MIN(600,CL48))),MAX(0,CE48*(1+CF48)-CL48))))</f>
        <v/>
      </c>
      <c r="CN48" s="7">
        <f>IF(15=0,0,CN47)+IF(CI48=1,12*MIN(1,K48),0)</f>
        <v/>
      </c>
      <c r="CO48" s="7">
        <f>IF(AND(CI48=1,CN48&gt;=prestamos_pslfPagos,CM48&gt;0),CM48,0)</f>
        <v/>
      </c>
      <c r="CP48" s="7">
        <f>CM48-CO48</f>
        <v/>
      </c>
      <c r="CQ48" s="7">
        <f>IF(AND(CE48&gt;0,CH48=0,CI48=0),CG48+1,CG48)</f>
        <v/>
      </c>
      <c r="CR48" s="7">
        <f>IF(15=0,IF(personal_deudaEsFederal=1,0,personal_deudaEstudiantil),EA47)</f>
        <v/>
      </c>
      <c r="CS48" s="7">
        <f>IF(15=0,IF(personal_deudaEsFederal=1,prestamos_tasaPrivada,personal_tasaDeudaEstudiantil),EB47)</f>
        <v/>
      </c>
      <c r="CT48" s="7">
        <f>IF(15=0,0,EC47)</f>
        <v/>
      </c>
      <c r="CU48" s="7">
        <f>IF(OR(CR48&lt;=0,CH48=1),0,PMT(CS48,MAX(1,prestamos_plazoAnios-CT48),-CR48))</f>
        <v/>
      </c>
      <c r="CV48" s="7">
        <f>IF(CR48&lt;=0,0,IF(CH48=1,CR48*(1+CS48),MAX(0,CR48*(1+CS48)-CU48)))</f>
        <v/>
      </c>
      <c r="CW48" s="7">
        <f>IF(AND(CR48&gt;0,CH48=0),CT48+1,CT48)</f>
        <v/>
      </c>
      <c r="CX48" s="7">
        <f>IF(15=0,0,ED47)*(1+general_tasaDeudaConsumo)</f>
        <v/>
      </c>
      <c r="CY48" s="7">
        <f>L48*12*tiempos_travelGastoExtraMes*C48</f>
        <v/>
      </c>
      <c r="CZ48" s="7">
        <f>AJ48+CY48+CA48+CC48+CL48+CU48+I48+N48-BZ48-CB48</f>
        <v/>
      </c>
      <c r="DA48" s="7">
        <f>AH48-CZ48</f>
        <v/>
      </c>
      <c r="DB48" s="7">
        <f>IF(15=0,0,DB47)+DA48</f>
        <v/>
      </c>
      <c r="DC48" s="7">
        <f>AN48*vivienda_enganchePct+AN48*vivienda_cierrePct+general_reservaMeses/12*AJ48</f>
        <v/>
      </c>
      <c r="DD48" s="7">
        <f>IF(BB48=1,g_ret,IF(BD48&gt;0,MIN(1,DC48/BD48),1)*g_cash+(1-IF(BD48&gt;0,MIN(1,DC48/BD48),1))*g_ret)</f>
        <v/>
      </c>
      <c r="DE48" s="7">
        <f>IF(DA48&gt;=0,MIN(CX48,DA48),0)</f>
        <v/>
      </c>
      <c r="DF48" s="7">
        <f>IF(DA48&gt;=0,(1-general_tasaAhorro)*(DA48-DE48),0)</f>
        <v/>
      </c>
      <c r="DG48" s="7">
        <f>IF(DA48&gt;=0,DA48-DE48-DF48,0)</f>
        <v/>
      </c>
      <c r="DH48" s="7">
        <f>MIN(personal_rothAnual,DG48)</f>
        <v/>
      </c>
      <c r="DI48" s="7">
        <f>IF(AND(DA48&gt;=0,BB48=1,BP48+BT48&gt;0),MIN(vivienda_prepagoPct*(DG48-DH48),BP48+BT48),0)</f>
        <v/>
      </c>
      <c r="DJ48" s="7">
        <f>MIN(DI48,BP48)</f>
        <v/>
      </c>
      <c r="DK48" s="7">
        <f>IF(DA48&lt;0,MIN(MAX(0,BD48),-DA48),0)</f>
        <v/>
      </c>
      <c r="DL48" s="7">
        <f>IF(DA48&lt;0,-DA48-DK48,0)</f>
        <v/>
      </c>
      <c r="DM48" s="7">
        <f>IF(15=0,0,DZ47)</f>
        <v/>
      </c>
      <c r="DN48" s="7">
        <f>IF(AND(DL48&gt;0,J48&gt;0),MIN(DL48,MIN(prestamos_topeAnualPosgrado*MIN(1,J48),MAX(0,prestamos_topeTotalPosgrado-DM48))),0)</f>
        <v/>
      </c>
      <c r="DO48" s="7">
        <f>IF(AND(DL48&gt;0,J48&gt;0),DL48-DN48,0)</f>
        <v/>
      </c>
      <c r="DP48" s="7">
        <f>IF(AND(DL48&gt;0,J48&lt;=0),DL48,0)</f>
        <v/>
      </c>
      <c r="DQ48" s="7">
        <f>IF(DA48&gt;=0,DG48-DH48-DI48,-DK48)</f>
        <v/>
      </c>
      <c r="DR48" s="7">
        <f>BD48*(1+DD48)+DQ48*(1+DD48/2)</f>
        <v/>
      </c>
      <c r="DS48" s="7">
        <f>IF(15=0,personal_retiroInicial,DS47)*(1+g_ret)+(O48+P48+DH48)*(1+g_ret/2)</f>
        <v/>
      </c>
      <c r="DT48" s="7">
        <f>IF(BB48=1,BL48*(1+g_appr),0)</f>
        <v/>
      </c>
      <c r="DU48" s="7">
        <f>BP48-DJ48</f>
        <v/>
      </c>
      <c r="DV48" s="7">
        <f>BT48-(DI48-DJ48)</f>
        <v/>
      </c>
      <c r="DW48" s="7">
        <f>CP48+DN48</f>
        <v/>
      </c>
      <c r="DX48" s="7">
        <f>IF(DN48&gt;0,(CP48*CF48+DN48*prestamos_tasaFederalPosgrado)/(CP48+DN48),CF48)</f>
        <v/>
      </c>
      <c r="DY48" s="7">
        <f>IF(DN48&gt;0,0,CQ48)</f>
        <v/>
      </c>
      <c r="DZ48" s="7">
        <f>DM48+DN48</f>
        <v/>
      </c>
      <c r="EA48" s="7">
        <f>CV48+DO48</f>
        <v/>
      </c>
      <c r="EB48" s="7">
        <f>IF(DO48&gt;0,(CV48*CS48+DO48*prestamos_tasaPrivada)/(CV48+DO48),CS48)</f>
        <v/>
      </c>
      <c r="EC48" s="7">
        <f>IF(DO48&gt;0,0,CW48)</f>
        <v/>
      </c>
      <c r="ED48" s="7">
        <f>CX48-DE48+DP48</f>
        <v/>
      </c>
      <c r="EE48" s="7">
        <f>IF(IF(15=0,"",EE47)&lt;&gt;"",EE47,IF(AND(BB48=1,DU48&lt;=0.5,DV48&lt;=0.5,OR(BH48=0,BJ48=1)),A48,""))</f>
        <v/>
      </c>
      <c r="EF48" s="7">
        <f>DU48+DV48+DW48+EA48+ED48+CD48</f>
        <v/>
      </c>
      <c r="EG48" s="7">
        <f>DR48+DS48+DT48-EF48</f>
        <v/>
      </c>
      <c r="EH48" s="7">
        <f>EG48/(1+g_inf)^(A48+1-2026)</f>
        <v/>
      </c>
    </row>
    <row r="49">
      <c r="A49" t="n">
        <v>2043</v>
      </c>
      <c r="B49" t="n">
        <v>16</v>
      </c>
      <c r="C49" s="7">
        <f>(1+g_inf)^(A49-2026)</f>
        <v/>
      </c>
      <c r="D49" s="7">
        <f>SUMPRODUCT($AJ$5:$AJ$29,$E$5:$E$29*(1+$F$5:$F$29)^(A49-2026)*$G$5:$G$29*$H$5:$H$29*(1-$N$5:$N$29*$O$5:$O$29))*g_salMult+SUMPRODUCT(($B$5:$B$29&gt;=A49)*($B$5:$B$29&lt;A49+1)*$I$5:$I$29)*g_salMult</f>
        <v/>
      </c>
      <c r="E49" s="7">
        <f>SUMPRODUCT($AJ$5:$AJ$29,$E$5:$E$29*(1+$F$5:$F$29)^(A49-2026)*$G$5:$G$29*$H$5:$H$29*$M$5:$M$29)*g_salMult</f>
        <v/>
      </c>
      <c r="F49" s="7">
        <f>SUMPRODUCT($AJ$5:$AJ$29,$E$5:$E$29*(1+$F$5:$F$29)^(A49-2026)*$G$5:$G$29*$H$5:$H$29*$N$5:$N$29*$O$5:$O$29)*g_salMult</f>
        <v/>
      </c>
      <c r="G49" s="7">
        <f>SUMPRODUCT($AJ$5:$AJ$29,$P$5:$P$29*(1+$F$5:$F$29)^(A49-2026))</f>
        <v/>
      </c>
      <c r="H49" s="7">
        <f>SUMPRODUCT($AJ$5:$AJ$29,$Q$5:$Q$29*(1+$F$5:$F$29)^(A49-2026))+IF(personal_llcActivo=1,personal_llcNeto*(1+personal_llcCrecimiento)^16,0)</f>
        <v/>
      </c>
      <c r="I49" s="7">
        <f>SUMPRODUCT($AJ$5:$AJ$29,$J$5:$J$29/($C$5:$C$29-$B$5:$B$29+($C$5:$C$29=$B$5:$B$29)))*C49</f>
        <v/>
      </c>
      <c r="J49" s="7">
        <f>SUMPRODUCT($AJ$5:$AJ$29,$K$5:$K$29)</f>
        <v/>
      </c>
      <c r="K49" s="7">
        <f>SUMPRODUCT($AJ$5:$AJ$29,$L$5:$L$29)</f>
        <v/>
      </c>
      <c r="L49" s="7">
        <f>SUMPRODUCT($AJ$5:$AJ$29,$N$5:$N$29)</f>
        <v/>
      </c>
      <c r="M49" s="7">
        <f>IF(SUMPRODUCT($AJ$5:$AJ$29,$R$5:$R$29)&gt;0,1,0)</f>
        <v/>
      </c>
      <c r="N49" s="7">
        <f>SUMPRODUCT(($AO$5:$AO$24&gt;=A49)*($AO$5:$AO$24&lt;A49+1)*$AP$5:$AP$24)*C49+IF(16=0,IF(sel_loc&lt;&gt;"miami",personal_costoMudanzaInicial,0),0)</f>
        <v/>
      </c>
      <c r="O49" s="7">
        <f>MIN(personal_aporte403bPct*D49,retiro_limite403b*C49)</f>
        <v/>
      </c>
      <c r="P49" s="7">
        <f>MIN(personal_aporte403bPct,personal_match403bPct)*E49</f>
        <v/>
      </c>
      <c r="Q49" s="7">
        <f>IF(G49&gt;0,MAX(0,G49-impuestos_scorpCostoAnual*C49),0)</f>
        <v/>
      </c>
      <c r="R49" s="7">
        <f>Q49*impuestos_scorpSalarioPct/(1+impuestos_ssTasa+impuestos_medicareTasa)</f>
        <v/>
      </c>
      <c r="S49" s="7">
        <f>impuestos_ssTasa*MIN(R49,MAX(0,impuestos_ssTope*C49-D49))+impuestos_medicareTasa*R49</f>
        <v/>
      </c>
      <c r="T49" s="7">
        <f>Q49-R49-S49</f>
        <v/>
      </c>
      <c r="U49" s="7">
        <f>D49+R49</f>
        <v/>
      </c>
      <c r="V49" s="7">
        <f>H49*0.9235</f>
        <v/>
      </c>
      <c r="W49" s="7">
        <f>IF(H49&gt;0,2*impuestos_ssTasa*MIN(V49,MAX(0,impuestos_ssTope*C49-U49))+2*impuestos_medicareTasa*V49,0)</f>
        <v/>
      </c>
      <c r="X49" s="7">
        <f>impuestos_ssTasa*MIN(U49,impuestos_ssTope*C49)+impuestos_medicareTasa*U49+impuestos_medicareAdicional*MAX(0,U49+H49*0.9235-impuestos_medicareUmbral)</f>
        <v/>
      </c>
      <c r="Y49" s="7">
        <f>MAX(0,D49-O49+R49+T49+H49-W49/2)</f>
        <v/>
      </c>
      <c r="Z49" s="7">
        <f>MAX(0,Y49-impuestos_deduccionEstandar*C49)</f>
        <v/>
      </c>
      <c r="AA49" s="7">
        <f>MIN(0.2*MAX(0,T49+H49-W49/2)*MAX(0,MIN(1,1-(Z49-impuestos_qbiUmbral*C49)/(impuestos_qbiRango*C49))),0.2*Z49)</f>
        <v/>
      </c>
      <c r="AB49" s="7">
        <f>MAX(0,Z49-AA49)</f>
        <v/>
      </c>
      <c r="AC49" s="7">
        <f>SUMPRODUCT((AB49&gt;tb_federalBrackets_lo*C49)*(AB49-tb_federalBrackets_lo*C49)*tb_federalBrackets_dr)</f>
        <v/>
      </c>
      <c r="AD49" s="7">
        <f>MAX(0,Y49-impuestos_nyDeduccion*C49)</f>
        <v/>
      </c>
      <c r="AE49" s="7">
        <f>CHOOSE(loc_taxcode,0,impuestos_ohTasa*MAX(0,Y49-impuestos_ohExento*C49)+impuestos_ohMunicipal*U49,SUMPRODUCT((AD49&gt;tb_nyBrackets_lo*C49)*(AD49-tb_nyBrackets_lo*C49)*tb_nyBrackets_dr)+loc_nyc*SUMPRODUCT((AD49&gt;tb_nycBrackets_lo*C49)*(AD49-tb_nycBrackets_lo*C49)*tb_nycBrackets_dr))</f>
        <v/>
      </c>
      <c r="AF49" s="7">
        <f>AC49+AE49+X49+W49</f>
        <v/>
      </c>
      <c r="AG49" s="7">
        <f>D49+F49+R49+T49+H49</f>
        <v/>
      </c>
      <c r="AH49" s="7">
        <f>AG49-AF49-O49</f>
        <v/>
      </c>
      <c r="AI49" s="7">
        <f>D49+F49+G49+H49</f>
        <v/>
      </c>
      <c r="AJ49" s="7">
        <f>loc_gastosVida*C49*g_gastos</f>
        <v/>
      </c>
      <c r="AK49" s="7">
        <f>IF(16=0,personal_liquidoInicial,DR48)</f>
        <v/>
      </c>
      <c r="AL49" s="7">
        <f>IF(16=0,0,BB48)</f>
        <v/>
      </c>
      <c r="AM49" s="7">
        <f>CHOOSE(sel_cfgIdx,loc_precio_duplex,loc_precio_inlaw,loc_precio_dosCasas,loc_precio_casaAdu,loc_precio_multi)</f>
        <v/>
      </c>
      <c r="AN49" s="7">
        <f>AM49*(1+g_appr)^(A49-2026)</f>
        <v/>
      </c>
      <c r="AO49" s="7">
        <f>IF(AND(M49=1,vivienda_prestamoMedico=1),1,0)</f>
        <v/>
      </c>
      <c r="AP49" s="7">
        <f>IF(AO49=1,0.05,vivienda_enganchePct)</f>
        <v/>
      </c>
      <c r="AQ49" s="7">
        <f>AN49*(1-AP49)</f>
        <v/>
      </c>
      <c r="AR49" s="7">
        <f>PMT(g_mortRate/12,vivienda_plazoHipoteca*12,-AQ49)</f>
        <v/>
      </c>
      <c r="AS49" s="7">
        <f>INDEX(cfg_units,sel_cfgIdx)</f>
        <v/>
      </c>
      <c r="AT49" s="7">
        <f>AS49*loc_rentaUnidad*(1+g_inf)^(A49-2026)*(1-vivienda_vacancia)</f>
        <v/>
      </c>
      <c r="AU49" s="7">
        <f>AR49+AN49*loc_impuestoPropPct/12+AM49*loc_seguroPct*(1+vivienda_inflacionSeguro)^(A49-2026)/12+IF(AND(AO49=0,AP49&lt;0.2),AQ49*vivienda_pmiTasa/12,0)</f>
        <v/>
      </c>
      <c r="AV49" s="7">
        <f>AN49*AP49+AN49*vivienda_cierrePct+general_reservaMeses/12*AJ49</f>
        <v/>
      </c>
      <c r="AW49" s="7">
        <f>(IF(16=0,MIN(personal_irsSaldo,personal_irsPagoMensual*12),MIN(CD48,personal_irsPagoMensual*12))+IF(CE49&gt;0,PMT(CF49,MAX(1,prestamos_plazoAnios-CG49),-CE49),0)+IF(CR49&gt;0,PMT(CS49,MAX(1,prestamos_plazoAnios-CT49),-CR49),0))/12</f>
        <v/>
      </c>
      <c r="AX49" s="7">
        <f>IF(OR(sel_cfg="duplex",sel_cfg="multi",sel_cfg="dosCasas"),0.75*personal_aporteFamiliaMensual,0)</f>
        <v/>
      </c>
      <c r="AY49" s="7">
        <f>AU49-0.75*AT49-AX49+AW49</f>
        <v/>
      </c>
      <c r="AZ49" s="7">
        <f>(D49+G49+H49+0.5*F49)/12</f>
        <v/>
      </c>
      <c r="BA49" s="7">
        <f>IF(AND(AL49=0,A49&gt;=vivienda_anioMinCompra,J49&lt;0.5,AI49&gt;0,AK49&gt;=AV49,AY49&lt;=vivienda_dtiMax*AZ49),1,0)</f>
        <v/>
      </c>
      <c r="BB49" s="7">
        <f>MAX(AL49,BA49)</f>
        <v/>
      </c>
      <c r="BC49" s="7">
        <f>IF(BA49=1,A49,IF(16=0,"",BC48))</f>
        <v/>
      </c>
      <c r="BD49" s="7">
        <f>AK49-IF(BA49=1,AN49*AP49+AN49*vivienda_cierrePct,0)</f>
        <v/>
      </c>
      <c r="BE49" s="7">
        <f>IF(BA49=1,AN49,IF(16=0,0,BE48))</f>
        <v/>
      </c>
      <c r="BF49" s="7">
        <f>IF(BA49=1,AR49,IF(16=0,0,BF48))</f>
        <v/>
      </c>
      <c r="BG49" s="7">
        <f>IF(BA49=1,IF(AND(AO49=0,AP49&lt;0.2),1,0),IF(16=0,0,BY48))</f>
        <v/>
      </c>
      <c r="BH49" s="7">
        <f>IF(sel_cfg="casaAdu",1,0)</f>
        <v/>
      </c>
      <c r="BI49" s="7">
        <f>IF(AND(BB49=1,BH49=1,IF(16=0,0,BJ48)=0,A49&gt;=IF(BC49="",9999,BC49)+vivienda_aduRetrasoAnios),1,0)</f>
        <v/>
      </c>
      <c r="BJ49" s="7">
        <f>MAX(IF(16=0,0,BJ48),BI49)</f>
        <v/>
      </c>
      <c r="BK49" s="7">
        <f>IF(BI49=1,PMT((g_mortRate+0.005)/12,180,-loc_precio_aduCosto*C49),IF(16=0,0,BK48))</f>
        <v/>
      </c>
      <c r="BL49" s="7">
        <f>IF(BA49=1,AN49,IF(16=0,0,DT48))+IF(BI49=1,loc_precio_aduCosto*C49,0)</f>
        <v/>
      </c>
      <c r="BM49" s="7">
        <f>IF(BA49=1,AQ49,IF(16=0,0,DU48))</f>
        <v/>
      </c>
      <c r="BN49" s="7">
        <f>IF(BM49&lt;=0,0,FV(g_mortRate/12,12,BF49,-BM49))</f>
        <v/>
      </c>
      <c r="BO49" s="7">
        <f>IF(BM49&lt;=0,0,12*BF49+MIN(0,BN49))</f>
        <v/>
      </c>
      <c r="BP49" s="7">
        <f>MAX(0,BN49)</f>
        <v/>
      </c>
      <c r="BQ49" s="7">
        <f>IF(BI49=1,loc_precio_aduCosto*C49,IF(16=0,0,DV48))</f>
        <v/>
      </c>
      <c r="BR49" s="7">
        <f>IF(BQ49&lt;=0,0,FV((g_mortRate+0.005)/12,12,BK49,-BQ49))</f>
        <v/>
      </c>
      <c r="BS49" s="7">
        <f>IF(BQ49&lt;=0,0,12*BK49+MIN(0,BR49))</f>
        <v/>
      </c>
      <c r="BT49" s="7">
        <f>MAX(0,BR49)</f>
        <v/>
      </c>
      <c r="BU49" s="7">
        <f>IF(BB49=1,AM49*loc_seguroPct*(1+vivienda_inflacionSeguro)^(A49-2026)*IF(BJ49=1,1+loc_precio_aduCosto/AM49,1),0)</f>
        <v/>
      </c>
      <c r="BV49" s="7">
        <f>BL49*loc_impuestoPropPct</f>
        <v/>
      </c>
      <c r="BW49" s="7">
        <f>BL49*vivienda_mantenimientoPct</f>
        <v/>
      </c>
      <c r="BX49" s="7">
        <f>IF(AND(BG49=1,BP49&gt;0.8*BE49),BE49*(1-vivienda_enganchePct)*vivienda_pmiTasa,0)</f>
        <v/>
      </c>
      <c r="BY49" s="7">
        <f>IF(AND(BG49=1,BP49&gt;0.8*BE49),1,0)</f>
        <v/>
      </c>
      <c r="BZ49" s="7">
        <f>IF(BB49=1,AS49*loc_rentaUnidad*12*C49*(1-vivienda_vacancia)*(1-vivienda_gestionPct),0)</f>
        <v/>
      </c>
      <c r="CA49" s="7">
        <f>IF(BB49=1,BO49+BS49+BU49+BV49+BW49+BX49,loc_rentaMensual*12*C49)</f>
        <v/>
      </c>
      <c r="CB49" s="7">
        <f>IF(BB49=1,personal_aporteFamiliaMensual*12,0)</f>
        <v/>
      </c>
      <c r="CC49" s="7">
        <f>MIN(IF(16=0,personal_irsSaldo,CD48),personal_irsPagoMensual*12)</f>
        <v/>
      </c>
      <c r="CD49" s="7">
        <f>IF(16=0,personal_irsSaldo,CD48)-CC49</f>
        <v/>
      </c>
      <c r="CE49" s="7">
        <f>IF(16=0,IF(personal_deudaEsFederal=1,personal_deudaEstudiantil,0),DW48)</f>
        <v/>
      </c>
      <c r="CF49" s="7">
        <f>IF(16=0,personal_tasaDeudaEstudiantil,DX48)</f>
        <v/>
      </c>
      <c r="CG49" s="7">
        <f>IF(16=0,0,DY48)</f>
        <v/>
      </c>
      <c r="CH49" s="7">
        <f>IF(J49&gt;=0.5,1,0)</f>
        <v/>
      </c>
      <c r="CI49" s="7">
        <f>IF(AND(CH49=0,prestamos_pslfActivo=1,K49&gt;=0.5,CE49&gt;0),1,0)</f>
        <v/>
      </c>
      <c r="CJ49" s="7">
        <f>CE49*CF49</f>
        <v/>
      </c>
      <c r="CK49" s="7">
        <f>MAX(prestamos_rapPagoMinimoAnual,IF(Y49&lt;10000,0,MIN(0.1,INT(Y49/10000)/100))*Y49)</f>
        <v/>
      </c>
      <c r="CL49" s="7">
        <f>IF(CE49&lt;=0,0,IF(CH49=1,0,IF(CI49=1,MIN(CE49+CJ49,CK49),PMT(CF49,MAX(1,prestamos_plazoAnios-CG49),-CE49))))</f>
        <v/>
      </c>
      <c r="CM49" s="7">
        <f>IF(CE49&lt;=0,0,IF(CH49=1,CE49+CJ49,IF(CI49=1,MAX(0,CE49-MAX(CL49-CJ49,MIN(600,CL49))),MAX(0,CE49*(1+CF49)-CL49))))</f>
        <v/>
      </c>
      <c r="CN49" s="7">
        <f>IF(16=0,0,CN48)+IF(CI49=1,12*MIN(1,K49),0)</f>
        <v/>
      </c>
      <c r="CO49" s="7">
        <f>IF(AND(CI49=1,CN49&gt;=prestamos_pslfPagos,CM49&gt;0),CM49,0)</f>
        <v/>
      </c>
      <c r="CP49" s="7">
        <f>CM49-CO49</f>
        <v/>
      </c>
      <c r="CQ49" s="7">
        <f>IF(AND(CE49&gt;0,CH49=0,CI49=0),CG49+1,CG49)</f>
        <v/>
      </c>
      <c r="CR49" s="7">
        <f>IF(16=0,IF(personal_deudaEsFederal=1,0,personal_deudaEstudiantil),EA48)</f>
        <v/>
      </c>
      <c r="CS49" s="7">
        <f>IF(16=0,IF(personal_deudaEsFederal=1,prestamos_tasaPrivada,personal_tasaDeudaEstudiantil),EB48)</f>
        <v/>
      </c>
      <c r="CT49" s="7">
        <f>IF(16=0,0,EC48)</f>
        <v/>
      </c>
      <c r="CU49" s="7">
        <f>IF(OR(CR49&lt;=0,CH49=1),0,PMT(CS49,MAX(1,prestamos_plazoAnios-CT49),-CR49))</f>
        <v/>
      </c>
      <c r="CV49" s="7">
        <f>IF(CR49&lt;=0,0,IF(CH49=1,CR49*(1+CS49),MAX(0,CR49*(1+CS49)-CU49)))</f>
        <v/>
      </c>
      <c r="CW49" s="7">
        <f>IF(AND(CR49&gt;0,CH49=0),CT49+1,CT49)</f>
        <v/>
      </c>
      <c r="CX49" s="7">
        <f>IF(16=0,0,ED48)*(1+general_tasaDeudaConsumo)</f>
        <v/>
      </c>
      <c r="CY49" s="7">
        <f>L49*12*tiempos_travelGastoExtraMes*C49</f>
        <v/>
      </c>
      <c r="CZ49" s="7">
        <f>AJ49+CY49+CA49+CC49+CL49+CU49+I49+N49-BZ49-CB49</f>
        <v/>
      </c>
      <c r="DA49" s="7">
        <f>AH49-CZ49</f>
        <v/>
      </c>
      <c r="DB49" s="7">
        <f>IF(16=0,0,DB48)+DA49</f>
        <v/>
      </c>
      <c r="DC49" s="7">
        <f>AN49*vivienda_enganchePct+AN49*vivienda_cierrePct+general_reservaMeses/12*AJ49</f>
        <v/>
      </c>
      <c r="DD49" s="7">
        <f>IF(BB49=1,g_ret,IF(BD49&gt;0,MIN(1,DC49/BD49),1)*g_cash+(1-IF(BD49&gt;0,MIN(1,DC49/BD49),1))*g_ret)</f>
        <v/>
      </c>
      <c r="DE49" s="7">
        <f>IF(DA49&gt;=0,MIN(CX49,DA49),0)</f>
        <v/>
      </c>
      <c r="DF49" s="7">
        <f>IF(DA49&gt;=0,(1-general_tasaAhorro)*(DA49-DE49),0)</f>
        <v/>
      </c>
      <c r="DG49" s="7">
        <f>IF(DA49&gt;=0,DA49-DE49-DF49,0)</f>
        <v/>
      </c>
      <c r="DH49" s="7">
        <f>MIN(personal_rothAnual,DG49)</f>
        <v/>
      </c>
      <c r="DI49" s="7">
        <f>IF(AND(DA49&gt;=0,BB49=1,BP49+BT49&gt;0),MIN(vivienda_prepagoPct*(DG49-DH49),BP49+BT49),0)</f>
        <v/>
      </c>
      <c r="DJ49" s="7">
        <f>MIN(DI49,BP49)</f>
        <v/>
      </c>
      <c r="DK49" s="7">
        <f>IF(DA49&lt;0,MIN(MAX(0,BD49),-DA49),0)</f>
        <v/>
      </c>
      <c r="DL49" s="7">
        <f>IF(DA49&lt;0,-DA49-DK49,0)</f>
        <v/>
      </c>
      <c r="DM49" s="7">
        <f>IF(16=0,0,DZ48)</f>
        <v/>
      </c>
      <c r="DN49" s="7">
        <f>IF(AND(DL49&gt;0,J49&gt;0),MIN(DL49,MIN(prestamos_topeAnualPosgrado*MIN(1,J49),MAX(0,prestamos_topeTotalPosgrado-DM49))),0)</f>
        <v/>
      </c>
      <c r="DO49" s="7">
        <f>IF(AND(DL49&gt;0,J49&gt;0),DL49-DN49,0)</f>
        <v/>
      </c>
      <c r="DP49" s="7">
        <f>IF(AND(DL49&gt;0,J49&lt;=0),DL49,0)</f>
        <v/>
      </c>
      <c r="DQ49" s="7">
        <f>IF(DA49&gt;=0,DG49-DH49-DI49,-DK49)</f>
        <v/>
      </c>
      <c r="DR49" s="7">
        <f>BD49*(1+DD49)+DQ49*(1+DD49/2)</f>
        <v/>
      </c>
      <c r="DS49" s="7">
        <f>IF(16=0,personal_retiroInicial,DS48)*(1+g_ret)+(O49+P49+DH49)*(1+g_ret/2)</f>
        <v/>
      </c>
      <c r="DT49" s="7">
        <f>IF(BB49=1,BL49*(1+g_appr),0)</f>
        <v/>
      </c>
      <c r="DU49" s="7">
        <f>BP49-DJ49</f>
        <v/>
      </c>
      <c r="DV49" s="7">
        <f>BT49-(DI49-DJ49)</f>
        <v/>
      </c>
      <c r="DW49" s="7">
        <f>CP49+DN49</f>
        <v/>
      </c>
      <c r="DX49" s="7">
        <f>IF(DN49&gt;0,(CP49*CF49+DN49*prestamos_tasaFederalPosgrado)/(CP49+DN49),CF49)</f>
        <v/>
      </c>
      <c r="DY49" s="7">
        <f>IF(DN49&gt;0,0,CQ49)</f>
        <v/>
      </c>
      <c r="DZ49" s="7">
        <f>DM49+DN49</f>
        <v/>
      </c>
      <c r="EA49" s="7">
        <f>CV49+DO49</f>
        <v/>
      </c>
      <c r="EB49" s="7">
        <f>IF(DO49&gt;0,(CV49*CS49+DO49*prestamos_tasaPrivada)/(CV49+DO49),CS49)</f>
        <v/>
      </c>
      <c r="EC49" s="7">
        <f>IF(DO49&gt;0,0,CW49)</f>
        <v/>
      </c>
      <c r="ED49" s="7">
        <f>CX49-DE49+DP49</f>
        <v/>
      </c>
      <c r="EE49" s="7">
        <f>IF(IF(16=0,"",EE48)&lt;&gt;"",EE48,IF(AND(BB49=1,DU49&lt;=0.5,DV49&lt;=0.5,OR(BH49=0,BJ49=1)),A49,""))</f>
        <v/>
      </c>
      <c r="EF49" s="7">
        <f>DU49+DV49+DW49+EA49+ED49+CD49</f>
        <v/>
      </c>
      <c r="EG49" s="7">
        <f>DR49+DS49+DT49-EF49</f>
        <v/>
      </c>
      <c r="EH49" s="7">
        <f>EG49/(1+g_inf)^(A49+1-2026)</f>
        <v/>
      </c>
    </row>
    <row r="50">
      <c r="A50" t="n">
        <v>2044</v>
      </c>
      <c r="B50" t="n">
        <v>17</v>
      </c>
      <c r="C50" s="7">
        <f>(1+g_inf)^(A50-2026)</f>
        <v/>
      </c>
      <c r="D50" s="7">
        <f>SUMPRODUCT($AK$5:$AK$29,$E$5:$E$29*(1+$F$5:$F$29)^(A50-2026)*$G$5:$G$29*$H$5:$H$29*(1-$N$5:$N$29*$O$5:$O$29))*g_salMult+SUMPRODUCT(($B$5:$B$29&gt;=A50)*($B$5:$B$29&lt;A50+1)*$I$5:$I$29)*g_salMult</f>
        <v/>
      </c>
      <c r="E50" s="7">
        <f>SUMPRODUCT($AK$5:$AK$29,$E$5:$E$29*(1+$F$5:$F$29)^(A50-2026)*$G$5:$G$29*$H$5:$H$29*$M$5:$M$29)*g_salMult</f>
        <v/>
      </c>
      <c r="F50" s="7">
        <f>SUMPRODUCT($AK$5:$AK$29,$E$5:$E$29*(1+$F$5:$F$29)^(A50-2026)*$G$5:$G$29*$H$5:$H$29*$N$5:$N$29*$O$5:$O$29)*g_salMult</f>
        <v/>
      </c>
      <c r="G50" s="7">
        <f>SUMPRODUCT($AK$5:$AK$29,$P$5:$P$29*(1+$F$5:$F$29)^(A50-2026))</f>
        <v/>
      </c>
      <c r="H50" s="7">
        <f>SUMPRODUCT($AK$5:$AK$29,$Q$5:$Q$29*(1+$F$5:$F$29)^(A50-2026))+IF(personal_llcActivo=1,personal_llcNeto*(1+personal_llcCrecimiento)^17,0)</f>
        <v/>
      </c>
      <c r="I50" s="7">
        <f>SUMPRODUCT($AK$5:$AK$29,$J$5:$J$29/($C$5:$C$29-$B$5:$B$29+($C$5:$C$29=$B$5:$B$29)))*C50</f>
        <v/>
      </c>
      <c r="J50" s="7">
        <f>SUMPRODUCT($AK$5:$AK$29,$K$5:$K$29)</f>
        <v/>
      </c>
      <c r="K50" s="7">
        <f>SUMPRODUCT($AK$5:$AK$29,$L$5:$L$29)</f>
        <v/>
      </c>
      <c r="L50" s="7">
        <f>SUMPRODUCT($AK$5:$AK$29,$N$5:$N$29)</f>
        <v/>
      </c>
      <c r="M50" s="7">
        <f>IF(SUMPRODUCT($AK$5:$AK$29,$R$5:$R$29)&gt;0,1,0)</f>
        <v/>
      </c>
      <c r="N50" s="7">
        <f>SUMPRODUCT(($AO$5:$AO$24&gt;=A50)*($AO$5:$AO$24&lt;A50+1)*$AP$5:$AP$24)*C50+IF(17=0,IF(sel_loc&lt;&gt;"miami",personal_costoMudanzaInicial,0),0)</f>
        <v/>
      </c>
      <c r="O50" s="7">
        <f>MIN(personal_aporte403bPct*D50,retiro_limite403b*C50)</f>
        <v/>
      </c>
      <c r="P50" s="7">
        <f>MIN(personal_aporte403bPct,personal_match403bPct)*E50</f>
        <v/>
      </c>
      <c r="Q50" s="7">
        <f>IF(G50&gt;0,MAX(0,G50-impuestos_scorpCostoAnual*C50),0)</f>
        <v/>
      </c>
      <c r="R50" s="7">
        <f>Q50*impuestos_scorpSalarioPct/(1+impuestos_ssTasa+impuestos_medicareTasa)</f>
        <v/>
      </c>
      <c r="S50" s="7">
        <f>impuestos_ssTasa*MIN(R50,MAX(0,impuestos_ssTope*C50-D50))+impuestos_medicareTasa*R50</f>
        <v/>
      </c>
      <c r="T50" s="7">
        <f>Q50-R50-S50</f>
        <v/>
      </c>
      <c r="U50" s="7">
        <f>D50+R50</f>
        <v/>
      </c>
      <c r="V50" s="7">
        <f>H50*0.9235</f>
        <v/>
      </c>
      <c r="W50" s="7">
        <f>IF(H50&gt;0,2*impuestos_ssTasa*MIN(V50,MAX(0,impuestos_ssTope*C50-U50))+2*impuestos_medicareTasa*V50,0)</f>
        <v/>
      </c>
      <c r="X50" s="7">
        <f>impuestos_ssTasa*MIN(U50,impuestos_ssTope*C50)+impuestos_medicareTasa*U50+impuestos_medicareAdicional*MAX(0,U50+H50*0.9235-impuestos_medicareUmbral)</f>
        <v/>
      </c>
      <c r="Y50" s="7">
        <f>MAX(0,D50-O50+R50+T50+H50-W50/2)</f>
        <v/>
      </c>
      <c r="Z50" s="7">
        <f>MAX(0,Y50-impuestos_deduccionEstandar*C50)</f>
        <v/>
      </c>
      <c r="AA50" s="7">
        <f>MIN(0.2*MAX(0,T50+H50-W50/2)*MAX(0,MIN(1,1-(Z50-impuestos_qbiUmbral*C50)/(impuestos_qbiRango*C50))),0.2*Z50)</f>
        <v/>
      </c>
      <c r="AB50" s="7">
        <f>MAX(0,Z50-AA50)</f>
        <v/>
      </c>
      <c r="AC50" s="7">
        <f>SUMPRODUCT((AB50&gt;tb_federalBrackets_lo*C50)*(AB50-tb_federalBrackets_lo*C50)*tb_federalBrackets_dr)</f>
        <v/>
      </c>
      <c r="AD50" s="7">
        <f>MAX(0,Y50-impuestos_nyDeduccion*C50)</f>
        <v/>
      </c>
      <c r="AE50" s="7">
        <f>CHOOSE(loc_taxcode,0,impuestos_ohTasa*MAX(0,Y50-impuestos_ohExento*C50)+impuestos_ohMunicipal*U50,SUMPRODUCT((AD50&gt;tb_nyBrackets_lo*C50)*(AD50-tb_nyBrackets_lo*C50)*tb_nyBrackets_dr)+loc_nyc*SUMPRODUCT((AD50&gt;tb_nycBrackets_lo*C50)*(AD50-tb_nycBrackets_lo*C50)*tb_nycBrackets_dr))</f>
        <v/>
      </c>
      <c r="AF50" s="7">
        <f>AC50+AE50+X50+W50</f>
        <v/>
      </c>
      <c r="AG50" s="7">
        <f>D50+F50+R50+T50+H50</f>
        <v/>
      </c>
      <c r="AH50" s="7">
        <f>AG50-AF50-O50</f>
        <v/>
      </c>
      <c r="AI50" s="7">
        <f>D50+F50+G50+H50</f>
        <v/>
      </c>
      <c r="AJ50" s="7">
        <f>loc_gastosVida*C50*g_gastos</f>
        <v/>
      </c>
      <c r="AK50" s="7">
        <f>IF(17=0,personal_liquidoInicial,DR49)</f>
        <v/>
      </c>
      <c r="AL50" s="7">
        <f>IF(17=0,0,BB49)</f>
        <v/>
      </c>
      <c r="AM50" s="7">
        <f>CHOOSE(sel_cfgIdx,loc_precio_duplex,loc_precio_inlaw,loc_precio_dosCasas,loc_precio_casaAdu,loc_precio_multi)</f>
        <v/>
      </c>
      <c r="AN50" s="7">
        <f>AM50*(1+g_appr)^(A50-2026)</f>
        <v/>
      </c>
      <c r="AO50" s="7">
        <f>IF(AND(M50=1,vivienda_prestamoMedico=1),1,0)</f>
        <v/>
      </c>
      <c r="AP50" s="7">
        <f>IF(AO50=1,0.05,vivienda_enganchePct)</f>
        <v/>
      </c>
      <c r="AQ50" s="7">
        <f>AN50*(1-AP50)</f>
        <v/>
      </c>
      <c r="AR50" s="7">
        <f>PMT(g_mortRate/12,vivienda_plazoHipoteca*12,-AQ50)</f>
        <v/>
      </c>
      <c r="AS50" s="7">
        <f>INDEX(cfg_units,sel_cfgIdx)</f>
        <v/>
      </c>
      <c r="AT50" s="7">
        <f>AS50*loc_rentaUnidad*(1+g_inf)^(A50-2026)*(1-vivienda_vacancia)</f>
        <v/>
      </c>
      <c r="AU50" s="7">
        <f>AR50+AN50*loc_impuestoPropPct/12+AM50*loc_seguroPct*(1+vivienda_inflacionSeguro)^(A50-2026)/12+IF(AND(AO50=0,AP50&lt;0.2),AQ50*vivienda_pmiTasa/12,0)</f>
        <v/>
      </c>
      <c r="AV50" s="7">
        <f>AN50*AP50+AN50*vivienda_cierrePct+general_reservaMeses/12*AJ50</f>
        <v/>
      </c>
      <c r="AW50" s="7">
        <f>(IF(17=0,MIN(personal_irsSaldo,personal_irsPagoMensual*12),MIN(CD49,personal_irsPagoMensual*12))+IF(CE50&gt;0,PMT(CF50,MAX(1,prestamos_plazoAnios-CG50),-CE50),0)+IF(CR50&gt;0,PMT(CS50,MAX(1,prestamos_plazoAnios-CT50),-CR50),0))/12</f>
        <v/>
      </c>
      <c r="AX50" s="7">
        <f>IF(OR(sel_cfg="duplex",sel_cfg="multi",sel_cfg="dosCasas"),0.75*personal_aporteFamiliaMensual,0)</f>
        <v/>
      </c>
      <c r="AY50" s="7">
        <f>AU50-0.75*AT50-AX50+AW50</f>
        <v/>
      </c>
      <c r="AZ50" s="7">
        <f>(D50+G50+H50+0.5*F50)/12</f>
        <v/>
      </c>
      <c r="BA50" s="7">
        <f>IF(AND(AL50=0,A50&gt;=vivienda_anioMinCompra,J50&lt;0.5,AI50&gt;0,AK50&gt;=AV50,AY50&lt;=vivienda_dtiMax*AZ50),1,0)</f>
        <v/>
      </c>
      <c r="BB50" s="7">
        <f>MAX(AL50,BA50)</f>
        <v/>
      </c>
      <c r="BC50" s="7">
        <f>IF(BA50=1,A50,IF(17=0,"",BC49))</f>
        <v/>
      </c>
      <c r="BD50" s="7">
        <f>AK50-IF(BA50=1,AN50*AP50+AN50*vivienda_cierrePct,0)</f>
        <v/>
      </c>
      <c r="BE50" s="7">
        <f>IF(BA50=1,AN50,IF(17=0,0,BE49))</f>
        <v/>
      </c>
      <c r="BF50" s="7">
        <f>IF(BA50=1,AR50,IF(17=0,0,BF49))</f>
        <v/>
      </c>
      <c r="BG50" s="7">
        <f>IF(BA50=1,IF(AND(AO50=0,AP50&lt;0.2),1,0),IF(17=0,0,BY49))</f>
        <v/>
      </c>
      <c r="BH50" s="7">
        <f>IF(sel_cfg="casaAdu",1,0)</f>
        <v/>
      </c>
      <c r="BI50" s="7">
        <f>IF(AND(BB50=1,BH50=1,IF(17=0,0,BJ49)=0,A50&gt;=IF(BC50="",9999,BC50)+vivienda_aduRetrasoAnios),1,0)</f>
        <v/>
      </c>
      <c r="BJ50" s="7">
        <f>MAX(IF(17=0,0,BJ49),BI50)</f>
        <v/>
      </c>
      <c r="BK50" s="7">
        <f>IF(BI50=1,PMT((g_mortRate+0.005)/12,180,-loc_precio_aduCosto*C50),IF(17=0,0,BK49))</f>
        <v/>
      </c>
      <c r="BL50" s="7">
        <f>IF(BA50=1,AN50,IF(17=0,0,DT49))+IF(BI50=1,loc_precio_aduCosto*C50,0)</f>
        <v/>
      </c>
      <c r="BM50" s="7">
        <f>IF(BA50=1,AQ50,IF(17=0,0,DU49))</f>
        <v/>
      </c>
      <c r="BN50" s="7">
        <f>IF(BM50&lt;=0,0,FV(g_mortRate/12,12,BF50,-BM50))</f>
        <v/>
      </c>
      <c r="BO50" s="7">
        <f>IF(BM50&lt;=0,0,12*BF50+MIN(0,BN50))</f>
        <v/>
      </c>
      <c r="BP50" s="7">
        <f>MAX(0,BN50)</f>
        <v/>
      </c>
      <c r="BQ50" s="7">
        <f>IF(BI50=1,loc_precio_aduCosto*C50,IF(17=0,0,DV49))</f>
        <v/>
      </c>
      <c r="BR50" s="7">
        <f>IF(BQ50&lt;=0,0,FV((g_mortRate+0.005)/12,12,BK50,-BQ50))</f>
        <v/>
      </c>
      <c r="BS50" s="7">
        <f>IF(BQ50&lt;=0,0,12*BK50+MIN(0,BR50))</f>
        <v/>
      </c>
      <c r="BT50" s="7">
        <f>MAX(0,BR50)</f>
        <v/>
      </c>
      <c r="BU50" s="7">
        <f>IF(BB50=1,AM50*loc_seguroPct*(1+vivienda_inflacionSeguro)^(A50-2026)*IF(BJ50=1,1+loc_precio_aduCosto/AM50,1),0)</f>
        <v/>
      </c>
      <c r="BV50" s="7">
        <f>BL50*loc_impuestoPropPct</f>
        <v/>
      </c>
      <c r="BW50" s="7">
        <f>BL50*vivienda_mantenimientoPct</f>
        <v/>
      </c>
      <c r="BX50" s="7">
        <f>IF(AND(BG50=1,BP50&gt;0.8*BE50),BE50*(1-vivienda_enganchePct)*vivienda_pmiTasa,0)</f>
        <v/>
      </c>
      <c r="BY50" s="7">
        <f>IF(AND(BG50=1,BP50&gt;0.8*BE50),1,0)</f>
        <v/>
      </c>
      <c r="BZ50" s="7">
        <f>IF(BB50=1,AS50*loc_rentaUnidad*12*C50*(1-vivienda_vacancia)*(1-vivienda_gestionPct),0)</f>
        <v/>
      </c>
      <c r="CA50" s="7">
        <f>IF(BB50=1,BO50+BS50+BU50+BV50+BW50+BX50,loc_rentaMensual*12*C50)</f>
        <v/>
      </c>
      <c r="CB50" s="7">
        <f>IF(BB50=1,personal_aporteFamiliaMensual*12,0)</f>
        <v/>
      </c>
      <c r="CC50" s="7">
        <f>MIN(IF(17=0,personal_irsSaldo,CD49),personal_irsPagoMensual*12)</f>
        <v/>
      </c>
      <c r="CD50" s="7">
        <f>IF(17=0,personal_irsSaldo,CD49)-CC50</f>
        <v/>
      </c>
      <c r="CE50" s="7">
        <f>IF(17=0,IF(personal_deudaEsFederal=1,personal_deudaEstudiantil,0),DW49)</f>
        <v/>
      </c>
      <c r="CF50" s="7">
        <f>IF(17=0,personal_tasaDeudaEstudiantil,DX49)</f>
        <v/>
      </c>
      <c r="CG50" s="7">
        <f>IF(17=0,0,DY49)</f>
        <v/>
      </c>
      <c r="CH50" s="7">
        <f>IF(J50&gt;=0.5,1,0)</f>
        <v/>
      </c>
      <c r="CI50" s="7">
        <f>IF(AND(CH50=0,prestamos_pslfActivo=1,K50&gt;=0.5,CE50&gt;0),1,0)</f>
        <v/>
      </c>
      <c r="CJ50" s="7">
        <f>CE50*CF50</f>
        <v/>
      </c>
      <c r="CK50" s="7">
        <f>MAX(prestamos_rapPagoMinimoAnual,IF(Y50&lt;10000,0,MIN(0.1,INT(Y50/10000)/100))*Y50)</f>
        <v/>
      </c>
      <c r="CL50" s="7">
        <f>IF(CE50&lt;=0,0,IF(CH50=1,0,IF(CI50=1,MIN(CE50+CJ50,CK50),PMT(CF50,MAX(1,prestamos_plazoAnios-CG50),-CE50))))</f>
        <v/>
      </c>
      <c r="CM50" s="7">
        <f>IF(CE50&lt;=0,0,IF(CH50=1,CE50+CJ50,IF(CI50=1,MAX(0,CE50-MAX(CL50-CJ50,MIN(600,CL50))),MAX(0,CE50*(1+CF50)-CL50))))</f>
        <v/>
      </c>
      <c r="CN50" s="7">
        <f>IF(17=0,0,CN49)+IF(CI50=1,12*MIN(1,K50),0)</f>
        <v/>
      </c>
      <c r="CO50" s="7">
        <f>IF(AND(CI50=1,CN50&gt;=prestamos_pslfPagos,CM50&gt;0),CM50,0)</f>
        <v/>
      </c>
      <c r="CP50" s="7">
        <f>CM50-CO50</f>
        <v/>
      </c>
      <c r="CQ50" s="7">
        <f>IF(AND(CE50&gt;0,CH50=0,CI50=0),CG50+1,CG50)</f>
        <v/>
      </c>
      <c r="CR50" s="7">
        <f>IF(17=0,IF(personal_deudaEsFederal=1,0,personal_deudaEstudiantil),EA49)</f>
        <v/>
      </c>
      <c r="CS50" s="7">
        <f>IF(17=0,IF(personal_deudaEsFederal=1,prestamos_tasaPrivada,personal_tasaDeudaEstudiantil),EB49)</f>
        <v/>
      </c>
      <c r="CT50" s="7">
        <f>IF(17=0,0,EC49)</f>
        <v/>
      </c>
      <c r="CU50" s="7">
        <f>IF(OR(CR50&lt;=0,CH50=1),0,PMT(CS50,MAX(1,prestamos_plazoAnios-CT50),-CR50))</f>
        <v/>
      </c>
      <c r="CV50" s="7">
        <f>IF(CR50&lt;=0,0,IF(CH50=1,CR50*(1+CS50),MAX(0,CR50*(1+CS50)-CU50)))</f>
        <v/>
      </c>
      <c r="CW50" s="7">
        <f>IF(AND(CR50&gt;0,CH50=0),CT50+1,CT50)</f>
        <v/>
      </c>
      <c r="CX50" s="7">
        <f>IF(17=0,0,ED49)*(1+general_tasaDeudaConsumo)</f>
        <v/>
      </c>
      <c r="CY50" s="7">
        <f>L50*12*tiempos_travelGastoExtraMes*C50</f>
        <v/>
      </c>
      <c r="CZ50" s="7">
        <f>AJ50+CY50+CA50+CC50+CL50+CU50+I50+N50-BZ50-CB50</f>
        <v/>
      </c>
      <c r="DA50" s="7">
        <f>AH50-CZ50</f>
        <v/>
      </c>
      <c r="DB50" s="7">
        <f>IF(17=0,0,DB49)+DA50</f>
        <v/>
      </c>
      <c r="DC50" s="7">
        <f>AN50*vivienda_enganchePct+AN50*vivienda_cierrePct+general_reservaMeses/12*AJ50</f>
        <v/>
      </c>
      <c r="DD50" s="7">
        <f>IF(BB50=1,g_ret,IF(BD50&gt;0,MIN(1,DC50/BD50),1)*g_cash+(1-IF(BD50&gt;0,MIN(1,DC50/BD50),1))*g_ret)</f>
        <v/>
      </c>
      <c r="DE50" s="7">
        <f>IF(DA50&gt;=0,MIN(CX50,DA50),0)</f>
        <v/>
      </c>
      <c r="DF50" s="7">
        <f>IF(DA50&gt;=0,(1-general_tasaAhorro)*(DA50-DE50),0)</f>
        <v/>
      </c>
      <c r="DG50" s="7">
        <f>IF(DA50&gt;=0,DA50-DE50-DF50,0)</f>
        <v/>
      </c>
      <c r="DH50" s="7">
        <f>MIN(personal_rothAnual,DG50)</f>
        <v/>
      </c>
      <c r="DI50" s="7">
        <f>IF(AND(DA50&gt;=0,BB50=1,BP50+BT50&gt;0),MIN(vivienda_prepagoPct*(DG50-DH50),BP50+BT50),0)</f>
        <v/>
      </c>
      <c r="DJ50" s="7">
        <f>MIN(DI50,BP50)</f>
        <v/>
      </c>
      <c r="DK50" s="7">
        <f>IF(DA50&lt;0,MIN(MAX(0,BD50),-DA50),0)</f>
        <v/>
      </c>
      <c r="DL50" s="7">
        <f>IF(DA50&lt;0,-DA50-DK50,0)</f>
        <v/>
      </c>
      <c r="DM50" s="7">
        <f>IF(17=0,0,DZ49)</f>
        <v/>
      </c>
      <c r="DN50" s="7">
        <f>IF(AND(DL50&gt;0,J50&gt;0),MIN(DL50,MIN(prestamos_topeAnualPosgrado*MIN(1,J50),MAX(0,prestamos_topeTotalPosgrado-DM50))),0)</f>
        <v/>
      </c>
      <c r="DO50" s="7">
        <f>IF(AND(DL50&gt;0,J50&gt;0),DL50-DN50,0)</f>
        <v/>
      </c>
      <c r="DP50" s="7">
        <f>IF(AND(DL50&gt;0,J50&lt;=0),DL50,0)</f>
        <v/>
      </c>
      <c r="DQ50" s="7">
        <f>IF(DA50&gt;=0,DG50-DH50-DI50,-DK50)</f>
        <v/>
      </c>
      <c r="DR50" s="7">
        <f>BD50*(1+DD50)+DQ50*(1+DD50/2)</f>
        <v/>
      </c>
      <c r="DS50" s="7">
        <f>IF(17=0,personal_retiroInicial,DS49)*(1+g_ret)+(O50+P50+DH50)*(1+g_ret/2)</f>
        <v/>
      </c>
      <c r="DT50" s="7">
        <f>IF(BB50=1,BL50*(1+g_appr),0)</f>
        <v/>
      </c>
      <c r="DU50" s="7">
        <f>BP50-DJ50</f>
        <v/>
      </c>
      <c r="DV50" s="7">
        <f>BT50-(DI50-DJ50)</f>
        <v/>
      </c>
      <c r="DW50" s="7">
        <f>CP50+DN50</f>
        <v/>
      </c>
      <c r="DX50" s="7">
        <f>IF(DN50&gt;0,(CP50*CF50+DN50*prestamos_tasaFederalPosgrado)/(CP50+DN50),CF50)</f>
        <v/>
      </c>
      <c r="DY50" s="7">
        <f>IF(DN50&gt;0,0,CQ50)</f>
        <v/>
      </c>
      <c r="DZ50" s="7">
        <f>DM50+DN50</f>
        <v/>
      </c>
      <c r="EA50" s="7">
        <f>CV50+DO50</f>
        <v/>
      </c>
      <c r="EB50" s="7">
        <f>IF(DO50&gt;0,(CV50*CS50+DO50*prestamos_tasaPrivada)/(CV50+DO50),CS50)</f>
        <v/>
      </c>
      <c r="EC50" s="7">
        <f>IF(DO50&gt;0,0,CW50)</f>
        <v/>
      </c>
      <c r="ED50" s="7">
        <f>CX50-DE50+DP50</f>
        <v/>
      </c>
      <c r="EE50" s="7">
        <f>IF(IF(17=0,"",EE49)&lt;&gt;"",EE49,IF(AND(BB50=1,DU50&lt;=0.5,DV50&lt;=0.5,OR(BH50=0,BJ50=1)),A50,""))</f>
        <v/>
      </c>
      <c r="EF50" s="7">
        <f>DU50+DV50+DW50+EA50+ED50+CD50</f>
        <v/>
      </c>
      <c r="EG50" s="7">
        <f>DR50+DS50+DT50-EF50</f>
        <v/>
      </c>
      <c r="EH50" s="7">
        <f>EG50/(1+g_inf)^(A50+1-2026)</f>
        <v/>
      </c>
    </row>
    <row r="51">
      <c r="A51" t="n">
        <v>2045</v>
      </c>
      <c r="B51" t="n">
        <v>18</v>
      </c>
      <c r="C51" s="7">
        <f>(1+g_inf)^(A51-2026)</f>
        <v/>
      </c>
      <c r="D51" s="7">
        <f>SUMPRODUCT($AL$5:$AL$29,$E$5:$E$29*(1+$F$5:$F$29)^(A51-2026)*$G$5:$G$29*$H$5:$H$29*(1-$N$5:$N$29*$O$5:$O$29))*g_salMult+SUMPRODUCT(($B$5:$B$29&gt;=A51)*($B$5:$B$29&lt;A51+1)*$I$5:$I$29)*g_salMult</f>
        <v/>
      </c>
      <c r="E51" s="7">
        <f>SUMPRODUCT($AL$5:$AL$29,$E$5:$E$29*(1+$F$5:$F$29)^(A51-2026)*$G$5:$G$29*$H$5:$H$29*$M$5:$M$29)*g_salMult</f>
        <v/>
      </c>
      <c r="F51" s="7">
        <f>SUMPRODUCT($AL$5:$AL$29,$E$5:$E$29*(1+$F$5:$F$29)^(A51-2026)*$G$5:$G$29*$H$5:$H$29*$N$5:$N$29*$O$5:$O$29)*g_salMult</f>
        <v/>
      </c>
      <c r="G51" s="7">
        <f>SUMPRODUCT($AL$5:$AL$29,$P$5:$P$29*(1+$F$5:$F$29)^(A51-2026))</f>
        <v/>
      </c>
      <c r="H51" s="7">
        <f>SUMPRODUCT($AL$5:$AL$29,$Q$5:$Q$29*(1+$F$5:$F$29)^(A51-2026))+IF(personal_llcActivo=1,personal_llcNeto*(1+personal_llcCrecimiento)^18,0)</f>
        <v/>
      </c>
      <c r="I51" s="7">
        <f>SUMPRODUCT($AL$5:$AL$29,$J$5:$J$29/($C$5:$C$29-$B$5:$B$29+($C$5:$C$29=$B$5:$B$29)))*C51</f>
        <v/>
      </c>
      <c r="J51" s="7">
        <f>SUMPRODUCT($AL$5:$AL$29,$K$5:$K$29)</f>
        <v/>
      </c>
      <c r="K51" s="7">
        <f>SUMPRODUCT($AL$5:$AL$29,$L$5:$L$29)</f>
        <v/>
      </c>
      <c r="L51" s="7">
        <f>SUMPRODUCT($AL$5:$AL$29,$N$5:$N$29)</f>
        <v/>
      </c>
      <c r="M51" s="7">
        <f>IF(SUMPRODUCT($AL$5:$AL$29,$R$5:$R$29)&gt;0,1,0)</f>
        <v/>
      </c>
      <c r="N51" s="7">
        <f>SUMPRODUCT(($AO$5:$AO$24&gt;=A51)*($AO$5:$AO$24&lt;A51+1)*$AP$5:$AP$24)*C51+IF(18=0,IF(sel_loc&lt;&gt;"miami",personal_costoMudanzaInicial,0),0)</f>
        <v/>
      </c>
      <c r="O51" s="7">
        <f>MIN(personal_aporte403bPct*D51,retiro_limite403b*C51)</f>
        <v/>
      </c>
      <c r="P51" s="7">
        <f>MIN(personal_aporte403bPct,personal_match403bPct)*E51</f>
        <v/>
      </c>
      <c r="Q51" s="7">
        <f>IF(G51&gt;0,MAX(0,G51-impuestos_scorpCostoAnual*C51),0)</f>
        <v/>
      </c>
      <c r="R51" s="7">
        <f>Q51*impuestos_scorpSalarioPct/(1+impuestos_ssTasa+impuestos_medicareTasa)</f>
        <v/>
      </c>
      <c r="S51" s="7">
        <f>impuestos_ssTasa*MIN(R51,MAX(0,impuestos_ssTope*C51-D51))+impuestos_medicareTasa*R51</f>
        <v/>
      </c>
      <c r="T51" s="7">
        <f>Q51-R51-S51</f>
        <v/>
      </c>
      <c r="U51" s="7">
        <f>D51+R51</f>
        <v/>
      </c>
      <c r="V51" s="7">
        <f>H51*0.9235</f>
        <v/>
      </c>
      <c r="W51" s="7">
        <f>IF(H51&gt;0,2*impuestos_ssTasa*MIN(V51,MAX(0,impuestos_ssTope*C51-U51))+2*impuestos_medicareTasa*V51,0)</f>
        <v/>
      </c>
      <c r="X51" s="7">
        <f>impuestos_ssTasa*MIN(U51,impuestos_ssTope*C51)+impuestos_medicareTasa*U51+impuestos_medicareAdicional*MAX(0,U51+H51*0.9235-impuestos_medicareUmbral)</f>
        <v/>
      </c>
      <c r="Y51" s="7">
        <f>MAX(0,D51-O51+R51+T51+H51-W51/2)</f>
        <v/>
      </c>
      <c r="Z51" s="7">
        <f>MAX(0,Y51-impuestos_deduccionEstandar*C51)</f>
        <v/>
      </c>
      <c r="AA51" s="7">
        <f>MIN(0.2*MAX(0,T51+H51-W51/2)*MAX(0,MIN(1,1-(Z51-impuestos_qbiUmbral*C51)/(impuestos_qbiRango*C51))),0.2*Z51)</f>
        <v/>
      </c>
      <c r="AB51" s="7">
        <f>MAX(0,Z51-AA51)</f>
        <v/>
      </c>
      <c r="AC51" s="7">
        <f>SUMPRODUCT((AB51&gt;tb_federalBrackets_lo*C51)*(AB51-tb_federalBrackets_lo*C51)*tb_federalBrackets_dr)</f>
        <v/>
      </c>
      <c r="AD51" s="7">
        <f>MAX(0,Y51-impuestos_nyDeduccion*C51)</f>
        <v/>
      </c>
      <c r="AE51" s="7">
        <f>CHOOSE(loc_taxcode,0,impuestos_ohTasa*MAX(0,Y51-impuestos_ohExento*C51)+impuestos_ohMunicipal*U51,SUMPRODUCT((AD51&gt;tb_nyBrackets_lo*C51)*(AD51-tb_nyBrackets_lo*C51)*tb_nyBrackets_dr)+loc_nyc*SUMPRODUCT((AD51&gt;tb_nycBrackets_lo*C51)*(AD51-tb_nycBrackets_lo*C51)*tb_nycBrackets_dr))</f>
        <v/>
      </c>
      <c r="AF51" s="7">
        <f>AC51+AE51+X51+W51</f>
        <v/>
      </c>
      <c r="AG51" s="7">
        <f>D51+F51+R51+T51+H51</f>
        <v/>
      </c>
      <c r="AH51" s="7">
        <f>AG51-AF51-O51</f>
        <v/>
      </c>
      <c r="AI51" s="7">
        <f>D51+F51+G51+H51</f>
        <v/>
      </c>
      <c r="AJ51" s="7">
        <f>loc_gastosVida*C51*g_gastos</f>
        <v/>
      </c>
      <c r="AK51" s="7">
        <f>IF(18=0,personal_liquidoInicial,DR50)</f>
        <v/>
      </c>
      <c r="AL51" s="7">
        <f>IF(18=0,0,BB50)</f>
        <v/>
      </c>
      <c r="AM51" s="7">
        <f>CHOOSE(sel_cfgIdx,loc_precio_duplex,loc_precio_inlaw,loc_precio_dosCasas,loc_precio_casaAdu,loc_precio_multi)</f>
        <v/>
      </c>
      <c r="AN51" s="7">
        <f>AM51*(1+g_appr)^(A51-2026)</f>
        <v/>
      </c>
      <c r="AO51" s="7">
        <f>IF(AND(M51=1,vivienda_prestamoMedico=1),1,0)</f>
        <v/>
      </c>
      <c r="AP51" s="7">
        <f>IF(AO51=1,0.05,vivienda_enganchePct)</f>
        <v/>
      </c>
      <c r="AQ51" s="7">
        <f>AN51*(1-AP51)</f>
        <v/>
      </c>
      <c r="AR51" s="7">
        <f>PMT(g_mortRate/12,vivienda_plazoHipoteca*12,-AQ51)</f>
        <v/>
      </c>
      <c r="AS51" s="7">
        <f>INDEX(cfg_units,sel_cfgIdx)</f>
        <v/>
      </c>
      <c r="AT51" s="7">
        <f>AS51*loc_rentaUnidad*(1+g_inf)^(A51-2026)*(1-vivienda_vacancia)</f>
        <v/>
      </c>
      <c r="AU51" s="7">
        <f>AR51+AN51*loc_impuestoPropPct/12+AM51*loc_seguroPct*(1+vivienda_inflacionSeguro)^(A51-2026)/12+IF(AND(AO51=0,AP51&lt;0.2),AQ51*vivienda_pmiTasa/12,0)</f>
        <v/>
      </c>
      <c r="AV51" s="7">
        <f>AN51*AP51+AN51*vivienda_cierrePct+general_reservaMeses/12*AJ51</f>
        <v/>
      </c>
      <c r="AW51" s="7">
        <f>(IF(18=0,MIN(personal_irsSaldo,personal_irsPagoMensual*12),MIN(CD50,personal_irsPagoMensual*12))+IF(CE51&gt;0,PMT(CF51,MAX(1,prestamos_plazoAnios-CG51),-CE51),0)+IF(CR51&gt;0,PMT(CS51,MAX(1,prestamos_plazoAnios-CT51),-CR51),0))/12</f>
        <v/>
      </c>
      <c r="AX51" s="7">
        <f>IF(OR(sel_cfg="duplex",sel_cfg="multi",sel_cfg="dosCasas"),0.75*personal_aporteFamiliaMensual,0)</f>
        <v/>
      </c>
      <c r="AY51" s="7">
        <f>AU51-0.75*AT51-AX51+AW51</f>
        <v/>
      </c>
      <c r="AZ51" s="7">
        <f>(D51+G51+H51+0.5*F51)/12</f>
        <v/>
      </c>
      <c r="BA51" s="7">
        <f>IF(AND(AL51=0,A51&gt;=vivienda_anioMinCompra,J51&lt;0.5,AI51&gt;0,AK51&gt;=AV51,AY51&lt;=vivienda_dtiMax*AZ51),1,0)</f>
        <v/>
      </c>
      <c r="BB51" s="7">
        <f>MAX(AL51,BA51)</f>
        <v/>
      </c>
      <c r="BC51" s="7">
        <f>IF(BA51=1,A51,IF(18=0,"",BC50))</f>
        <v/>
      </c>
      <c r="BD51" s="7">
        <f>AK51-IF(BA51=1,AN51*AP51+AN51*vivienda_cierrePct,0)</f>
        <v/>
      </c>
      <c r="BE51" s="7">
        <f>IF(BA51=1,AN51,IF(18=0,0,BE50))</f>
        <v/>
      </c>
      <c r="BF51" s="7">
        <f>IF(BA51=1,AR51,IF(18=0,0,BF50))</f>
        <v/>
      </c>
      <c r="BG51" s="7">
        <f>IF(BA51=1,IF(AND(AO51=0,AP51&lt;0.2),1,0),IF(18=0,0,BY50))</f>
        <v/>
      </c>
      <c r="BH51" s="7">
        <f>IF(sel_cfg="casaAdu",1,0)</f>
        <v/>
      </c>
      <c r="BI51" s="7">
        <f>IF(AND(BB51=1,BH51=1,IF(18=0,0,BJ50)=0,A51&gt;=IF(BC51="",9999,BC51)+vivienda_aduRetrasoAnios),1,0)</f>
        <v/>
      </c>
      <c r="BJ51" s="7">
        <f>MAX(IF(18=0,0,BJ50),BI51)</f>
        <v/>
      </c>
      <c r="BK51" s="7">
        <f>IF(BI51=1,PMT((g_mortRate+0.005)/12,180,-loc_precio_aduCosto*C51),IF(18=0,0,BK50))</f>
        <v/>
      </c>
      <c r="BL51" s="7">
        <f>IF(BA51=1,AN51,IF(18=0,0,DT50))+IF(BI51=1,loc_precio_aduCosto*C51,0)</f>
        <v/>
      </c>
      <c r="BM51" s="7">
        <f>IF(BA51=1,AQ51,IF(18=0,0,DU50))</f>
        <v/>
      </c>
      <c r="BN51" s="7">
        <f>IF(BM51&lt;=0,0,FV(g_mortRate/12,12,BF51,-BM51))</f>
        <v/>
      </c>
      <c r="BO51" s="7">
        <f>IF(BM51&lt;=0,0,12*BF51+MIN(0,BN51))</f>
        <v/>
      </c>
      <c r="BP51" s="7">
        <f>MAX(0,BN51)</f>
        <v/>
      </c>
      <c r="BQ51" s="7">
        <f>IF(BI51=1,loc_precio_aduCosto*C51,IF(18=0,0,DV50))</f>
        <v/>
      </c>
      <c r="BR51" s="7">
        <f>IF(BQ51&lt;=0,0,FV((g_mortRate+0.005)/12,12,BK51,-BQ51))</f>
        <v/>
      </c>
      <c r="BS51" s="7">
        <f>IF(BQ51&lt;=0,0,12*BK51+MIN(0,BR51))</f>
        <v/>
      </c>
      <c r="BT51" s="7">
        <f>MAX(0,BR51)</f>
        <v/>
      </c>
      <c r="BU51" s="7">
        <f>IF(BB51=1,AM51*loc_seguroPct*(1+vivienda_inflacionSeguro)^(A51-2026)*IF(BJ51=1,1+loc_precio_aduCosto/AM51,1),0)</f>
        <v/>
      </c>
      <c r="BV51" s="7">
        <f>BL51*loc_impuestoPropPct</f>
        <v/>
      </c>
      <c r="BW51" s="7">
        <f>BL51*vivienda_mantenimientoPct</f>
        <v/>
      </c>
      <c r="BX51" s="7">
        <f>IF(AND(BG51=1,BP51&gt;0.8*BE51),BE51*(1-vivienda_enganchePct)*vivienda_pmiTasa,0)</f>
        <v/>
      </c>
      <c r="BY51" s="7">
        <f>IF(AND(BG51=1,BP51&gt;0.8*BE51),1,0)</f>
        <v/>
      </c>
      <c r="BZ51" s="7">
        <f>IF(BB51=1,AS51*loc_rentaUnidad*12*C51*(1-vivienda_vacancia)*(1-vivienda_gestionPct),0)</f>
        <v/>
      </c>
      <c r="CA51" s="7">
        <f>IF(BB51=1,BO51+BS51+BU51+BV51+BW51+BX51,loc_rentaMensual*12*C51)</f>
        <v/>
      </c>
      <c r="CB51" s="7">
        <f>IF(BB51=1,personal_aporteFamiliaMensual*12,0)</f>
        <v/>
      </c>
      <c r="CC51" s="7">
        <f>MIN(IF(18=0,personal_irsSaldo,CD50),personal_irsPagoMensual*12)</f>
        <v/>
      </c>
      <c r="CD51" s="7">
        <f>IF(18=0,personal_irsSaldo,CD50)-CC51</f>
        <v/>
      </c>
      <c r="CE51" s="7">
        <f>IF(18=0,IF(personal_deudaEsFederal=1,personal_deudaEstudiantil,0),DW50)</f>
        <v/>
      </c>
      <c r="CF51" s="7">
        <f>IF(18=0,personal_tasaDeudaEstudiantil,DX50)</f>
        <v/>
      </c>
      <c r="CG51" s="7">
        <f>IF(18=0,0,DY50)</f>
        <v/>
      </c>
      <c r="CH51" s="7">
        <f>IF(J51&gt;=0.5,1,0)</f>
        <v/>
      </c>
      <c r="CI51" s="7">
        <f>IF(AND(CH51=0,prestamos_pslfActivo=1,K51&gt;=0.5,CE51&gt;0),1,0)</f>
        <v/>
      </c>
      <c r="CJ51" s="7">
        <f>CE51*CF51</f>
        <v/>
      </c>
      <c r="CK51" s="7">
        <f>MAX(prestamos_rapPagoMinimoAnual,IF(Y51&lt;10000,0,MIN(0.1,INT(Y51/10000)/100))*Y51)</f>
        <v/>
      </c>
      <c r="CL51" s="7">
        <f>IF(CE51&lt;=0,0,IF(CH51=1,0,IF(CI51=1,MIN(CE51+CJ51,CK51),PMT(CF51,MAX(1,prestamos_plazoAnios-CG51),-CE51))))</f>
        <v/>
      </c>
      <c r="CM51" s="7">
        <f>IF(CE51&lt;=0,0,IF(CH51=1,CE51+CJ51,IF(CI51=1,MAX(0,CE51-MAX(CL51-CJ51,MIN(600,CL51))),MAX(0,CE51*(1+CF51)-CL51))))</f>
        <v/>
      </c>
      <c r="CN51" s="7">
        <f>IF(18=0,0,CN50)+IF(CI51=1,12*MIN(1,K51),0)</f>
        <v/>
      </c>
      <c r="CO51" s="7">
        <f>IF(AND(CI51=1,CN51&gt;=prestamos_pslfPagos,CM51&gt;0),CM51,0)</f>
        <v/>
      </c>
      <c r="CP51" s="7">
        <f>CM51-CO51</f>
        <v/>
      </c>
      <c r="CQ51" s="7">
        <f>IF(AND(CE51&gt;0,CH51=0,CI51=0),CG51+1,CG51)</f>
        <v/>
      </c>
      <c r="CR51" s="7">
        <f>IF(18=0,IF(personal_deudaEsFederal=1,0,personal_deudaEstudiantil),EA50)</f>
        <v/>
      </c>
      <c r="CS51" s="7">
        <f>IF(18=0,IF(personal_deudaEsFederal=1,prestamos_tasaPrivada,personal_tasaDeudaEstudiantil),EB50)</f>
        <v/>
      </c>
      <c r="CT51" s="7">
        <f>IF(18=0,0,EC50)</f>
        <v/>
      </c>
      <c r="CU51" s="7">
        <f>IF(OR(CR51&lt;=0,CH51=1),0,PMT(CS51,MAX(1,prestamos_plazoAnios-CT51),-CR51))</f>
        <v/>
      </c>
      <c r="CV51" s="7">
        <f>IF(CR51&lt;=0,0,IF(CH51=1,CR51*(1+CS51),MAX(0,CR51*(1+CS51)-CU51)))</f>
        <v/>
      </c>
      <c r="CW51" s="7">
        <f>IF(AND(CR51&gt;0,CH51=0),CT51+1,CT51)</f>
        <v/>
      </c>
      <c r="CX51" s="7">
        <f>IF(18=0,0,ED50)*(1+general_tasaDeudaConsumo)</f>
        <v/>
      </c>
      <c r="CY51" s="7">
        <f>L51*12*tiempos_travelGastoExtraMes*C51</f>
        <v/>
      </c>
      <c r="CZ51" s="7">
        <f>AJ51+CY51+CA51+CC51+CL51+CU51+I51+N51-BZ51-CB51</f>
        <v/>
      </c>
      <c r="DA51" s="7">
        <f>AH51-CZ51</f>
        <v/>
      </c>
      <c r="DB51" s="7">
        <f>IF(18=0,0,DB50)+DA51</f>
        <v/>
      </c>
      <c r="DC51" s="7">
        <f>AN51*vivienda_enganchePct+AN51*vivienda_cierrePct+general_reservaMeses/12*AJ51</f>
        <v/>
      </c>
      <c r="DD51" s="7">
        <f>IF(BB51=1,g_ret,IF(BD51&gt;0,MIN(1,DC51/BD51),1)*g_cash+(1-IF(BD51&gt;0,MIN(1,DC51/BD51),1))*g_ret)</f>
        <v/>
      </c>
      <c r="DE51" s="7">
        <f>IF(DA51&gt;=0,MIN(CX51,DA51),0)</f>
        <v/>
      </c>
      <c r="DF51" s="7">
        <f>IF(DA51&gt;=0,(1-general_tasaAhorro)*(DA51-DE51),0)</f>
        <v/>
      </c>
      <c r="DG51" s="7">
        <f>IF(DA51&gt;=0,DA51-DE51-DF51,0)</f>
        <v/>
      </c>
      <c r="DH51" s="7">
        <f>MIN(personal_rothAnual,DG51)</f>
        <v/>
      </c>
      <c r="DI51" s="7">
        <f>IF(AND(DA51&gt;=0,BB51=1,BP51+BT51&gt;0),MIN(vivienda_prepagoPct*(DG51-DH51),BP51+BT51),0)</f>
        <v/>
      </c>
      <c r="DJ51" s="7">
        <f>MIN(DI51,BP51)</f>
        <v/>
      </c>
      <c r="DK51" s="7">
        <f>IF(DA51&lt;0,MIN(MAX(0,BD51),-DA51),0)</f>
        <v/>
      </c>
      <c r="DL51" s="7">
        <f>IF(DA51&lt;0,-DA51-DK51,0)</f>
        <v/>
      </c>
      <c r="DM51" s="7">
        <f>IF(18=0,0,DZ50)</f>
        <v/>
      </c>
      <c r="DN51" s="7">
        <f>IF(AND(DL51&gt;0,J51&gt;0),MIN(DL51,MIN(prestamos_topeAnualPosgrado*MIN(1,J51),MAX(0,prestamos_topeTotalPosgrado-DM51))),0)</f>
        <v/>
      </c>
      <c r="DO51" s="7">
        <f>IF(AND(DL51&gt;0,J51&gt;0),DL51-DN51,0)</f>
        <v/>
      </c>
      <c r="DP51" s="7">
        <f>IF(AND(DL51&gt;0,J51&lt;=0),DL51,0)</f>
        <v/>
      </c>
      <c r="DQ51" s="7">
        <f>IF(DA51&gt;=0,DG51-DH51-DI51,-DK51)</f>
        <v/>
      </c>
      <c r="DR51" s="7">
        <f>BD51*(1+DD51)+DQ51*(1+DD51/2)</f>
        <v/>
      </c>
      <c r="DS51" s="7">
        <f>IF(18=0,personal_retiroInicial,DS50)*(1+g_ret)+(O51+P51+DH51)*(1+g_ret/2)</f>
        <v/>
      </c>
      <c r="DT51" s="7">
        <f>IF(BB51=1,BL51*(1+g_appr),0)</f>
        <v/>
      </c>
      <c r="DU51" s="7">
        <f>BP51-DJ51</f>
        <v/>
      </c>
      <c r="DV51" s="7">
        <f>BT51-(DI51-DJ51)</f>
        <v/>
      </c>
      <c r="DW51" s="7">
        <f>CP51+DN51</f>
        <v/>
      </c>
      <c r="DX51" s="7">
        <f>IF(DN51&gt;0,(CP51*CF51+DN51*prestamos_tasaFederalPosgrado)/(CP51+DN51),CF51)</f>
        <v/>
      </c>
      <c r="DY51" s="7">
        <f>IF(DN51&gt;0,0,CQ51)</f>
        <v/>
      </c>
      <c r="DZ51" s="7">
        <f>DM51+DN51</f>
        <v/>
      </c>
      <c r="EA51" s="7">
        <f>CV51+DO51</f>
        <v/>
      </c>
      <c r="EB51" s="7">
        <f>IF(DO51&gt;0,(CV51*CS51+DO51*prestamos_tasaPrivada)/(CV51+DO51),CS51)</f>
        <v/>
      </c>
      <c r="EC51" s="7">
        <f>IF(DO51&gt;0,0,CW51)</f>
        <v/>
      </c>
      <c r="ED51" s="7">
        <f>CX51-DE51+DP51</f>
        <v/>
      </c>
      <c r="EE51" s="7">
        <f>IF(IF(18=0,"",EE50)&lt;&gt;"",EE50,IF(AND(BB51=1,DU51&lt;=0.5,DV51&lt;=0.5,OR(BH51=0,BJ51=1)),A51,""))</f>
        <v/>
      </c>
      <c r="EF51" s="7">
        <f>DU51+DV51+DW51+EA51+ED51+CD51</f>
        <v/>
      </c>
      <c r="EG51" s="7">
        <f>DR51+DS51+DT51-EF51</f>
        <v/>
      </c>
      <c r="EH51" s="7">
        <f>EG51/(1+g_inf)^(A51+1-2026)</f>
        <v/>
      </c>
    </row>
    <row r="52">
      <c r="A52" t="n">
        <v>2046</v>
      </c>
      <c r="B52" t="n">
        <v>19</v>
      </c>
      <c r="C52" s="7">
        <f>(1+g_inf)^(A52-2026)</f>
        <v/>
      </c>
      <c r="D52" s="7">
        <f>SUMPRODUCT($AM$5:$AM$29,$E$5:$E$29*(1+$F$5:$F$29)^(A52-2026)*$G$5:$G$29*$H$5:$H$29*(1-$N$5:$N$29*$O$5:$O$29))*g_salMult+SUMPRODUCT(($B$5:$B$29&gt;=A52)*($B$5:$B$29&lt;A52+1)*$I$5:$I$29)*g_salMult</f>
        <v/>
      </c>
      <c r="E52" s="7">
        <f>SUMPRODUCT($AM$5:$AM$29,$E$5:$E$29*(1+$F$5:$F$29)^(A52-2026)*$G$5:$G$29*$H$5:$H$29*$M$5:$M$29)*g_salMult</f>
        <v/>
      </c>
      <c r="F52" s="7">
        <f>SUMPRODUCT($AM$5:$AM$29,$E$5:$E$29*(1+$F$5:$F$29)^(A52-2026)*$G$5:$G$29*$H$5:$H$29*$N$5:$N$29*$O$5:$O$29)*g_salMult</f>
        <v/>
      </c>
      <c r="G52" s="7">
        <f>SUMPRODUCT($AM$5:$AM$29,$P$5:$P$29*(1+$F$5:$F$29)^(A52-2026))</f>
        <v/>
      </c>
      <c r="H52" s="7">
        <f>SUMPRODUCT($AM$5:$AM$29,$Q$5:$Q$29*(1+$F$5:$F$29)^(A52-2026))+IF(personal_llcActivo=1,personal_llcNeto*(1+personal_llcCrecimiento)^19,0)</f>
        <v/>
      </c>
      <c r="I52" s="7">
        <f>SUMPRODUCT($AM$5:$AM$29,$J$5:$J$29/($C$5:$C$29-$B$5:$B$29+($C$5:$C$29=$B$5:$B$29)))*C52</f>
        <v/>
      </c>
      <c r="J52" s="7">
        <f>SUMPRODUCT($AM$5:$AM$29,$K$5:$K$29)</f>
        <v/>
      </c>
      <c r="K52" s="7">
        <f>SUMPRODUCT($AM$5:$AM$29,$L$5:$L$29)</f>
        <v/>
      </c>
      <c r="L52" s="7">
        <f>SUMPRODUCT($AM$5:$AM$29,$N$5:$N$29)</f>
        <v/>
      </c>
      <c r="M52" s="7">
        <f>IF(SUMPRODUCT($AM$5:$AM$29,$R$5:$R$29)&gt;0,1,0)</f>
        <v/>
      </c>
      <c r="N52" s="7">
        <f>SUMPRODUCT(($AO$5:$AO$24&gt;=A52)*($AO$5:$AO$24&lt;A52+1)*$AP$5:$AP$24)*C52+IF(19=0,IF(sel_loc&lt;&gt;"miami",personal_costoMudanzaInicial,0),0)</f>
        <v/>
      </c>
      <c r="O52" s="7">
        <f>MIN(personal_aporte403bPct*D52,retiro_limite403b*C52)</f>
        <v/>
      </c>
      <c r="P52" s="7">
        <f>MIN(personal_aporte403bPct,personal_match403bPct)*E52</f>
        <v/>
      </c>
      <c r="Q52" s="7">
        <f>IF(G52&gt;0,MAX(0,G52-impuestos_scorpCostoAnual*C52),0)</f>
        <v/>
      </c>
      <c r="R52" s="7">
        <f>Q52*impuestos_scorpSalarioPct/(1+impuestos_ssTasa+impuestos_medicareTasa)</f>
        <v/>
      </c>
      <c r="S52" s="7">
        <f>impuestos_ssTasa*MIN(R52,MAX(0,impuestos_ssTope*C52-D52))+impuestos_medicareTasa*R52</f>
        <v/>
      </c>
      <c r="T52" s="7">
        <f>Q52-R52-S52</f>
        <v/>
      </c>
      <c r="U52" s="7">
        <f>D52+R52</f>
        <v/>
      </c>
      <c r="V52" s="7">
        <f>H52*0.9235</f>
        <v/>
      </c>
      <c r="W52" s="7">
        <f>IF(H52&gt;0,2*impuestos_ssTasa*MIN(V52,MAX(0,impuestos_ssTope*C52-U52))+2*impuestos_medicareTasa*V52,0)</f>
        <v/>
      </c>
      <c r="X52" s="7">
        <f>impuestos_ssTasa*MIN(U52,impuestos_ssTope*C52)+impuestos_medicareTasa*U52+impuestos_medicareAdicional*MAX(0,U52+H52*0.9235-impuestos_medicareUmbral)</f>
        <v/>
      </c>
      <c r="Y52" s="7">
        <f>MAX(0,D52-O52+R52+T52+H52-W52/2)</f>
        <v/>
      </c>
      <c r="Z52" s="7">
        <f>MAX(0,Y52-impuestos_deduccionEstandar*C52)</f>
        <v/>
      </c>
      <c r="AA52" s="7">
        <f>MIN(0.2*MAX(0,T52+H52-W52/2)*MAX(0,MIN(1,1-(Z52-impuestos_qbiUmbral*C52)/(impuestos_qbiRango*C52))),0.2*Z52)</f>
        <v/>
      </c>
      <c r="AB52" s="7">
        <f>MAX(0,Z52-AA52)</f>
        <v/>
      </c>
      <c r="AC52" s="7">
        <f>SUMPRODUCT((AB52&gt;tb_federalBrackets_lo*C52)*(AB52-tb_federalBrackets_lo*C52)*tb_federalBrackets_dr)</f>
        <v/>
      </c>
      <c r="AD52" s="7">
        <f>MAX(0,Y52-impuestos_nyDeduccion*C52)</f>
        <v/>
      </c>
      <c r="AE52" s="7">
        <f>CHOOSE(loc_taxcode,0,impuestos_ohTasa*MAX(0,Y52-impuestos_ohExento*C52)+impuestos_ohMunicipal*U52,SUMPRODUCT((AD52&gt;tb_nyBrackets_lo*C52)*(AD52-tb_nyBrackets_lo*C52)*tb_nyBrackets_dr)+loc_nyc*SUMPRODUCT((AD52&gt;tb_nycBrackets_lo*C52)*(AD52-tb_nycBrackets_lo*C52)*tb_nycBrackets_dr))</f>
        <v/>
      </c>
      <c r="AF52" s="7">
        <f>AC52+AE52+X52+W52</f>
        <v/>
      </c>
      <c r="AG52" s="7">
        <f>D52+F52+R52+T52+H52</f>
        <v/>
      </c>
      <c r="AH52" s="7">
        <f>AG52-AF52-O52</f>
        <v/>
      </c>
      <c r="AI52" s="7">
        <f>D52+F52+G52+H52</f>
        <v/>
      </c>
      <c r="AJ52" s="7">
        <f>loc_gastosVida*C52*g_gastos</f>
        <v/>
      </c>
      <c r="AK52" s="7">
        <f>IF(19=0,personal_liquidoInicial,DR51)</f>
        <v/>
      </c>
      <c r="AL52" s="7">
        <f>IF(19=0,0,BB51)</f>
        <v/>
      </c>
      <c r="AM52" s="7">
        <f>CHOOSE(sel_cfgIdx,loc_precio_duplex,loc_precio_inlaw,loc_precio_dosCasas,loc_precio_casaAdu,loc_precio_multi)</f>
        <v/>
      </c>
      <c r="AN52" s="7">
        <f>AM52*(1+g_appr)^(A52-2026)</f>
        <v/>
      </c>
      <c r="AO52" s="7">
        <f>IF(AND(M52=1,vivienda_prestamoMedico=1),1,0)</f>
        <v/>
      </c>
      <c r="AP52" s="7">
        <f>IF(AO52=1,0.05,vivienda_enganchePct)</f>
        <v/>
      </c>
      <c r="AQ52" s="7">
        <f>AN52*(1-AP52)</f>
        <v/>
      </c>
      <c r="AR52" s="7">
        <f>PMT(g_mortRate/12,vivienda_plazoHipoteca*12,-AQ52)</f>
        <v/>
      </c>
      <c r="AS52" s="7">
        <f>INDEX(cfg_units,sel_cfgIdx)</f>
        <v/>
      </c>
      <c r="AT52" s="7">
        <f>AS52*loc_rentaUnidad*(1+g_inf)^(A52-2026)*(1-vivienda_vacancia)</f>
        <v/>
      </c>
      <c r="AU52" s="7">
        <f>AR52+AN52*loc_impuestoPropPct/12+AM52*loc_seguroPct*(1+vivienda_inflacionSeguro)^(A52-2026)/12+IF(AND(AO52=0,AP52&lt;0.2),AQ52*vivienda_pmiTasa/12,0)</f>
        <v/>
      </c>
      <c r="AV52" s="7">
        <f>AN52*AP52+AN52*vivienda_cierrePct+general_reservaMeses/12*AJ52</f>
        <v/>
      </c>
      <c r="AW52" s="7">
        <f>(IF(19=0,MIN(personal_irsSaldo,personal_irsPagoMensual*12),MIN(CD51,personal_irsPagoMensual*12))+IF(CE52&gt;0,PMT(CF52,MAX(1,prestamos_plazoAnios-CG52),-CE52),0)+IF(CR52&gt;0,PMT(CS52,MAX(1,prestamos_plazoAnios-CT52),-CR52),0))/12</f>
        <v/>
      </c>
      <c r="AX52" s="7">
        <f>IF(OR(sel_cfg="duplex",sel_cfg="multi",sel_cfg="dosCasas"),0.75*personal_aporteFamiliaMensual,0)</f>
        <v/>
      </c>
      <c r="AY52" s="7">
        <f>AU52-0.75*AT52-AX52+AW52</f>
        <v/>
      </c>
      <c r="AZ52" s="7">
        <f>(D52+G52+H52+0.5*F52)/12</f>
        <v/>
      </c>
      <c r="BA52" s="7">
        <f>IF(AND(AL52=0,A52&gt;=vivienda_anioMinCompra,J52&lt;0.5,AI52&gt;0,AK52&gt;=AV52,AY52&lt;=vivienda_dtiMax*AZ52),1,0)</f>
        <v/>
      </c>
      <c r="BB52" s="7">
        <f>MAX(AL52,BA52)</f>
        <v/>
      </c>
      <c r="BC52" s="7">
        <f>IF(BA52=1,A52,IF(19=0,"",BC51))</f>
        <v/>
      </c>
      <c r="BD52" s="7">
        <f>AK52-IF(BA52=1,AN52*AP52+AN52*vivienda_cierrePct,0)</f>
        <v/>
      </c>
      <c r="BE52" s="7">
        <f>IF(BA52=1,AN52,IF(19=0,0,BE51))</f>
        <v/>
      </c>
      <c r="BF52" s="7">
        <f>IF(BA52=1,AR52,IF(19=0,0,BF51))</f>
        <v/>
      </c>
      <c r="BG52" s="7">
        <f>IF(BA52=1,IF(AND(AO52=0,AP52&lt;0.2),1,0),IF(19=0,0,BY51))</f>
        <v/>
      </c>
      <c r="BH52" s="7">
        <f>IF(sel_cfg="casaAdu",1,0)</f>
        <v/>
      </c>
      <c r="BI52" s="7">
        <f>IF(AND(BB52=1,BH52=1,IF(19=0,0,BJ51)=0,A52&gt;=IF(BC52="",9999,BC52)+vivienda_aduRetrasoAnios),1,0)</f>
        <v/>
      </c>
      <c r="BJ52" s="7">
        <f>MAX(IF(19=0,0,BJ51),BI52)</f>
        <v/>
      </c>
      <c r="BK52" s="7">
        <f>IF(BI52=1,PMT((g_mortRate+0.005)/12,180,-loc_precio_aduCosto*C52),IF(19=0,0,BK51))</f>
        <v/>
      </c>
      <c r="BL52" s="7">
        <f>IF(BA52=1,AN52,IF(19=0,0,DT51))+IF(BI52=1,loc_precio_aduCosto*C52,0)</f>
        <v/>
      </c>
      <c r="BM52" s="7">
        <f>IF(BA52=1,AQ52,IF(19=0,0,DU51))</f>
        <v/>
      </c>
      <c r="BN52" s="7">
        <f>IF(BM52&lt;=0,0,FV(g_mortRate/12,12,BF52,-BM52))</f>
        <v/>
      </c>
      <c r="BO52" s="7">
        <f>IF(BM52&lt;=0,0,12*BF52+MIN(0,BN52))</f>
        <v/>
      </c>
      <c r="BP52" s="7">
        <f>MAX(0,BN52)</f>
        <v/>
      </c>
      <c r="BQ52" s="7">
        <f>IF(BI52=1,loc_precio_aduCosto*C52,IF(19=0,0,DV51))</f>
        <v/>
      </c>
      <c r="BR52" s="7">
        <f>IF(BQ52&lt;=0,0,FV((g_mortRate+0.005)/12,12,BK52,-BQ52))</f>
        <v/>
      </c>
      <c r="BS52" s="7">
        <f>IF(BQ52&lt;=0,0,12*BK52+MIN(0,BR52))</f>
        <v/>
      </c>
      <c r="BT52" s="7">
        <f>MAX(0,BR52)</f>
        <v/>
      </c>
      <c r="BU52" s="7">
        <f>IF(BB52=1,AM52*loc_seguroPct*(1+vivienda_inflacionSeguro)^(A52-2026)*IF(BJ52=1,1+loc_precio_aduCosto/AM52,1),0)</f>
        <v/>
      </c>
      <c r="BV52" s="7">
        <f>BL52*loc_impuestoPropPct</f>
        <v/>
      </c>
      <c r="BW52" s="7">
        <f>BL52*vivienda_mantenimientoPct</f>
        <v/>
      </c>
      <c r="BX52" s="7">
        <f>IF(AND(BG52=1,BP52&gt;0.8*BE52),BE52*(1-vivienda_enganchePct)*vivienda_pmiTasa,0)</f>
        <v/>
      </c>
      <c r="BY52" s="7">
        <f>IF(AND(BG52=1,BP52&gt;0.8*BE52),1,0)</f>
        <v/>
      </c>
      <c r="BZ52" s="7">
        <f>IF(BB52=1,AS52*loc_rentaUnidad*12*C52*(1-vivienda_vacancia)*(1-vivienda_gestionPct),0)</f>
        <v/>
      </c>
      <c r="CA52" s="7">
        <f>IF(BB52=1,BO52+BS52+BU52+BV52+BW52+BX52,loc_rentaMensual*12*C52)</f>
        <v/>
      </c>
      <c r="CB52" s="7">
        <f>IF(BB52=1,personal_aporteFamiliaMensual*12,0)</f>
        <v/>
      </c>
      <c r="CC52" s="7">
        <f>MIN(IF(19=0,personal_irsSaldo,CD51),personal_irsPagoMensual*12)</f>
        <v/>
      </c>
      <c r="CD52" s="7">
        <f>IF(19=0,personal_irsSaldo,CD51)-CC52</f>
        <v/>
      </c>
      <c r="CE52" s="7">
        <f>IF(19=0,IF(personal_deudaEsFederal=1,personal_deudaEstudiantil,0),DW51)</f>
        <v/>
      </c>
      <c r="CF52" s="7">
        <f>IF(19=0,personal_tasaDeudaEstudiantil,DX51)</f>
        <v/>
      </c>
      <c r="CG52" s="7">
        <f>IF(19=0,0,DY51)</f>
        <v/>
      </c>
      <c r="CH52" s="7">
        <f>IF(J52&gt;=0.5,1,0)</f>
        <v/>
      </c>
      <c r="CI52" s="7">
        <f>IF(AND(CH52=0,prestamos_pslfActivo=1,K52&gt;=0.5,CE52&gt;0),1,0)</f>
        <v/>
      </c>
      <c r="CJ52" s="7">
        <f>CE52*CF52</f>
        <v/>
      </c>
      <c r="CK52" s="7">
        <f>MAX(prestamos_rapPagoMinimoAnual,IF(Y52&lt;10000,0,MIN(0.1,INT(Y52/10000)/100))*Y52)</f>
        <v/>
      </c>
      <c r="CL52" s="7">
        <f>IF(CE52&lt;=0,0,IF(CH52=1,0,IF(CI52=1,MIN(CE52+CJ52,CK52),PMT(CF52,MAX(1,prestamos_plazoAnios-CG52),-CE52))))</f>
        <v/>
      </c>
      <c r="CM52" s="7">
        <f>IF(CE52&lt;=0,0,IF(CH52=1,CE52+CJ52,IF(CI52=1,MAX(0,CE52-MAX(CL52-CJ52,MIN(600,CL52))),MAX(0,CE52*(1+CF52)-CL52))))</f>
        <v/>
      </c>
      <c r="CN52" s="7">
        <f>IF(19=0,0,CN51)+IF(CI52=1,12*MIN(1,K52),0)</f>
        <v/>
      </c>
      <c r="CO52" s="7">
        <f>IF(AND(CI52=1,CN52&gt;=prestamos_pslfPagos,CM52&gt;0),CM52,0)</f>
        <v/>
      </c>
      <c r="CP52" s="7">
        <f>CM52-CO52</f>
        <v/>
      </c>
      <c r="CQ52" s="7">
        <f>IF(AND(CE52&gt;0,CH52=0,CI52=0),CG52+1,CG52)</f>
        <v/>
      </c>
      <c r="CR52" s="7">
        <f>IF(19=0,IF(personal_deudaEsFederal=1,0,personal_deudaEstudiantil),EA51)</f>
        <v/>
      </c>
      <c r="CS52" s="7">
        <f>IF(19=0,IF(personal_deudaEsFederal=1,prestamos_tasaPrivada,personal_tasaDeudaEstudiantil),EB51)</f>
        <v/>
      </c>
      <c r="CT52" s="7">
        <f>IF(19=0,0,EC51)</f>
        <v/>
      </c>
      <c r="CU52" s="7">
        <f>IF(OR(CR52&lt;=0,CH52=1),0,PMT(CS52,MAX(1,prestamos_plazoAnios-CT52),-CR52))</f>
        <v/>
      </c>
      <c r="CV52" s="7">
        <f>IF(CR52&lt;=0,0,IF(CH52=1,CR52*(1+CS52),MAX(0,CR52*(1+CS52)-CU52)))</f>
        <v/>
      </c>
      <c r="CW52" s="7">
        <f>IF(AND(CR52&gt;0,CH52=0),CT52+1,CT52)</f>
        <v/>
      </c>
      <c r="CX52" s="7">
        <f>IF(19=0,0,ED51)*(1+general_tasaDeudaConsumo)</f>
        <v/>
      </c>
      <c r="CY52" s="7">
        <f>L52*12*tiempos_travelGastoExtraMes*C52</f>
        <v/>
      </c>
      <c r="CZ52" s="7">
        <f>AJ52+CY52+CA52+CC52+CL52+CU52+I52+N52-BZ52-CB52</f>
        <v/>
      </c>
      <c r="DA52" s="7">
        <f>AH52-CZ52</f>
        <v/>
      </c>
      <c r="DB52" s="7">
        <f>IF(19=0,0,DB51)+DA52</f>
        <v/>
      </c>
      <c r="DC52" s="7">
        <f>AN52*vivienda_enganchePct+AN52*vivienda_cierrePct+general_reservaMeses/12*AJ52</f>
        <v/>
      </c>
      <c r="DD52" s="7">
        <f>IF(BB52=1,g_ret,IF(BD52&gt;0,MIN(1,DC52/BD52),1)*g_cash+(1-IF(BD52&gt;0,MIN(1,DC52/BD52),1))*g_ret)</f>
        <v/>
      </c>
      <c r="DE52" s="7">
        <f>IF(DA52&gt;=0,MIN(CX52,DA52),0)</f>
        <v/>
      </c>
      <c r="DF52" s="7">
        <f>IF(DA52&gt;=0,(1-general_tasaAhorro)*(DA52-DE52),0)</f>
        <v/>
      </c>
      <c r="DG52" s="7">
        <f>IF(DA52&gt;=0,DA52-DE52-DF52,0)</f>
        <v/>
      </c>
      <c r="DH52" s="7">
        <f>MIN(personal_rothAnual,DG52)</f>
        <v/>
      </c>
      <c r="DI52" s="7">
        <f>IF(AND(DA52&gt;=0,BB52=1,BP52+BT52&gt;0),MIN(vivienda_prepagoPct*(DG52-DH52),BP52+BT52),0)</f>
        <v/>
      </c>
      <c r="DJ52" s="7">
        <f>MIN(DI52,BP52)</f>
        <v/>
      </c>
      <c r="DK52" s="7">
        <f>IF(DA52&lt;0,MIN(MAX(0,BD52),-DA52),0)</f>
        <v/>
      </c>
      <c r="DL52" s="7">
        <f>IF(DA52&lt;0,-DA52-DK52,0)</f>
        <v/>
      </c>
      <c r="DM52" s="7">
        <f>IF(19=0,0,DZ51)</f>
        <v/>
      </c>
      <c r="DN52" s="7">
        <f>IF(AND(DL52&gt;0,J52&gt;0),MIN(DL52,MIN(prestamos_topeAnualPosgrado*MIN(1,J52),MAX(0,prestamos_topeTotalPosgrado-DM52))),0)</f>
        <v/>
      </c>
      <c r="DO52" s="7">
        <f>IF(AND(DL52&gt;0,J52&gt;0),DL52-DN52,0)</f>
        <v/>
      </c>
      <c r="DP52" s="7">
        <f>IF(AND(DL52&gt;0,J52&lt;=0),DL52,0)</f>
        <v/>
      </c>
      <c r="DQ52" s="7">
        <f>IF(DA52&gt;=0,DG52-DH52-DI52,-DK52)</f>
        <v/>
      </c>
      <c r="DR52" s="7">
        <f>BD52*(1+DD52)+DQ52*(1+DD52/2)</f>
        <v/>
      </c>
      <c r="DS52" s="7">
        <f>IF(19=0,personal_retiroInicial,DS51)*(1+g_ret)+(O52+P52+DH52)*(1+g_ret/2)</f>
        <v/>
      </c>
      <c r="DT52" s="7">
        <f>IF(BB52=1,BL52*(1+g_appr),0)</f>
        <v/>
      </c>
      <c r="DU52" s="7">
        <f>BP52-DJ52</f>
        <v/>
      </c>
      <c r="DV52" s="7">
        <f>BT52-(DI52-DJ52)</f>
        <v/>
      </c>
      <c r="DW52" s="7">
        <f>CP52+DN52</f>
        <v/>
      </c>
      <c r="DX52" s="7">
        <f>IF(DN52&gt;0,(CP52*CF52+DN52*prestamos_tasaFederalPosgrado)/(CP52+DN52),CF52)</f>
        <v/>
      </c>
      <c r="DY52" s="7">
        <f>IF(DN52&gt;0,0,CQ52)</f>
        <v/>
      </c>
      <c r="DZ52" s="7">
        <f>DM52+DN52</f>
        <v/>
      </c>
      <c r="EA52" s="7">
        <f>CV52+DO52</f>
        <v/>
      </c>
      <c r="EB52" s="7">
        <f>IF(DO52&gt;0,(CV52*CS52+DO52*prestamos_tasaPrivada)/(CV52+DO52),CS52)</f>
        <v/>
      </c>
      <c r="EC52" s="7">
        <f>IF(DO52&gt;0,0,CW52)</f>
        <v/>
      </c>
      <c r="ED52" s="7">
        <f>CX52-DE52+DP52</f>
        <v/>
      </c>
      <c r="EE52" s="7">
        <f>IF(IF(19=0,"",EE51)&lt;&gt;"",EE51,IF(AND(BB52=1,DU52&lt;=0.5,DV52&lt;=0.5,OR(BH52=0,BJ52=1)),A52,""))</f>
        <v/>
      </c>
      <c r="EF52" s="7">
        <f>DU52+DV52+DW52+EA52+ED52+CD52</f>
        <v/>
      </c>
      <c r="EG52" s="7">
        <f>DR52+DS52+DT52-EF52</f>
        <v/>
      </c>
      <c r="EH52" s="7">
        <f>EG52/(1+g_inf)^(A52+1-2026)</f>
        <v/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H52"/>
  <sheetViews>
    <sheetView workbookViewId="0">
      <pane xSplit="1" ySplit="32" topLeftCell="B3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0" customWidth="1" min="1" max="1"/>
  </cols>
  <sheetData>
    <row r="1">
      <c r="A1" s="1" t="inlineStr">
        <is>
          <t>A8 · NP familiar (FNP)</t>
        </is>
      </c>
    </row>
    <row r="2">
      <c r="A2" s="2" t="inlineStr">
        <is>
          <t>Etapas (celdas azules editables; fechas decimales: 2027.67 = sep-2027). Traslape por año en columnas T→AM. Hitos con costo en AN→AP.</t>
        </is>
      </c>
    </row>
    <row r="4">
      <c r="A4" s="5" t="inlineStr">
        <is>
          <t>Etapa</t>
        </is>
      </c>
      <c r="B4" s="5" t="inlineStr">
        <is>
          <t>Inicio</t>
        </is>
      </c>
      <c r="C4" s="5" t="inlineStr">
        <is>
          <t>Fin</t>
        </is>
      </c>
      <c r="D4" s="5" t="inlineStr">
        <is>
          <t>Rol</t>
        </is>
      </c>
      <c r="E4" s="5" t="inlineStr">
        <is>
          <t>Salario base FT 2026 ($)</t>
        </is>
      </c>
      <c r="F4" s="5" t="inlineStr">
        <is>
          <t>Aumento anual</t>
        </is>
      </c>
      <c r="G4" s="5" t="inlineStr">
        <is>
          <t>Horas (FTE)</t>
        </is>
      </c>
      <c r="H4" s="5" t="inlineStr">
        <is>
          <t>Multiplicador</t>
        </is>
      </c>
      <c r="I4" s="5" t="inlineStr">
        <is>
          <t>Bono al inicio</t>
        </is>
      </c>
      <c r="J4" s="5" t="inlineStr">
        <is>
          <t>Matrícula total (2026$)</t>
        </is>
      </c>
      <c r="K4" s="5" t="inlineStr">
        <is>
          <t>Estudio (1/0)</t>
        </is>
      </c>
      <c r="L4" s="5" t="inlineStr">
        <is>
          <t>PSLF (1/0)</t>
        </is>
      </c>
      <c r="M4" s="5" t="inlineStr">
        <is>
          <t>Match 403b (1/0)</t>
        </is>
      </c>
      <c r="N4" s="5" t="inlineStr">
        <is>
          <t>Travel (1/0)</t>
        </is>
      </c>
      <c r="O4" s="5" t="inlineStr">
        <is>
          <t>% stipend libre</t>
        </is>
      </c>
      <c r="P4" s="5" t="inlineStr">
        <is>
          <t>S-corp anual base</t>
        </is>
      </c>
      <c r="Q4" s="5" t="inlineStr">
        <is>
          <t>Autoempleo anual base</t>
        </is>
      </c>
      <c r="R4" s="5" t="inlineStr">
        <is>
          <t>Attending (1/0)</t>
        </is>
      </c>
      <c r="T4" s="8" t="n">
        <v>2027</v>
      </c>
      <c r="U4" s="8" t="n">
        <v>2028</v>
      </c>
      <c r="V4" s="8" t="n">
        <v>2029</v>
      </c>
      <c r="W4" s="8" t="n">
        <v>2030</v>
      </c>
      <c r="X4" s="8" t="n">
        <v>2031</v>
      </c>
      <c r="Y4" s="8" t="n">
        <v>2032</v>
      </c>
      <c r="Z4" s="8" t="n">
        <v>2033</v>
      </c>
      <c r="AA4" s="8" t="n">
        <v>2034</v>
      </c>
      <c r="AB4" s="8" t="n">
        <v>2035</v>
      </c>
      <c r="AC4" s="8" t="n">
        <v>2036</v>
      </c>
      <c r="AD4" s="8" t="n">
        <v>2037</v>
      </c>
      <c r="AE4" s="8" t="n">
        <v>2038</v>
      </c>
      <c r="AF4" s="8" t="n">
        <v>2039</v>
      </c>
      <c r="AG4" s="8" t="n">
        <v>2040</v>
      </c>
      <c r="AH4" s="8" t="n">
        <v>2041</v>
      </c>
      <c r="AI4" s="8" t="n">
        <v>2042</v>
      </c>
      <c r="AJ4" s="8" t="n">
        <v>2043</v>
      </c>
      <c r="AK4" s="8" t="n">
        <v>2044</v>
      </c>
      <c r="AL4" s="8" t="n">
        <v>2045</v>
      </c>
      <c r="AM4" s="8" t="n">
        <v>2046</v>
      </c>
      <c r="AN4" s="5" t="inlineStr">
        <is>
          <t>Hito</t>
        </is>
      </c>
      <c r="AO4" s="5" t="inlineStr">
        <is>
          <t>Fecha</t>
        </is>
      </c>
      <c r="AP4" s="5" t="inlineStr">
        <is>
          <t>Costo (2026$)</t>
        </is>
      </c>
    </row>
    <row r="5">
      <c r="A5" t="inlineStr">
        <is>
          <t>Case manager RN (cursando BSN)</t>
        </is>
      </c>
      <c r="B5" s="3" t="n">
        <v>2027</v>
      </c>
      <c r="C5" s="3" t="n">
        <v>2027.5</v>
      </c>
      <c r="D5" t="inlineStr">
        <is>
          <t>cm</t>
        </is>
      </c>
      <c r="E5">
        <f>personal_tarifaHora*2080*loc_factorRN/ubic_miami_factorRN</f>
        <v/>
      </c>
      <c r="F5">
        <f>roles_cm_aumento</f>
        <v/>
      </c>
      <c r="G5">
        <f>personal_horasSemana/40</f>
        <v/>
      </c>
      <c r="H5" s="3" t="n">
        <v>1</v>
      </c>
      <c r="I5" s="3" t="n">
        <v>0</v>
      </c>
      <c r="J5" s="3" t="n">
        <v>0</v>
      </c>
      <c r="K5" s="3" t="n">
        <v>0</v>
      </c>
      <c r="L5" s="3" t="n">
        <v>1</v>
      </c>
      <c r="M5" s="3" t="n">
        <v>1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T5">
        <f>MAX(0,MIN($C5,T$4+1)-MAX($B5,T$4))</f>
        <v/>
      </c>
      <c r="U5">
        <f>MAX(0,MIN($C5,U$4+1)-MAX($B5,U$4))</f>
        <v/>
      </c>
      <c r="V5">
        <f>MAX(0,MIN($C5,V$4+1)-MAX($B5,V$4))</f>
        <v/>
      </c>
      <c r="W5">
        <f>MAX(0,MIN($C5,W$4+1)-MAX($B5,W$4))</f>
        <v/>
      </c>
      <c r="X5">
        <f>MAX(0,MIN($C5,X$4+1)-MAX($B5,X$4))</f>
        <v/>
      </c>
      <c r="Y5">
        <f>MAX(0,MIN($C5,Y$4+1)-MAX($B5,Y$4))</f>
        <v/>
      </c>
      <c r="Z5">
        <f>MAX(0,MIN($C5,Z$4+1)-MAX($B5,Z$4))</f>
        <v/>
      </c>
      <c r="AA5">
        <f>MAX(0,MIN($C5,AA$4+1)-MAX($B5,AA$4))</f>
        <v/>
      </c>
      <c r="AB5">
        <f>MAX(0,MIN($C5,AB$4+1)-MAX($B5,AB$4))</f>
        <v/>
      </c>
      <c r="AC5">
        <f>MAX(0,MIN($C5,AC$4+1)-MAX($B5,AC$4))</f>
        <v/>
      </c>
      <c r="AD5">
        <f>MAX(0,MIN($C5,AD$4+1)-MAX($B5,AD$4))</f>
        <v/>
      </c>
      <c r="AE5">
        <f>MAX(0,MIN($C5,AE$4+1)-MAX($B5,AE$4))</f>
        <v/>
      </c>
      <c r="AF5">
        <f>MAX(0,MIN($C5,AF$4+1)-MAX($B5,AF$4))</f>
        <v/>
      </c>
      <c r="AG5">
        <f>MAX(0,MIN($C5,AG$4+1)-MAX($B5,AG$4))</f>
        <v/>
      </c>
      <c r="AH5">
        <f>MAX(0,MIN($C5,AH$4+1)-MAX($B5,AH$4))</f>
        <v/>
      </c>
      <c r="AI5">
        <f>MAX(0,MIN($C5,AI$4+1)-MAX($B5,AI$4))</f>
        <v/>
      </c>
      <c r="AJ5">
        <f>MAX(0,MIN($C5,AJ$4+1)-MAX($B5,AJ$4))</f>
        <v/>
      </c>
      <c r="AK5">
        <f>MAX(0,MIN($C5,AK$4+1)-MAX($B5,AK$4))</f>
        <v/>
      </c>
      <c r="AL5">
        <f>MAX(0,MIN($C5,AL$4+1)-MAX($B5,AL$4))</f>
        <v/>
      </c>
      <c r="AM5">
        <f>MAX(0,MIN($C5,AM$4+1)-MAX($B5,AM$4))</f>
        <v/>
      </c>
      <c r="AN5" t="inlineStr">
        <is>
          <t>Graduación RN-BSN</t>
        </is>
      </c>
      <c r="AO5" s="3" t="n">
        <v>2027.5</v>
      </c>
      <c r="AP5" s="3" t="n">
        <v>0</v>
      </c>
    </row>
    <row r="6">
      <c r="A6" t="inlineStr">
        <is>
          <t>Case manager RN (BSN)</t>
        </is>
      </c>
      <c r="B6" s="3" t="n">
        <v>2027.5</v>
      </c>
      <c r="C6" s="3" t="n">
        <v>2028</v>
      </c>
      <c r="D6" t="inlineStr">
        <is>
          <t>cm</t>
        </is>
      </c>
      <c r="E6">
        <f>personal_tarifaHora*2080*loc_factorRN/ubic_miami_factorRN</f>
        <v/>
      </c>
      <c r="F6">
        <f>roles_cm_aumento</f>
        <v/>
      </c>
      <c r="G6">
        <f>personal_horasSemana/40</f>
        <v/>
      </c>
      <c r="H6">
        <f>1+personal_bsnAumento</f>
        <v/>
      </c>
      <c r="I6" s="3" t="n">
        <v>0</v>
      </c>
      <c r="J6" s="3" t="n">
        <v>0</v>
      </c>
      <c r="K6" s="3" t="n">
        <v>0</v>
      </c>
      <c r="L6" s="3" t="n">
        <v>1</v>
      </c>
      <c r="M6" s="3" t="n">
        <v>1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  <c r="T6">
        <f>MAX(0,MIN($C6,T$4+1)-MAX($B6,T$4))</f>
        <v/>
      </c>
      <c r="U6">
        <f>MAX(0,MIN($C6,U$4+1)-MAX($B6,U$4))</f>
        <v/>
      </c>
      <c r="V6">
        <f>MAX(0,MIN($C6,V$4+1)-MAX($B6,V$4))</f>
        <v/>
      </c>
      <c r="W6">
        <f>MAX(0,MIN($C6,W$4+1)-MAX($B6,W$4))</f>
        <v/>
      </c>
      <c r="X6">
        <f>MAX(0,MIN($C6,X$4+1)-MAX($B6,X$4))</f>
        <v/>
      </c>
      <c r="Y6">
        <f>MAX(0,MIN($C6,Y$4+1)-MAX($B6,Y$4))</f>
        <v/>
      </c>
      <c r="Z6">
        <f>MAX(0,MIN($C6,Z$4+1)-MAX($B6,Z$4))</f>
        <v/>
      </c>
      <c r="AA6">
        <f>MAX(0,MIN($C6,AA$4+1)-MAX($B6,AA$4))</f>
        <v/>
      </c>
      <c r="AB6">
        <f>MAX(0,MIN($C6,AB$4+1)-MAX($B6,AB$4))</f>
        <v/>
      </c>
      <c r="AC6">
        <f>MAX(0,MIN($C6,AC$4+1)-MAX($B6,AC$4))</f>
        <v/>
      </c>
      <c r="AD6">
        <f>MAX(0,MIN($C6,AD$4+1)-MAX($B6,AD$4))</f>
        <v/>
      </c>
      <c r="AE6">
        <f>MAX(0,MIN($C6,AE$4+1)-MAX($B6,AE$4))</f>
        <v/>
      </c>
      <c r="AF6">
        <f>MAX(0,MIN($C6,AF$4+1)-MAX($B6,AF$4))</f>
        <v/>
      </c>
      <c r="AG6">
        <f>MAX(0,MIN($C6,AG$4+1)-MAX($B6,AG$4))</f>
        <v/>
      </c>
      <c r="AH6">
        <f>MAX(0,MIN($C6,AH$4+1)-MAX($B6,AH$4))</f>
        <v/>
      </c>
      <c r="AI6">
        <f>MAX(0,MIN($C6,AI$4+1)-MAX($B6,AI$4))</f>
        <v/>
      </c>
      <c r="AJ6">
        <f>MAX(0,MIN($C6,AJ$4+1)-MAX($B6,AJ$4))</f>
        <v/>
      </c>
      <c r="AK6">
        <f>MAX(0,MIN($C6,AK$4+1)-MAX($B6,AK$4))</f>
        <v/>
      </c>
      <c r="AL6">
        <f>MAX(0,MIN($C6,AL$4+1)-MAX($B6,AL$4))</f>
        <v/>
      </c>
      <c r="AM6">
        <f>MAX(0,MIN($C6,AM$4+1)-MAX($B6,AM$4))</f>
        <v/>
      </c>
      <c r="AN6" t="inlineStr">
        <is>
          <t>Matrícula restante BSN</t>
        </is>
      </c>
      <c r="AO6" s="3" t="n">
        <v>2027</v>
      </c>
      <c r="AP6" s="3">
        <f>personal_bsnCostoRestante</f>
        <v/>
      </c>
    </row>
    <row r="7">
      <c r="A7" t="inlineStr">
        <is>
          <t>Case manager + MSN-NP part-time</t>
        </is>
      </c>
      <c r="B7" s="3" t="n">
        <v>2028</v>
      </c>
      <c r="C7" s="3" t="n">
        <v>2031</v>
      </c>
      <c r="D7" t="inlineStr">
        <is>
          <t>cm</t>
        </is>
      </c>
      <c r="E7">
        <f>personal_tarifaHora*2080*loc_factorRN/ubic_miami_factorRN</f>
        <v/>
      </c>
      <c r="F7">
        <f>roles_cm_aumento</f>
        <v/>
      </c>
      <c r="G7">
        <f>tiempos_npHorasTrabajo</f>
        <v/>
      </c>
      <c r="H7">
        <f>1+personal_bsnAumento</f>
        <v/>
      </c>
      <c r="I7" s="3" t="n">
        <v>0</v>
      </c>
      <c r="J7">
        <f>tiempos_npMatricula</f>
        <v/>
      </c>
      <c r="K7" s="3" t="n">
        <v>1</v>
      </c>
      <c r="L7" s="3" t="n">
        <v>1</v>
      </c>
      <c r="M7" s="3" t="n">
        <v>1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T7">
        <f>MAX(0,MIN($C7,T$4+1)-MAX($B7,T$4))</f>
        <v/>
      </c>
      <c r="U7">
        <f>MAX(0,MIN($C7,U$4+1)-MAX($B7,U$4))</f>
        <v/>
      </c>
      <c r="V7">
        <f>MAX(0,MIN($C7,V$4+1)-MAX($B7,V$4))</f>
        <v/>
      </c>
      <c r="W7">
        <f>MAX(0,MIN($C7,W$4+1)-MAX($B7,W$4))</f>
        <v/>
      </c>
      <c r="X7">
        <f>MAX(0,MIN($C7,X$4+1)-MAX($B7,X$4))</f>
        <v/>
      </c>
      <c r="Y7">
        <f>MAX(0,MIN($C7,Y$4+1)-MAX($B7,Y$4))</f>
        <v/>
      </c>
      <c r="Z7">
        <f>MAX(0,MIN($C7,Z$4+1)-MAX($B7,Z$4))</f>
        <v/>
      </c>
      <c r="AA7">
        <f>MAX(0,MIN($C7,AA$4+1)-MAX($B7,AA$4))</f>
        <v/>
      </c>
      <c r="AB7">
        <f>MAX(0,MIN($C7,AB$4+1)-MAX($B7,AB$4))</f>
        <v/>
      </c>
      <c r="AC7">
        <f>MAX(0,MIN($C7,AC$4+1)-MAX($B7,AC$4))</f>
        <v/>
      </c>
      <c r="AD7">
        <f>MAX(0,MIN($C7,AD$4+1)-MAX($B7,AD$4))</f>
        <v/>
      </c>
      <c r="AE7">
        <f>MAX(0,MIN($C7,AE$4+1)-MAX($B7,AE$4))</f>
        <v/>
      </c>
      <c r="AF7">
        <f>MAX(0,MIN($C7,AF$4+1)-MAX($B7,AF$4))</f>
        <v/>
      </c>
      <c r="AG7">
        <f>MAX(0,MIN($C7,AG$4+1)-MAX($B7,AG$4))</f>
        <v/>
      </c>
      <c r="AH7">
        <f>MAX(0,MIN($C7,AH$4+1)-MAX($B7,AH$4))</f>
        <v/>
      </c>
      <c r="AI7">
        <f>MAX(0,MIN($C7,AI$4+1)-MAX($B7,AI$4))</f>
        <v/>
      </c>
      <c r="AJ7">
        <f>MAX(0,MIN($C7,AJ$4+1)-MAX($B7,AJ$4))</f>
        <v/>
      </c>
      <c r="AK7">
        <f>MAX(0,MIN($C7,AK$4+1)-MAX($B7,AK$4))</f>
        <v/>
      </c>
      <c r="AL7">
        <f>MAX(0,MIN($C7,AL$4+1)-MAX($B7,AL$4))</f>
        <v/>
      </c>
      <c r="AM7">
        <f>MAX(0,MIN($C7,AM$4+1)-MAX($B7,AM$4))</f>
        <v/>
      </c>
      <c r="AN7" t="inlineStr">
        <is>
          <t>Inicia MSN-NP</t>
        </is>
      </c>
      <c r="AO7" s="3" t="n">
        <v>2028</v>
      </c>
      <c r="AP7" s="3" t="n">
        <v>0</v>
      </c>
    </row>
    <row r="8">
      <c r="A8" t="inlineStr">
        <is>
          <t>FNP (año 1)</t>
        </is>
      </c>
      <c r="B8" s="3" t="n">
        <v>2031</v>
      </c>
      <c r="C8" s="3" t="n">
        <v>2032</v>
      </c>
      <c r="D8" t="inlineStr">
        <is>
          <t>fnp</t>
        </is>
      </c>
      <c r="E8">
        <f>roles_fnp_base*loc_factorRN</f>
        <v/>
      </c>
      <c r="F8">
        <f>roles_fnp_aumento</f>
        <v/>
      </c>
      <c r="G8" s="3" t="n">
        <v>1</v>
      </c>
      <c r="H8" s="3" t="n">
        <v>0.92</v>
      </c>
      <c r="I8" s="3" t="n">
        <v>0</v>
      </c>
      <c r="J8" s="3" t="n">
        <v>0</v>
      </c>
      <c r="K8" s="3" t="n">
        <v>0</v>
      </c>
      <c r="L8" s="3" t="n">
        <v>1</v>
      </c>
      <c r="M8" s="3" t="n">
        <v>1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T8">
        <f>MAX(0,MIN($C8,T$4+1)-MAX($B8,T$4))</f>
        <v/>
      </c>
      <c r="U8">
        <f>MAX(0,MIN($C8,U$4+1)-MAX($B8,U$4))</f>
        <v/>
      </c>
      <c r="V8">
        <f>MAX(0,MIN($C8,V$4+1)-MAX($B8,V$4))</f>
        <v/>
      </c>
      <c r="W8">
        <f>MAX(0,MIN($C8,W$4+1)-MAX($B8,W$4))</f>
        <v/>
      </c>
      <c r="X8">
        <f>MAX(0,MIN($C8,X$4+1)-MAX($B8,X$4))</f>
        <v/>
      </c>
      <c r="Y8">
        <f>MAX(0,MIN($C8,Y$4+1)-MAX($B8,Y$4))</f>
        <v/>
      </c>
      <c r="Z8">
        <f>MAX(0,MIN($C8,Z$4+1)-MAX($B8,Z$4))</f>
        <v/>
      </c>
      <c r="AA8">
        <f>MAX(0,MIN($C8,AA$4+1)-MAX($B8,AA$4))</f>
        <v/>
      </c>
      <c r="AB8">
        <f>MAX(0,MIN($C8,AB$4+1)-MAX($B8,AB$4))</f>
        <v/>
      </c>
      <c r="AC8">
        <f>MAX(0,MIN($C8,AC$4+1)-MAX($B8,AC$4))</f>
        <v/>
      </c>
      <c r="AD8">
        <f>MAX(0,MIN($C8,AD$4+1)-MAX($B8,AD$4))</f>
        <v/>
      </c>
      <c r="AE8">
        <f>MAX(0,MIN($C8,AE$4+1)-MAX($B8,AE$4))</f>
        <v/>
      </c>
      <c r="AF8">
        <f>MAX(0,MIN($C8,AF$4+1)-MAX($B8,AF$4))</f>
        <v/>
      </c>
      <c r="AG8">
        <f>MAX(0,MIN($C8,AG$4+1)-MAX($B8,AG$4))</f>
        <v/>
      </c>
      <c r="AH8">
        <f>MAX(0,MIN($C8,AH$4+1)-MAX($B8,AH$4))</f>
        <v/>
      </c>
      <c r="AI8">
        <f>MAX(0,MIN($C8,AI$4+1)-MAX($B8,AI$4))</f>
        <v/>
      </c>
      <c r="AJ8">
        <f>MAX(0,MIN($C8,AJ$4+1)-MAX($B8,AJ$4))</f>
        <v/>
      </c>
      <c r="AK8">
        <f>MAX(0,MIN($C8,AK$4+1)-MAX($B8,AK$4))</f>
        <v/>
      </c>
      <c r="AL8">
        <f>MAX(0,MIN($C8,AL$4+1)-MAX($B8,AL$4))</f>
        <v/>
      </c>
      <c r="AM8">
        <f>MAX(0,MIN($C8,AM$4+1)-MAX($B8,AM$4))</f>
        <v/>
      </c>
      <c r="AN8" t="inlineStr">
        <is>
          <t>Certificación NP (AANP/ANCC)</t>
        </is>
      </c>
      <c r="AO8" s="3" t="n">
        <v>2031</v>
      </c>
      <c r="AP8" s="3" t="n">
        <v>500</v>
      </c>
    </row>
    <row r="9">
      <c r="A9" t="inlineStr">
        <is>
          <t>FNP</t>
        </is>
      </c>
      <c r="B9" s="3" t="n">
        <v>2032</v>
      </c>
      <c r="C9" s="3" t="n">
        <v>2048</v>
      </c>
      <c r="D9" t="inlineStr">
        <is>
          <t>fnp</t>
        </is>
      </c>
      <c r="E9">
        <f>roles_fnp_base*loc_factorRN</f>
        <v/>
      </c>
      <c r="F9">
        <f>roles_fnp_aumento</f>
        <v/>
      </c>
      <c r="G9" s="3" t="n">
        <v>1</v>
      </c>
      <c r="H9" s="3" t="n">
        <v>1</v>
      </c>
      <c r="I9" s="3" t="n">
        <v>0</v>
      </c>
      <c r="J9" s="3" t="n">
        <v>0</v>
      </c>
      <c r="K9" s="3" t="n">
        <v>0</v>
      </c>
      <c r="L9" s="3" t="n">
        <v>1</v>
      </c>
      <c r="M9" s="3" t="n">
        <v>1</v>
      </c>
      <c r="N9" s="3" t="n">
        <v>0</v>
      </c>
      <c r="O9" s="3" t="n">
        <v>0</v>
      </c>
      <c r="P9" s="3" t="n">
        <v>0</v>
      </c>
      <c r="Q9" s="3" t="n">
        <v>0</v>
      </c>
      <c r="R9" s="3" t="n">
        <v>0</v>
      </c>
      <c r="T9">
        <f>MAX(0,MIN($C9,T$4+1)-MAX($B9,T$4))</f>
        <v/>
      </c>
      <c r="U9">
        <f>MAX(0,MIN($C9,U$4+1)-MAX($B9,U$4))</f>
        <v/>
      </c>
      <c r="V9">
        <f>MAX(0,MIN($C9,V$4+1)-MAX($B9,V$4))</f>
        <v/>
      </c>
      <c r="W9">
        <f>MAX(0,MIN($C9,W$4+1)-MAX($B9,W$4))</f>
        <v/>
      </c>
      <c r="X9">
        <f>MAX(0,MIN($C9,X$4+1)-MAX($B9,X$4))</f>
        <v/>
      </c>
      <c r="Y9">
        <f>MAX(0,MIN($C9,Y$4+1)-MAX($B9,Y$4))</f>
        <v/>
      </c>
      <c r="Z9">
        <f>MAX(0,MIN($C9,Z$4+1)-MAX($B9,Z$4))</f>
        <v/>
      </c>
      <c r="AA9">
        <f>MAX(0,MIN($C9,AA$4+1)-MAX($B9,AA$4))</f>
        <v/>
      </c>
      <c r="AB9">
        <f>MAX(0,MIN($C9,AB$4+1)-MAX($B9,AB$4))</f>
        <v/>
      </c>
      <c r="AC9">
        <f>MAX(0,MIN($C9,AC$4+1)-MAX($B9,AC$4))</f>
        <v/>
      </c>
      <c r="AD9">
        <f>MAX(0,MIN($C9,AD$4+1)-MAX($B9,AD$4))</f>
        <v/>
      </c>
      <c r="AE9">
        <f>MAX(0,MIN($C9,AE$4+1)-MAX($B9,AE$4))</f>
        <v/>
      </c>
      <c r="AF9">
        <f>MAX(0,MIN($C9,AF$4+1)-MAX($B9,AF$4))</f>
        <v/>
      </c>
      <c r="AG9">
        <f>MAX(0,MIN($C9,AG$4+1)-MAX($B9,AG$4))</f>
        <v/>
      </c>
      <c r="AH9">
        <f>MAX(0,MIN($C9,AH$4+1)-MAX($B9,AH$4))</f>
        <v/>
      </c>
      <c r="AI9">
        <f>MAX(0,MIN($C9,AI$4+1)-MAX($B9,AI$4))</f>
        <v/>
      </c>
      <c r="AJ9">
        <f>MAX(0,MIN($C9,AJ$4+1)-MAX($B9,AJ$4))</f>
        <v/>
      </c>
      <c r="AK9">
        <f>MAX(0,MIN($C9,AK$4+1)-MAX($B9,AK$4))</f>
        <v/>
      </c>
      <c r="AL9">
        <f>MAX(0,MIN($C9,AL$4+1)-MAX($B9,AL$4))</f>
        <v/>
      </c>
      <c r="AM9">
        <f>MAX(0,MIN($C9,AM$4+1)-MAX($B9,AM$4))</f>
        <v/>
      </c>
      <c r="AO9" t="n">
        <v>0</v>
      </c>
      <c r="AP9" t="n">
        <v>0</v>
      </c>
    </row>
    <row r="10">
      <c r="A10" t="inlineStr"/>
      <c r="B10" s="3" t="n">
        <v>0</v>
      </c>
      <c r="C10" s="3" t="n">
        <v>0</v>
      </c>
      <c r="D10" t="inlineStr"/>
      <c r="E10" t="n">
        <v>0</v>
      </c>
      <c r="F10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T10">
        <f>MAX(0,MIN($C10,T$4+1)-MAX($B10,T$4))</f>
        <v/>
      </c>
      <c r="U10">
        <f>MAX(0,MIN($C10,U$4+1)-MAX($B10,U$4))</f>
        <v/>
      </c>
      <c r="V10">
        <f>MAX(0,MIN($C10,V$4+1)-MAX($B10,V$4))</f>
        <v/>
      </c>
      <c r="W10">
        <f>MAX(0,MIN($C10,W$4+1)-MAX($B10,W$4))</f>
        <v/>
      </c>
      <c r="X10">
        <f>MAX(0,MIN($C10,X$4+1)-MAX($B10,X$4))</f>
        <v/>
      </c>
      <c r="Y10">
        <f>MAX(0,MIN($C10,Y$4+1)-MAX($B10,Y$4))</f>
        <v/>
      </c>
      <c r="Z10">
        <f>MAX(0,MIN($C10,Z$4+1)-MAX($B10,Z$4))</f>
        <v/>
      </c>
      <c r="AA10">
        <f>MAX(0,MIN($C10,AA$4+1)-MAX($B10,AA$4))</f>
        <v/>
      </c>
      <c r="AB10">
        <f>MAX(0,MIN($C10,AB$4+1)-MAX($B10,AB$4))</f>
        <v/>
      </c>
      <c r="AC10">
        <f>MAX(0,MIN($C10,AC$4+1)-MAX($B10,AC$4))</f>
        <v/>
      </c>
      <c r="AD10">
        <f>MAX(0,MIN($C10,AD$4+1)-MAX($B10,AD$4))</f>
        <v/>
      </c>
      <c r="AE10">
        <f>MAX(0,MIN($C10,AE$4+1)-MAX($B10,AE$4))</f>
        <v/>
      </c>
      <c r="AF10">
        <f>MAX(0,MIN($C10,AF$4+1)-MAX($B10,AF$4))</f>
        <v/>
      </c>
      <c r="AG10">
        <f>MAX(0,MIN($C10,AG$4+1)-MAX($B10,AG$4))</f>
        <v/>
      </c>
      <c r="AH10">
        <f>MAX(0,MIN($C10,AH$4+1)-MAX($B10,AH$4))</f>
        <v/>
      </c>
      <c r="AI10">
        <f>MAX(0,MIN($C10,AI$4+1)-MAX($B10,AI$4))</f>
        <v/>
      </c>
      <c r="AJ10">
        <f>MAX(0,MIN($C10,AJ$4+1)-MAX($B10,AJ$4))</f>
        <v/>
      </c>
      <c r="AK10">
        <f>MAX(0,MIN($C10,AK$4+1)-MAX($B10,AK$4))</f>
        <v/>
      </c>
      <c r="AL10">
        <f>MAX(0,MIN($C10,AL$4+1)-MAX($B10,AL$4))</f>
        <v/>
      </c>
      <c r="AM10">
        <f>MAX(0,MIN($C10,AM$4+1)-MAX($B10,AM$4))</f>
        <v/>
      </c>
      <c r="AO10" t="n">
        <v>0</v>
      </c>
      <c r="AP10" t="n">
        <v>0</v>
      </c>
    </row>
    <row r="11">
      <c r="A11" t="inlineStr"/>
      <c r="B11" s="3" t="n">
        <v>0</v>
      </c>
      <c r="C11" s="3" t="n">
        <v>0</v>
      </c>
      <c r="D11" t="inlineStr"/>
      <c r="E11" t="n">
        <v>0</v>
      </c>
      <c r="F11" t="n">
        <v>0</v>
      </c>
      <c r="G11" s="3" t="n">
        <v>0</v>
      </c>
      <c r="H11" s="3" t="n">
        <v>0</v>
      </c>
      <c r="I11" s="3" t="n">
        <v>0</v>
      </c>
      <c r="J11" s="3" t="n">
        <v>0</v>
      </c>
      <c r="K11" s="3" t="n">
        <v>0</v>
      </c>
      <c r="L11" s="3" t="n">
        <v>0</v>
      </c>
      <c r="M11" s="3" t="n">
        <v>0</v>
      </c>
      <c r="N11" s="3" t="n">
        <v>0</v>
      </c>
      <c r="O11" s="3" t="n">
        <v>0</v>
      </c>
      <c r="P11" s="3" t="n">
        <v>0</v>
      </c>
      <c r="Q11" s="3" t="n">
        <v>0</v>
      </c>
      <c r="R11" s="3" t="n">
        <v>0</v>
      </c>
      <c r="T11">
        <f>MAX(0,MIN($C11,T$4+1)-MAX($B11,T$4))</f>
        <v/>
      </c>
      <c r="U11">
        <f>MAX(0,MIN($C11,U$4+1)-MAX($B11,U$4))</f>
        <v/>
      </c>
      <c r="V11">
        <f>MAX(0,MIN($C11,V$4+1)-MAX($B11,V$4))</f>
        <v/>
      </c>
      <c r="W11">
        <f>MAX(0,MIN($C11,W$4+1)-MAX($B11,W$4))</f>
        <v/>
      </c>
      <c r="X11">
        <f>MAX(0,MIN($C11,X$4+1)-MAX($B11,X$4))</f>
        <v/>
      </c>
      <c r="Y11">
        <f>MAX(0,MIN($C11,Y$4+1)-MAX($B11,Y$4))</f>
        <v/>
      </c>
      <c r="Z11">
        <f>MAX(0,MIN($C11,Z$4+1)-MAX($B11,Z$4))</f>
        <v/>
      </c>
      <c r="AA11">
        <f>MAX(0,MIN($C11,AA$4+1)-MAX($B11,AA$4))</f>
        <v/>
      </c>
      <c r="AB11">
        <f>MAX(0,MIN($C11,AB$4+1)-MAX($B11,AB$4))</f>
        <v/>
      </c>
      <c r="AC11">
        <f>MAX(0,MIN($C11,AC$4+1)-MAX($B11,AC$4))</f>
        <v/>
      </c>
      <c r="AD11">
        <f>MAX(0,MIN($C11,AD$4+1)-MAX($B11,AD$4))</f>
        <v/>
      </c>
      <c r="AE11">
        <f>MAX(0,MIN($C11,AE$4+1)-MAX($B11,AE$4))</f>
        <v/>
      </c>
      <c r="AF11">
        <f>MAX(0,MIN($C11,AF$4+1)-MAX($B11,AF$4))</f>
        <v/>
      </c>
      <c r="AG11">
        <f>MAX(0,MIN($C11,AG$4+1)-MAX($B11,AG$4))</f>
        <v/>
      </c>
      <c r="AH11">
        <f>MAX(0,MIN($C11,AH$4+1)-MAX($B11,AH$4))</f>
        <v/>
      </c>
      <c r="AI11">
        <f>MAX(0,MIN($C11,AI$4+1)-MAX($B11,AI$4))</f>
        <v/>
      </c>
      <c r="AJ11">
        <f>MAX(0,MIN($C11,AJ$4+1)-MAX($B11,AJ$4))</f>
        <v/>
      </c>
      <c r="AK11">
        <f>MAX(0,MIN($C11,AK$4+1)-MAX($B11,AK$4))</f>
        <v/>
      </c>
      <c r="AL11">
        <f>MAX(0,MIN($C11,AL$4+1)-MAX($B11,AL$4))</f>
        <v/>
      </c>
      <c r="AM11">
        <f>MAX(0,MIN($C11,AM$4+1)-MAX($B11,AM$4))</f>
        <v/>
      </c>
      <c r="AO11" t="n">
        <v>0</v>
      </c>
      <c r="AP11" t="n">
        <v>0</v>
      </c>
    </row>
    <row r="12">
      <c r="A12" t="inlineStr"/>
      <c r="B12" s="3" t="n">
        <v>0</v>
      </c>
      <c r="C12" s="3" t="n">
        <v>0</v>
      </c>
      <c r="D12" t="inlineStr"/>
      <c r="E12" t="n">
        <v>0</v>
      </c>
      <c r="F12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T12">
        <f>MAX(0,MIN($C12,T$4+1)-MAX($B12,T$4))</f>
        <v/>
      </c>
      <c r="U12">
        <f>MAX(0,MIN($C12,U$4+1)-MAX($B12,U$4))</f>
        <v/>
      </c>
      <c r="V12">
        <f>MAX(0,MIN($C12,V$4+1)-MAX($B12,V$4))</f>
        <v/>
      </c>
      <c r="W12">
        <f>MAX(0,MIN($C12,W$4+1)-MAX($B12,W$4))</f>
        <v/>
      </c>
      <c r="X12">
        <f>MAX(0,MIN($C12,X$4+1)-MAX($B12,X$4))</f>
        <v/>
      </c>
      <c r="Y12">
        <f>MAX(0,MIN($C12,Y$4+1)-MAX($B12,Y$4))</f>
        <v/>
      </c>
      <c r="Z12">
        <f>MAX(0,MIN($C12,Z$4+1)-MAX($B12,Z$4))</f>
        <v/>
      </c>
      <c r="AA12">
        <f>MAX(0,MIN($C12,AA$4+1)-MAX($B12,AA$4))</f>
        <v/>
      </c>
      <c r="AB12">
        <f>MAX(0,MIN($C12,AB$4+1)-MAX($B12,AB$4))</f>
        <v/>
      </c>
      <c r="AC12">
        <f>MAX(0,MIN($C12,AC$4+1)-MAX($B12,AC$4))</f>
        <v/>
      </c>
      <c r="AD12">
        <f>MAX(0,MIN($C12,AD$4+1)-MAX($B12,AD$4))</f>
        <v/>
      </c>
      <c r="AE12">
        <f>MAX(0,MIN($C12,AE$4+1)-MAX($B12,AE$4))</f>
        <v/>
      </c>
      <c r="AF12">
        <f>MAX(0,MIN($C12,AF$4+1)-MAX($B12,AF$4))</f>
        <v/>
      </c>
      <c r="AG12">
        <f>MAX(0,MIN($C12,AG$4+1)-MAX($B12,AG$4))</f>
        <v/>
      </c>
      <c r="AH12">
        <f>MAX(0,MIN($C12,AH$4+1)-MAX($B12,AH$4))</f>
        <v/>
      </c>
      <c r="AI12">
        <f>MAX(0,MIN($C12,AI$4+1)-MAX($B12,AI$4))</f>
        <v/>
      </c>
      <c r="AJ12">
        <f>MAX(0,MIN($C12,AJ$4+1)-MAX($B12,AJ$4))</f>
        <v/>
      </c>
      <c r="AK12">
        <f>MAX(0,MIN($C12,AK$4+1)-MAX($B12,AK$4))</f>
        <v/>
      </c>
      <c r="AL12">
        <f>MAX(0,MIN($C12,AL$4+1)-MAX($B12,AL$4))</f>
        <v/>
      </c>
      <c r="AM12">
        <f>MAX(0,MIN($C12,AM$4+1)-MAX($B12,AM$4))</f>
        <v/>
      </c>
      <c r="AO12" t="n">
        <v>0</v>
      </c>
      <c r="AP12" t="n">
        <v>0</v>
      </c>
    </row>
    <row r="13">
      <c r="A13" t="inlineStr"/>
      <c r="B13" s="3" t="n">
        <v>0</v>
      </c>
      <c r="C13" s="3" t="n">
        <v>0</v>
      </c>
      <c r="D13" t="inlineStr"/>
      <c r="E13" t="n">
        <v>0</v>
      </c>
      <c r="F1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T13">
        <f>MAX(0,MIN($C13,T$4+1)-MAX($B13,T$4))</f>
        <v/>
      </c>
      <c r="U13">
        <f>MAX(0,MIN($C13,U$4+1)-MAX($B13,U$4))</f>
        <v/>
      </c>
      <c r="V13">
        <f>MAX(0,MIN($C13,V$4+1)-MAX($B13,V$4))</f>
        <v/>
      </c>
      <c r="W13">
        <f>MAX(0,MIN($C13,W$4+1)-MAX($B13,W$4))</f>
        <v/>
      </c>
      <c r="X13">
        <f>MAX(0,MIN($C13,X$4+1)-MAX($B13,X$4))</f>
        <v/>
      </c>
      <c r="Y13">
        <f>MAX(0,MIN($C13,Y$4+1)-MAX($B13,Y$4))</f>
        <v/>
      </c>
      <c r="Z13">
        <f>MAX(0,MIN($C13,Z$4+1)-MAX($B13,Z$4))</f>
        <v/>
      </c>
      <c r="AA13">
        <f>MAX(0,MIN($C13,AA$4+1)-MAX($B13,AA$4))</f>
        <v/>
      </c>
      <c r="AB13">
        <f>MAX(0,MIN($C13,AB$4+1)-MAX($B13,AB$4))</f>
        <v/>
      </c>
      <c r="AC13">
        <f>MAX(0,MIN($C13,AC$4+1)-MAX($B13,AC$4))</f>
        <v/>
      </c>
      <c r="AD13">
        <f>MAX(0,MIN($C13,AD$4+1)-MAX($B13,AD$4))</f>
        <v/>
      </c>
      <c r="AE13">
        <f>MAX(0,MIN($C13,AE$4+1)-MAX($B13,AE$4))</f>
        <v/>
      </c>
      <c r="AF13">
        <f>MAX(0,MIN($C13,AF$4+1)-MAX($B13,AF$4))</f>
        <v/>
      </c>
      <c r="AG13">
        <f>MAX(0,MIN($C13,AG$4+1)-MAX($B13,AG$4))</f>
        <v/>
      </c>
      <c r="AH13">
        <f>MAX(0,MIN($C13,AH$4+1)-MAX($B13,AH$4))</f>
        <v/>
      </c>
      <c r="AI13">
        <f>MAX(0,MIN($C13,AI$4+1)-MAX($B13,AI$4))</f>
        <v/>
      </c>
      <c r="AJ13">
        <f>MAX(0,MIN($C13,AJ$4+1)-MAX($B13,AJ$4))</f>
        <v/>
      </c>
      <c r="AK13">
        <f>MAX(0,MIN($C13,AK$4+1)-MAX($B13,AK$4))</f>
        <v/>
      </c>
      <c r="AL13">
        <f>MAX(0,MIN($C13,AL$4+1)-MAX($B13,AL$4))</f>
        <v/>
      </c>
      <c r="AM13">
        <f>MAX(0,MIN($C13,AM$4+1)-MAX($B13,AM$4))</f>
        <v/>
      </c>
      <c r="AO13" t="n">
        <v>0</v>
      </c>
      <c r="AP13" t="n">
        <v>0</v>
      </c>
    </row>
    <row r="14">
      <c r="A14" t="inlineStr"/>
      <c r="B14" s="3" t="n">
        <v>0</v>
      </c>
      <c r="C14" s="3" t="n">
        <v>0</v>
      </c>
      <c r="D14" t="inlineStr"/>
      <c r="E14" t="n">
        <v>0</v>
      </c>
      <c r="F14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T14">
        <f>MAX(0,MIN($C14,T$4+1)-MAX($B14,T$4))</f>
        <v/>
      </c>
      <c r="U14">
        <f>MAX(0,MIN($C14,U$4+1)-MAX($B14,U$4))</f>
        <v/>
      </c>
      <c r="V14">
        <f>MAX(0,MIN($C14,V$4+1)-MAX($B14,V$4))</f>
        <v/>
      </c>
      <c r="W14">
        <f>MAX(0,MIN($C14,W$4+1)-MAX($B14,W$4))</f>
        <v/>
      </c>
      <c r="X14">
        <f>MAX(0,MIN($C14,X$4+1)-MAX($B14,X$4))</f>
        <v/>
      </c>
      <c r="Y14">
        <f>MAX(0,MIN($C14,Y$4+1)-MAX($B14,Y$4))</f>
        <v/>
      </c>
      <c r="Z14">
        <f>MAX(0,MIN($C14,Z$4+1)-MAX($B14,Z$4))</f>
        <v/>
      </c>
      <c r="AA14">
        <f>MAX(0,MIN($C14,AA$4+1)-MAX($B14,AA$4))</f>
        <v/>
      </c>
      <c r="AB14">
        <f>MAX(0,MIN($C14,AB$4+1)-MAX($B14,AB$4))</f>
        <v/>
      </c>
      <c r="AC14">
        <f>MAX(0,MIN($C14,AC$4+1)-MAX($B14,AC$4))</f>
        <v/>
      </c>
      <c r="AD14">
        <f>MAX(0,MIN($C14,AD$4+1)-MAX($B14,AD$4))</f>
        <v/>
      </c>
      <c r="AE14">
        <f>MAX(0,MIN($C14,AE$4+1)-MAX($B14,AE$4))</f>
        <v/>
      </c>
      <c r="AF14">
        <f>MAX(0,MIN($C14,AF$4+1)-MAX($B14,AF$4))</f>
        <v/>
      </c>
      <c r="AG14">
        <f>MAX(0,MIN($C14,AG$4+1)-MAX($B14,AG$4))</f>
        <v/>
      </c>
      <c r="AH14">
        <f>MAX(0,MIN($C14,AH$4+1)-MAX($B14,AH$4))</f>
        <v/>
      </c>
      <c r="AI14">
        <f>MAX(0,MIN($C14,AI$4+1)-MAX($B14,AI$4))</f>
        <v/>
      </c>
      <c r="AJ14">
        <f>MAX(0,MIN($C14,AJ$4+1)-MAX($B14,AJ$4))</f>
        <v/>
      </c>
      <c r="AK14">
        <f>MAX(0,MIN($C14,AK$4+1)-MAX($B14,AK$4))</f>
        <v/>
      </c>
      <c r="AL14">
        <f>MAX(0,MIN($C14,AL$4+1)-MAX($B14,AL$4))</f>
        <v/>
      </c>
      <c r="AM14">
        <f>MAX(0,MIN($C14,AM$4+1)-MAX($B14,AM$4))</f>
        <v/>
      </c>
      <c r="AO14" t="n">
        <v>0</v>
      </c>
      <c r="AP14" t="n">
        <v>0</v>
      </c>
    </row>
    <row r="15">
      <c r="A15" t="inlineStr"/>
      <c r="B15" s="3" t="n">
        <v>0</v>
      </c>
      <c r="C15" s="3" t="n">
        <v>0</v>
      </c>
      <c r="D15" t="inlineStr"/>
      <c r="E15" t="n">
        <v>0</v>
      </c>
      <c r="F15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T15">
        <f>MAX(0,MIN($C15,T$4+1)-MAX($B15,T$4))</f>
        <v/>
      </c>
      <c r="U15">
        <f>MAX(0,MIN($C15,U$4+1)-MAX($B15,U$4))</f>
        <v/>
      </c>
      <c r="V15">
        <f>MAX(0,MIN($C15,V$4+1)-MAX($B15,V$4))</f>
        <v/>
      </c>
      <c r="W15">
        <f>MAX(0,MIN($C15,W$4+1)-MAX($B15,W$4))</f>
        <v/>
      </c>
      <c r="X15">
        <f>MAX(0,MIN($C15,X$4+1)-MAX($B15,X$4))</f>
        <v/>
      </c>
      <c r="Y15">
        <f>MAX(0,MIN($C15,Y$4+1)-MAX($B15,Y$4))</f>
        <v/>
      </c>
      <c r="Z15">
        <f>MAX(0,MIN($C15,Z$4+1)-MAX($B15,Z$4))</f>
        <v/>
      </c>
      <c r="AA15">
        <f>MAX(0,MIN($C15,AA$4+1)-MAX($B15,AA$4))</f>
        <v/>
      </c>
      <c r="AB15">
        <f>MAX(0,MIN($C15,AB$4+1)-MAX($B15,AB$4))</f>
        <v/>
      </c>
      <c r="AC15">
        <f>MAX(0,MIN($C15,AC$4+1)-MAX($B15,AC$4))</f>
        <v/>
      </c>
      <c r="AD15">
        <f>MAX(0,MIN($C15,AD$4+1)-MAX($B15,AD$4))</f>
        <v/>
      </c>
      <c r="AE15">
        <f>MAX(0,MIN($C15,AE$4+1)-MAX($B15,AE$4))</f>
        <v/>
      </c>
      <c r="AF15">
        <f>MAX(0,MIN($C15,AF$4+1)-MAX($B15,AF$4))</f>
        <v/>
      </c>
      <c r="AG15">
        <f>MAX(0,MIN($C15,AG$4+1)-MAX($B15,AG$4))</f>
        <v/>
      </c>
      <c r="AH15">
        <f>MAX(0,MIN($C15,AH$4+1)-MAX($B15,AH$4))</f>
        <v/>
      </c>
      <c r="AI15">
        <f>MAX(0,MIN($C15,AI$4+1)-MAX($B15,AI$4))</f>
        <v/>
      </c>
      <c r="AJ15">
        <f>MAX(0,MIN($C15,AJ$4+1)-MAX($B15,AJ$4))</f>
        <v/>
      </c>
      <c r="AK15">
        <f>MAX(0,MIN($C15,AK$4+1)-MAX($B15,AK$4))</f>
        <v/>
      </c>
      <c r="AL15">
        <f>MAX(0,MIN($C15,AL$4+1)-MAX($B15,AL$4))</f>
        <v/>
      </c>
      <c r="AM15">
        <f>MAX(0,MIN($C15,AM$4+1)-MAX($B15,AM$4))</f>
        <v/>
      </c>
      <c r="AO15" t="n">
        <v>0</v>
      </c>
      <c r="AP15" t="n">
        <v>0</v>
      </c>
    </row>
    <row r="16">
      <c r="A16" t="inlineStr"/>
      <c r="B16" s="3" t="n">
        <v>0</v>
      </c>
      <c r="C16" s="3" t="n">
        <v>0</v>
      </c>
      <c r="D16" t="inlineStr"/>
      <c r="E16" t="n">
        <v>0</v>
      </c>
      <c r="F16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0</v>
      </c>
      <c r="T16">
        <f>MAX(0,MIN($C16,T$4+1)-MAX($B16,T$4))</f>
        <v/>
      </c>
      <c r="U16">
        <f>MAX(0,MIN($C16,U$4+1)-MAX($B16,U$4))</f>
        <v/>
      </c>
      <c r="V16">
        <f>MAX(0,MIN($C16,V$4+1)-MAX($B16,V$4))</f>
        <v/>
      </c>
      <c r="W16">
        <f>MAX(0,MIN($C16,W$4+1)-MAX($B16,W$4))</f>
        <v/>
      </c>
      <c r="X16">
        <f>MAX(0,MIN($C16,X$4+1)-MAX($B16,X$4))</f>
        <v/>
      </c>
      <c r="Y16">
        <f>MAX(0,MIN($C16,Y$4+1)-MAX($B16,Y$4))</f>
        <v/>
      </c>
      <c r="Z16">
        <f>MAX(0,MIN($C16,Z$4+1)-MAX($B16,Z$4))</f>
        <v/>
      </c>
      <c r="AA16">
        <f>MAX(0,MIN($C16,AA$4+1)-MAX($B16,AA$4))</f>
        <v/>
      </c>
      <c r="AB16">
        <f>MAX(0,MIN($C16,AB$4+1)-MAX($B16,AB$4))</f>
        <v/>
      </c>
      <c r="AC16">
        <f>MAX(0,MIN($C16,AC$4+1)-MAX($B16,AC$4))</f>
        <v/>
      </c>
      <c r="AD16">
        <f>MAX(0,MIN($C16,AD$4+1)-MAX($B16,AD$4))</f>
        <v/>
      </c>
      <c r="AE16">
        <f>MAX(0,MIN($C16,AE$4+1)-MAX($B16,AE$4))</f>
        <v/>
      </c>
      <c r="AF16">
        <f>MAX(0,MIN($C16,AF$4+1)-MAX($B16,AF$4))</f>
        <v/>
      </c>
      <c r="AG16">
        <f>MAX(0,MIN($C16,AG$4+1)-MAX($B16,AG$4))</f>
        <v/>
      </c>
      <c r="AH16">
        <f>MAX(0,MIN($C16,AH$4+1)-MAX($B16,AH$4))</f>
        <v/>
      </c>
      <c r="AI16">
        <f>MAX(0,MIN($C16,AI$4+1)-MAX($B16,AI$4))</f>
        <v/>
      </c>
      <c r="AJ16">
        <f>MAX(0,MIN($C16,AJ$4+1)-MAX($B16,AJ$4))</f>
        <v/>
      </c>
      <c r="AK16">
        <f>MAX(0,MIN($C16,AK$4+1)-MAX($B16,AK$4))</f>
        <v/>
      </c>
      <c r="AL16">
        <f>MAX(0,MIN($C16,AL$4+1)-MAX($B16,AL$4))</f>
        <v/>
      </c>
      <c r="AM16">
        <f>MAX(0,MIN($C16,AM$4+1)-MAX($B16,AM$4))</f>
        <v/>
      </c>
      <c r="AO16" t="n">
        <v>0</v>
      </c>
      <c r="AP16" t="n">
        <v>0</v>
      </c>
    </row>
    <row r="17">
      <c r="A17" t="inlineStr"/>
      <c r="B17" s="3" t="n">
        <v>0</v>
      </c>
      <c r="C17" s="3" t="n">
        <v>0</v>
      </c>
      <c r="D17" t="inlineStr"/>
      <c r="E17" t="n">
        <v>0</v>
      </c>
      <c r="F17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T17">
        <f>MAX(0,MIN($C17,T$4+1)-MAX($B17,T$4))</f>
        <v/>
      </c>
      <c r="U17">
        <f>MAX(0,MIN($C17,U$4+1)-MAX($B17,U$4))</f>
        <v/>
      </c>
      <c r="V17">
        <f>MAX(0,MIN($C17,V$4+1)-MAX($B17,V$4))</f>
        <v/>
      </c>
      <c r="W17">
        <f>MAX(0,MIN($C17,W$4+1)-MAX($B17,W$4))</f>
        <v/>
      </c>
      <c r="X17">
        <f>MAX(0,MIN($C17,X$4+1)-MAX($B17,X$4))</f>
        <v/>
      </c>
      <c r="Y17">
        <f>MAX(0,MIN($C17,Y$4+1)-MAX($B17,Y$4))</f>
        <v/>
      </c>
      <c r="Z17">
        <f>MAX(0,MIN($C17,Z$4+1)-MAX($B17,Z$4))</f>
        <v/>
      </c>
      <c r="AA17">
        <f>MAX(0,MIN($C17,AA$4+1)-MAX($B17,AA$4))</f>
        <v/>
      </c>
      <c r="AB17">
        <f>MAX(0,MIN($C17,AB$4+1)-MAX($B17,AB$4))</f>
        <v/>
      </c>
      <c r="AC17">
        <f>MAX(0,MIN($C17,AC$4+1)-MAX($B17,AC$4))</f>
        <v/>
      </c>
      <c r="AD17">
        <f>MAX(0,MIN($C17,AD$4+1)-MAX($B17,AD$4))</f>
        <v/>
      </c>
      <c r="AE17">
        <f>MAX(0,MIN($C17,AE$4+1)-MAX($B17,AE$4))</f>
        <v/>
      </c>
      <c r="AF17">
        <f>MAX(0,MIN($C17,AF$4+1)-MAX($B17,AF$4))</f>
        <v/>
      </c>
      <c r="AG17">
        <f>MAX(0,MIN($C17,AG$4+1)-MAX($B17,AG$4))</f>
        <v/>
      </c>
      <c r="AH17">
        <f>MAX(0,MIN($C17,AH$4+1)-MAX($B17,AH$4))</f>
        <v/>
      </c>
      <c r="AI17">
        <f>MAX(0,MIN($C17,AI$4+1)-MAX($B17,AI$4))</f>
        <v/>
      </c>
      <c r="AJ17">
        <f>MAX(0,MIN($C17,AJ$4+1)-MAX($B17,AJ$4))</f>
        <v/>
      </c>
      <c r="AK17">
        <f>MAX(0,MIN($C17,AK$4+1)-MAX($B17,AK$4))</f>
        <v/>
      </c>
      <c r="AL17">
        <f>MAX(0,MIN($C17,AL$4+1)-MAX($B17,AL$4))</f>
        <v/>
      </c>
      <c r="AM17">
        <f>MAX(0,MIN($C17,AM$4+1)-MAX($B17,AM$4))</f>
        <v/>
      </c>
      <c r="AO17" t="n">
        <v>0</v>
      </c>
      <c r="AP17" t="n">
        <v>0</v>
      </c>
    </row>
    <row r="18">
      <c r="A18" t="inlineStr"/>
      <c r="B18" s="3" t="n">
        <v>0</v>
      </c>
      <c r="C18" s="3" t="n">
        <v>0</v>
      </c>
      <c r="D18" t="inlineStr"/>
      <c r="E18" t="n">
        <v>0</v>
      </c>
      <c r="F18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T18">
        <f>MAX(0,MIN($C18,T$4+1)-MAX($B18,T$4))</f>
        <v/>
      </c>
      <c r="U18">
        <f>MAX(0,MIN($C18,U$4+1)-MAX($B18,U$4))</f>
        <v/>
      </c>
      <c r="V18">
        <f>MAX(0,MIN($C18,V$4+1)-MAX($B18,V$4))</f>
        <v/>
      </c>
      <c r="W18">
        <f>MAX(0,MIN($C18,W$4+1)-MAX($B18,W$4))</f>
        <v/>
      </c>
      <c r="X18">
        <f>MAX(0,MIN($C18,X$4+1)-MAX($B18,X$4))</f>
        <v/>
      </c>
      <c r="Y18">
        <f>MAX(0,MIN($C18,Y$4+1)-MAX($B18,Y$4))</f>
        <v/>
      </c>
      <c r="Z18">
        <f>MAX(0,MIN($C18,Z$4+1)-MAX($B18,Z$4))</f>
        <v/>
      </c>
      <c r="AA18">
        <f>MAX(0,MIN($C18,AA$4+1)-MAX($B18,AA$4))</f>
        <v/>
      </c>
      <c r="AB18">
        <f>MAX(0,MIN($C18,AB$4+1)-MAX($B18,AB$4))</f>
        <v/>
      </c>
      <c r="AC18">
        <f>MAX(0,MIN($C18,AC$4+1)-MAX($B18,AC$4))</f>
        <v/>
      </c>
      <c r="AD18">
        <f>MAX(0,MIN($C18,AD$4+1)-MAX($B18,AD$4))</f>
        <v/>
      </c>
      <c r="AE18">
        <f>MAX(0,MIN($C18,AE$4+1)-MAX($B18,AE$4))</f>
        <v/>
      </c>
      <c r="AF18">
        <f>MAX(0,MIN($C18,AF$4+1)-MAX($B18,AF$4))</f>
        <v/>
      </c>
      <c r="AG18">
        <f>MAX(0,MIN($C18,AG$4+1)-MAX($B18,AG$4))</f>
        <v/>
      </c>
      <c r="AH18">
        <f>MAX(0,MIN($C18,AH$4+1)-MAX($B18,AH$4))</f>
        <v/>
      </c>
      <c r="AI18">
        <f>MAX(0,MIN($C18,AI$4+1)-MAX($B18,AI$4))</f>
        <v/>
      </c>
      <c r="AJ18">
        <f>MAX(0,MIN($C18,AJ$4+1)-MAX($B18,AJ$4))</f>
        <v/>
      </c>
      <c r="AK18">
        <f>MAX(0,MIN($C18,AK$4+1)-MAX($B18,AK$4))</f>
        <v/>
      </c>
      <c r="AL18">
        <f>MAX(0,MIN($C18,AL$4+1)-MAX($B18,AL$4))</f>
        <v/>
      </c>
      <c r="AM18">
        <f>MAX(0,MIN($C18,AM$4+1)-MAX($B18,AM$4))</f>
        <v/>
      </c>
      <c r="AO18" t="n">
        <v>0</v>
      </c>
      <c r="AP18" t="n">
        <v>0</v>
      </c>
    </row>
    <row r="19">
      <c r="A19" t="inlineStr"/>
      <c r="B19" s="3" t="n">
        <v>0</v>
      </c>
      <c r="C19" s="3" t="n">
        <v>0</v>
      </c>
      <c r="D19" t="inlineStr"/>
      <c r="E19" t="n">
        <v>0</v>
      </c>
      <c r="F19" t="n">
        <v>0</v>
      </c>
      <c r="G19" s="3" t="n">
        <v>0</v>
      </c>
      <c r="H19" s="3" t="n">
        <v>0</v>
      </c>
      <c r="I19" s="3" t="n">
        <v>0</v>
      </c>
      <c r="J19" s="3" t="n">
        <v>0</v>
      </c>
      <c r="K19" s="3" t="n">
        <v>0</v>
      </c>
      <c r="L19" s="3" t="n">
        <v>0</v>
      </c>
      <c r="M19" s="3" t="n">
        <v>0</v>
      </c>
      <c r="N19" s="3" t="n">
        <v>0</v>
      </c>
      <c r="O19" s="3" t="n">
        <v>0</v>
      </c>
      <c r="P19" s="3" t="n">
        <v>0</v>
      </c>
      <c r="Q19" s="3" t="n">
        <v>0</v>
      </c>
      <c r="R19" s="3" t="n">
        <v>0</v>
      </c>
      <c r="T19">
        <f>MAX(0,MIN($C19,T$4+1)-MAX($B19,T$4))</f>
        <v/>
      </c>
      <c r="U19">
        <f>MAX(0,MIN($C19,U$4+1)-MAX($B19,U$4))</f>
        <v/>
      </c>
      <c r="V19">
        <f>MAX(0,MIN($C19,V$4+1)-MAX($B19,V$4))</f>
        <v/>
      </c>
      <c r="W19">
        <f>MAX(0,MIN($C19,W$4+1)-MAX($B19,W$4))</f>
        <v/>
      </c>
      <c r="X19">
        <f>MAX(0,MIN($C19,X$4+1)-MAX($B19,X$4))</f>
        <v/>
      </c>
      <c r="Y19">
        <f>MAX(0,MIN($C19,Y$4+1)-MAX($B19,Y$4))</f>
        <v/>
      </c>
      <c r="Z19">
        <f>MAX(0,MIN($C19,Z$4+1)-MAX($B19,Z$4))</f>
        <v/>
      </c>
      <c r="AA19">
        <f>MAX(0,MIN($C19,AA$4+1)-MAX($B19,AA$4))</f>
        <v/>
      </c>
      <c r="AB19">
        <f>MAX(0,MIN($C19,AB$4+1)-MAX($B19,AB$4))</f>
        <v/>
      </c>
      <c r="AC19">
        <f>MAX(0,MIN($C19,AC$4+1)-MAX($B19,AC$4))</f>
        <v/>
      </c>
      <c r="AD19">
        <f>MAX(0,MIN($C19,AD$4+1)-MAX($B19,AD$4))</f>
        <v/>
      </c>
      <c r="AE19">
        <f>MAX(0,MIN($C19,AE$4+1)-MAX($B19,AE$4))</f>
        <v/>
      </c>
      <c r="AF19">
        <f>MAX(0,MIN($C19,AF$4+1)-MAX($B19,AF$4))</f>
        <v/>
      </c>
      <c r="AG19">
        <f>MAX(0,MIN($C19,AG$4+1)-MAX($B19,AG$4))</f>
        <v/>
      </c>
      <c r="AH19">
        <f>MAX(0,MIN($C19,AH$4+1)-MAX($B19,AH$4))</f>
        <v/>
      </c>
      <c r="AI19">
        <f>MAX(0,MIN($C19,AI$4+1)-MAX($B19,AI$4))</f>
        <v/>
      </c>
      <c r="AJ19">
        <f>MAX(0,MIN($C19,AJ$4+1)-MAX($B19,AJ$4))</f>
        <v/>
      </c>
      <c r="AK19">
        <f>MAX(0,MIN($C19,AK$4+1)-MAX($B19,AK$4))</f>
        <v/>
      </c>
      <c r="AL19">
        <f>MAX(0,MIN($C19,AL$4+1)-MAX($B19,AL$4))</f>
        <v/>
      </c>
      <c r="AM19">
        <f>MAX(0,MIN($C19,AM$4+1)-MAX($B19,AM$4))</f>
        <v/>
      </c>
      <c r="AO19" t="n">
        <v>0</v>
      </c>
      <c r="AP19" t="n">
        <v>0</v>
      </c>
    </row>
    <row r="20">
      <c r="A20" t="inlineStr"/>
      <c r="B20" s="3" t="n">
        <v>0</v>
      </c>
      <c r="C20" s="3" t="n">
        <v>0</v>
      </c>
      <c r="D20" t="inlineStr"/>
      <c r="E20" t="n">
        <v>0</v>
      </c>
      <c r="F20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T20">
        <f>MAX(0,MIN($C20,T$4+1)-MAX($B20,T$4))</f>
        <v/>
      </c>
      <c r="U20">
        <f>MAX(0,MIN($C20,U$4+1)-MAX($B20,U$4))</f>
        <v/>
      </c>
      <c r="V20">
        <f>MAX(0,MIN($C20,V$4+1)-MAX($B20,V$4))</f>
        <v/>
      </c>
      <c r="W20">
        <f>MAX(0,MIN($C20,W$4+1)-MAX($B20,W$4))</f>
        <v/>
      </c>
      <c r="X20">
        <f>MAX(0,MIN($C20,X$4+1)-MAX($B20,X$4))</f>
        <v/>
      </c>
      <c r="Y20">
        <f>MAX(0,MIN($C20,Y$4+1)-MAX($B20,Y$4))</f>
        <v/>
      </c>
      <c r="Z20">
        <f>MAX(0,MIN($C20,Z$4+1)-MAX($B20,Z$4))</f>
        <v/>
      </c>
      <c r="AA20">
        <f>MAX(0,MIN($C20,AA$4+1)-MAX($B20,AA$4))</f>
        <v/>
      </c>
      <c r="AB20">
        <f>MAX(0,MIN($C20,AB$4+1)-MAX($B20,AB$4))</f>
        <v/>
      </c>
      <c r="AC20">
        <f>MAX(0,MIN($C20,AC$4+1)-MAX($B20,AC$4))</f>
        <v/>
      </c>
      <c r="AD20">
        <f>MAX(0,MIN($C20,AD$4+1)-MAX($B20,AD$4))</f>
        <v/>
      </c>
      <c r="AE20">
        <f>MAX(0,MIN($C20,AE$4+1)-MAX($B20,AE$4))</f>
        <v/>
      </c>
      <c r="AF20">
        <f>MAX(0,MIN($C20,AF$4+1)-MAX($B20,AF$4))</f>
        <v/>
      </c>
      <c r="AG20">
        <f>MAX(0,MIN($C20,AG$4+1)-MAX($B20,AG$4))</f>
        <v/>
      </c>
      <c r="AH20">
        <f>MAX(0,MIN($C20,AH$4+1)-MAX($B20,AH$4))</f>
        <v/>
      </c>
      <c r="AI20">
        <f>MAX(0,MIN($C20,AI$4+1)-MAX($B20,AI$4))</f>
        <v/>
      </c>
      <c r="AJ20">
        <f>MAX(0,MIN($C20,AJ$4+1)-MAX($B20,AJ$4))</f>
        <v/>
      </c>
      <c r="AK20">
        <f>MAX(0,MIN($C20,AK$4+1)-MAX($B20,AK$4))</f>
        <v/>
      </c>
      <c r="AL20">
        <f>MAX(0,MIN($C20,AL$4+1)-MAX($B20,AL$4))</f>
        <v/>
      </c>
      <c r="AM20">
        <f>MAX(0,MIN($C20,AM$4+1)-MAX($B20,AM$4))</f>
        <v/>
      </c>
      <c r="AO20" t="n">
        <v>0</v>
      </c>
      <c r="AP20" t="n">
        <v>0</v>
      </c>
    </row>
    <row r="21">
      <c r="A21" t="inlineStr"/>
      <c r="B21" s="3" t="n">
        <v>0</v>
      </c>
      <c r="C21" s="3" t="n">
        <v>0</v>
      </c>
      <c r="D21" t="inlineStr"/>
      <c r="E21" t="n">
        <v>0</v>
      </c>
      <c r="F21" t="n">
        <v>0</v>
      </c>
      <c r="G21" s="3" t="n">
        <v>0</v>
      </c>
      <c r="H21" s="3" t="n">
        <v>0</v>
      </c>
      <c r="I21" s="3" t="n">
        <v>0</v>
      </c>
      <c r="J21" s="3" t="n">
        <v>0</v>
      </c>
      <c r="K21" s="3" t="n">
        <v>0</v>
      </c>
      <c r="L21" s="3" t="n">
        <v>0</v>
      </c>
      <c r="M21" s="3" t="n">
        <v>0</v>
      </c>
      <c r="N21" s="3" t="n">
        <v>0</v>
      </c>
      <c r="O21" s="3" t="n">
        <v>0</v>
      </c>
      <c r="P21" s="3" t="n">
        <v>0</v>
      </c>
      <c r="Q21" s="3" t="n">
        <v>0</v>
      </c>
      <c r="R21" s="3" t="n">
        <v>0</v>
      </c>
      <c r="T21">
        <f>MAX(0,MIN($C21,T$4+1)-MAX($B21,T$4))</f>
        <v/>
      </c>
      <c r="U21">
        <f>MAX(0,MIN($C21,U$4+1)-MAX($B21,U$4))</f>
        <v/>
      </c>
      <c r="V21">
        <f>MAX(0,MIN($C21,V$4+1)-MAX($B21,V$4))</f>
        <v/>
      </c>
      <c r="W21">
        <f>MAX(0,MIN($C21,W$4+1)-MAX($B21,W$4))</f>
        <v/>
      </c>
      <c r="X21">
        <f>MAX(0,MIN($C21,X$4+1)-MAX($B21,X$4))</f>
        <v/>
      </c>
      <c r="Y21">
        <f>MAX(0,MIN($C21,Y$4+1)-MAX($B21,Y$4))</f>
        <v/>
      </c>
      <c r="Z21">
        <f>MAX(0,MIN($C21,Z$4+1)-MAX($B21,Z$4))</f>
        <v/>
      </c>
      <c r="AA21">
        <f>MAX(0,MIN($C21,AA$4+1)-MAX($B21,AA$4))</f>
        <v/>
      </c>
      <c r="AB21">
        <f>MAX(0,MIN($C21,AB$4+1)-MAX($B21,AB$4))</f>
        <v/>
      </c>
      <c r="AC21">
        <f>MAX(0,MIN($C21,AC$4+1)-MAX($B21,AC$4))</f>
        <v/>
      </c>
      <c r="AD21">
        <f>MAX(0,MIN($C21,AD$4+1)-MAX($B21,AD$4))</f>
        <v/>
      </c>
      <c r="AE21">
        <f>MAX(0,MIN($C21,AE$4+1)-MAX($B21,AE$4))</f>
        <v/>
      </c>
      <c r="AF21">
        <f>MAX(0,MIN($C21,AF$4+1)-MAX($B21,AF$4))</f>
        <v/>
      </c>
      <c r="AG21">
        <f>MAX(0,MIN($C21,AG$4+1)-MAX($B21,AG$4))</f>
        <v/>
      </c>
      <c r="AH21">
        <f>MAX(0,MIN($C21,AH$4+1)-MAX($B21,AH$4))</f>
        <v/>
      </c>
      <c r="AI21">
        <f>MAX(0,MIN($C21,AI$4+1)-MAX($B21,AI$4))</f>
        <v/>
      </c>
      <c r="AJ21">
        <f>MAX(0,MIN($C21,AJ$4+1)-MAX($B21,AJ$4))</f>
        <v/>
      </c>
      <c r="AK21">
        <f>MAX(0,MIN($C21,AK$4+1)-MAX($B21,AK$4))</f>
        <v/>
      </c>
      <c r="AL21">
        <f>MAX(0,MIN($C21,AL$4+1)-MAX($B21,AL$4))</f>
        <v/>
      </c>
      <c r="AM21">
        <f>MAX(0,MIN($C21,AM$4+1)-MAX($B21,AM$4))</f>
        <v/>
      </c>
      <c r="AO21" t="n">
        <v>0</v>
      </c>
      <c r="AP21" t="n">
        <v>0</v>
      </c>
    </row>
    <row r="22">
      <c r="A22" t="inlineStr"/>
      <c r="B22" s="3" t="n">
        <v>0</v>
      </c>
      <c r="C22" s="3" t="n">
        <v>0</v>
      </c>
      <c r="D22" t="inlineStr"/>
      <c r="E22" t="n">
        <v>0</v>
      </c>
      <c r="F22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T22">
        <f>MAX(0,MIN($C22,T$4+1)-MAX($B22,T$4))</f>
        <v/>
      </c>
      <c r="U22">
        <f>MAX(0,MIN($C22,U$4+1)-MAX($B22,U$4))</f>
        <v/>
      </c>
      <c r="V22">
        <f>MAX(0,MIN($C22,V$4+1)-MAX($B22,V$4))</f>
        <v/>
      </c>
      <c r="W22">
        <f>MAX(0,MIN($C22,W$4+1)-MAX($B22,W$4))</f>
        <v/>
      </c>
      <c r="X22">
        <f>MAX(0,MIN($C22,X$4+1)-MAX($B22,X$4))</f>
        <v/>
      </c>
      <c r="Y22">
        <f>MAX(0,MIN($C22,Y$4+1)-MAX($B22,Y$4))</f>
        <v/>
      </c>
      <c r="Z22">
        <f>MAX(0,MIN($C22,Z$4+1)-MAX($B22,Z$4))</f>
        <v/>
      </c>
      <c r="AA22">
        <f>MAX(0,MIN($C22,AA$4+1)-MAX($B22,AA$4))</f>
        <v/>
      </c>
      <c r="AB22">
        <f>MAX(0,MIN($C22,AB$4+1)-MAX($B22,AB$4))</f>
        <v/>
      </c>
      <c r="AC22">
        <f>MAX(0,MIN($C22,AC$4+1)-MAX($B22,AC$4))</f>
        <v/>
      </c>
      <c r="AD22">
        <f>MAX(0,MIN($C22,AD$4+1)-MAX($B22,AD$4))</f>
        <v/>
      </c>
      <c r="AE22">
        <f>MAX(0,MIN($C22,AE$4+1)-MAX($B22,AE$4))</f>
        <v/>
      </c>
      <c r="AF22">
        <f>MAX(0,MIN($C22,AF$4+1)-MAX($B22,AF$4))</f>
        <v/>
      </c>
      <c r="AG22">
        <f>MAX(0,MIN($C22,AG$4+1)-MAX($B22,AG$4))</f>
        <v/>
      </c>
      <c r="AH22">
        <f>MAX(0,MIN($C22,AH$4+1)-MAX($B22,AH$4))</f>
        <v/>
      </c>
      <c r="AI22">
        <f>MAX(0,MIN($C22,AI$4+1)-MAX($B22,AI$4))</f>
        <v/>
      </c>
      <c r="AJ22">
        <f>MAX(0,MIN($C22,AJ$4+1)-MAX($B22,AJ$4))</f>
        <v/>
      </c>
      <c r="AK22">
        <f>MAX(0,MIN($C22,AK$4+1)-MAX($B22,AK$4))</f>
        <v/>
      </c>
      <c r="AL22">
        <f>MAX(0,MIN($C22,AL$4+1)-MAX($B22,AL$4))</f>
        <v/>
      </c>
      <c r="AM22">
        <f>MAX(0,MIN($C22,AM$4+1)-MAX($B22,AM$4))</f>
        <v/>
      </c>
      <c r="AO22" t="n">
        <v>0</v>
      </c>
      <c r="AP22" t="n">
        <v>0</v>
      </c>
    </row>
    <row r="23">
      <c r="A23" t="inlineStr"/>
      <c r="B23" s="3" t="n">
        <v>0</v>
      </c>
      <c r="C23" s="3" t="n">
        <v>0</v>
      </c>
      <c r="D23" t="inlineStr"/>
      <c r="E23" t="n">
        <v>0</v>
      </c>
      <c r="F2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T23">
        <f>MAX(0,MIN($C23,T$4+1)-MAX($B23,T$4))</f>
        <v/>
      </c>
      <c r="U23">
        <f>MAX(0,MIN($C23,U$4+1)-MAX($B23,U$4))</f>
        <v/>
      </c>
      <c r="V23">
        <f>MAX(0,MIN($C23,V$4+1)-MAX($B23,V$4))</f>
        <v/>
      </c>
      <c r="W23">
        <f>MAX(0,MIN($C23,W$4+1)-MAX($B23,W$4))</f>
        <v/>
      </c>
      <c r="X23">
        <f>MAX(0,MIN($C23,X$4+1)-MAX($B23,X$4))</f>
        <v/>
      </c>
      <c r="Y23">
        <f>MAX(0,MIN($C23,Y$4+1)-MAX($B23,Y$4))</f>
        <v/>
      </c>
      <c r="Z23">
        <f>MAX(0,MIN($C23,Z$4+1)-MAX($B23,Z$4))</f>
        <v/>
      </c>
      <c r="AA23">
        <f>MAX(0,MIN($C23,AA$4+1)-MAX($B23,AA$4))</f>
        <v/>
      </c>
      <c r="AB23">
        <f>MAX(0,MIN($C23,AB$4+1)-MAX($B23,AB$4))</f>
        <v/>
      </c>
      <c r="AC23">
        <f>MAX(0,MIN($C23,AC$4+1)-MAX($B23,AC$4))</f>
        <v/>
      </c>
      <c r="AD23">
        <f>MAX(0,MIN($C23,AD$4+1)-MAX($B23,AD$4))</f>
        <v/>
      </c>
      <c r="AE23">
        <f>MAX(0,MIN($C23,AE$4+1)-MAX($B23,AE$4))</f>
        <v/>
      </c>
      <c r="AF23">
        <f>MAX(0,MIN($C23,AF$4+1)-MAX($B23,AF$4))</f>
        <v/>
      </c>
      <c r="AG23">
        <f>MAX(0,MIN($C23,AG$4+1)-MAX($B23,AG$4))</f>
        <v/>
      </c>
      <c r="AH23">
        <f>MAX(0,MIN($C23,AH$4+1)-MAX($B23,AH$4))</f>
        <v/>
      </c>
      <c r="AI23">
        <f>MAX(0,MIN($C23,AI$4+1)-MAX($B23,AI$4))</f>
        <v/>
      </c>
      <c r="AJ23">
        <f>MAX(0,MIN($C23,AJ$4+1)-MAX($B23,AJ$4))</f>
        <v/>
      </c>
      <c r="AK23">
        <f>MAX(0,MIN($C23,AK$4+1)-MAX($B23,AK$4))</f>
        <v/>
      </c>
      <c r="AL23">
        <f>MAX(0,MIN($C23,AL$4+1)-MAX($B23,AL$4))</f>
        <v/>
      </c>
      <c r="AM23">
        <f>MAX(0,MIN($C23,AM$4+1)-MAX($B23,AM$4))</f>
        <v/>
      </c>
      <c r="AO23" t="n">
        <v>0</v>
      </c>
      <c r="AP23" t="n">
        <v>0</v>
      </c>
    </row>
    <row r="24">
      <c r="A24" t="inlineStr"/>
      <c r="B24" s="3" t="n">
        <v>0</v>
      </c>
      <c r="C24" s="3" t="n">
        <v>0</v>
      </c>
      <c r="D24" t="inlineStr"/>
      <c r="E24" t="n">
        <v>0</v>
      </c>
      <c r="F24" t="n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  <c r="P24" s="3" t="n">
        <v>0</v>
      </c>
      <c r="Q24" s="3" t="n">
        <v>0</v>
      </c>
      <c r="R24" s="3" t="n">
        <v>0</v>
      </c>
      <c r="T24">
        <f>MAX(0,MIN($C24,T$4+1)-MAX($B24,T$4))</f>
        <v/>
      </c>
      <c r="U24">
        <f>MAX(0,MIN($C24,U$4+1)-MAX($B24,U$4))</f>
        <v/>
      </c>
      <c r="V24">
        <f>MAX(0,MIN($C24,V$4+1)-MAX($B24,V$4))</f>
        <v/>
      </c>
      <c r="W24">
        <f>MAX(0,MIN($C24,W$4+1)-MAX($B24,W$4))</f>
        <v/>
      </c>
      <c r="X24">
        <f>MAX(0,MIN($C24,X$4+1)-MAX($B24,X$4))</f>
        <v/>
      </c>
      <c r="Y24">
        <f>MAX(0,MIN($C24,Y$4+1)-MAX($B24,Y$4))</f>
        <v/>
      </c>
      <c r="Z24">
        <f>MAX(0,MIN($C24,Z$4+1)-MAX($B24,Z$4))</f>
        <v/>
      </c>
      <c r="AA24">
        <f>MAX(0,MIN($C24,AA$4+1)-MAX($B24,AA$4))</f>
        <v/>
      </c>
      <c r="AB24">
        <f>MAX(0,MIN($C24,AB$4+1)-MAX($B24,AB$4))</f>
        <v/>
      </c>
      <c r="AC24">
        <f>MAX(0,MIN($C24,AC$4+1)-MAX($B24,AC$4))</f>
        <v/>
      </c>
      <c r="AD24">
        <f>MAX(0,MIN($C24,AD$4+1)-MAX($B24,AD$4))</f>
        <v/>
      </c>
      <c r="AE24">
        <f>MAX(0,MIN($C24,AE$4+1)-MAX($B24,AE$4))</f>
        <v/>
      </c>
      <c r="AF24">
        <f>MAX(0,MIN($C24,AF$4+1)-MAX($B24,AF$4))</f>
        <v/>
      </c>
      <c r="AG24">
        <f>MAX(0,MIN($C24,AG$4+1)-MAX($B24,AG$4))</f>
        <v/>
      </c>
      <c r="AH24">
        <f>MAX(0,MIN($C24,AH$4+1)-MAX($B24,AH$4))</f>
        <v/>
      </c>
      <c r="AI24">
        <f>MAX(0,MIN($C24,AI$4+1)-MAX($B24,AI$4))</f>
        <v/>
      </c>
      <c r="AJ24">
        <f>MAX(0,MIN($C24,AJ$4+1)-MAX($B24,AJ$4))</f>
        <v/>
      </c>
      <c r="AK24">
        <f>MAX(0,MIN($C24,AK$4+1)-MAX($B24,AK$4))</f>
        <v/>
      </c>
      <c r="AL24">
        <f>MAX(0,MIN($C24,AL$4+1)-MAX($B24,AL$4))</f>
        <v/>
      </c>
      <c r="AM24">
        <f>MAX(0,MIN($C24,AM$4+1)-MAX($B24,AM$4))</f>
        <v/>
      </c>
      <c r="AO24" t="n">
        <v>0</v>
      </c>
      <c r="AP24" t="n">
        <v>0</v>
      </c>
    </row>
    <row r="25">
      <c r="A25" t="inlineStr"/>
      <c r="B25" s="3" t="n">
        <v>0</v>
      </c>
      <c r="C25" s="3" t="n">
        <v>0</v>
      </c>
      <c r="D25" t="inlineStr"/>
      <c r="E25" t="n">
        <v>0</v>
      </c>
      <c r="F25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T25">
        <f>MAX(0,MIN($C25,T$4+1)-MAX($B25,T$4))</f>
        <v/>
      </c>
      <c r="U25">
        <f>MAX(0,MIN($C25,U$4+1)-MAX($B25,U$4))</f>
        <v/>
      </c>
      <c r="V25">
        <f>MAX(0,MIN($C25,V$4+1)-MAX($B25,V$4))</f>
        <v/>
      </c>
      <c r="W25">
        <f>MAX(0,MIN($C25,W$4+1)-MAX($B25,W$4))</f>
        <v/>
      </c>
      <c r="X25">
        <f>MAX(0,MIN($C25,X$4+1)-MAX($B25,X$4))</f>
        <v/>
      </c>
      <c r="Y25">
        <f>MAX(0,MIN($C25,Y$4+1)-MAX($B25,Y$4))</f>
        <v/>
      </c>
      <c r="Z25">
        <f>MAX(0,MIN($C25,Z$4+1)-MAX($B25,Z$4))</f>
        <v/>
      </c>
      <c r="AA25">
        <f>MAX(0,MIN($C25,AA$4+1)-MAX($B25,AA$4))</f>
        <v/>
      </c>
      <c r="AB25">
        <f>MAX(0,MIN($C25,AB$4+1)-MAX($B25,AB$4))</f>
        <v/>
      </c>
      <c r="AC25">
        <f>MAX(0,MIN($C25,AC$4+1)-MAX($B25,AC$4))</f>
        <v/>
      </c>
      <c r="AD25">
        <f>MAX(0,MIN($C25,AD$4+1)-MAX($B25,AD$4))</f>
        <v/>
      </c>
      <c r="AE25">
        <f>MAX(0,MIN($C25,AE$4+1)-MAX($B25,AE$4))</f>
        <v/>
      </c>
      <c r="AF25">
        <f>MAX(0,MIN($C25,AF$4+1)-MAX($B25,AF$4))</f>
        <v/>
      </c>
      <c r="AG25">
        <f>MAX(0,MIN($C25,AG$4+1)-MAX($B25,AG$4))</f>
        <v/>
      </c>
      <c r="AH25">
        <f>MAX(0,MIN($C25,AH$4+1)-MAX($B25,AH$4))</f>
        <v/>
      </c>
      <c r="AI25">
        <f>MAX(0,MIN($C25,AI$4+1)-MAX($B25,AI$4))</f>
        <v/>
      </c>
      <c r="AJ25">
        <f>MAX(0,MIN($C25,AJ$4+1)-MAX($B25,AJ$4))</f>
        <v/>
      </c>
      <c r="AK25">
        <f>MAX(0,MIN($C25,AK$4+1)-MAX($B25,AK$4))</f>
        <v/>
      </c>
      <c r="AL25">
        <f>MAX(0,MIN($C25,AL$4+1)-MAX($B25,AL$4))</f>
        <v/>
      </c>
      <c r="AM25">
        <f>MAX(0,MIN($C25,AM$4+1)-MAX($B25,AM$4))</f>
        <v/>
      </c>
    </row>
    <row r="26">
      <c r="A26" t="inlineStr"/>
      <c r="B26" s="3" t="n">
        <v>0</v>
      </c>
      <c r="C26" s="3" t="n">
        <v>0</v>
      </c>
      <c r="D26" t="inlineStr"/>
      <c r="E26" t="n">
        <v>0</v>
      </c>
      <c r="F26" t="n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  <c r="T26">
        <f>MAX(0,MIN($C26,T$4+1)-MAX($B26,T$4))</f>
        <v/>
      </c>
      <c r="U26">
        <f>MAX(0,MIN($C26,U$4+1)-MAX($B26,U$4))</f>
        <v/>
      </c>
      <c r="V26">
        <f>MAX(0,MIN($C26,V$4+1)-MAX($B26,V$4))</f>
        <v/>
      </c>
      <c r="W26">
        <f>MAX(0,MIN($C26,W$4+1)-MAX($B26,W$4))</f>
        <v/>
      </c>
      <c r="X26">
        <f>MAX(0,MIN($C26,X$4+1)-MAX($B26,X$4))</f>
        <v/>
      </c>
      <c r="Y26">
        <f>MAX(0,MIN($C26,Y$4+1)-MAX($B26,Y$4))</f>
        <v/>
      </c>
      <c r="Z26">
        <f>MAX(0,MIN($C26,Z$4+1)-MAX($B26,Z$4))</f>
        <v/>
      </c>
      <c r="AA26">
        <f>MAX(0,MIN($C26,AA$4+1)-MAX($B26,AA$4))</f>
        <v/>
      </c>
      <c r="AB26">
        <f>MAX(0,MIN($C26,AB$4+1)-MAX($B26,AB$4))</f>
        <v/>
      </c>
      <c r="AC26">
        <f>MAX(0,MIN($C26,AC$4+1)-MAX($B26,AC$4))</f>
        <v/>
      </c>
      <c r="AD26">
        <f>MAX(0,MIN($C26,AD$4+1)-MAX($B26,AD$4))</f>
        <v/>
      </c>
      <c r="AE26">
        <f>MAX(0,MIN($C26,AE$4+1)-MAX($B26,AE$4))</f>
        <v/>
      </c>
      <c r="AF26">
        <f>MAX(0,MIN($C26,AF$4+1)-MAX($B26,AF$4))</f>
        <v/>
      </c>
      <c r="AG26">
        <f>MAX(0,MIN($C26,AG$4+1)-MAX($B26,AG$4))</f>
        <v/>
      </c>
      <c r="AH26">
        <f>MAX(0,MIN($C26,AH$4+1)-MAX($B26,AH$4))</f>
        <v/>
      </c>
      <c r="AI26">
        <f>MAX(0,MIN($C26,AI$4+1)-MAX($B26,AI$4))</f>
        <v/>
      </c>
      <c r="AJ26">
        <f>MAX(0,MIN($C26,AJ$4+1)-MAX($B26,AJ$4))</f>
        <v/>
      </c>
      <c r="AK26">
        <f>MAX(0,MIN($C26,AK$4+1)-MAX($B26,AK$4))</f>
        <v/>
      </c>
      <c r="AL26">
        <f>MAX(0,MIN($C26,AL$4+1)-MAX($B26,AL$4))</f>
        <v/>
      </c>
      <c r="AM26">
        <f>MAX(0,MIN($C26,AM$4+1)-MAX($B26,AM$4))</f>
        <v/>
      </c>
    </row>
    <row r="27">
      <c r="A27" t="inlineStr"/>
      <c r="B27" s="3" t="n">
        <v>0</v>
      </c>
      <c r="C27" s="3" t="n">
        <v>0</v>
      </c>
      <c r="D27" t="inlineStr"/>
      <c r="E27" t="n">
        <v>0</v>
      </c>
      <c r="F27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T27">
        <f>MAX(0,MIN($C27,T$4+1)-MAX($B27,T$4))</f>
        <v/>
      </c>
      <c r="U27">
        <f>MAX(0,MIN($C27,U$4+1)-MAX($B27,U$4))</f>
        <v/>
      </c>
      <c r="V27">
        <f>MAX(0,MIN($C27,V$4+1)-MAX($B27,V$4))</f>
        <v/>
      </c>
      <c r="W27">
        <f>MAX(0,MIN($C27,W$4+1)-MAX($B27,W$4))</f>
        <v/>
      </c>
      <c r="X27">
        <f>MAX(0,MIN($C27,X$4+1)-MAX($B27,X$4))</f>
        <v/>
      </c>
      <c r="Y27">
        <f>MAX(0,MIN($C27,Y$4+1)-MAX($B27,Y$4))</f>
        <v/>
      </c>
      <c r="Z27">
        <f>MAX(0,MIN($C27,Z$4+1)-MAX($B27,Z$4))</f>
        <v/>
      </c>
      <c r="AA27">
        <f>MAX(0,MIN($C27,AA$4+1)-MAX($B27,AA$4))</f>
        <v/>
      </c>
      <c r="AB27">
        <f>MAX(0,MIN($C27,AB$4+1)-MAX($B27,AB$4))</f>
        <v/>
      </c>
      <c r="AC27">
        <f>MAX(0,MIN($C27,AC$4+1)-MAX($B27,AC$4))</f>
        <v/>
      </c>
      <c r="AD27">
        <f>MAX(0,MIN($C27,AD$4+1)-MAX($B27,AD$4))</f>
        <v/>
      </c>
      <c r="AE27">
        <f>MAX(0,MIN($C27,AE$4+1)-MAX($B27,AE$4))</f>
        <v/>
      </c>
      <c r="AF27">
        <f>MAX(0,MIN($C27,AF$4+1)-MAX($B27,AF$4))</f>
        <v/>
      </c>
      <c r="AG27">
        <f>MAX(0,MIN($C27,AG$4+1)-MAX($B27,AG$4))</f>
        <v/>
      </c>
      <c r="AH27">
        <f>MAX(0,MIN($C27,AH$4+1)-MAX($B27,AH$4))</f>
        <v/>
      </c>
      <c r="AI27">
        <f>MAX(0,MIN($C27,AI$4+1)-MAX($B27,AI$4))</f>
        <v/>
      </c>
      <c r="AJ27">
        <f>MAX(0,MIN($C27,AJ$4+1)-MAX($B27,AJ$4))</f>
        <v/>
      </c>
      <c r="AK27">
        <f>MAX(0,MIN($C27,AK$4+1)-MAX($B27,AK$4))</f>
        <v/>
      </c>
      <c r="AL27">
        <f>MAX(0,MIN($C27,AL$4+1)-MAX($B27,AL$4))</f>
        <v/>
      </c>
      <c r="AM27">
        <f>MAX(0,MIN($C27,AM$4+1)-MAX($B27,AM$4))</f>
        <v/>
      </c>
    </row>
    <row r="28">
      <c r="A28" t="inlineStr"/>
      <c r="B28" s="3" t="n">
        <v>0</v>
      </c>
      <c r="C28" s="3" t="n">
        <v>0</v>
      </c>
      <c r="D28" t="inlineStr"/>
      <c r="E28" t="n">
        <v>0</v>
      </c>
      <c r="F28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T28">
        <f>MAX(0,MIN($C28,T$4+1)-MAX($B28,T$4))</f>
        <v/>
      </c>
      <c r="U28">
        <f>MAX(0,MIN($C28,U$4+1)-MAX($B28,U$4))</f>
        <v/>
      </c>
      <c r="V28">
        <f>MAX(0,MIN($C28,V$4+1)-MAX($B28,V$4))</f>
        <v/>
      </c>
      <c r="W28">
        <f>MAX(0,MIN($C28,W$4+1)-MAX($B28,W$4))</f>
        <v/>
      </c>
      <c r="X28">
        <f>MAX(0,MIN($C28,X$4+1)-MAX($B28,X$4))</f>
        <v/>
      </c>
      <c r="Y28">
        <f>MAX(0,MIN($C28,Y$4+1)-MAX($B28,Y$4))</f>
        <v/>
      </c>
      <c r="Z28">
        <f>MAX(0,MIN($C28,Z$4+1)-MAX($B28,Z$4))</f>
        <v/>
      </c>
      <c r="AA28">
        <f>MAX(0,MIN($C28,AA$4+1)-MAX($B28,AA$4))</f>
        <v/>
      </c>
      <c r="AB28">
        <f>MAX(0,MIN($C28,AB$4+1)-MAX($B28,AB$4))</f>
        <v/>
      </c>
      <c r="AC28">
        <f>MAX(0,MIN($C28,AC$4+1)-MAX($B28,AC$4))</f>
        <v/>
      </c>
      <c r="AD28">
        <f>MAX(0,MIN($C28,AD$4+1)-MAX($B28,AD$4))</f>
        <v/>
      </c>
      <c r="AE28">
        <f>MAX(0,MIN($C28,AE$4+1)-MAX($B28,AE$4))</f>
        <v/>
      </c>
      <c r="AF28">
        <f>MAX(0,MIN($C28,AF$4+1)-MAX($B28,AF$4))</f>
        <v/>
      </c>
      <c r="AG28">
        <f>MAX(0,MIN($C28,AG$4+1)-MAX($B28,AG$4))</f>
        <v/>
      </c>
      <c r="AH28">
        <f>MAX(0,MIN($C28,AH$4+1)-MAX($B28,AH$4))</f>
        <v/>
      </c>
      <c r="AI28">
        <f>MAX(0,MIN($C28,AI$4+1)-MAX($B28,AI$4))</f>
        <v/>
      </c>
      <c r="AJ28">
        <f>MAX(0,MIN($C28,AJ$4+1)-MAX($B28,AJ$4))</f>
        <v/>
      </c>
      <c r="AK28">
        <f>MAX(0,MIN($C28,AK$4+1)-MAX($B28,AK$4))</f>
        <v/>
      </c>
      <c r="AL28">
        <f>MAX(0,MIN($C28,AL$4+1)-MAX($B28,AL$4))</f>
        <v/>
      </c>
      <c r="AM28">
        <f>MAX(0,MIN($C28,AM$4+1)-MAX($B28,AM$4))</f>
        <v/>
      </c>
    </row>
    <row r="29">
      <c r="A29" t="inlineStr"/>
      <c r="B29" s="3" t="n">
        <v>0</v>
      </c>
      <c r="C29" s="3" t="n">
        <v>0</v>
      </c>
      <c r="D29" t="inlineStr"/>
      <c r="E29" t="n">
        <v>0</v>
      </c>
      <c r="F29" t="n">
        <v>0</v>
      </c>
      <c r="G29" s="3" t="n">
        <v>0</v>
      </c>
      <c r="H29" s="3" t="n">
        <v>0</v>
      </c>
      <c r="I29" s="3" t="n">
        <v>0</v>
      </c>
      <c r="J29" s="3" t="n">
        <v>0</v>
      </c>
      <c r="K29" s="3" t="n">
        <v>0</v>
      </c>
      <c r="L29" s="3" t="n">
        <v>0</v>
      </c>
      <c r="M29" s="3" t="n">
        <v>0</v>
      </c>
      <c r="N29" s="3" t="n">
        <v>0</v>
      </c>
      <c r="O29" s="3" t="n">
        <v>0</v>
      </c>
      <c r="P29" s="3" t="n">
        <v>0</v>
      </c>
      <c r="Q29" s="3" t="n">
        <v>0</v>
      </c>
      <c r="R29" s="3" t="n">
        <v>0</v>
      </c>
      <c r="T29">
        <f>MAX(0,MIN($C29,T$4+1)-MAX($B29,T$4))</f>
        <v/>
      </c>
      <c r="U29">
        <f>MAX(0,MIN($C29,U$4+1)-MAX($B29,U$4))</f>
        <v/>
      </c>
      <c r="V29">
        <f>MAX(0,MIN($C29,V$4+1)-MAX($B29,V$4))</f>
        <v/>
      </c>
      <c r="W29">
        <f>MAX(0,MIN($C29,W$4+1)-MAX($B29,W$4))</f>
        <v/>
      </c>
      <c r="X29">
        <f>MAX(0,MIN($C29,X$4+1)-MAX($B29,X$4))</f>
        <v/>
      </c>
      <c r="Y29">
        <f>MAX(0,MIN($C29,Y$4+1)-MAX($B29,Y$4))</f>
        <v/>
      </c>
      <c r="Z29">
        <f>MAX(0,MIN($C29,Z$4+1)-MAX($B29,Z$4))</f>
        <v/>
      </c>
      <c r="AA29">
        <f>MAX(0,MIN($C29,AA$4+1)-MAX($B29,AA$4))</f>
        <v/>
      </c>
      <c r="AB29">
        <f>MAX(0,MIN($C29,AB$4+1)-MAX($B29,AB$4))</f>
        <v/>
      </c>
      <c r="AC29">
        <f>MAX(0,MIN($C29,AC$4+1)-MAX($B29,AC$4))</f>
        <v/>
      </c>
      <c r="AD29">
        <f>MAX(0,MIN($C29,AD$4+1)-MAX($B29,AD$4))</f>
        <v/>
      </c>
      <c r="AE29">
        <f>MAX(0,MIN($C29,AE$4+1)-MAX($B29,AE$4))</f>
        <v/>
      </c>
      <c r="AF29">
        <f>MAX(0,MIN($C29,AF$4+1)-MAX($B29,AF$4))</f>
        <v/>
      </c>
      <c r="AG29">
        <f>MAX(0,MIN($C29,AG$4+1)-MAX($B29,AG$4))</f>
        <v/>
      </c>
      <c r="AH29">
        <f>MAX(0,MIN($C29,AH$4+1)-MAX($B29,AH$4))</f>
        <v/>
      </c>
      <c r="AI29">
        <f>MAX(0,MIN($C29,AI$4+1)-MAX($B29,AI$4))</f>
        <v/>
      </c>
      <c r="AJ29">
        <f>MAX(0,MIN($C29,AJ$4+1)-MAX($B29,AJ$4))</f>
        <v/>
      </c>
      <c r="AK29">
        <f>MAX(0,MIN($C29,AK$4+1)-MAX($B29,AK$4))</f>
        <v/>
      </c>
      <c r="AL29">
        <f>MAX(0,MIN($C29,AL$4+1)-MAX($B29,AL$4))</f>
        <v/>
      </c>
      <c r="AM29">
        <f>MAX(0,MIN($C29,AM$4+1)-MAX($B29,AM$4))</f>
        <v/>
      </c>
    </row>
    <row r="31">
      <c r="A31" s="1" t="inlineStr">
        <is>
          <t>Simulación anual (todas las celdas son fórmulas)</t>
        </is>
      </c>
    </row>
    <row r="32">
      <c r="A32" s="5" t="inlineStr">
        <is>
          <t>Año</t>
        </is>
      </c>
      <c r="B32" s="5" t="inlineStr">
        <is>
          <t>k</t>
        </is>
      </c>
      <c r="C32" s="5" t="inlineStr">
        <is>
          <t>Índice inflación</t>
        </is>
      </c>
      <c r="D32" s="5" t="inlineStr">
        <is>
          <t>Salarios W-2</t>
        </is>
      </c>
      <c r="E32" s="5" t="inlineStr">
        <is>
          <t>W-2 con match</t>
        </is>
      </c>
      <c r="F32" s="5" t="inlineStr">
        <is>
          <t>Stipends libres</t>
        </is>
      </c>
      <c r="G32" s="5" t="inlineStr">
        <is>
          <t>Ingreso S-corp</t>
        </is>
      </c>
      <c r="H32" s="5" t="inlineStr">
        <is>
          <t>Autoempleo (LLC/tutoría)</t>
        </is>
      </c>
      <c r="I32" s="5" t="inlineStr">
        <is>
          <t>Matrícula</t>
        </is>
      </c>
      <c r="J32" s="5" t="inlineStr">
        <is>
          <t>Fracción estudio</t>
        </is>
      </c>
      <c r="K32" s="5" t="inlineStr">
        <is>
          <t>Fracción PSLF</t>
        </is>
      </c>
      <c r="L32" s="5" t="inlineStr">
        <is>
          <t>Fracción travel</t>
        </is>
      </c>
      <c r="M32" s="5" t="inlineStr">
        <is>
          <t>Attending</t>
        </is>
      </c>
      <c r="N32" s="5" t="inlineStr">
        <is>
          <t>Hitos (costos)</t>
        </is>
      </c>
      <c r="O32" s="5" t="inlineStr">
        <is>
          <t>Aporte 403b</t>
        </is>
      </c>
      <c r="P32" s="5" t="inlineStr">
        <is>
          <t>Match empleador</t>
        </is>
      </c>
      <c r="Q32" s="5" t="inlineStr">
        <is>
          <t>S-corp neto</t>
        </is>
      </c>
      <c r="R32" s="5" t="inlineStr">
        <is>
          <t>Salario S-corp</t>
        </is>
      </c>
      <c r="S32" s="5" t="inlineStr">
        <is>
          <t>FICA patronal S-corp</t>
        </is>
      </c>
      <c r="T32" s="5" t="inlineStr">
        <is>
          <t>Distribución S-corp</t>
        </is>
      </c>
      <c r="U32" s="5" t="inlineStr">
        <is>
          <t>Salarios totales</t>
        </is>
      </c>
      <c r="V32" s="5" t="inlineStr">
        <is>
          <t>Base autoempleo</t>
        </is>
      </c>
      <c r="W32" s="5" t="inlineStr">
        <is>
          <t>Impuesto autoempleo</t>
        </is>
      </c>
      <c r="X32" s="5" t="inlineStr">
        <is>
          <t>FICA empleado</t>
        </is>
      </c>
      <c r="Y32" s="5" t="inlineStr">
        <is>
          <t>AGI</t>
        </is>
      </c>
      <c r="Z32" s="5" t="inlineStr">
        <is>
          <t>Ingreso gravable antes QBI</t>
        </is>
      </c>
      <c r="AA32" s="5" t="inlineStr">
        <is>
          <t>Deducción QBI</t>
        </is>
      </c>
      <c r="AB32" s="5" t="inlineStr">
        <is>
          <t>Ingreso gravable</t>
        </is>
      </c>
      <c r="AC32" s="5" t="inlineStr">
        <is>
          <t>Impuesto federal</t>
        </is>
      </c>
      <c r="AD32" s="5" t="inlineStr">
        <is>
          <t>Gravable NY</t>
        </is>
      </c>
      <c r="AE32" s="5" t="inlineStr">
        <is>
          <t>Impuesto estatal/local</t>
        </is>
      </c>
      <c r="AF32" s="5" t="inlineStr">
        <is>
          <t>Impuestos totales</t>
        </is>
      </c>
      <c r="AG32" s="5" t="inlineStr">
        <is>
          <t>Ingreso personal bruto en efectivo</t>
        </is>
      </c>
      <c r="AH32" s="5" t="inlineStr">
        <is>
          <t>Efectivo neto (tras impuestos y 403b)</t>
        </is>
      </c>
      <c r="AI32" s="5" t="inlineStr">
        <is>
          <t>Ingreso bruto</t>
        </is>
      </c>
      <c r="AJ32" s="5" t="inlineStr">
        <is>
          <t>Gastos de vida</t>
        </is>
      </c>
      <c r="AK32" s="5" t="inlineStr">
        <is>
          <t>Ahorro líquido inicio</t>
        </is>
      </c>
      <c r="AL32" s="5" t="inlineStr">
        <is>
          <t>Ya era dueño</t>
        </is>
      </c>
      <c r="AM32" s="5" t="inlineStr">
        <is>
          <t>Precio base 2026</t>
        </is>
      </c>
      <c r="AN32" s="5" t="inlineStr">
        <is>
          <t>Precio en el año</t>
        </is>
      </c>
      <c r="AO32" s="5" t="inlineStr">
        <is>
          <t>Physician loan</t>
        </is>
      </c>
      <c r="AP32" s="5" t="inlineStr">
        <is>
          <t>% enganche</t>
        </is>
      </c>
      <c r="AQ32" s="5" t="inlineStr">
        <is>
          <t>Préstamo</t>
        </is>
      </c>
      <c r="AR32" s="5" t="inlineStr">
        <is>
          <t>Cuota P&amp;I mensual</t>
        </is>
      </c>
      <c r="AS32" s="5" t="inlineStr">
        <is>
          <t>Unidades rentadas</t>
        </is>
      </c>
      <c r="AT32" s="5" t="inlineStr">
        <is>
          <t>Renta mensual (cotización)</t>
        </is>
      </c>
      <c r="AU32" s="5" t="inlineStr">
        <is>
          <t>PITI mensual</t>
        </is>
      </c>
      <c r="AV32" s="5" t="inlineStr">
        <is>
          <t>Efectivo requerido</t>
        </is>
      </c>
      <c r="AW32" s="5" t="inlineStr">
        <is>
          <t>Otras deudas mensuales</t>
        </is>
      </c>
      <c r="AX32" s="5" t="inlineStr">
        <is>
          <t>Crédito aporte familiar</t>
        </is>
      </c>
      <c r="AY32" s="5" t="inlineStr">
        <is>
          <t>Carga mensual para DTI</t>
        </is>
      </c>
      <c r="AZ32" s="5" t="inlineStr">
        <is>
          <t>Ingreso mensual para DTI</t>
        </is>
      </c>
      <c r="BA32" s="5" t="inlineStr">
        <is>
          <t>Compra este año</t>
        </is>
      </c>
      <c r="BB32" s="5" t="inlineStr">
        <is>
          <t>Dueño</t>
        </is>
      </c>
      <c r="BC32" s="5" t="inlineStr">
        <is>
          <t>Año de compra</t>
        </is>
      </c>
      <c r="BD32" s="5" t="inlineStr">
        <is>
          <t>Ahorro tras enganche</t>
        </is>
      </c>
      <c r="BE32" s="5" t="inlineStr">
        <is>
          <t>Precio de compra</t>
        </is>
      </c>
      <c r="BF32" s="5" t="inlineStr">
        <is>
          <t>Cuota hipoteca</t>
        </is>
      </c>
      <c r="BG32" s="5" t="inlineStr">
        <is>
          <t>PMI activo (antes)</t>
        </is>
      </c>
      <c r="BH32" s="5" t="inlineStr">
        <is>
          <t>Config. con ADU</t>
        </is>
      </c>
      <c r="BI32" s="5" t="inlineStr">
        <is>
          <t>Construye ADU</t>
        </is>
      </c>
      <c r="BJ32" s="5" t="inlineStr">
        <is>
          <t>ADU construido</t>
        </is>
      </c>
      <c r="BK32" s="5" t="inlineStr">
        <is>
          <t>Cuota ADU</t>
        </is>
      </c>
      <c r="BL32" s="5" t="inlineStr">
        <is>
          <t>Valor vivienda inicio</t>
        </is>
      </c>
      <c r="BM32" s="5" t="inlineStr">
        <is>
          <t>Hipoteca inicio</t>
        </is>
      </c>
      <c r="BN32" s="5" t="inlineStr">
        <is>
          <t>Hipoteca tras 12 pagos</t>
        </is>
      </c>
      <c r="BO32" s="5" t="inlineStr">
        <is>
          <t>Pagado hipoteca</t>
        </is>
      </c>
      <c r="BP32" s="5" t="inlineStr">
        <is>
          <t>Hipoteca tras pagos</t>
        </is>
      </c>
      <c r="BQ32" s="5" t="inlineStr">
        <is>
          <t>ADU inicio</t>
        </is>
      </c>
      <c r="BR32" s="5" t="inlineStr">
        <is>
          <t>ADU tras 12 pagos</t>
        </is>
      </c>
      <c r="BS32" s="5" t="inlineStr">
        <is>
          <t>Pagado ADU</t>
        </is>
      </c>
      <c r="BT32" s="5" t="inlineStr">
        <is>
          <t>ADU tras pagos</t>
        </is>
      </c>
      <c r="BU32" s="5" t="inlineStr">
        <is>
          <t>Seguro</t>
        </is>
      </c>
      <c r="BV32" s="5" t="inlineStr">
        <is>
          <t>Impuesto predial</t>
        </is>
      </c>
      <c r="BW32" s="5" t="inlineStr">
        <is>
          <t>Mantenimiento</t>
        </is>
      </c>
      <c r="BX32" s="5" t="inlineStr">
        <is>
          <t>PMI</t>
        </is>
      </c>
      <c r="BY32" s="5" t="inlineStr">
        <is>
          <t>PMI activo (después)</t>
        </is>
      </c>
      <c r="BZ32" s="5" t="inlineStr">
        <is>
          <t>Renta recibida</t>
        </is>
      </c>
      <c r="CA32" s="5" t="inlineStr">
        <is>
          <t>Costo de vivienda</t>
        </is>
      </c>
      <c r="CB32" s="5" t="inlineStr">
        <is>
          <t>Aporte familiar</t>
        </is>
      </c>
      <c r="CC32" s="5" t="inlineStr">
        <is>
          <t>IRS pagado</t>
        </is>
      </c>
      <c r="CD32" s="5" t="inlineStr">
        <is>
          <t>IRS saldo</t>
        </is>
      </c>
      <c r="CE32" s="5" t="inlineStr">
        <is>
          <t>Federal inicio</t>
        </is>
      </c>
      <c r="CF32" s="5" t="inlineStr">
        <is>
          <t>Tasa federal</t>
        </is>
      </c>
      <c r="CG32" s="5" t="inlineStr">
        <is>
          <t>Años repago fed.</t>
        </is>
      </c>
      <c r="CH32" s="5" t="inlineStr">
        <is>
          <t>En estudios (≥50%)</t>
        </is>
      </c>
      <c r="CI32" s="5" t="inlineStr">
        <is>
          <t>Usa RAP/PSLF</t>
        </is>
      </c>
      <c r="CJ32" s="5" t="inlineStr">
        <is>
          <t>Interés federal</t>
        </is>
      </c>
      <c r="CK32" s="5" t="inlineStr">
        <is>
          <t>Pago RAP</t>
        </is>
      </c>
      <c r="CL32" s="5" t="inlineStr">
        <is>
          <t>Pago federal</t>
        </is>
      </c>
      <c r="CM32" s="5" t="inlineStr">
        <is>
          <t>Federal tras pago</t>
        </is>
      </c>
      <c r="CN32" s="5" t="inlineStr">
        <is>
          <t>Meses PSLF</t>
        </is>
      </c>
      <c r="CO32" s="5" t="inlineStr">
        <is>
          <t>Condonado PSLF</t>
        </is>
      </c>
      <c r="CP32" s="5" t="inlineStr">
        <is>
          <t>Federal tras PSLF</t>
        </is>
      </c>
      <c r="CQ32" s="5" t="inlineStr">
        <is>
          <t>Años repago (tras pago)</t>
        </is>
      </c>
      <c r="CR32" s="5" t="inlineStr">
        <is>
          <t>Privado inicio</t>
        </is>
      </c>
      <c r="CS32" s="5" t="inlineStr">
        <is>
          <t>Tasa privada</t>
        </is>
      </c>
      <c r="CT32" s="5" t="inlineStr">
        <is>
          <t>Años repago priv.</t>
        </is>
      </c>
      <c r="CU32" s="5" t="inlineStr">
        <is>
          <t>Pago privado</t>
        </is>
      </c>
      <c r="CV32" s="5" t="inlineStr">
        <is>
          <t>Privado tras pago</t>
        </is>
      </c>
      <c r="CW32" s="5" t="inlineStr">
        <is>
          <t>Años repago priv. (tras)</t>
        </is>
      </c>
      <c r="CX32" s="5" t="inlineStr">
        <is>
          <t>Consumo tras interés</t>
        </is>
      </c>
      <c r="CY32" s="5" t="inlineStr">
        <is>
          <t>Gasto extra travel</t>
        </is>
      </c>
      <c r="CZ32" s="5" t="inlineStr">
        <is>
          <t>Salidas</t>
        </is>
      </c>
      <c r="DA32" s="5" t="inlineStr">
        <is>
          <t>Excedente (déficit)</t>
        </is>
      </c>
      <c r="DB32" s="5" t="inlineStr">
        <is>
          <t>Flujo acumulado</t>
        </is>
      </c>
      <c r="DC32" s="5" t="inlineStr">
        <is>
          <t>Meta enganche</t>
        </is>
      </c>
      <c r="DD32" s="5" t="inlineStr">
        <is>
          <t>Retorno del ahorro líquido</t>
        </is>
      </c>
      <c r="DE32" s="5" t="inlineStr">
        <is>
          <t>Pago deuda consumo</t>
        </is>
      </c>
      <c r="DF32" s="5" t="inlineStr">
        <is>
          <t>Gasto discrecional</t>
        </is>
      </c>
      <c r="DG32" s="5" t="inlineStr">
        <is>
          <t>Ahorro</t>
        </is>
      </c>
      <c r="DH32" s="5" t="inlineStr">
        <is>
          <t>Roth</t>
        </is>
      </c>
      <c r="DI32" s="5" t="inlineStr">
        <is>
          <t>Prepago</t>
        </is>
      </c>
      <c r="DJ32" s="5" t="inlineStr">
        <is>
          <t>Prepago a hipoteca</t>
        </is>
      </c>
      <c r="DK32" s="5" t="inlineStr">
        <is>
          <t>Retiro del ahorro</t>
        </is>
      </c>
      <c r="DL32" s="5" t="inlineStr">
        <is>
          <t>Déficit por financiar</t>
        </is>
      </c>
      <c r="DM32" s="5" t="inlineStr">
        <is>
          <t>Federal acumulado (antes)</t>
        </is>
      </c>
      <c r="DN32" s="5" t="inlineStr">
        <is>
          <t>Nuevo préstamo federal</t>
        </is>
      </c>
      <c r="DO32" s="5" t="inlineStr">
        <is>
          <t>Nuevo préstamo privado</t>
        </is>
      </c>
      <c r="DP32" s="5" t="inlineStr">
        <is>
          <t>Nueva deuda consumo</t>
        </is>
      </c>
      <c r="DQ32" s="5" t="inlineStr">
        <is>
          <t>Flujo al ahorro líquido</t>
        </is>
      </c>
      <c r="DR32" s="5" t="inlineStr">
        <is>
          <t>Ahorro líquido fin</t>
        </is>
      </c>
      <c r="DS32" s="5" t="inlineStr">
        <is>
          <t>Retiro fin</t>
        </is>
      </c>
      <c r="DT32" s="5" t="inlineStr">
        <is>
          <t>Valor vivienda fin</t>
        </is>
      </c>
      <c r="DU32" s="5" t="inlineStr">
        <is>
          <t>Hipoteca fin</t>
        </is>
      </c>
      <c r="DV32" s="5" t="inlineStr">
        <is>
          <t>ADU fin</t>
        </is>
      </c>
      <c r="DW32" s="5" t="inlineStr">
        <is>
          <t>Federal fin</t>
        </is>
      </c>
      <c r="DX32" s="5" t="inlineStr">
        <is>
          <t>Tasa federal fin</t>
        </is>
      </c>
      <c r="DY32" s="5" t="inlineStr">
        <is>
          <t>Años repago fed. fin</t>
        </is>
      </c>
      <c r="DZ32" s="5" t="inlineStr">
        <is>
          <t>Federal acumulado</t>
        </is>
      </c>
      <c r="EA32" s="5" t="inlineStr">
        <is>
          <t>Privado fin</t>
        </is>
      </c>
      <c r="EB32" s="5" t="inlineStr">
        <is>
          <t>Tasa privada fin</t>
        </is>
      </c>
      <c r="EC32" s="5" t="inlineStr">
        <is>
          <t>Años repago priv. fin</t>
        </is>
      </c>
      <c r="ED32" s="5" t="inlineStr">
        <is>
          <t>Deuda consumo fin</t>
        </is>
      </c>
      <c r="EE32" s="5" t="inlineStr">
        <is>
          <t>Año vivienda pagada</t>
        </is>
      </c>
      <c r="EF32" s="5" t="inlineStr">
        <is>
          <t>Deuda total</t>
        </is>
      </c>
      <c r="EG32" s="9" t="inlineStr">
        <is>
          <t>PATRIMONIO NETO</t>
        </is>
      </c>
      <c r="EH32" s="5" t="inlineStr">
        <is>
          <t>Patrimonio (dólares 2026)</t>
        </is>
      </c>
    </row>
    <row r="33">
      <c r="A33" t="n">
        <v>2027</v>
      </c>
      <c r="B33" t="n">
        <v>0</v>
      </c>
      <c r="C33" s="7">
        <f>(1+g_inf)^(A33-2026)</f>
        <v/>
      </c>
      <c r="D33" s="7">
        <f>SUMPRODUCT($T$5:$T$29,$E$5:$E$29*(1+$F$5:$F$29)^(A33-2026)*$G$5:$G$29*$H$5:$H$29*(1-$N$5:$N$29*$O$5:$O$29))*g_salMult+SUMPRODUCT(($B$5:$B$29&gt;=A33)*($B$5:$B$29&lt;A33+1)*$I$5:$I$29)*g_salMult</f>
        <v/>
      </c>
      <c r="E33" s="7">
        <f>SUMPRODUCT($T$5:$T$29,$E$5:$E$29*(1+$F$5:$F$29)^(A33-2026)*$G$5:$G$29*$H$5:$H$29*$M$5:$M$29)*g_salMult</f>
        <v/>
      </c>
      <c r="F33" s="7">
        <f>SUMPRODUCT($T$5:$T$29,$E$5:$E$29*(1+$F$5:$F$29)^(A33-2026)*$G$5:$G$29*$H$5:$H$29*$N$5:$N$29*$O$5:$O$29)*g_salMult</f>
        <v/>
      </c>
      <c r="G33" s="7">
        <f>SUMPRODUCT($T$5:$T$29,$P$5:$P$29*(1+$F$5:$F$29)^(A33-2026))</f>
        <v/>
      </c>
      <c r="H33" s="7">
        <f>SUMPRODUCT($T$5:$T$29,$Q$5:$Q$29*(1+$F$5:$F$29)^(A33-2026))+IF(personal_llcActivo=1,personal_llcNeto*(1+personal_llcCrecimiento)^0,0)</f>
        <v/>
      </c>
      <c r="I33" s="7">
        <f>SUMPRODUCT($T$5:$T$29,$J$5:$J$29/($C$5:$C$29-$B$5:$B$29+($C$5:$C$29=$B$5:$B$29)))*C33</f>
        <v/>
      </c>
      <c r="J33" s="7">
        <f>SUMPRODUCT($T$5:$T$29,$K$5:$K$29)</f>
        <v/>
      </c>
      <c r="K33" s="7">
        <f>SUMPRODUCT($T$5:$T$29,$L$5:$L$29)</f>
        <v/>
      </c>
      <c r="L33" s="7">
        <f>SUMPRODUCT($T$5:$T$29,$N$5:$N$29)</f>
        <v/>
      </c>
      <c r="M33" s="7">
        <f>IF(SUMPRODUCT($T$5:$T$29,$R$5:$R$29)&gt;0,1,0)</f>
        <v/>
      </c>
      <c r="N33" s="7">
        <f>SUMPRODUCT(($AO$5:$AO$24&gt;=A33)*($AO$5:$AO$24&lt;A33+1)*$AP$5:$AP$24)*C33+IF(0=0,IF(sel_loc&lt;&gt;"miami",personal_costoMudanzaInicial,0),0)</f>
        <v/>
      </c>
      <c r="O33" s="7">
        <f>MIN(personal_aporte403bPct*D33,retiro_limite403b*C33)</f>
        <v/>
      </c>
      <c r="P33" s="7">
        <f>MIN(personal_aporte403bPct,personal_match403bPct)*E33</f>
        <v/>
      </c>
      <c r="Q33" s="7">
        <f>IF(G33&gt;0,MAX(0,G33-impuestos_scorpCostoAnual*C33),0)</f>
        <v/>
      </c>
      <c r="R33" s="7">
        <f>Q33*impuestos_scorpSalarioPct/(1+impuestos_ssTasa+impuestos_medicareTasa)</f>
        <v/>
      </c>
      <c r="S33" s="7">
        <f>impuestos_ssTasa*MIN(R33,MAX(0,impuestos_ssTope*C33-D33))+impuestos_medicareTasa*R33</f>
        <v/>
      </c>
      <c r="T33" s="7">
        <f>Q33-R33-S33</f>
        <v/>
      </c>
      <c r="U33" s="7">
        <f>D33+R33</f>
        <v/>
      </c>
      <c r="V33" s="7">
        <f>H33*0.9235</f>
        <v/>
      </c>
      <c r="W33" s="7">
        <f>IF(H33&gt;0,2*impuestos_ssTasa*MIN(V33,MAX(0,impuestos_ssTope*C33-U33))+2*impuestos_medicareTasa*V33,0)</f>
        <v/>
      </c>
      <c r="X33" s="7">
        <f>impuestos_ssTasa*MIN(U33,impuestos_ssTope*C33)+impuestos_medicareTasa*U33+impuestos_medicareAdicional*MAX(0,U33+H33*0.9235-impuestos_medicareUmbral)</f>
        <v/>
      </c>
      <c r="Y33" s="7">
        <f>MAX(0,D33-O33+R33+T33+H33-W33/2)</f>
        <v/>
      </c>
      <c r="Z33" s="7">
        <f>MAX(0,Y33-impuestos_deduccionEstandar*C33)</f>
        <v/>
      </c>
      <c r="AA33" s="7">
        <f>MIN(0.2*MAX(0,T33+H33-W33/2)*MAX(0,MIN(1,1-(Z33-impuestos_qbiUmbral*C33)/(impuestos_qbiRango*C33))),0.2*Z33)</f>
        <v/>
      </c>
      <c r="AB33" s="7">
        <f>MAX(0,Z33-AA33)</f>
        <v/>
      </c>
      <c r="AC33" s="7">
        <f>SUMPRODUCT((AB33&gt;tb_federalBrackets_lo*C33)*(AB33-tb_federalBrackets_lo*C33)*tb_federalBrackets_dr)</f>
        <v/>
      </c>
      <c r="AD33" s="7">
        <f>MAX(0,Y33-impuestos_nyDeduccion*C33)</f>
        <v/>
      </c>
      <c r="AE33" s="7">
        <f>CHOOSE(loc_taxcode,0,impuestos_ohTasa*MAX(0,Y33-impuestos_ohExento*C33)+impuestos_ohMunicipal*U33,SUMPRODUCT((AD33&gt;tb_nyBrackets_lo*C33)*(AD33-tb_nyBrackets_lo*C33)*tb_nyBrackets_dr)+loc_nyc*SUMPRODUCT((AD33&gt;tb_nycBrackets_lo*C33)*(AD33-tb_nycBrackets_lo*C33)*tb_nycBrackets_dr))</f>
        <v/>
      </c>
      <c r="AF33" s="7">
        <f>AC33+AE33+X33+W33</f>
        <v/>
      </c>
      <c r="AG33" s="7">
        <f>D33+F33+R33+T33+H33</f>
        <v/>
      </c>
      <c r="AH33" s="7">
        <f>AG33-AF33-O33</f>
        <v/>
      </c>
      <c r="AI33" s="7">
        <f>D33+F33+G33+H33</f>
        <v/>
      </c>
      <c r="AJ33" s="7">
        <f>loc_gastosVida*C33*g_gastos</f>
        <v/>
      </c>
      <c r="AK33" s="7">
        <f>IF(0=0,personal_liquidoInicial,DR32)</f>
        <v/>
      </c>
      <c r="AL33" s="7">
        <f>IF(0=0,0,BB32)</f>
        <v/>
      </c>
      <c r="AM33" s="7">
        <f>CHOOSE(sel_cfgIdx,loc_precio_duplex,loc_precio_inlaw,loc_precio_dosCasas,loc_precio_casaAdu,loc_precio_multi)</f>
        <v/>
      </c>
      <c r="AN33" s="7">
        <f>AM33*(1+g_appr)^(A33-2026)</f>
        <v/>
      </c>
      <c r="AO33" s="7">
        <f>IF(AND(M33=1,vivienda_prestamoMedico=1),1,0)</f>
        <v/>
      </c>
      <c r="AP33" s="7">
        <f>IF(AO33=1,0.05,vivienda_enganchePct)</f>
        <v/>
      </c>
      <c r="AQ33" s="7">
        <f>AN33*(1-AP33)</f>
        <v/>
      </c>
      <c r="AR33" s="7">
        <f>PMT(g_mortRate/12,vivienda_plazoHipoteca*12,-AQ33)</f>
        <v/>
      </c>
      <c r="AS33" s="7">
        <f>INDEX(cfg_units,sel_cfgIdx)</f>
        <v/>
      </c>
      <c r="AT33" s="7">
        <f>AS33*loc_rentaUnidad*(1+g_inf)^(A33-2026)*(1-vivienda_vacancia)</f>
        <v/>
      </c>
      <c r="AU33" s="7">
        <f>AR33+AN33*loc_impuestoPropPct/12+AM33*loc_seguroPct*(1+vivienda_inflacionSeguro)^(A33-2026)/12+IF(AND(AO33=0,AP33&lt;0.2),AQ33*vivienda_pmiTasa/12,0)</f>
        <v/>
      </c>
      <c r="AV33" s="7">
        <f>AN33*AP33+AN33*vivienda_cierrePct+general_reservaMeses/12*AJ33</f>
        <v/>
      </c>
      <c r="AW33" s="7">
        <f>(IF(0=0,MIN(personal_irsSaldo,personal_irsPagoMensual*12),MIN(CD32,personal_irsPagoMensual*12))+IF(CE33&gt;0,PMT(CF33,MAX(1,prestamos_plazoAnios-CG33),-CE33),0)+IF(CR33&gt;0,PMT(CS33,MAX(1,prestamos_plazoAnios-CT33),-CR33),0))/12</f>
        <v/>
      </c>
      <c r="AX33" s="7">
        <f>IF(OR(sel_cfg="duplex",sel_cfg="multi",sel_cfg="dosCasas"),0.75*personal_aporteFamiliaMensual,0)</f>
        <v/>
      </c>
      <c r="AY33" s="7">
        <f>AU33-0.75*AT33-AX33+AW33</f>
        <v/>
      </c>
      <c r="AZ33" s="7">
        <f>(D33+G33+H33+0.5*F33)/12</f>
        <v/>
      </c>
      <c r="BA33" s="7">
        <f>IF(AND(AL33=0,A33&gt;=vivienda_anioMinCompra,J33&lt;0.5,AI33&gt;0,AK33&gt;=AV33,AY33&lt;=vivienda_dtiMax*AZ33),1,0)</f>
        <v/>
      </c>
      <c r="BB33" s="7">
        <f>MAX(AL33,BA33)</f>
        <v/>
      </c>
      <c r="BC33" s="7">
        <f>IF(BA33=1,A33,IF(0=0,"",BC32))</f>
        <v/>
      </c>
      <c r="BD33" s="7">
        <f>AK33-IF(BA33=1,AN33*AP33+AN33*vivienda_cierrePct,0)</f>
        <v/>
      </c>
      <c r="BE33" s="7">
        <f>IF(BA33=1,AN33,IF(0=0,0,BE32))</f>
        <v/>
      </c>
      <c r="BF33" s="7">
        <f>IF(BA33=1,AR33,IF(0=0,0,BF32))</f>
        <v/>
      </c>
      <c r="BG33" s="7">
        <f>IF(BA33=1,IF(AND(AO33=0,AP33&lt;0.2),1,0),IF(0=0,0,BY32))</f>
        <v/>
      </c>
      <c r="BH33" s="7">
        <f>IF(sel_cfg="casaAdu",1,0)</f>
        <v/>
      </c>
      <c r="BI33" s="7">
        <f>IF(AND(BB33=1,BH33=1,IF(0=0,0,BJ32)=0,A33&gt;=IF(BC33="",9999,BC33)+vivienda_aduRetrasoAnios),1,0)</f>
        <v/>
      </c>
      <c r="BJ33" s="7">
        <f>MAX(IF(0=0,0,BJ32),BI33)</f>
        <v/>
      </c>
      <c r="BK33" s="7">
        <f>IF(BI33=1,PMT((g_mortRate+0.005)/12,180,-loc_precio_aduCosto*C33),IF(0=0,0,BK32))</f>
        <v/>
      </c>
      <c r="BL33" s="7">
        <f>IF(BA33=1,AN33,IF(0=0,0,DT32))+IF(BI33=1,loc_precio_aduCosto*C33,0)</f>
        <v/>
      </c>
      <c r="BM33" s="7">
        <f>IF(BA33=1,AQ33,IF(0=0,0,DU32))</f>
        <v/>
      </c>
      <c r="BN33" s="7">
        <f>IF(BM33&lt;=0,0,FV(g_mortRate/12,12,BF33,-BM33))</f>
        <v/>
      </c>
      <c r="BO33" s="7">
        <f>IF(BM33&lt;=0,0,12*BF33+MIN(0,BN33))</f>
        <v/>
      </c>
      <c r="BP33" s="7">
        <f>MAX(0,BN33)</f>
        <v/>
      </c>
      <c r="BQ33" s="7">
        <f>IF(BI33=1,loc_precio_aduCosto*C33,IF(0=0,0,DV32))</f>
        <v/>
      </c>
      <c r="BR33" s="7">
        <f>IF(BQ33&lt;=0,0,FV((g_mortRate+0.005)/12,12,BK33,-BQ33))</f>
        <v/>
      </c>
      <c r="BS33" s="7">
        <f>IF(BQ33&lt;=0,0,12*BK33+MIN(0,BR33))</f>
        <v/>
      </c>
      <c r="BT33" s="7">
        <f>MAX(0,BR33)</f>
        <v/>
      </c>
      <c r="BU33" s="7">
        <f>IF(BB33=1,AM33*loc_seguroPct*(1+vivienda_inflacionSeguro)^(A33-2026)*IF(BJ33=1,1+loc_precio_aduCosto/AM33,1),0)</f>
        <v/>
      </c>
      <c r="BV33" s="7">
        <f>BL33*loc_impuestoPropPct</f>
        <v/>
      </c>
      <c r="BW33" s="7">
        <f>BL33*vivienda_mantenimientoPct</f>
        <v/>
      </c>
      <c r="BX33" s="7">
        <f>IF(AND(BG33=1,BP33&gt;0.8*BE33),BE33*(1-vivienda_enganchePct)*vivienda_pmiTasa,0)</f>
        <v/>
      </c>
      <c r="BY33" s="7">
        <f>IF(AND(BG33=1,BP33&gt;0.8*BE33),1,0)</f>
        <v/>
      </c>
      <c r="BZ33" s="7">
        <f>IF(BB33=1,AS33*loc_rentaUnidad*12*C33*(1-vivienda_vacancia)*(1-vivienda_gestionPct),0)</f>
        <v/>
      </c>
      <c r="CA33" s="7">
        <f>IF(BB33=1,BO33+BS33+BU33+BV33+BW33+BX33,loc_rentaMensual*12*C33)</f>
        <v/>
      </c>
      <c r="CB33" s="7">
        <f>IF(BB33=1,personal_aporteFamiliaMensual*12,0)</f>
        <v/>
      </c>
      <c r="CC33" s="7">
        <f>MIN(IF(0=0,personal_irsSaldo,CD32),personal_irsPagoMensual*12)</f>
        <v/>
      </c>
      <c r="CD33" s="7">
        <f>IF(0=0,personal_irsSaldo,CD32)-CC33</f>
        <v/>
      </c>
      <c r="CE33" s="7">
        <f>IF(0=0,IF(personal_deudaEsFederal=1,personal_deudaEstudiantil,0),DW32)</f>
        <v/>
      </c>
      <c r="CF33" s="7">
        <f>IF(0=0,personal_tasaDeudaEstudiantil,DX32)</f>
        <v/>
      </c>
      <c r="CG33" s="7">
        <f>IF(0=0,0,DY32)</f>
        <v/>
      </c>
      <c r="CH33" s="7">
        <f>IF(J33&gt;=0.5,1,0)</f>
        <v/>
      </c>
      <c r="CI33" s="7">
        <f>IF(AND(CH33=0,prestamos_pslfActivo=1,K33&gt;=0.5,CE33&gt;0),1,0)</f>
        <v/>
      </c>
      <c r="CJ33" s="7">
        <f>CE33*CF33</f>
        <v/>
      </c>
      <c r="CK33" s="7">
        <f>MAX(prestamos_rapPagoMinimoAnual,IF(Y33&lt;10000,0,MIN(0.1,INT(Y33/10000)/100))*Y33)</f>
        <v/>
      </c>
      <c r="CL33" s="7">
        <f>IF(CE33&lt;=0,0,IF(CH33=1,0,IF(CI33=1,MIN(CE33+CJ33,CK33),PMT(CF33,MAX(1,prestamos_plazoAnios-CG33),-CE33))))</f>
        <v/>
      </c>
      <c r="CM33" s="7">
        <f>IF(CE33&lt;=0,0,IF(CH33=1,CE33+CJ33,IF(CI33=1,MAX(0,CE33-MAX(CL33-CJ33,MIN(600,CL33))),MAX(0,CE33*(1+CF33)-CL33))))</f>
        <v/>
      </c>
      <c r="CN33" s="7">
        <f>IF(0=0,0,CN32)+IF(CI33=1,12*MIN(1,K33),0)</f>
        <v/>
      </c>
      <c r="CO33" s="7">
        <f>IF(AND(CI33=1,CN33&gt;=prestamos_pslfPagos,CM33&gt;0),CM33,0)</f>
        <v/>
      </c>
      <c r="CP33" s="7">
        <f>CM33-CO33</f>
        <v/>
      </c>
      <c r="CQ33" s="7">
        <f>IF(AND(CE33&gt;0,CH33=0,CI33=0),CG33+1,CG33)</f>
        <v/>
      </c>
      <c r="CR33" s="7">
        <f>IF(0=0,IF(personal_deudaEsFederal=1,0,personal_deudaEstudiantil),EA32)</f>
        <v/>
      </c>
      <c r="CS33" s="7">
        <f>IF(0=0,IF(personal_deudaEsFederal=1,prestamos_tasaPrivada,personal_tasaDeudaEstudiantil),EB32)</f>
        <v/>
      </c>
      <c r="CT33" s="7">
        <f>IF(0=0,0,EC32)</f>
        <v/>
      </c>
      <c r="CU33" s="7">
        <f>IF(OR(CR33&lt;=0,CH33=1),0,PMT(CS33,MAX(1,prestamos_plazoAnios-CT33),-CR33))</f>
        <v/>
      </c>
      <c r="CV33" s="7">
        <f>IF(CR33&lt;=0,0,IF(CH33=1,CR33*(1+CS33),MAX(0,CR33*(1+CS33)-CU33)))</f>
        <v/>
      </c>
      <c r="CW33" s="7">
        <f>IF(AND(CR33&gt;0,CH33=0),CT33+1,CT33)</f>
        <v/>
      </c>
      <c r="CX33" s="7">
        <f>IF(0=0,0,ED32)*(1+general_tasaDeudaConsumo)</f>
        <v/>
      </c>
      <c r="CY33" s="7">
        <f>L33*12*tiempos_travelGastoExtraMes*C33</f>
        <v/>
      </c>
      <c r="CZ33" s="7">
        <f>AJ33+CY33+CA33+CC33+CL33+CU33+I33+N33-BZ33-CB33</f>
        <v/>
      </c>
      <c r="DA33" s="7">
        <f>AH33-CZ33</f>
        <v/>
      </c>
      <c r="DB33" s="7">
        <f>IF(0=0,0,DB32)+DA33</f>
        <v/>
      </c>
      <c r="DC33" s="7">
        <f>AN33*vivienda_enganchePct+AN33*vivienda_cierrePct+general_reservaMeses/12*AJ33</f>
        <v/>
      </c>
      <c r="DD33" s="7">
        <f>IF(BB33=1,g_ret,IF(BD33&gt;0,MIN(1,DC33/BD33),1)*g_cash+(1-IF(BD33&gt;0,MIN(1,DC33/BD33),1))*g_ret)</f>
        <v/>
      </c>
      <c r="DE33" s="7">
        <f>IF(DA33&gt;=0,MIN(CX33,DA33),0)</f>
        <v/>
      </c>
      <c r="DF33" s="7">
        <f>IF(DA33&gt;=0,(1-general_tasaAhorro)*(DA33-DE33),0)</f>
        <v/>
      </c>
      <c r="DG33" s="7">
        <f>IF(DA33&gt;=0,DA33-DE33-DF33,0)</f>
        <v/>
      </c>
      <c r="DH33" s="7">
        <f>MIN(personal_rothAnual,DG33)</f>
        <v/>
      </c>
      <c r="DI33" s="7">
        <f>IF(AND(DA33&gt;=0,BB33=1,BP33+BT33&gt;0),MIN(vivienda_prepagoPct*(DG33-DH33),BP33+BT33),0)</f>
        <v/>
      </c>
      <c r="DJ33" s="7">
        <f>MIN(DI33,BP33)</f>
        <v/>
      </c>
      <c r="DK33" s="7">
        <f>IF(DA33&lt;0,MIN(MAX(0,BD33),-DA33),0)</f>
        <v/>
      </c>
      <c r="DL33" s="7">
        <f>IF(DA33&lt;0,-DA33-DK33,0)</f>
        <v/>
      </c>
      <c r="DM33" s="7">
        <f>IF(0=0,0,DZ32)</f>
        <v/>
      </c>
      <c r="DN33" s="7">
        <f>IF(AND(DL33&gt;0,J33&gt;0),MIN(DL33,MIN(prestamos_topeAnualPosgrado*MIN(1,J33),MAX(0,prestamos_topeTotalPosgrado-DM33))),0)</f>
        <v/>
      </c>
      <c r="DO33" s="7">
        <f>IF(AND(DL33&gt;0,J33&gt;0),DL33-DN33,0)</f>
        <v/>
      </c>
      <c r="DP33" s="7">
        <f>IF(AND(DL33&gt;0,J33&lt;=0),DL33,0)</f>
        <v/>
      </c>
      <c r="DQ33" s="7">
        <f>IF(DA33&gt;=0,DG33-DH33-DI33,-DK33)</f>
        <v/>
      </c>
      <c r="DR33" s="7">
        <f>BD33*(1+DD33)+DQ33*(1+DD33/2)</f>
        <v/>
      </c>
      <c r="DS33" s="7">
        <f>IF(0=0,personal_retiroInicial,DS32)*(1+g_ret)+(O33+P33+DH33)*(1+g_ret/2)</f>
        <v/>
      </c>
      <c r="DT33" s="7">
        <f>IF(BB33=1,BL33*(1+g_appr),0)</f>
        <v/>
      </c>
      <c r="DU33" s="7">
        <f>BP33-DJ33</f>
        <v/>
      </c>
      <c r="DV33" s="7">
        <f>BT33-(DI33-DJ33)</f>
        <v/>
      </c>
      <c r="DW33" s="7">
        <f>CP33+DN33</f>
        <v/>
      </c>
      <c r="DX33" s="7">
        <f>IF(DN33&gt;0,(CP33*CF33+DN33*prestamos_tasaFederalPosgrado)/(CP33+DN33),CF33)</f>
        <v/>
      </c>
      <c r="DY33" s="7">
        <f>IF(DN33&gt;0,0,CQ33)</f>
        <v/>
      </c>
      <c r="DZ33" s="7">
        <f>DM33+DN33</f>
        <v/>
      </c>
      <c r="EA33" s="7">
        <f>CV33+DO33</f>
        <v/>
      </c>
      <c r="EB33" s="7">
        <f>IF(DO33&gt;0,(CV33*CS33+DO33*prestamos_tasaPrivada)/(CV33+DO33),CS33)</f>
        <v/>
      </c>
      <c r="EC33" s="7">
        <f>IF(DO33&gt;0,0,CW33)</f>
        <v/>
      </c>
      <c r="ED33" s="7">
        <f>CX33-DE33+DP33</f>
        <v/>
      </c>
      <c r="EE33" s="7">
        <f>IF(IF(0=0,"",EE32)&lt;&gt;"",EE32,IF(AND(BB33=1,DU33&lt;=0.5,DV33&lt;=0.5,OR(BH33=0,BJ33=1)),A33,""))</f>
        <v/>
      </c>
      <c r="EF33" s="7">
        <f>DU33+DV33+DW33+EA33+ED33+CD33</f>
        <v/>
      </c>
      <c r="EG33" s="7">
        <f>DR33+DS33+DT33-EF33</f>
        <v/>
      </c>
      <c r="EH33" s="7">
        <f>EG33/(1+g_inf)^(A33+1-2026)</f>
        <v/>
      </c>
    </row>
    <row r="34">
      <c r="A34" t="n">
        <v>2028</v>
      </c>
      <c r="B34" t="n">
        <v>1</v>
      </c>
      <c r="C34" s="7">
        <f>(1+g_inf)^(A34-2026)</f>
        <v/>
      </c>
      <c r="D34" s="7">
        <f>SUMPRODUCT($U$5:$U$29,$E$5:$E$29*(1+$F$5:$F$29)^(A34-2026)*$G$5:$G$29*$H$5:$H$29*(1-$N$5:$N$29*$O$5:$O$29))*g_salMult+SUMPRODUCT(($B$5:$B$29&gt;=A34)*($B$5:$B$29&lt;A34+1)*$I$5:$I$29)*g_salMult</f>
        <v/>
      </c>
      <c r="E34" s="7">
        <f>SUMPRODUCT($U$5:$U$29,$E$5:$E$29*(1+$F$5:$F$29)^(A34-2026)*$G$5:$G$29*$H$5:$H$29*$M$5:$M$29)*g_salMult</f>
        <v/>
      </c>
      <c r="F34" s="7">
        <f>SUMPRODUCT($U$5:$U$29,$E$5:$E$29*(1+$F$5:$F$29)^(A34-2026)*$G$5:$G$29*$H$5:$H$29*$N$5:$N$29*$O$5:$O$29)*g_salMult</f>
        <v/>
      </c>
      <c r="G34" s="7">
        <f>SUMPRODUCT($U$5:$U$29,$P$5:$P$29*(1+$F$5:$F$29)^(A34-2026))</f>
        <v/>
      </c>
      <c r="H34" s="7">
        <f>SUMPRODUCT($U$5:$U$29,$Q$5:$Q$29*(1+$F$5:$F$29)^(A34-2026))+IF(personal_llcActivo=1,personal_llcNeto*(1+personal_llcCrecimiento)^1,0)</f>
        <v/>
      </c>
      <c r="I34" s="7">
        <f>SUMPRODUCT($U$5:$U$29,$J$5:$J$29/($C$5:$C$29-$B$5:$B$29+($C$5:$C$29=$B$5:$B$29)))*C34</f>
        <v/>
      </c>
      <c r="J34" s="7">
        <f>SUMPRODUCT($U$5:$U$29,$K$5:$K$29)</f>
        <v/>
      </c>
      <c r="K34" s="7">
        <f>SUMPRODUCT($U$5:$U$29,$L$5:$L$29)</f>
        <v/>
      </c>
      <c r="L34" s="7">
        <f>SUMPRODUCT($U$5:$U$29,$N$5:$N$29)</f>
        <v/>
      </c>
      <c r="M34" s="7">
        <f>IF(SUMPRODUCT($U$5:$U$29,$R$5:$R$29)&gt;0,1,0)</f>
        <v/>
      </c>
      <c r="N34" s="7">
        <f>SUMPRODUCT(($AO$5:$AO$24&gt;=A34)*($AO$5:$AO$24&lt;A34+1)*$AP$5:$AP$24)*C34+IF(1=0,IF(sel_loc&lt;&gt;"miami",personal_costoMudanzaInicial,0),0)</f>
        <v/>
      </c>
      <c r="O34" s="7">
        <f>MIN(personal_aporte403bPct*D34,retiro_limite403b*C34)</f>
        <v/>
      </c>
      <c r="P34" s="7">
        <f>MIN(personal_aporte403bPct,personal_match403bPct)*E34</f>
        <v/>
      </c>
      <c r="Q34" s="7">
        <f>IF(G34&gt;0,MAX(0,G34-impuestos_scorpCostoAnual*C34),0)</f>
        <v/>
      </c>
      <c r="R34" s="7">
        <f>Q34*impuestos_scorpSalarioPct/(1+impuestos_ssTasa+impuestos_medicareTasa)</f>
        <v/>
      </c>
      <c r="S34" s="7">
        <f>impuestos_ssTasa*MIN(R34,MAX(0,impuestos_ssTope*C34-D34))+impuestos_medicareTasa*R34</f>
        <v/>
      </c>
      <c r="T34" s="7">
        <f>Q34-R34-S34</f>
        <v/>
      </c>
      <c r="U34" s="7">
        <f>D34+R34</f>
        <v/>
      </c>
      <c r="V34" s="7">
        <f>H34*0.9235</f>
        <v/>
      </c>
      <c r="W34" s="7">
        <f>IF(H34&gt;0,2*impuestos_ssTasa*MIN(V34,MAX(0,impuestos_ssTope*C34-U34))+2*impuestos_medicareTasa*V34,0)</f>
        <v/>
      </c>
      <c r="X34" s="7">
        <f>impuestos_ssTasa*MIN(U34,impuestos_ssTope*C34)+impuestos_medicareTasa*U34+impuestos_medicareAdicional*MAX(0,U34+H34*0.9235-impuestos_medicareUmbral)</f>
        <v/>
      </c>
      <c r="Y34" s="7">
        <f>MAX(0,D34-O34+R34+T34+H34-W34/2)</f>
        <v/>
      </c>
      <c r="Z34" s="7">
        <f>MAX(0,Y34-impuestos_deduccionEstandar*C34)</f>
        <v/>
      </c>
      <c r="AA34" s="7">
        <f>MIN(0.2*MAX(0,T34+H34-W34/2)*MAX(0,MIN(1,1-(Z34-impuestos_qbiUmbral*C34)/(impuestos_qbiRango*C34))),0.2*Z34)</f>
        <v/>
      </c>
      <c r="AB34" s="7">
        <f>MAX(0,Z34-AA34)</f>
        <v/>
      </c>
      <c r="AC34" s="7">
        <f>SUMPRODUCT((AB34&gt;tb_federalBrackets_lo*C34)*(AB34-tb_federalBrackets_lo*C34)*tb_federalBrackets_dr)</f>
        <v/>
      </c>
      <c r="AD34" s="7">
        <f>MAX(0,Y34-impuestos_nyDeduccion*C34)</f>
        <v/>
      </c>
      <c r="AE34" s="7">
        <f>CHOOSE(loc_taxcode,0,impuestos_ohTasa*MAX(0,Y34-impuestos_ohExento*C34)+impuestos_ohMunicipal*U34,SUMPRODUCT((AD34&gt;tb_nyBrackets_lo*C34)*(AD34-tb_nyBrackets_lo*C34)*tb_nyBrackets_dr)+loc_nyc*SUMPRODUCT((AD34&gt;tb_nycBrackets_lo*C34)*(AD34-tb_nycBrackets_lo*C34)*tb_nycBrackets_dr))</f>
        <v/>
      </c>
      <c r="AF34" s="7">
        <f>AC34+AE34+X34+W34</f>
        <v/>
      </c>
      <c r="AG34" s="7">
        <f>D34+F34+R34+T34+H34</f>
        <v/>
      </c>
      <c r="AH34" s="7">
        <f>AG34-AF34-O34</f>
        <v/>
      </c>
      <c r="AI34" s="7">
        <f>D34+F34+G34+H34</f>
        <v/>
      </c>
      <c r="AJ34" s="7">
        <f>loc_gastosVida*C34*g_gastos</f>
        <v/>
      </c>
      <c r="AK34" s="7">
        <f>IF(1=0,personal_liquidoInicial,DR33)</f>
        <v/>
      </c>
      <c r="AL34" s="7">
        <f>IF(1=0,0,BB33)</f>
        <v/>
      </c>
      <c r="AM34" s="7">
        <f>CHOOSE(sel_cfgIdx,loc_precio_duplex,loc_precio_inlaw,loc_precio_dosCasas,loc_precio_casaAdu,loc_precio_multi)</f>
        <v/>
      </c>
      <c r="AN34" s="7">
        <f>AM34*(1+g_appr)^(A34-2026)</f>
        <v/>
      </c>
      <c r="AO34" s="7">
        <f>IF(AND(M34=1,vivienda_prestamoMedico=1),1,0)</f>
        <v/>
      </c>
      <c r="AP34" s="7">
        <f>IF(AO34=1,0.05,vivienda_enganchePct)</f>
        <v/>
      </c>
      <c r="AQ34" s="7">
        <f>AN34*(1-AP34)</f>
        <v/>
      </c>
      <c r="AR34" s="7">
        <f>PMT(g_mortRate/12,vivienda_plazoHipoteca*12,-AQ34)</f>
        <v/>
      </c>
      <c r="AS34" s="7">
        <f>INDEX(cfg_units,sel_cfgIdx)</f>
        <v/>
      </c>
      <c r="AT34" s="7">
        <f>AS34*loc_rentaUnidad*(1+g_inf)^(A34-2026)*(1-vivienda_vacancia)</f>
        <v/>
      </c>
      <c r="AU34" s="7">
        <f>AR34+AN34*loc_impuestoPropPct/12+AM34*loc_seguroPct*(1+vivienda_inflacionSeguro)^(A34-2026)/12+IF(AND(AO34=0,AP34&lt;0.2),AQ34*vivienda_pmiTasa/12,0)</f>
        <v/>
      </c>
      <c r="AV34" s="7">
        <f>AN34*AP34+AN34*vivienda_cierrePct+general_reservaMeses/12*AJ34</f>
        <v/>
      </c>
      <c r="AW34" s="7">
        <f>(IF(1=0,MIN(personal_irsSaldo,personal_irsPagoMensual*12),MIN(CD33,personal_irsPagoMensual*12))+IF(CE34&gt;0,PMT(CF34,MAX(1,prestamos_plazoAnios-CG34),-CE34),0)+IF(CR34&gt;0,PMT(CS34,MAX(1,prestamos_plazoAnios-CT34),-CR34),0))/12</f>
        <v/>
      </c>
      <c r="AX34" s="7">
        <f>IF(OR(sel_cfg="duplex",sel_cfg="multi",sel_cfg="dosCasas"),0.75*personal_aporteFamiliaMensual,0)</f>
        <v/>
      </c>
      <c r="AY34" s="7">
        <f>AU34-0.75*AT34-AX34+AW34</f>
        <v/>
      </c>
      <c r="AZ34" s="7">
        <f>(D34+G34+H34+0.5*F34)/12</f>
        <v/>
      </c>
      <c r="BA34" s="7">
        <f>IF(AND(AL34=0,A34&gt;=vivienda_anioMinCompra,J34&lt;0.5,AI34&gt;0,AK34&gt;=AV34,AY34&lt;=vivienda_dtiMax*AZ34),1,0)</f>
        <v/>
      </c>
      <c r="BB34" s="7">
        <f>MAX(AL34,BA34)</f>
        <v/>
      </c>
      <c r="BC34" s="7">
        <f>IF(BA34=1,A34,IF(1=0,"",BC33))</f>
        <v/>
      </c>
      <c r="BD34" s="7">
        <f>AK34-IF(BA34=1,AN34*AP34+AN34*vivienda_cierrePct,0)</f>
        <v/>
      </c>
      <c r="BE34" s="7">
        <f>IF(BA34=1,AN34,IF(1=0,0,BE33))</f>
        <v/>
      </c>
      <c r="BF34" s="7">
        <f>IF(BA34=1,AR34,IF(1=0,0,BF33))</f>
        <v/>
      </c>
      <c r="BG34" s="7">
        <f>IF(BA34=1,IF(AND(AO34=0,AP34&lt;0.2),1,0),IF(1=0,0,BY33))</f>
        <v/>
      </c>
      <c r="BH34" s="7">
        <f>IF(sel_cfg="casaAdu",1,0)</f>
        <v/>
      </c>
      <c r="BI34" s="7">
        <f>IF(AND(BB34=1,BH34=1,IF(1=0,0,BJ33)=0,A34&gt;=IF(BC34="",9999,BC34)+vivienda_aduRetrasoAnios),1,0)</f>
        <v/>
      </c>
      <c r="BJ34" s="7">
        <f>MAX(IF(1=0,0,BJ33),BI34)</f>
        <v/>
      </c>
      <c r="BK34" s="7">
        <f>IF(BI34=1,PMT((g_mortRate+0.005)/12,180,-loc_precio_aduCosto*C34),IF(1=0,0,BK33))</f>
        <v/>
      </c>
      <c r="BL34" s="7">
        <f>IF(BA34=1,AN34,IF(1=0,0,DT33))+IF(BI34=1,loc_precio_aduCosto*C34,0)</f>
        <v/>
      </c>
      <c r="BM34" s="7">
        <f>IF(BA34=1,AQ34,IF(1=0,0,DU33))</f>
        <v/>
      </c>
      <c r="BN34" s="7">
        <f>IF(BM34&lt;=0,0,FV(g_mortRate/12,12,BF34,-BM34))</f>
        <v/>
      </c>
      <c r="BO34" s="7">
        <f>IF(BM34&lt;=0,0,12*BF34+MIN(0,BN34))</f>
        <v/>
      </c>
      <c r="BP34" s="7">
        <f>MAX(0,BN34)</f>
        <v/>
      </c>
      <c r="BQ34" s="7">
        <f>IF(BI34=1,loc_precio_aduCosto*C34,IF(1=0,0,DV33))</f>
        <v/>
      </c>
      <c r="BR34" s="7">
        <f>IF(BQ34&lt;=0,0,FV((g_mortRate+0.005)/12,12,BK34,-BQ34))</f>
        <v/>
      </c>
      <c r="BS34" s="7">
        <f>IF(BQ34&lt;=0,0,12*BK34+MIN(0,BR34))</f>
        <v/>
      </c>
      <c r="BT34" s="7">
        <f>MAX(0,BR34)</f>
        <v/>
      </c>
      <c r="BU34" s="7">
        <f>IF(BB34=1,AM34*loc_seguroPct*(1+vivienda_inflacionSeguro)^(A34-2026)*IF(BJ34=1,1+loc_precio_aduCosto/AM34,1),0)</f>
        <v/>
      </c>
      <c r="BV34" s="7">
        <f>BL34*loc_impuestoPropPct</f>
        <v/>
      </c>
      <c r="BW34" s="7">
        <f>BL34*vivienda_mantenimientoPct</f>
        <v/>
      </c>
      <c r="BX34" s="7">
        <f>IF(AND(BG34=1,BP34&gt;0.8*BE34),BE34*(1-vivienda_enganchePct)*vivienda_pmiTasa,0)</f>
        <v/>
      </c>
      <c r="BY34" s="7">
        <f>IF(AND(BG34=1,BP34&gt;0.8*BE34),1,0)</f>
        <v/>
      </c>
      <c r="BZ34" s="7">
        <f>IF(BB34=1,AS34*loc_rentaUnidad*12*C34*(1-vivienda_vacancia)*(1-vivienda_gestionPct),0)</f>
        <v/>
      </c>
      <c r="CA34" s="7">
        <f>IF(BB34=1,BO34+BS34+BU34+BV34+BW34+BX34,loc_rentaMensual*12*C34)</f>
        <v/>
      </c>
      <c r="CB34" s="7">
        <f>IF(BB34=1,personal_aporteFamiliaMensual*12,0)</f>
        <v/>
      </c>
      <c r="CC34" s="7">
        <f>MIN(IF(1=0,personal_irsSaldo,CD33),personal_irsPagoMensual*12)</f>
        <v/>
      </c>
      <c r="CD34" s="7">
        <f>IF(1=0,personal_irsSaldo,CD33)-CC34</f>
        <v/>
      </c>
      <c r="CE34" s="7">
        <f>IF(1=0,IF(personal_deudaEsFederal=1,personal_deudaEstudiantil,0),DW33)</f>
        <v/>
      </c>
      <c r="CF34" s="7">
        <f>IF(1=0,personal_tasaDeudaEstudiantil,DX33)</f>
        <v/>
      </c>
      <c r="CG34" s="7">
        <f>IF(1=0,0,DY33)</f>
        <v/>
      </c>
      <c r="CH34" s="7">
        <f>IF(J34&gt;=0.5,1,0)</f>
        <v/>
      </c>
      <c r="CI34" s="7">
        <f>IF(AND(CH34=0,prestamos_pslfActivo=1,K34&gt;=0.5,CE34&gt;0),1,0)</f>
        <v/>
      </c>
      <c r="CJ34" s="7">
        <f>CE34*CF34</f>
        <v/>
      </c>
      <c r="CK34" s="7">
        <f>MAX(prestamos_rapPagoMinimoAnual,IF(Y34&lt;10000,0,MIN(0.1,INT(Y34/10000)/100))*Y34)</f>
        <v/>
      </c>
      <c r="CL34" s="7">
        <f>IF(CE34&lt;=0,0,IF(CH34=1,0,IF(CI34=1,MIN(CE34+CJ34,CK34),PMT(CF34,MAX(1,prestamos_plazoAnios-CG34),-CE34))))</f>
        <v/>
      </c>
      <c r="CM34" s="7">
        <f>IF(CE34&lt;=0,0,IF(CH34=1,CE34+CJ34,IF(CI34=1,MAX(0,CE34-MAX(CL34-CJ34,MIN(600,CL34))),MAX(0,CE34*(1+CF34)-CL34))))</f>
        <v/>
      </c>
      <c r="CN34" s="7">
        <f>IF(1=0,0,CN33)+IF(CI34=1,12*MIN(1,K34),0)</f>
        <v/>
      </c>
      <c r="CO34" s="7">
        <f>IF(AND(CI34=1,CN34&gt;=prestamos_pslfPagos,CM34&gt;0),CM34,0)</f>
        <v/>
      </c>
      <c r="CP34" s="7">
        <f>CM34-CO34</f>
        <v/>
      </c>
      <c r="CQ34" s="7">
        <f>IF(AND(CE34&gt;0,CH34=0,CI34=0),CG34+1,CG34)</f>
        <v/>
      </c>
      <c r="CR34" s="7">
        <f>IF(1=0,IF(personal_deudaEsFederal=1,0,personal_deudaEstudiantil),EA33)</f>
        <v/>
      </c>
      <c r="CS34" s="7">
        <f>IF(1=0,IF(personal_deudaEsFederal=1,prestamos_tasaPrivada,personal_tasaDeudaEstudiantil),EB33)</f>
        <v/>
      </c>
      <c r="CT34" s="7">
        <f>IF(1=0,0,EC33)</f>
        <v/>
      </c>
      <c r="CU34" s="7">
        <f>IF(OR(CR34&lt;=0,CH34=1),0,PMT(CS34,MAX(1,prestamos_plazoAnios-CT34),-CR34))</f>
        <v/>
      </c>
      <c r="CV34" s="7">
        <f>IF(CR34&lt;=0,0,IF(CH34=1,CR34*(1+CS34),MAX(0,CR34*(1+CS34)-CU34)))</f>
        <v/>
      </c>
      <c r="CW34" s="7">
        <f>IF(AND(CR34&gt;0,CH34=0),CT34+1,CT34)</f>
        <v/>
      </c>
      <c r="CX34" s="7">
        <f>IF(1=0,0,ED33)*(1+general_tasaDeudaConsumo)</f>
        <v/>
      </c>
      <c r="CY34" s="7">
        <f>L34*12*tiempos_travelGastoExtraMes*C34</f>
        <v/>
      </c>
      <c r="CZ34" s="7">
        <f>AJ34+CY34+CA34+CC34+CL34+CU34+I34+N34-BZ34-CB34</f>
        <v/>
      </c>
      <c r="DA34" s="7">
        <f>AH34-CZ34</f>
        <v/>
      </c>
      <c r="DB34" s="7">
        <f>IF(1=0,0,DB33)+DA34</f>
        <v/>
      </c>
      <c r="DC34" s="7">
        <f>AN34*vivienda_enganchePct+AN34*vivienda_cierrePct+general_reservaMeses/12*AJ34</f>
        <v/>
      </c>
      <c r="DD34" s="7">
        <f>IF(BB34=1,g_ret,IF(BD34&gt;0,MIN(1,DC34/BD34),1)*g_cash+(1-IF(BD34&gt;0,MIN(1,DC34/BD34),1))*g_ret)</f>
        <v/>
      </c>
      <c r="DE34" s="7">
        <f>IF(DA34&gt;=0,MIN(CX34,DA34),0)</f>
        <v/>
      </c>
      <c r="DF34" s="7">
        <f>IF(DA34&gt;=0,(1-general_tasaAhorro)*(DA34-DE34),0)</f>
        <v/>
      </c>
      <c r="DG34" s="7">
        <f>IF(DA34&gt;=0,DA34-DE34-DF34,0)</f>
        <v/>
      </c>
      <c r="DH34" s="7">
        <f>MIN(personal_rothAnual,DG34)</f>
        <v/>
      </c>
      <c r="DI34" s="7">
        <f>IF(AND(DA34&gt;=0,BB34=1,BP34+BT34&gt;0),MIN(vivienda_prepagoPct*(DG34-DH34),BP34+BT34),0)</f>
        <v/>
      </c>
      <c r="DJ34" s="7">
        <f>MIN(DI34,BP34)</f>
        <v/>
      </c>
      <c r="DK34" s="7">
        <f>IF(DA34&lt;0,MIN(MAX(0,BD34),-DA34),0)</f>
        <v/>
      </c>
      <c r="DL34" s="7">
        <f>IF(DA34&lt;0,-DA34-DK34,0)</f>
        <v/>
      </c>
      <c r="DM34" s="7">
        <f>IF(1=0,0,DZ33)</f>
        <v/>
      </c>
      <c r="DN34" s="7">
        <f>IF(AND(DL34&gt;0,J34&gt;0),MIN(DL34,MIN(prestamos_topeAnualPosgrado*MIN(1,J34),MAX(0,prestamos_topeTotalPosgrado-DM34))),0)</f>
        <v/>
      </c>
      <c r="DO34" s="7">
        <f>IF(AND(DL34&gt;0,J34&gt;0),DL34-DN34,0)</f>
        <v/>
      </c>
      <c r="DP34" s="7">
        <f>IF(AND(DL34&gt;0,J34&lt;=0),DL34,0)</f>
        <v/>
      </c>
      <c r="DQ34" s="7">
        <f>IF(DA34&gt;=0,DG34-DH34-DI34,-DK34)</f>
        <v/>
      </c>
      <c r="DR34" s="7">
        <f>BD34*(1+DD34)+DQ34*(1+DD34/2)</f>
        <v/>
      </c>
      <c r="DS34" s="7">
        <f>IF(1=0,personal_retiroInicial,DS33)*(1+g_ret)+(O34+P34+DH34)*(1+g_ret/2)</f>
        <v/>
      </c>
      <c r="DT34" s="7">
        <f>IF(BB34=1,BL34*(1+g_appr),0)</f>
        <v/>
      </c>
      <c r="DU34" s="7">
        <f>BP34-DJ34</f>
        <v/>
      </c>
      <c r="DV34" s="7">
        <f>BT34-(DI34-DJ34)</f>
        <v/>
      </c>
      <c r="DW34" s="7">
        <f>CP34+DN34</f>
        <v/>
      </c>
      <c r="DX34" s="7">
        <f>IF(DN34&gt;0,(CP34*CF34+DN34*prestamos_tasaFederalPosgrado)/(CP34+DN34),CF34)</f>
        <v/>
      </c>
      <c r="DY34" s="7">
        <f>IF(DN34&gt;0,0,CQ34)</f>
        <v/>
      </c>
      <c r="DZ34" s="7">
        <f>DM34+DN34</f>
        <v/>
      </c>
      <c r="EA34" s="7">
        <f>CV34+DO34</f>
        <v/>
      </c>
      <c r="EB34" s="7">
        <f>IF(DO34&gt;0,(CV34*CS34+DO34*prestamos_tasaPrivada)/(CV34+DO34),CS34)</f>
        <v/>
      </c>
      <c r="EC34" s="7">
        <f>IF(DO34&gt;0,0,CW34)</f>
        <v/>
      </c>
      <c r="ED34" s="7">
        <f>CX34-DE34+DP34</f>
        <v/>
      </c>
      <c r="EE34" s="7">
        <f>IF(IF(1=0,"",EE33)&lt;&gt;"",EE33,IF(AND(BB34=1,DU34&lt;=0.5,DV34&lt;=0.5,OR(BH34=0,BJ34=1)),A34,""))</f>
        <v/>
      </c>
      <c r="EF34" s="7">
        <f>DU34+DV34+DW34+EA34+ED34+CD34</f>
        <v/>
      </c>
      <c r="EG34" s="7">
        <f>DR34+DS34+DT34-EF34</f>
        <v/>
      </c>
      <c r="EH34" s="7">
        <f>EG34/(1+g_inf)^(A34+1-2026)</f>
        <v/>
      </c>
    </row>
    <row r="35">
      <c r="A35" t="n">
        <v>2029</v>
      </c>
      <c r="B35" t="n">
        <v>2</v>
      </c>
      <c r="C35" s="7">
        <f>(1+g_inf)^(A35-2026)</f>
        <v/>
      </c>
      <c r="D35" s="7">
        <f>SUMPRODUCT($V$5:$V$29,$E$5:$E$29*(1+$F$5:$F$29)^(A35-2026)*$G$5:$G$29*$H$5:$H$29*(1-$N$5:$N$29*$O$5:$O$29))*g_salMult+SUMPRODUCT(($B$5:$B$29&gt;=A35)*($B$5:$B$29&lt;A35+1)*$I$5:$I$29)*g_salMult</f>
        <v/>
      </c>
      <c r="E35" s="7">
        <f>SUMPRODUCT($V$5:$V$29,$E$5:$E$29*(1+$F$5:$F$29)^(A35-2026)*$G$5:$G$29*$H$5:$H$29*$M$5:$M$29)*g_salMult</f>
        <v/>
      </c>
      <c r="F35" s="7">
        <f>SUMPRODUCT($V$5:$V$29,$E$5:$E$29*(1+$F$5:$F$29)^(A35-2026)*$G$5:$G$29*$H$5:$H$29*$N$5:$N$29*$O$5:$O$29)*g_salMult</f>
        <v/>
      </c>
      <c r="G35" s="7">
        <f>SUMPRODUCT($V$5:$V$29,$P$5:$P$29*(1+$F$5:$F$29)^(A35-2026))</f>
        <v/>
      </c>
      <c r="H35" s="7">
        <f>SUMPRODUCT($V$5:$V$29,$Q$5:$Q$29*(1+$F$5:$F$29)^(A35-2026))+IF(personal_llcActivo=1,personal_llcNeto*(1+personal_llcCrecimiento)^2,0)</f>
        <v/>
      </c>
      <c r="I35" s="7">
        <f>SUMPRODUCT($V$5:$V$29,$J$5:$J$29/($C$5:$C$29-$B$5:$B$29+($C$5:$C$29=$B$5:$B$29)))*C35</f>
        <v/>
      </c>
      <c r="J35" s="7">
        <f>SUMPRODUCT($V$5:$V$29,$K$5:$K$29)</f>
        <v/>
      </c>
      <c r="K35" s="7">
        <f>SUMPRODUCT($V$5:$V$29,$L$5:$L$29)</f>
        <v/>
      </c>
      <c r="L35" s="7">
        <f>SUMPRODUCT($V$5:$V$29,$N$5:$N$29)</f>
        <v/>
      </c>
      <c r="M35" s="7">
        <f>IF(SUMPRODUCT($V$5:$V$29,$R$5:$R$29)&gt;0,1,0)</f>
        <v/>
      </c>
      <c r="N35" s="7">
        <f>SUMPRODUCT(($AO$5:$AO$24&gt;=A35)*($AO$5:$AO$24&lt;A35+1)*$AP$5:$AP$24)*C35+IF(2=0,IF(sel_loc&lt;&gt;"miami",personal_costoMudanzaInicial,0),0)</f>
        <v/>
      </c>
      <c r="O35" s="7">
        <f>MIN(personal_aporte403bPct*D35,retiro_limite403b*C35)</f>
        <v/>
      </c>
      <c r="P35" s="7">
        <f>MIN(personal_aporte403bPct,personal_match403bPct)*E35</f>
        <v/>
      </c>
      <c r="Q35" s="7">
        <f>IF(G35&gt;0,MAX(0,G35-impuestos_scorpCostoAnual*C35),0)</f>
        <v/>
      </c>
      <c r="R35" s="7">
        <f>Q35*impuestos_scorpSalarioPct/(1+impuestos_ssTasa+impuestos_medicareTasa)</f>
        <v/>
      </c>
      <c r="S35" s="7">
        <f>impuestos_ssTasa*MIN(R35,MAX(0,impuestos_ssTope*C35-D35))+impuestos_medicareTasa*R35</f>
        <v/>
      </c>
      <c r="T35" s="7">
        <f>Q35-R35-S35</f>
        <v/>
      </c>
      <c r="U35" s="7">
        <f>D35+R35</f>
        <v/>
      </c>
      <c r="V35" s="7">
        <f>H35*0.9235</f>
        <v/>
      </c>
      <c r="W35" s="7">
        <f>IF(H35&gt;0,2*impuestos_ssTasa*MIN(V35,MAX(0,impuestos_ssTope*C35-U35))+2*impuestos_medicareTasa*V35,0)</f>
        <v/>
      </c>
      <c r="X35" s="7">
        <f>impuestos_ssTasa*MIN(U35,impuestos_ssTope*C35)+impuestos_medicareTasa*U35+impuestos_medicareAdicional*MAX(0,U35+H35*0.9235-impuestos_medicareUmbral)</f>
        <v/>
      </c>
      <c r="Y35" s="7">
        <f>MAX(0,D35-O35+R35+T35+H35-W35/2)</f>
        <v/>
      </c>
      <c r="Z35" s="7">
        <f>MAX(0,Y35-impuestos_deduccionEstandar*C35)</f>
        <v/>
      </c>
      <c r="AA35" s="7">
        <f>MIN(0.2*MAX(0,T35+H35-W35/2)*MAX(0,MIN(1,1-(Z35-impuestos_qbiUmbral*C35)/(impuestos_qbiRango*C35))),0.2*Z35)</f>
        <v/>
      </c>
      <c r="AB35" s="7">
        <f>MAX(0,Z35-AA35)</f>
        <v/>
      </c>
      <c r="AC35" s="7">
        <f>SUMPRODUCT((AB35&gt;tb_federalBrackets_lo*C35)*(AB35-tb_federalBrackets_lo*C35)*tb_federalBrackets_dr)</f>
        <v/>
      </c>
      <c r="AD35" s="7">
        <f>MAX(0,Y35-impuestos_nyDeduccion*C35)</f>
        <v/>
      </c>
      <c r="AE35" s="7">
        <f>CHOOSE(loc_taxcode,0,impuestos_ohTasa*MAX(0,Y35-impuestos_ohExento*C35)+impuestos_ohMunicipal*U35,SUMPRODUCT((AD35&gt;tb_nyBrackets_lo*C35)*(AD35-tb_nyBrackets_lo*C35)*tb_nyBrackets_dr)+loc_nyc*SUMPRODUCT((AD35&gt;tb_nycBrackets_lo*C35)*(AD35-tb_nycBrackets_lo*C35)*tb_nycBrackets_dr))</f>
        <v/>
      </c>
      <c r="AF35" s="7">
        <f>AC35+AE35+X35+W35</f>
        <v/>
      </c>
      <c r="AG35" s="7">
        <f>D35+F35+R35+T35+H35</f>
        <v/>
      </c>
      <c r="AH35" s="7">
        <f>AG35-AF35-O35</f>
        <v/>
      </c>
      <c r="AI35" s="7">
        <f>D35+F35+G35+H35</f>
        <v/>
      </c>
      <c r="AJ35" s="7">
        <f>loc_gastosVida*C35*g_gastos</f>
        <v/>
      </c>
      <c r="AK35" s="7">
        <f>IF(2=0,personal_liquidoInicial,DR34)</f>
        <v/>
      </c>
      <c r="AL35" s="7">
        <f>IF(2=0,0,BB34)</f>
        <v/>
      </c>
      <c r="AM35" s="7">
        <f>CHOOSE(sel_cfgIdx,loc_precio_duplex,loc_precio_inlaw,loc_precio_dosCasas,loc_precio_casaAdu,loc_precio_multi)</f>
        <v/>
      </c>
      <c r="AN35" s="7">
        <f>AM35*(1+g_appr)^(A35-2026)</f>
        <v/>
      </c>
      <c r="AO35" s="7">
        <f>IF(AND(M35=1,vivienda_prestamoMedico=1),1,0)</f>
        <v/>
      </c>
      <c r="AP35" s="7">
        <f>IF(AO35=1,0.05,vivienda_enganchePct)</f>
        <v/>
      </c>
      <c r="AQ35" s="7">
        <f>AN35*(1-AP35)</f>
        <v/>
      </c>
      <c r="AR35" s="7">
        <f>PMT(g_mortRate/12,vivienda_plazoHipoteca*12,-AQ35)</f>
        <v/>
      </c>
      <c r="AS35" s="7">
        <f>INDEX(cfg_units,sel_cfgIdx)</f>
        <v/>
      </c>
      <c r="AT35" s="7">
        <f>AS35*loc_rentaUnidad*(1+g_inf)^(A35-2026)*(1-vivienda_vacancia)</f>
        <v/>
      </c>
      <c r="AU35" s="7">
        <f>AR35+AN35*loc_impuestoPropPct/12+AM35*loc_seguroPct*(1+vivienda_inflacionSeguro)^(A35-2026)/12+IF(AND(AO35=0,AP35&lt;0.2),AQ35*vivienda_pmiTasa/12,0)</f>
        <v/>
      </c>
      <c r="AV35" s="7">
        <f>AN35*AP35+AN35*vivienda_cierrePct+general_reservaMeses/12*AJ35</f>
        <v/>
      </c>
      <c r="AW35" s="7">
        <f>(IF(2=0,MIN(personal_irsSaldo,personal_irsPagoMensual*12),MIN(CD34,personal_irsPagoMensual*12))+IF(CE35&gt;0,PMT(CF35,MAX(1,prestamos_plazoAnios-CG35),-CE35),0)+IF(CR35&gt;0,PMT(CS35,MAX(1,prestamos_plazoAnios-CT35),-CR35),0))/12</f>
        <v/>
      </c>
      <c r="AX35" s="7">
        <f>IF(OR(sel_cfg="duplex",sel_cfg="multi",sel_cfg="dosCasas"),0.75*personal_aporteFamiliaMensual,0)</f>
        <v/>
      </c>
      <c r="AY35" s="7">
        <f>AU35-0.75*AT35-AX35+AW35</f>
        <v/>
      </c>
      <c r="AZ35" s="7">
        <f>(D35+G35+H35+0.5*F35)/12</f>
        <v/>
      </c>
      <c r="BA35" s="7">
        <f>IF(AND(AL35=0,A35&gt;=vivienda_anioMinCompra,J35&lt;0.5,AI35&gt;0,AK35&gt;=AV35,AY35&lt;=vivienda_dtiMax*AZ35),1,0)</f>
        <v/>
      </c>
      <c r="BB35" s="7">
        <f>MAX(AL35,BA35)</f>
        <v/>
      </c>
      <c r="BC35" s="7">
        <f>IF(BA35=1,A35,IF(2=0,"",BC34))</f>
        <v/>
      </c>
      <c r="BD35" s="7">
        <f>AK35-IF(BA35=1,AN35*AP35+AN35*vivienda_cierrePct,0)</f>
        <v/>
      </c>
      <c r="BE35" s="7">
        <f>IF(BA35=1,AN35,IF(2=0,0,BE34))</f>
        <v/>
      </c>
      <c r="BF35" s="7">
        <f>IF(BA35=1,AR35,IF(2=0,0,BF34))</f>
        <v/>
      </c>
      <c r="BG35" s="7">
        <f>IF(BA35=1,IF(AND(AO35=0,AP35&lt;0.2),1,0),IF(2=0,0,BY34))</f>
        <v/>
      </c>
      <c r="BH35" s="7">
        <f>IF(sel_cfg="casaAdu",1,0)</f>
        <v/>
      </c>
      <c r="BI35" s="7">
        <f>IF(AND(BB35=1,BH35=1,IF(2=0,0,BJ34)=0,A35&gt;=IF(BC35="",9999,BC35)+vivienda_aduRetrasoAnios),1,0)</f>
        <v/>
      </c>
      <c r="BJ35" s="7">
        <f>MAX(IF(2=0,0,BJ34),BI35)</f>
        <v/>
      </c>
      <c r="BK35" s="7">
        <f>IF(BI35=1,PMT((g_mortRate+0.005)/12,180,-loc_precio_aduCosto*C35),IF(2=0,0,BK34))</f>
        <v/>
      </c>
      <c r="BL35" s="7">
        <f>IF(BA35=1,AN35,IF(2=0,0,DT34))+IF(BI35=1,loc_precio_aduCosto*C35,0)</f>
        <v/>
      </c>
      <c r="BM35" s="7">
        <f>IF(BA35=1,AQ35,IF(2=0,0,DU34))</f>
        <v/>
      </c>
      <c r="BN35" s="7">
        <f>IF(BM35&lt;=0,0,FV(g_mortRate/12,12,BF35,-BM35))</f>
        <v/>
      </c>
      <c r="BO35" s="7">
        <f>IF(BM35&lt;=0,0,12*BF35+MIN(0,BN35))</f>
        <v/>
      </c>
      <c r="BP35" s="7">
        <f>MAX(0,BN35)</f>
        <v/>
      </c>
      <c r="BQ35" s="7">
        <f>IF(BI35=1,loc_precio_aduCosto*C35,IF(2=0,0,DV34))</f>
        <v/>
      </c>
      <c r="BR35" s="7">
        <f>IF(BQ35&lt;=0,0,FV((g_mortRate+0.005)/12,12,BK35,-BQ35))</f>
        <v/>
      </c>
      <c r="BS35" s="7">
        <f>IF(BQ35&lt;=0,0,12*BK35+MIN(0,BR35))</f>
        <v/>
      </c>
      <c r="BT35" s="7">
        <f>MAX(0,BR35)</f>
        <v/>
      </c>
      <c r="BU35" s="7">
        <f>IF(BB35=1,AM35*loc_seguroPct*(1+vivienda_inflacionSeguro)^(A35-2026)*IF(BJ35=1,1+loc_precio_aduCosto/AM35,1),0)</f>
        <v/>
      </c>
      <c r="BV35" s="7">
        <f>BL35*loc_impuestoPropPct</f>
        <v/>
      </c>
      <c r="BW35" s="7">
        <f>BL35*vivienda_mantenimientoPct</f>
        <v/>
      </c>
      <c r="BX35" s="7">
        <f>IF(AND(BG35=1,BP35&gt;0.8*BE35),BE35*(1-vivienda_enganchePct)*vivienda_pmiTasa,0)</f>
        <v/>
      </c>
      <c r="BY35" s="7">
        <f>IF(AND(BG35=1,BP35&gt;0.8*BE35),1,0)</f>
        <v/>
      </c>
      <c r="BZ35" s="7">
        <f>IF(BB35=1,AS35*loc_rentaUnidad*12*C35*(1-vivienda_vacancia)*(1-vivienda_gestionPct),0)</f>
        <v/>
      </c>
      <c r="CA35" s="7">
        <f>IF(BB35=1,BO35+BS35+BU35+BV35+BW35+BX35,loc_rentaMensual*12*C35)</f>
        <v/>
      </c>
      <c r="CB35" s="7">
        <f>IF(BB35=1,personal_aporteFamiliaMensual*12,0)</f>
        <v/>
      </c>
      <c r="CC35" s="7">
        <f>MIN(IF(2=0,personal_irsSaldo,CD34),personal_irsPagoMensual*12)</f>
        <v/>
      </c>
      <c r="CD35" s="7">
        <f>IF(2=0,personal_irsSaldo,CD34)-CC35</f>
        <v/>
      </c>
      <c r="CE35" s="7">
        <f>IF(2=0,IF(personal_deudaEsFederal=1,personal_deudaEstudiantil,0),DW34)</f>
        <v/>
      </c>
      <c r="CF35" s="7">
        <f>IF(2=0,personal_tasaDeudaEstudiantil,DX34)</f>
        <v/>
      </c>
      <c r="CG35" s="7">
        <f>IF(2=0,0,DY34)</f>
        <v/>
      </c>
      <c r="CH35" s="7">
        <f>IF(J35&gt;=0.5,1,0)</f>
        <v/>
      </c>
      <c r="CI35" s="7">
        <f>IF(AND(CH35=0,prestamos_pslfActivo=1,K35&gt;=0.5,CE35&gt;0),1,0)</f>
        <v/>
      </c>
      <c r="CJ35" s="7">
        <f>CE35*CF35</f>
        <v/>
      </c>
      <c r="CK35" s="7">
        <f>MAX(prestamos_rapPagoMinimoAnual,IF(Y35&lt;10000,0,MIN(0.1,INT(Y35/10000)/100))*Y35)</f>
        <v/>
      </c>
      <c r="CL35" s="7">
        <f>IF(CE35&lt;=0,0,IF(CH35=1,0,IF(CI35=1,MIN(CE35+CJ35,CK35),PMT(CF35,MAX(1,prestamos_plazoAnios-CG35),-CE35))))</f>
        <v/>
      </c>
      <c r="CM35" s="7">
        <f>IF(CE35&lt;=0,0,IF(CH35=1,CE35+CJ35,IF(CI35=1,MAX(0,CE35-MAX(CL35-CJ35,MIN(600,CL35))),MAX(0,CE35*(1+CF35)-CL35))))</f>
        <v/>
      </c>
      <c r="CN35" s="7">
        <f>IF(2=0,0,CN34)+IF(CI35=1,12*MIN(1,K35),0)</f>
        <v/>
      </c>
      <c r="CO35" s="7">
        <f>IF(AND(CI35=1,CN35&gt;=prestamos_pslfPagos,CM35&gt;0),CM35,0)</f>
        <v/>
      </c>
      <c r="CP35" s="7">
        <f>CM35-CO35</f>
        <v/>
      </c>
      <c r="CQ35" s="7">
        <f>IF(AND(CE35&gt;0,CH35=0,CI35=0),CG35+1,CG35)</f>
        <v/>
      </c>
      <c r="CR35" s="7">
        <f>IF(2=0,IF(personal_deudaEsFederal=1,0,personal_deudaEstudiantil),EA34)</f>
        <v/>
      </c>
      <c r="CS35" s="7">
        <f>IF(2=0,IF(personal_deudaEsFederal=1,prestamos_tasaPrivada,personal_tasaDeudaEstudiantil),EB34)</f>
        <v/>
      </c>
      <c r="CT35" s="7">
        <f>IF(2=0,0,EC34)</f>
        <v/>
      </c>
      <c r="CU35" s="7">
        <f>IF(OR(CR35&lt;=0,CH35=1),0,PMT(CS35,MAX(1,prestamos_plazoAnios-CT35),-CR35))</f>
        <v/>
      </c>
      <c r="CV35" s="7">
        <f>IF(CR35&lt;=0,0,IF(CH35=1,CR35*(1+CS35),MAX(0,CR35*(1+CS35)-CU35)))</f>
        <v/>
      </c>
      <c r="CW35" s="7">
        <f>IF(AND(CR35&gt;0,CH35=0),CT35+1,CT35)</f>
        <v/>
      </c>
      <c r="CX35" s="7">
        <f>IF(2=0,0,ED34)*(1+general_tasaDeudaConsumo)</f>
        <v/>
      </c>
      <c r="CY35" s="7">
        <f>L35*12*tiempos_travelGastoExtraMes*C35</f>
        <v/>
      </c>
      <c r="CZ35" s="7">
        <f>AJ35+CY35+CA35+CC35+CL35+CU35+I35+N35-BZ35-CB35</f>
        <v/>
      </c>
      <c r="DA35" s="7">
        <f>AH35-CZ35</f>
        <v/>
      </c>
      <c r="DB35" s="7">
        <f>IF(2=0,0,DB34)+DA35</f>
        <v/>
      </c>
      <c r="DC35" s="7">
        <f>AN35*vivienda_enganchePct+AN35*vivienda_cierrePct+general_reservaMeses/12*AJ35</f>
        <v/>
      </c>
      <c r="DD35" s="7">
        <f>IF(BB35=1,g_ret,IF(BD35&gt;0,MIN(1,DC35/BD35),1)*g_cash+(1-IF(BD35&gt;0,MIN(1,DC35/BD35),1))*g_ret)</f>
        <v/>
      </c>
      <c r="DE35" s="7">
        <f>IF(DA35&gt;=0,MIN(CX35,DA35),0)</f>
        <v/>
      </c>
      <c r="DF35" s="7">
        <f>IF(DA35&gt;=0,(1-general_tasaAhorro)*(DA35-DE35),0)</f>
        <v/>
      </c>
      <c r="DG35" s="7">
        <f>IF(DA35&gt;=0,DA35-DE35-DF35,0)</f>
        <v/>
      </c>
      <c r="DH35" s="7">
        <f>MIN(personal_rothAnual,DG35)</f>
        <v/>
      </c>
      <c r="DI35" s="7">
        <f>IF(AND(DA35&gt;=0,BB35=1,BP35+BT35&gt;0),MIN(vivienda_prepagoPct*(DG35-DH35),BP35+BT35),0)</f>
        <v/>
      </c>
      <c r="DJ35" s="7">
        <f>MIN(DI35,BP35)</f>
        <v/>
      </c>
      <c r="DK35" s="7">
        <f>IF(DA35&lt;0,MIN(MAX(0,BD35),-DA35),0)</f>
        <v/>
      </c>
      <c r="DL35" s="7">
        <f>IF(DA35&lt;0,-DA35-DK35,0)</f>
        <v/>
      </c>
      <c r="DM35" s="7">
        <f>IF(2=0,0,DZ34)</f>
        <v/>
      </c>
      <c r="DN35" s="7">
        <f>IF(AND(DL35&gt;0,J35&gt;0),MIN(DL35,MIN(prestamos_topeAnualPosgrado*MIN(1,J35),MAX(0,prestamos_topeTotalPosgrado-DM35))),0)</f>
        <v/>
      </c>
      <c r="DO35" s="7">
        <f>IF(AND(DL35&gt;0,J35&gt;0),DL35-DN35,0)</f>
        <v/>
      </c>
      <c r="DP35" s="7">
        <f>IF(AND(DL35&gt;0,J35&lt;=0),DL35,0)</f>
        <v/>
      </c>
      <c r="DQ35" s="7">
        <f>IF(DA35&gt;=0,DG35-DH35-DI35,-DK35)</f>
        <v/>
      </c>
      <c r="DR35" s="7">
        <f>BD35*(1+DD35)+DQ35*(1+DD35/2)</f>
        <v/>
      </c>
      <c r="DS35" s="7">
        <f>IF(2=0,personal_retiroInicial,DS34)*(1+g_ret)+(O35+P35+DH35)*(1+g_ret/2)</f>
        <v/>
      </c>
      <c r="DT35" s="7">
        <f>IF(BB35=1,BL35*(1+g_appr),0)</f>
        <v/>
      </c>
      <c r="DU35" s="7">
        <f>BP35-DJ35</f>
        <v/>
      </c>
      <c r="DV35" s="7">
        <f>BT35-(DI35-DJ35)</f>
        <v/>
      </c>
      <c r="DW35" s="7">
        <f>CP35+DN35</f>
        <v/>
      </c>
      <c r="DX35" s="7">
        <f>IF(DN35&gt;0,(CP35*CF35+DN35*prestamos_tasaFederalPosgrado)/(CP35+DN35),CF35)</f>
        <v/>
      </c>
      <c r="DY35" s="7">
        <f>IF(DN35&gt;0,0,CQ35)</f>
        <v/>
      </c>
      <c r="DZ35" s="7">
        <f>DM35+DN35</f>
        <v/>
      </c>
      <c r="EA35" s="7">
        <f>CV35+DO35</f>
        <v/>
      </c>
      <c r="EB35" s="7">
        <f>IF(DO35&gt;0,(CV35*CS35+DO35*prestamos_tasaPrivada)/(CV35+DO35),CS35)</f>
        <v/>
      </c>
      <c r="EC35" s="7">
        <f>IF(DO35&gt;0,0,CW35)</f>
        <v/>
      </c>
      <c r="ED35" s="7">
        <f>CX35-DE35+DP35</f>
        <v/>
      </c>
      <c r="EE35" s="7">
        <f>IF(IF(2=0,"",EE34)&lt;&gt;"",EE34,IF(AND(BB35=1,DU35&lt;=0.5,DV35&lt;=0.5,OR(BH35=0,BJ35=1)),A35,""))</f>
        <v/>
      </c>
      <c r="EF35" s="7">
        <f>DU35+DV35+DW35+EA35+ED35+CD35</f>
        <v/>
      </c>
      <c r="EG35" s="7">
        <f>DR35+DS35+DT35-EF35</f>
        <v/>
      </c>
      <c r="EH35" s="7">
        <f>EG35/(1+g_inf)^(A35+1-2026)</f>
        <v/>
      </c>
    </row>
    <row r="36">
      <c r="A36" t="n">
        <v>2030</v>
      </c>
      <c r="B36" t="n">
        <v>3</v>
      </c>
      <c r="C36" s="7">
        <f>(1+g_inf)^(A36-2026)</f>
        <v/>
      </c>
      <c r="D36" s="7">
        <f>SUMPRODUCT($W$5:$W$29,$E$5:$E$29*(1+$F$5:$F$29)^(A36-2026)*$G$5:$G$29*$H$5:$H$29*(1-$N$5:$N$29*$O$5:$O$29))*g_salMult+SUMPRODUCT(($B$5:$B$29&gt;=A36)*($B$5:$B$29&lt;A36+1)*$I$5:$I$29)*g_salMult</f>
        <v/>
      </c>
      <c r="E36" s="7">
        <f>SUMPRODUCT($W$5:$W$29,$E$5:$E$29*(1+$F$5:$F$29)^(A36-2026)*$G$5:$G$29*$H$5:$H$29*$M$5:$M$29)*g_salMult</f>
        <v/>
      </c>
      <c r="F36" s="7">
        <f>SUMPRODUCT($W$5:$W$29,$E$5:$E$29*(1+$F$5:$F$29)^(A36-2026)*$G$5:$G$29*$H$5:$H$29*$N$5:$N$29*$O$5:$O$29)*g_salMult</f>
        <v/>
      </c>
      <c r="G36" s="7">
        <f>SUMPRODUCT($W$5:$W$29,$P$5:$P$29*(1+$F$5:$F$29)^(A36-2026))</f>
        <v/>
      </c>
      <c r="H36" s="7">
        <f>SUMPRODUCT($W$5:$W$29,$Q$5:$Q$29*(1+$F$5:$F$29)^(A36-2026))+IF(personal_llcActivo=1,personal_llcNeto*(1+personal_llcCrecimiento)^3,0)</f>
        <v/>
      </c>
      <c r="I36" s="7">
        <f>SUMPRODUCT($W$5:$W$29,$J$5:$J$29/($C$5:$C$29-$B$5:$B$29+($C$5:$C$29=$B$5:$B$29)))*C36</f>
        <v/>
      </c>
      <c r="J36" s="7">
        <f>SUMPRODUCT($W$5:$W$29,$K$5:$K$29)</f>
        <v/>
      </c>
      <c r="K36" s="7">
        <f>SUMPRODUCT($W$5:$W$29,$L$5:$L$29)</f>
        <v/>
      </c>
      <c r="L36" s="7">
        <f>SUMPRODUCT($W$5:$W$29,$N$5:$N$29)</f>
        <v/>
      </c>
      <c r="M36" s="7">
        <f>IF(SUMPRODUCT($W$5:$W$29,$R$5:$R$29)&gt;0,1,0)</f>
        <v/>
      </c>
      <c r="N36" s="7">
        <f>SUMPRODUCT(($AO$5:$AO$24&gt;=A36)*($AO$5:$AO$24&lt;A36+1)*$AP$5:$AP$24)*C36+IF(3=0,IF(sel_loc&lt;&gt;"miami",personal_costoMudanzaInicial,0),0)</f>
        <v/>
      </c>
      <c r="O36" s="7">
        <f>MIN(personal_aporte403bPct*D36,retiro_limite403b*C36)</f>
        <v/>
      </c>
      <c r="P36" s="7">
        <f>MIN(personal_aporte403bPct,personal_match403bPct)*E36</f>
        <v/>
      </c>
      <c r="Q36" s="7">
        <f>IF(G36&gt;0,MAX(0,G36-impuestos_scorpCostoAnual*C36),0)</f>
        <v/>
      </c>
      <c r="R36" s="7">
        <f>Q36*impuestos_scorpSalarioPct/(1+impuestos_ssTasa+impuestos_medicareTasa)</f>
        <v/>
      </c>
      <c r="S36" s="7">
        <f>impuestos_ssTasa*MIN(R36,MAX(0,impuestos_ssTope*C36-D36))+impuestos_medicareTasa*R36</f>
        <v/>
      </c>
      <c r="T36" s="7">
        <f>Q36-R36-S36</f>
        <v/>
      </c>
      <c r="U36" s="7">
        <f>D36+R36</f>
        <v/>
      </c>
      <c r="V36" s="7">
        <f>H36*0.9235</f>
        <v/>
      </c>
      <c r="W36" s="7">
        <f>IF(H36&gt;0,2*impuestos_ssTasa*MIN(V36,MAX(0,impuestos_ssTope*C36-U36))+2*impuestos_medicareTasa*V36,0)</f>
        <v/>
      </c>
      <c r="X36" s="7">
        <f>impuestos_ssTasa*MIN(U36,impuestos_ssTope*C36)+impuestos_medicareTasa*U36+impuestos_medicareAdicional*MAX(0,U36+H36*0.9235-impuestos_medicareUmbral)</f>
        <v/>
      </c>
      <c r="Y36" s="7">
        <f>MAX(0,D36-O36+R36+T36+H36-W36/2)</f>
        <v/>
      </c>
      <c r="Z36" s="7">
        <f>MAX(0,Y36-impuestos_deduccionEstandar*C36)</f>
        <v/>
      </c>
      <c r="AA36" s="7">
        <f>MIN(0.2*MAX(0,T36+H36-W36/2)*MAX(0,MIN(1,1-(Z36-impuestos_qbiUmbral*C36)/(impuestos_qbiRango*C36))),0.2*Z36)</f>
        <v/>
      </c>
      <c r="AB36" s="7">
        <f>MAX(0,Z36-AA36)</f>
        <v/>
      </c>
      <c r="AC36" s="7">
        <f>SUMPRODUCT((AB36&gt;tb_federalBrackets_lo*C36)*(AB36-tb_federalBrackets_lo*C36)*tb_federalBrackets_dr)</f>
        <v/>
      </c>
      <c r="AD36" s="7">
        <f>MAX(0,Y36-impuestos_nyDeduccion*C36)</f>
        <v/>
      </c>
      <c r="AE36" s="7">
        <f>CHOOSE(loc_taxcode,0,impuestos_ohTasa*MAX(0,Y36-impuestos_ohExento*C36)+impuestos_ohMunicipal*U36,SUMPRODUCT((AD36&gt;tb_nyBrackets_lo*C36)*(AD36-tb_nyBrackets_lo*C36)*tb_nyBrackets_dr)+loc_nyc*SUMPRODUCT((AD36&gt;tb_nycBrackets_lo*C36)*(AD36-tb_nycBrackets_lo*C36)*tb_nycBrackets_dr))</f>
        <v/>
      </c>
      <c r="AF36" s="7">
        <f>AC36+AE36+X36+W36</f>
        <v/>
      </c>
      <c r="AG36" s="7">
        <f>D36+F36+R36+T36+H36</f>
        <v/>
      </c>
      <c r="AH36" s="7">
        <f>AG36-AF36-O36</f>
        <v/>
      </c>
      <c r="AI36" s="7">
        <f>D36+F36+G36+H36</f>
        <v/>
      </c>
      <c r="AJ36" s="7">
        <f>loc_gastosVida*C36*g_gastos</f>
        <v/>
      </c>
      <c r="AK36" s="7">
        <f>IF(3=0,personal_liquidoInicial,DR35)</f>
        <v/>
      </c>
      <c r="AL36" s="7">
        <f>IF(3=0,0,BB35)</f>
        <v/>
      </c>
      <c r="AM36" s="7">
        <f>CHOOSE(sel_cfgIdx,loc_precio_duplex,loc_precio_inlaw,loc_precio_dosCasas,loc_precio_casaAdu,loc_precio_multi)</f>
        <v/>
      </c>
      <c r="AN36" s="7">
        <f>AM36*(1+g_appr)^(A36-2026)</f>
        <v/>
      </c>
      <c r="AO36" s="7">
        <f>IF(AND(M36=1,vivienda_prestamoMedico=1),1,0)</f>
        <v/>
      </c>
      <c r="AP36" s="7">
        <f>IF(AO36=1,0.05,vivienda_enganchePct)</f>
        <v/>
      </c>
      <c r="AQ36" s="7">
        <f>AN36*(1-AP36)</f>
        <v/>
      </c>
      <c r="AR36" s="7">
        <f>PMT(g_mortRate/12,vivienda_plazoHipoteca*12,-AQ36)</f>
        <v/>
      </c>
      <c r="AS36" s="7">
        <f>INDEX(cfg_units,sel_cfgIdx)</f>
        <v/>
      </c>
      <c r="AT36" s="7">
        <f>AS36*loc_rentaUnidad*(1+g_inf)^(A36-2026)*(1-vivienda_vacancia)</f>
        <v/>
      </c>
      <c r="AU36" s="7">
        <f>AR36+AN36*loc_impuestoPropPct/12+AM36*loc_seguroPct*(1+vivienda_inflacionSeguro)^(A36-2026)/12+IF(AND(AO36=0,AP36&lt;0.2),AQ36*vivienda_pmiTasa/12,0)</f>
        <v/>
      </c>
      <c r="AV36" s="7">
        <f>AN36*AP36+AN36*vivienda_cierrePct+general_reservaMeses/12*AJ36</f>
        <v/>
      </c>
      <c r="AW36" s="7">
        <f>(IF(3=0,MIN(personal_irsSaldo,personal_irsPagoMensual*12),MIN(CD35,personal_irsPagoMensual*12))+IF(CE36&gt;0,PMT(CF36,MAX(1,prestamos_plazoAnios-CG36),-CE36),0)+IF(CR36&gt;0,PMT(CS36,MAX(1,prestamos_plazoAnios-CT36),-CR36),0))/12</f>
        <v/>
      </c>
      <c r="AX36" s="7">
        <f>IF(OR(sel_cfg="duplex",sel_cfg="multi",sel_cfg="dosCasas"),0.75*personal_aporteFamiliaMensual,0)</f>
        <v/>
      </c>
      <c r="AY36" s="7">
        <f>AU36-0.75*AT36-AX36+AW36</f>
        <v/>
      </c>
      <c r="AZ36" s="7">
        <f>(D36+G36+H36+0.5*F36)/12</f>
        <v/>
      </c>
      <c r="BA36" s="7">
        <f>IF(AND(AL36=0,A36&gt;=vivienda_anioMinCompra,J36&lt;0.5,AI36&gt;0,AK36&gt;=AV36,AY36&lt;=vivienda_dtiMax*AZ36),1,0)</f>
        <v/>
      </c>
      <c r="BB36" s="7">
        <f>MAX(AL36,BA36)</f>
        <v/>
      </c>
      <c r="BC36" s="7">
        <f>IF(BA36=1,A36,IF(3=0,"",BC35))</f>
        <v/>
      </c>
      <c r="BD36" s="7">
        <f>AK36-IF(BA36=1,AN36*AP36+AN36*vivienda_cierrePct,0)</f>
        <v/>
      </c>
      <c r="BE36" s="7">
        <f>IF(BA36=1,AN36,IF(3=0,0,BE35))</f>
        <v/>
      </c>
      <c r="BF36" s="7">
        <f>IF(BA36=1,AR36,IF(3=0,0,BF35))</f>
        <v/>
      </c>
      <c r="BG36" s="7">
        <f>IF(BA36=1,IF(AND(AO36=0,AP36&lt;0.2),1,0),IF(3=0,0,BY35))</f>
        <v/>
      </c>
      <c r="BH36" s="7">
        <f>IF(sel_cfg="casaAdu",1,0)</f>
        <v/>
      </c>
      <c r="BI36" s="7">
        <f>IF(AND(BB36=1,BH36=1,IF(3=0,0,BJ35)=0,A36&gt;=IF(BC36="",9999,BC36)+vivienda_aduRetrasoAnios),1,0)</f>
        <v/>
      </c>
      <c r="BJ36" s="7">
        <f>MAX(IF(3=0,0,BJ35),BI36)</f>
        <v/>
      </c>
      <c r="BK36" s="7">
        <f>IF(BI36=1,PMT((g_mortRate+0.005)/12,180,-loc_precio_aduCosto*C36),IF(3=0,0,BK35))</f>
        <v/>
      </c>
      <c r="BL36" s="7">
        <f>IF(BA36=1,AN36,IF(3=0,0,DT35))+IF(BI36=1,loc_precio_aduCosto*C36,0)</f>
        <v/>
      </c>
      <c r="BM36" s="7">
        <f>IF(BA36=1,AQ36,IF(3=0,0,DU35))</f>
        <v/>
      </c>
      <c r="BN36" s="7">
        <f>IF(BM36&lt;=0,0,FV(g_mortRate/12,12,BF36,-BM36))</f>
        <v/>
      </c>
      <c r="BO36" s="7">
        <f>IF(BM36&lt;=0,0,12*BF36+MIN(0,BN36))</f>
        <v/>
      </c>
      <c r="BP36" s="7">
        <f>MAX(0,BN36)</f>
        <v/>
      </c>
      <c r="BQ36" s="7">
        <f>IF(BI36=1,loc_precio_aduCosto*C36,IF(3=0,0,DV35))</f>
        <v/>
      </c>
      <c r="BR36" s="7">
        <f>IF(BQ36&lt;=0,0,FV((g_mortRate+0.005)/12,12,BK36,-BQ36))</f>
        <v/>
      </c>
      <c r="BS36" s="7">
        <f>IF(BQ36&lt;=0,0,12*BK36+MIN(0,BR36))</f>
        <v/>
      </c>
      <c r="BT36" s="7">
        <f>MAX(0,BR36)</f>
        <v/>
      </c>
      <c r="BU36" s="7">
        <f>IF(BB36=1,AM36*loc_seguroPct*(1+vivienda_inflacionSeguro)^(A36-2026)*IF(BJ36=1,1+loc_precio_aduCosto/AM36,1),0)</f>
        <v/>
      </c>
      <c r="BV36" s="7">
        <f>BL36*loc_impuestoPropPct</f>
        <v/>
      </c>
      <c r="BW36" s="7">
        <f>BL36*vivienda_mantenimientoPct</f>
        <v/>
      </c>
      <c r="BX36" s="7">
        <f>IF(AND(BG36=1,BP36&gt;0.8*BE36),BE36*(1-vivienda_enganchePct)*vivienda_pmiTasa,0)</f>
        <v/>
      </c>
      <c r="BY36" s="7">
        <f>IF(AND(BG36=1,BP36&gt;0.8*BE36),1,0)</f>
        <v/>
      </c>
      <c r="BZ36" s="7">
        <f>IF(BB36=1,AS36*loc_rentaUnidad*12*C36*(1-vivienda_vacancia)*(1-vivienda_gestionPct),0)</f>
        <v/>
      </c>
      <c r="CA36" s="7">
        <f>IF(BB36=1,BO36+BS36+BU36+BV36+BW36+BX36,loc_rentaMensual*12*C36)</f>
        <v/>
      </c>
      <c r="CB36" s="7">
        <f>IF(BB36=1,personal_aporteFamiliaMensual*12,0)</f>
        <v/>
      </c>
      <c r="CC36" s="7">
        <f>MIN(IF(3=0,personal_irsSaldo,CD35),personal_irsPagoMensual*12)</f>
        <v/>
      </c>
      <c r="CD36" s="7">
        <f>IF(3=0,personal_irsSaldo,CD35)-CC36</f>
        <v/>
      </c>
      <c r="CE36" s="7">
        <f>IF(3=0,IF(personal_deudaEsFederal=1,personal_deudaEstudiantil,0),DW35)</f>
        <v/>
      </c>
      <c r="CF36" s="7">
        <f>IF(3=0,personal_tasaDeudaEstudiantil,DX35)</f>
        <v/>
      </c>
      <c r="CG36" s="7">
        <f>IF(3=0,0,DY35)</f>
        <v/>
      </c>
      <c r="CH36" s="7">
        <f>IF(J36&gt;=0.5,1,0)</f>
        <v/>
      </c>
      <c r="CI36" s="7">
        <f>IF(AND(CH36=0,prestamos_pslfActivo=1,K36&gt;=0.5,CE36&gt;0),1,0)</f>
        <v/>
      </c>
      <c r="CJ36" s="7">
        <f>CE36*CF36</f>
        <v/>
      </c>
      <c r="CK36" s="7">
        <f>MAX(prestamos_rapPagoMinimoAnual,IF(Y36&lt;10000,0,MIN(0.1,INT(Y36/10000)/100))*Y36)</f>
        <v/>
      </c>
      <c r="CL36" s="7">
        <f>IF(CE36&lt;=0,0,IF(CH36=1,0,IF(CI36=1,MIN(CE36+CJ36,CK36),PMT(CF36,MAX(1,prestamos_plazoAnios-CG36),-CE36))))</f>
        <v/>
      </c>
      <c r="CM36" s="7">
        <f>IF(CE36&lt;=0,0,IF(CH36=1,CE36+CJ36,IF(CI36=1,MAX(0,CE36-MAX(CL36-CJ36,MIN(600,CL36))),MAX(0,CE36*(1+CF36)-CL36))))</f>
        <v/>
      </c>
      <c r="CN36" s="7">
        <f>IF(3=0,0,CN35)+IF(CI36=1,12*MIN(1,K36),0)</f>
        <v/>
      </c>
      <c r="CO36" s="7">
        <f>IF(AND(CI36=1,CN36&gt;=prestamos_pslfPagos,CM36&gt;0),CM36,0)</f>
        <v/>
      </c>
      <c r="CP36" s="7">
        <f>CM36-CO36</f>
        <v/>
      </c>
      <c r="CQ36" s="7">
        <f>IF(AND(CE36&gt;0,CH36=0,CI36=0),CG36+1,CG36)</f>
        <v/>
      </c>
      <c r="CR36" s="7">
        <f>IF(3=0,IF(personal_deudaEsFederal=1,0,personal_deudaEstudiantil),EA35)</f>
        <v/>
      </c>
      <c r="CS36" s="7">
        <f>IF(3=0,IF(personal_deudaEsFederal=1,prestamos_tasaPrivada,personal_tasaDeudaEstudiantil),EB35)</f>
        <v/>
      </c>
      <c r="CT36" s="7">
        <f>IF(3=0,0,EC35)</f>
        <v/>
      </c>
      <c r="CU36" s="7">
        <f>IF(OR(CR36&lt;=0,CH36=1),0,PMT(CS36,MAX(1,prestamos_plazoAnios-CT36),-CR36))</f>
        <v/>
      </c>
      <c r="CV36" s="7">
        <f>IF(CR36&lt;=0,0,IF(CH36=1,CR36*(1+CS36),MAX(0,CR36*(1+CS36)-CU36)))</f>
        <v/>
      </c>
      <c r="CW36" s="7">
        <f>IF(AND(CR36&gt;0,CH36=0),CT36+1,CT36)</f>
        <v/>
      </c>
      <c r="CX36" s="7">
        <f>IF(3=0,0,ED35)*(1+general_tasaDeudaConsumo)</f>
        <v/>
      </c>
      <c r="CY36" s="7">
        <f>L36*12*tiempos_travelGastoExtraMes*C36</f>
        <v/>
      </c>
      <c r="CZ36" s="7">
        <f>AJ36+CY36+CA36+CC36+CL36+CU36+I36+N36-BZ36-CB36</f>
        <v/>
      </c>
      <c r="DA36" s="7">
        <f>AH36-CZ36</f>
        <v/>
      </c>
      <c r="DB36" s="7">
        <f>IF(3=0,0,DB35)+DA36</f>
        <v/>
      </c>
      <c r="DC36" s="7">
        <f>AN36*vivienda_enganchePct+AN36*vivienda_cierrePct+general_reservaMeses/12*AJ36</f>
        <v/>
      </c>
      <c r="DD36" s="7">
        <f>IF(BB36=1,g_ret,IF(BD36&gt;0,MIN(1,DC36/BD36),1)*g_cash+(1-IF(BD36&gt;0,MIN(1,DC36/BD36),1))*g_ret)</f>
        <v/>
      </c>
      <c r="DE36" s="7">
        <f>IF(DA36&gt;=0,MIN(CX36,DA36),0)</f>
        <v/>
      </c>
      <c r="DF36" s="7">
        <f>IF(DA36&gt;=0,(1-general_tasaAhorro)*(DA36-DE36),0)</f>
        <v/>
      </c>
      <c r="DG36" s="7">
        <f>IF(DA36&gt;=0,DA36-DE36-DF36,0)</f>
        <v/>
      </c>
      <c r="DH36" s="7">
        <f>MIN(personal_rothAnual,DG36)</f>
        <v/>
      </c>
      <c r="DI36" s="7">
        <f>IF(AND(DA36&gt;=0,BB36=1,BP36+BT36&gt;0),MIN(vivienda_prepagoPct*(DG36-DH36),BP36+BT36),0)</f>
        <v/>
      </c>
      <c r="DJ36" s="7">
        <f>MIN(DI36,BP36)</f>
        <v/>
      </c>
      <c r="DK36" s="7">
        <f>IF(DA36&lt;0,MIN(MAX(0,BD36),-DA36),0)</f>
        <v/>
      </c>
      <c r="DL36" s="7">
        <f>IF(DA36&lt;0,-DA36-DK36,0)</f>
        <v/>
      </c>
      <c r="DM36" s="7">
        <f>IF(3=0,0,DZ35)</f>
        <v/>
      </c>
      <c r="DN36" s="7">
        <f>IF(AND(DL36&gt;0,J36&gt;0),MIN(DL36,MIN(prestamos_topeAnualPosgrado*MIN(1,J36),MAX(0,prestamos_topeTotalPosgrado-DM36))),0)</f>
        <v/>
      </c>
      <c r="DO36" s="7">
        <f>IF(AND(DL36&gt;0,J36&gt;0),DL36-DN36,0)</f>
        <v/>
      </c>
      <c r="DP36" s="7">
        <f>IF(AND(DL36&gt;0,J36&lt;=0),DL36,0)</f>
        <v/>
      </c>
      <c r="DQ36" s="7">
        <f>IF(DA36&gt;=0,DG36-DH36-DI36,-DK36)</f>
        <v/>
      </c>
      <c r="DR36" s="7">
        <f>BD36*(1+DD36)+DQ36*(1+DD36/2)</f>
        <v/>
      </c>
      <c r="DS36" s="7">
        <f>IF(3=0,personal_retiroInicial,DS35)*(1+g_ret)+(O36+P36+DH36)*(1+g_ret/2)</f>
        <v/>
      </c>
      <c r="DT36" s="7">
        <f>IF(BB36=1,BL36*(1+g_appr),0)</f>
        <v/>
      </c>
      <c r="DU36" s="7">
        <f>BP36-DJ36</f>
        <v/>
      </c>
      <c r="DV36" s="7">
        <f>BT36-(DI36-DJ36)</f>
        <v/>
      </c>
      <c r="DW36" s="7">
        <f>CP36+DN36</f>
        <v/>
      </c>
      <c r="DX36" s="7">
        <f>IF(DN36&gt;0,(CP36*CF36+DN36*prestamos_tasaFederalPosgrado)/(CP36+DN36),CF36)</f>
        <v/>
      </c>
      <c r="DY36" s="7">
        <f>IF(DN36&gt;0,0,CQ36)</f>
        <v/>
      </c>
      <c r="DZ36" s="7">
        <f>DM36+DN36</f>
        <v/>
      </c>
      <c r="EA36" s="7">
        <f>CV36+DO36</f>
        <v/>
      </c>
      <c r="EB36" s="7">
        <f>IF(DO36&gt;0,(CV36*CS36+DO36*prestamos_tasaPrivada)/(CV36+DO36),CS36)</f>
        <v/>
      </c>
      <c r="EC36" s="7">
        <f>IF(DO36&gt;0,0,CW36)</f>
        <v/>
      </c>
      <c r="ED36" s="7">
        <f>CX36-DE36+DP36</f>
        <v/>
      </c>
      <c r="EE36" s="7">
        <f>IF(IF(3=0,"",EE35)&lt;&gt;"",EE35,IF(AND(BB36=1,DU36&lt;=0.5,DV36&lt;=0.5,OR(BH36=0,BJ36=1)),A36,""))</f>
        <v/>
      </c>
      <c r="EF36" s="7">
        <f>DU36+DV36+DW36+EA36+ED36+CD36</f>
        <v/>
      </c>
      <c r="EG36" s="7">
        <f>DR36+DS36+DT36-EF36</f>
        <v/>
      </c>
      <c r="EH36" s="7">
        <f>EG36/(1+g_inf)^(A36+1-2026)</f>
        <v/>
      </c>
    </row>
    <row r="37">
      <c r="A37" t="n">
        <v>2031</v>
      </c>
      <c r="B37" t="n">
        <v>4</v>
      </c>
      <c r="C37" s="7">
        <f>(1+g_inf)^(A37-2026)</f>
        <v/>
      </c>
      <c r="D37" s="7">
        <f>SUMPRODUCT($X$5:$X$29,$E$5:$E$29*(1+$F$5:$F$29)^(A37-2026)*$G$5:$G$29*$H$5:$H$29*(1-$N$5:$N$29*$O$5:$O$29))*g_salMult+SUMPRODUCT(($B$5:$B$29&gt;=A37)*($B$5:$B$29&lt;A37+1)*$I$5:$I$29)*g_salMult</f>
        <v/>
      </c>
      <c r="E37" s="7">
        <f>SUMPRODUCT($X$5:$X$29,$E$5:$E$29*(1+$F$5:$F$29)^(A37-2026)*$G$5:$G$29*$H$5:$H$29*$M$5:$M$29)*g_salMult</f>
        <v/>
      </c>
      <c r="F37" s="7">
        <f>SUMPRODUCT($X$5:$X$29,$E$5:$E$29*(1+$F$5:$F$29)^(A37-2026)*$G$5:$G$29*$H$5:$H$29*$N$5:$N$29*$O$5:$O$29)*g_salMult</f>
        <v/>
      </c>
      <c r="G37" s="7">
        <f>SUMPRODUCT($X$5:$X$29,$P$5:$P$29*(1+$F$5:$F$29)^(A37-2026))</f>
        <v/>
      </c>
      <c r="H37" s="7">
        <f>SUMPRODUCT($X$5:$X$29,$Q$5:$Q$29*(1+$F$5:$F$29)^(A37-2026))+IF(personal_llcActivo=1,personal_llcNeto*(1+personal_llcCrecimiento)^4,0)</f>
        <v/>
      </c>
      <c r="I37" s="7">
        <f>SUMPRODUCT($X$5:$X$29,$J$5:$J$29/($C$5:$C$29-$B$5:$B$29+($C$5:$C$29=$B$5:$B$29)))*C37</f>
        <v/>
      </c>
      <c r="J37" s="7">
        <f>SUMPRODUCT($X$5:$X$29,$K$5:$K$29)</f>
        <v/>
      </c>
      <c r="K37" s="7">
        <f>SUMPRODUCT($X$5:$X$29,$L$5:$L$29)</f>
        <v/>
      </c>
      <c r="L37" s="7">
        <f>SUMPRODUCT($X$5:$X$29,$N$5:$N$29)</f>
        <v/>
      </c>
      <c r="M37" s="7">
        <f>IF(SUMPRODUCT($X$5:$X$29,$R$5:$R$29)&gt;0,1,0)</f>
        <v/>
      </c>
      <c r="N37" s="7">
        <f>SUMPRODUCT(($AO$5:$AO$24&gt;=A37)*($AO$5:$AO$24&lt;A37+1)*$AP$5:$AP$24)*C37+IF(4=0,IF(sel_loc&lt;&gt;"miami",personal_costoMudanzaInicial,0),0)</f>
        <v/>
      </c>
      <c r="O37" s="7">
        <f>MIN(personal_aporte403bPct*D37,retiro_limite403b*C37)</f>
        <v/>
      </c>
      <c r="P37" s="7">
        <f>MIN(personal_aporte403bPct,personal_match403bPct)*E37</f>
        <v/>
      </c>
      <c r="Q37" s="7">
        <f>IF(G37&gt;0,MAX(0,G37-impuestos_scorpCostoAnual*C37),0)</f>
        <v/>
      </c>
      <c r="R37" s="7">
        <f>Q37*impuestos_scorpSalarioPct/(1+impuestos_ssTasa+impuestos_medicareTasa)</f>
        <v/>
      </c>
      <c r="S37" s="7">
        <f>impuestos_ssTasa*MIN(R37,MAX(0,impuestos_ssTope*C37-D37))+impuestos_medicareTasa*R37</f>
        <v/>
      </c>
      <c r="T37" s="7">
        <f>Q37-R37-S37</f>
        <v/>
      </c>
      <c r="U37" s="7">
        <f>D37+R37</f>
        <v/>
      </c>
      <c r="V37" s="7">
        <f>H37*0.9235</f>
        <v/>
      </c>
      <c r="W37" s="7">
        <f>IF(H37&gt;0,2*impuestos_ssTasa*MIN(V37,MAX(0,impuestos_ssTope*C37-U37))+2*impuestos_medicareTasa*V37,0)</f>
        <v/>
      </c>
      <c r="X37" s="7">
        <f>impuestos_ssTasa*MIN(U37,impuestos_ssTope*C37)+impuestos_medicareTasa*U37+impuestos_medicareAdicional*MAX(0,U37+H37*0.9235-impuestos_medicareUmbral)</f>
        <v/>
      </c>
      <c r="Y37" s="7">
        <f>MAX(0,D37-O37+R37+T37+H37-W37/2)</f>
        <v/>
      </c>
      <c r="Z37" s="7">
        <f>MAX(0,Y37-impuestos_deduccionEstandar*C37)</f>
        <v/>
      </c>
      <c r="AA37" s="7">
        <f>MIN(0.2*MAX(0,T37+H37-W37/2)*MAX(0,MIN(1,1-(Z37-impuestos_qbiUmbral*C37)/(impuestos_qbiRango*C37))),0.2*Z37)</f>
        <v/>
      </c>
      <c r="AB37" s="7">
        <f>MAX(0,Z37-AA37)</f>
        <v/>
      </c>
      <c r="AC37" s="7">
        <f>SUMPRODUCT((AB37&gt;tb_federalBrackets_lo*C37)*(AB37-tb_federalBrackets_lo*C37)*tb_federalBrackets_dr)</f>
        <v/>
      </c>
      <c r="AD37" s="7">
        <f>MAX(0,Y37-impuestos_nyDeduccion*C37)</f>
        <v/>
      </c>
      <c r="AE37" s="7">
        <f>CHOOSE(loc_taxcode,0,impuestos_ohTasa*MAX(0,Y37-impuestos_ohExento*C37)+impuestos_ohMunicipal*U37,SUMPRODUCT((AD37&gt;tb_nyBrackets_lo*C37)*(AD37-tb_nyBrackets_lo*C37)*tb_nyBrackets_dr)+loc_nyc*SUMPRODUCT((AD37&gt;tb_nycBrackets_lo*C37)*(AD37-tb_nycBrackets_lo*C37)*tb_nycBrackets_dr))</f>
        <v/>
      </c>
      <c r="AF37" s="7">
        <f>AC37+AE37+X37+W37</f>
        <v/>
      </c>
      <c r="AG37" s="7">
        <f>D37+F37+R37+T37+H37</f>
        <v/>
      </c>
      <c r="AH37" s="7">
        <f>AG37-AF37-O37</f>
        <v/>
      </c>
      <c r="AI37" s="7">
        <f>D37+F37+G37+H37</f>
        <v/>
      </c>
      <c r="AJ37" s="7">
        <f>loc_gastosVida*C37*g_gastos</f>
        <v/>
      </c>
      <c r="AK37" s="7">
        <f>IF(4=0,personal_liquidoInicial,DR36)</f>
        <v/>
      </c>
      <c r="AL37" s="7">
        <f>IF(4=0,0,BB36)</f>
        <v/>
      </c>
      <c r="AM37" s="7">
        <f>CHOOSE(sel_cfgIdx,loc_precio_duplex,loc_precio_inlaw,loc_precio_dosCasas,loc_precio_casaAdu,loc_precio_multi)</f>
        <v/>
      </c>
      <c r="AN37" s="7">
        <f>AM37*(1+g_appr)^(A37-2026)</f>
        <v/>
      </c>
      <c r="AO37" s="7">
        <f>IF(AND(M37=1,vivienda_prestamoMedico=1),1,0)</f>
        <v/>
      </c>
      <c r="AP37" s="7">
        <f>IF(AO37=1,0.05,vivienda_enganchePct)</f>
        <v/>
      </c>
      <c r="AQ37" s="7">
        <f>AN37*(1-AP37)</f>
        <v/>
      </c>
      <c r="AR37" s="7">
        <f>PMT(g_mortRate/12,vivienda_plazoHipoteca*12,-AQ37)</f>
        <v/>
      </c>
      <c r="AS37" s="7">
        <f>INDEX(cfg_units,sel_cfgIdx)</f>
        <v/>
      </c>
      <c r="AT37" s="7">
        <f>AS37*loc_rentaUnidad*(1+g_inf)^(A37-2026)*(1-vivienda_vacancia)</f>
        <v/>
      </c>
      <c r="AU37" s="7">
        <f>AR37+AN37*loc_impuestoPropPct/12+AM37*loc_seguroPct*(1+vivienda_inflacionSeguro)^(A37-2026)/12+IF(AND(AO37=0,AP37&lt;0.2),AQ37*vivienda_pmiTasa/12,0)</f>
        <v/>
      </c>
      <c r="AV37" s="7">
        <f>AN37*AP37+AN37*vivienda_cierrePct+general_reservaMeses/12*AJ37</f>
        <v/>
      </c>
      <c r="AW37" s="7">
        <f>(IF(4=0,MIN(personal_irsSaldo,personal_irsPagoMensual*12),MIN(CD36,personal_irsPagoMensual*12))+IF(CE37&gt;0,PMT(CF37,MAX(1,prestamos_plazoAnios-CG37),-CE37),0)+IF(CR37&gt;0,PMT(CS37,MAX(1,prestamos_plazoAnios-CT37),-CR37),0))/12</f>
        <v/>
      </c>
      <c r="AX37" s="7">
        <f>IF(OR(sel_cfg="duplex",sel_cfg="multi",sel_cfg="dosCasas"),0.75*personal_aporteFamiliaMensual,0)</f>
        <v/>
      </c>
      <c r="AY37" s="7">
        <f>AU37-0.75*AT37-AX37+AW37</f>
        <v/>
      </c>
      <c r="AZ37" s="7">
        <f>(D37+G37+H37+0.5*F37)/12</f>
        <v/>
      </c>
      <c r="BA37" s="7">
        <f>IF(AND(AL37=0,A37&gt;=vivienda_anioMinCompra,J37&lt;0.5,AI37&gt;0,AK37&gt;=AV37,AY37&lt;=vivienda_dtiMax*AZ37),1,0)</f>
        <v/>
      </c>
      <c r="BB37" s="7">
        <f>MAX(AL37,BA37)</f>
        <v/>
      </c>
      <c r="BC37" s="7">
        <f>IF(BA37=1,A37,IF(4=0,"",BC36))</f>
        <v/>
      </c>
      <c r="BD37" s="7">
        <f>AK37-IF(BA37=1,AN37*AP37+AN37*vivienda_cierrePct,0)</f>
        <v/>
      </c>
      <c r="BE37" s="7">
        <f>IF(BA37=1,AN37,IF(4=0,0,BE36))</f>
        <v/>
      </c>
      <c r="BF37" s="7">
        <f>IF(BA37=1,AR37,IF(4=0,0,BF36))</f>
        <v/>
      </c>
      <c r="BG37" s="7">
        <f>IF(BA37=1,IF(AND(AO37=0,AP37&lt;0.2),1,0),IF(4=0,0,BY36))</f>
        <v/>
      </c>
      <c r="BH37" s="7">
        <f>IF(sel_cfg="casaAdu",1,0)</f>
        <v/>
      </c>
      <c r="BI37" s="7">
        <f>IF(AND(BB37=1,BH37=1,IF(4=0,0,BJ36)=0,A37&gt;=IF(BC37="",9999,BC37)+vivienda_aduRetrasoAnios),1,0)</f>
        <v/>
      </c>
      <c r="BJ37" s="7">
        <f>MAX(IF(4=0,0,BJ36),BI37)</f>
        <v/>
      </c>
      <c r="BK37" s="7">
        <f>IF(BI37=1,PMT((g_mortRate+0.005)/12,180,-loc_precio_aduCosto*C37),IF(4=0,0,BK36))</f>
        <v/>
      </c>
      <c r="BL37" s="7">
        <f>IF(BA37=1,AN37,IF(4=0,0,DT36))+IF(BI37=1,loc_precio_aduCosto*C37,0)</f>
        <v/>
      </c>
      <c r="BM37" s="7">
        <f>IF(BA37=1,AQ37,IF(4=0,0,DU36))</f>
        <v/>
      </c>
      <c r="BN37" s="7">
        <f>IF(BM37&lt;=0,0,FV(g_mortRate/12,12,BF37,-BM37))</f>
        <v/>
      </c>
      <c r="BO37" s="7">
        <f>IF(BM37&lt;=0,0,12*BF37+MIN(0,BN37))</f>
        <v/>
      </c>
      <c r="BP37" s="7">
        <f>MAX(0,BN37)</f>
        <v/>
      </c>
      <c r="BQ37" s="7">
        <f>IF(BI37=1,loc_precio_aduCosto*C37,IF(4=0,0,DV36))</f>
        <v/>
      </c>
      <c r="BR37" s="7">
        <f>IF(BQ37&lt;=0,0,FV((g_mortRate+0.005)/12,12,BK37,-BQ37))</f>
        <v/>
      </c>
      <c r="BS37" s="7">
        <f>IF(BQ37&lt;=0,0,12*BK37+MIN(0,BR37))</f>
        <v/>
      </c>
      <c r="BT37" s="7">
        <f>MAX(0,BR37)</f>
        <v/>
      </c>
      <c r="BU37" s="7">
        <f>IF(BB37=1,AM37*loc_seguroPct*(1+vivienda_inflacionSeguro)^(A37-2026)*IF(BJ37=1,1+loc_precio_aduCosto/AM37,1),0)</f>
        <v/>
      </c>
      <c r="BV37" s="7">
        <f>BL37*loc_impuestoPropPct</f>
        <v/>
      </c>
      <c r="BW37" s="7">
        <f>BL37*vivienda_mantenimientoPct</f>
        <v/>
      </c>
      <c r="BX37" s="7">
        <f>IF(AND(BG37=1,BP37&gt;0.8*BE37),BE37*(1-vivienda_enganchePct)*vivienda_pmiTasa,0)</f>
        <v/>
      </c>
      <c r="BY37" s="7">
        <f>IF(AND(BG37=1,BP37&gt;0.8*BE37),1,0)</f>
        <v/>
      </c>
      <c r="BZ37" s="7">
        <f>IF(BB37=1,AS37*loc_rentaUnidad*12*C37*(1-vivienda_vacancia)*(1-vivienda_gestionPct),0)</f>
        <v/>
      </c>
      <c r="CA37" s="7">
        <f>IF(BB37=1,BO37+BS37+BU37+BV37+BW37+BX37,loc_rentaMensual*12*C37)</f>
        <v/>
      </c>
      <c r="CB37" s="7">
        <f>IF(BB37=1,personal_aporteFamiliaMensual*12,0)</f>
        <v/>
      </c>
      <c r="CC37" s="7">
        <f>MIN(IF(4=0,personal_irsSaldo,CD36),personal_irsPagoMensual*12)</f>
        <v/>
      </c>
      <c r="CD37" s="7">
        <f>IF(4=0,personal_irsSaldo,CD36)-CC37</f>
        <v/>
      </c>
      <c r="CE37" s="7">
        <f>IF(4=0,IF(personal_deudaEsFederal=1,personal_deudaEstudiantil,0),DW36)</f>
        <v/>
      </c>
      <c r="CF37" s="7">
        <f>IF(4=0,personal_tasaDeudaEstudiantil,DX36)</f>
        <v/>
      </c>
      <c r="CG37" s="7">
        <f>IF(4=0,0,DY36)</f>
        <v/>
      </c>
      <c r="CH37" s="7">
        <f>IF(J37&gt;=0.5,1,0)</f>
        <v/>
      </c>
      <c r="CI37" s="7">
        <f>IF(AND(CH37=0,prestamos_pslfActivo=1,K37&gt;=0.5,CE37&gt;0),1,0)</f>
        <v/>
      </c>
      <c r="CJ37" s="7">
        <f>CE37*CF37</f>
        <v/>
      </c>
      <c r="CK37" s="7">
        <f>MAX(prestamos_rapPagoMinimoAnual,IF(Y37&lt;10000,0,MIN(0.1,INT(Y37/10000)/100))*Y37)</f>
        <v/>
      </c>
      <c r="CL37" s="7">
        <f>IF(CE37&lt;=0,0,IF(CH37=1,0,IF(CI37=1,MIN(CE37+CJ37,CK37),PMT(CF37,MAX(1,prestamos_plazoAnios-CG37),-CE37))))</f>
        <v/>
      </c>
      <c r="CM37" s="7">
        <f>IF(CE37&lt;=0,0,IF(CH37=1,CE37+CJ37,IF(CI37=1,MAX(0,CE37-MAX(CL37-CJ37,MIN(600,CL37))),MAX(0,CE37*(1+CF37)-CL37))))</f>
        <v/>
      </c>
      <c r="CN37" s="7">
        <f>IF(4=0,0,CN36)+IF(CI37=1,12*MIN(1,K37),0)</f>
        <v/>
      </c>
      <c r="CO37" s="7">
        <f>IF(AND(CI37=1,CN37&gt;=prestamos_pslfPagos,CM37&gt;0),CM37,0)</f>
        <v/>
      </c>
      <c r="CP37" s="7">
        <f>CM37-CO37</f>
        <v/>
      </c>
      <c r="CQ37" s="7">
        <f>IF(AND(CE37&gt;0,CH37=0,CI37=0),CG37+1,CG37)</f>
        <v/>
      </c>
      <c r="CR37" s="7">
        <f>IF(4=0,IF(personal_deudaEsFederal=1,0,personal_deudaEstudiantil),EA36)</f>
        <v/>
      </c>
      <c r="CS37" s="7">
        <f>IF(4=0,IF(personal_deudaEsFederal=1,prestamos_tasaPrivada,personal_tasaDeudaEstudiantil),EB36)</f>
        <v/>
      </c>
      <c r="CT37" s="7">
        <f>IF(4=0,0,EC36)</f>
        <v/>
      </c>
      <c r="CU37" s="7">
        <f>IF(OR(CR37&lt;=0,CH37=1),0,PMT(CS37,MAX(1,prestamos_plazoAnios-CT37),-CR37))</f>
        <v/>
      </c>
      <c r="CV37" s="7">
        <f>IF(CR37&lt;=0,0,IF(CH37=1,CR37*(1+CS37),MAX(0,CR37*(1+CS37)-CU37)))</f>
        <v/>
      </c>
      <c r="CW37" s="7">
        <f>IF(AND(CR37&gt;0,CH37=0),CT37+1,CT37)</f>
        <v/>
      </c>
      <c r="CX37" s="7">
        <f>IF(4=0,0,ED36)*(1+general_tasaDeudaConsumo)</f>
        <v/>
      </c>
      <c r="CY37" s="7">
        <f>L37*12*tiempos_travelGastoExtraMes*C37</f>
        <v/>
      </c>
      <c r="CZ37" s="7">
        <f>AJ37+CY37+CA37+CC37+CL37+CU37+I37+N37-BZ37-CB37</f>
        <v/>
      </c>
      <c r="DA37" s="7">
        <f>AH37-CZ37</f>
        <v/>
      </c>
      <c r="DB37" s="7">
        <f>IF(4=0,0,DB36)+DA37</f>
        <v/>
      </c>
      <c r="DC37" s="7">
        <f>AN37*vivienda_enganchePct+AN37*vivienda_cierrePct+general_reservaMeses/12*AJ37</f>
        <v/>
      </c>
      <c r="DD37" s="7">
        <f>IF(BB37=1,g_ret,IF(BD37&gt;0,MIN(1,DC37/BD37),1)*g_cash+(1-IF(BD37&gt;0,MIN(1,DC37/BD37),1))*g_ret)</f>
        <v/>
      </c>
      <c r="DE37" s="7">
        <f>IF(DA37&gt;=0,MIN(CX37,DA37),0)</f>
        <v/>
      </c>
      <c r="DF37" s="7">
        <f>IF(DA37&gt;=0,(1-general_tasaAhorro)*(DA37-DE37),0)</f>
        <v/>
      </c>
      <c r="DG37" s="7">
        <f>IF(DA37&gt;=0,DA37-DE37-DF37,0)</f>
        <v/>
      </c>
      <c r="DH37" s="7">
        <f>MIN(personal_rothAnual,DG37)</f>
        <v/>
      </c>
      <c r="DI37" s="7">
        <f>IF(AND(DA37&gt;=0,BB37=1,BP37+BT37&gt;0),MIN(vivienda_prepagoPct*(DG37-DH37),BP37+BT37),0)</f>
        <v/>
      </c>
      <c r="DJ37" s="7">
        <f>MIN(DI37,BP37)</f>
        <v/>
      </c>
      <c r="DK37" s="7">
        <f>IF(DA37&lt;0,MIN(MAX(0,BD37),-DA37),0)</f>
        <v/>
      </c>
      <c r="DL37" s="7">
        <f>IF(DA37&lt;0,-DA37-DK37,0)</f>
        <v/>
      </c>
      <c r="DM37" s="7">
        <f>IF(4=0,0,DZ36)</f>
        <v/>
      </c>
      <c r="DN37" s="7">
        <f>IF(AND(DL37&gt;0,J37&gt;0),MIN(DL37,MIN(prestamos_topeAnualPosgrado*MIN(1,J37),MAX(0,prestamos_topeTotalPosgrado-DM37))),0)</f>
        <v/>
      </c>
      <c r="DO37" s="7">
        <f>IF(AND(DL37&gt;0,J37&gt;0),DL37-DN37,0)</f>
        <v/>
      </c>
      <c r="DP37" s="7">
        <f>IF(AND(DL37&gt;0,J37&lt;=0),DL37,0)</f>
        <v/>
      </c>
      <c r="DQ37" s="7">
        <f>IF(DA37&gt;=0,DG37-DH37-DI37,-DK37)</f>
        <v/>
      </c>
      <c r="DR37" s="7">
        <f>BD37*(1+DD37)+DQ37*(1+DD37/2)</f>
        <v/>
      </c>
      <c r="DS37" s="7">
        <f>IF(4=0,personal_retiroInicial,DS36)*(1+g_ret)+(O37+P37+DH37)*(1+g_ret/2)</f>
        <v/>
      </c>
      <c r="DT37" s="7">
        <f>IF(BB37=1,BL37*(1+g_appr),0)</f>
        <v/>
      </c>
      <c r="DU37" s="7">
        <f>BP37-DJ37</f>
        <v/>
      </c>
      <c r="DV37" s="7">
        <f>BT37-(DI37-DJ37)</f>
        <v/>
      </c>
      <c r="DW37" s="7">
        <f>CP37+DN37</f>
        <v/>
      </c>
      <c r="DX37" s="7">
        <f>IF(DN37&gt;0,(CP37*CF37+DN37*prestamos_tasaFederalPosgrado)/(CP37+DN37),CF37)</f>
        <v/>
      </c>
      <c r="DY37" s="7">
        <f>IF(DN37&gt;0,0,CQ37)</f>
        <v/>
      </c>
      <c r="DZ37" s="7">
        <f>DM37+DN37</f>
        <v/>
      </c>
      <c r="EA37" s="7">
        <f>CV37+DO37</f>
        <v/>
      </c>
      <c r="EB37" s="7">
        <f>IF(DO37&gt;0,(CV37*CS37+DO37*prestamos_tasaPrivada)/(CV37+DO37),CS37)</f>
        <v/>
      </c>
      <c r="EC37" s="7">
        <f>IF(DO37&gt;0,0,CW37)</f>
        <v/>
      </c>
      <c r="ED37" s="7">
        <f>CX37-DE37+DP37</f>
        <v/>
      </c>
      <c r="EE37" s="7">
        <f>IF(IF(4=0,"",EE36)&lt;&gt;"",EE36,IF(AND(BB37=1,DU37&lt;=0.5,DV37&lt;=0.5,OR(BH37=0,BJ37=1)),A37,""))</f>
        <v/>
      </c>
      <c r="EF37" s="7">
        <f>DU37+DV37+DW37+EA37+ED37+CD37</f>
        <v/>
      </c>
      <c r="EG37" s="7">
        <f>DR37+DS37+DT37-EF37</f>
        <v/>
      </c>
      <c r="EH37" s="7">
        <f>EG37/(1+g_inf)^(A37+1-2026)</f>
        <v/>
      </c>
    </row>
    <row r="38">
      <c r="A38" t="n">
        <v>2032</v>
      </c>
      <c r="B38" t="n">
        <v>5</v>
      </c>
      <c r="C38" s="7">
        <f>(1+g_inf)^(A38-2026)</f>
        <v/>
      </c>
      <c r="D38" s="7">
        <f>SUMPRODUCT($Y$5:$Y$29,$E$5:$E$29*(1+$F$5:$F$29)^(A38-2026)*$G$5:$G$29*$H$5:$H$29*(1-$N$5:$N$29*$O$5:$O$29))*g_salMult+SUMPRODUCT(($B$5:$B$29&gt;=A38)*($B$5:$B$29&lt;A38+1)*$I$5:$I$29)*g_salMult</f>
        <v/>
      </c>
      <c r="E38" s="7">
        <f>SUMPRODUCT($Y$5:$Y$29,$E$5:$E$29*(1+$F$5:$F$29)^(A38-2026)*$G$5:$G$29*$H$5:$H$29*$M$5:$M$29)*g_salMult</f>
        <v/>
      </c>
      <c r="F38" s="7">
        <f>SUMPRODUCT($Y$5:$Y$29,$E$5:$E$29*(1+$F$5:$F$29)^(A38-2026)*$G$5:$G$29*$H$5:$H$29*$N$5:$N$29*$O$5:$O$29)*g_salMult</f>
        <v/>
      </c>
      <c r="G38" s="7">
        <f>SUMPRODUCT($Y$5:$Y$29,$P$5:$P$29*(1+$F$5:$F$29)^(A38-2026))</f>
        <v/>
      </c>
      <c r="H38" s="7">
        <f>SUMPRODUCT($Y$5:$Y$29,$Q$5:$Q$29*(1+$F$5:$F$29)^(A38-2026))+IF(personal_llcActivo=1,personal_llcNeto*(1+personal_llcCrecimiento)^5,0)</f>
        <v/>
      </c>
      <c r="I38" s="7">
        <f>SUMPRODUCT($Y$5:$Y$29,$J$5:$J$29/($C$5:$C$29-$B$5:$B$29+($C$5:$C$29=$B$5:$B$29)))*C38</f>
        <v/>
      </c>
      <c r="J38" s="7">
        <f>SUMPRODUCT($Y$5:$Y$29,$K$5:$K$29)</f>
        <v/>
      </c>
      <c r="K38" s="7">
        <f>SUMPRODUCT($Y$5:$Y$29,$L$5:$L$29)</f>
        <v/>
      </c>
      <c r="L38" s="7">
        <f>SUMPRODUCT($Y$5:$Y$29,$N$5:$N$29)</f>
        <v/>
      </c>
      <c r="M38" s="7">
        <f>IF(SUMPRODUCT($Y$5:$Y$29,$R$5:$R$29)&gt;0,1,0)</f>
        <v/>
      </c>
      <c r="N38" s="7">
        <f>SUMPRODUCT(($AO$5:$AO$24&gt;=A38)*($AO$5:$AO$24&lt;A38+1)*$AP$5:$AP$24)*C38+IF(5=0,IF(sel_loc&lt;&gt;"miami",personal_costoMudanzaInicial,0),0)</f>
        <v/>
      </c>
      <c r="O38" s="7">
        <f>MIN(personal_aporte403bPct*D38,retiro_limite403b*C38)</f>
        <v/>
      </c>
      <c r="P38" s="7">
        <f>MIN(personal_aporte403bPct,personal_match403bPct)*E38</f>
        <v/>
      </c>
      <c r="Q38" s="7">
        <f>IF(G38&gt;0,MAX(0,G38-impuestos_scorpCostoAnual*C38),0)</f>
        <v/>
      </c>
      <c r="R38" s="7">
        <f>Q38*impuestos_scorpSalarioPct/(1+impuestos_ssTasa+impuestos_medicareTasa)</f>
        <v/>
      </c>
      <c r="S38" s="7">
        <f>impuestos_ssTasa*MIN(R38,MAX(0,impuestos_ssTope*C38-D38))+impuestos_medicareTasa*R38</f>
        <v/>
      </c>
      <c r="T38" s="7">
        <f>Q38-R38-S38</f>
        <v/>
      </c>
      <c r="U38" s="7">
        <f>D38+R38</f>
        <v/>
      </c>
      <c r="V38" s="7">
        <f>H38*0.9235</f>
        <v/>
      </c>
      <c r="W38" s="7">
        <f>IF(H38&gt;0,2*impuestos_ssTasa*MIN(V38,MAX(0,impuestos_ssTope*C38-U38))+2*impuestos_medicareTasa*V38,0)</f>
        <v/>
      </c>
      <c r="X38" s="7">
        <f>impuestos_ssTasa*MIN(U38,impuestos_ssTope*C38)+impuestos_medicareTasa*U38+impuestos_medicareAdicional*MAX(0,U38+H38*0.9235-impuestos_medicareUmbral)</f>
        <v/>
      </c>
      <c r="Y38" s="7">
        <f>MAX(0,D38-O38+R38+T38+H38-W38/2)</f>
        <v/>
      </c>
      <c r="Z38" s="7">
        <f>MAX(0,Y38-impuestos_deduccionEstandar*C38)</f>
        <v/>
      </c>
      <c r="AA38" s="7">
        <f>MIN(0.2*MAX(0,T38+H38-W38/2)*MAX(0,MIN(1,1-(Z38-impuestos_qbiUmbral*C38)/(impuestos_qbiRango*C38))),0.2*Z38)</f>
        <v/>
      </c>
      <c r="AB38" s="7">
        <f>MAX(0,Z38-AA38)</f>
        <v/>
      </c>
      <c r="AC38" s="7">
        <f>SUMPRODUCT((AB38&gt;tb_federalBrackets_lo*C38)*(AB38-tb_federalBrackets_lo*C38)*tb_federalBrackets_dr)</f>
        <v/>
      </c>
      <c r="AD38" s="7">
        <f>MAX(0,Y38-impuestos_nyDeduccion*C38)</f>
        <v/>
      </c>
      <c r="AE38" s="7">
        <f>CHOOSE(loc_taxcode,0,impuestos_ohTasa*MAX(0,Y38-impuestos_ohExento*C38)+impuestos_ohMunicipal*U38,SUMPRODUCT((AD38&gt;tb_nyBrackets_lo*C38)*(AD38-tb_nyBrackets_lo*C38)*tb_nyBrackets_dr)+loc_nyc*SUMPRODUCT((AD38&gt;tb_nycBrackets_lo*C38)*(AD38-tb_nycBrackets_lo*C38)*tb_nycBrackets_dr))</f>
        <v/>
      </c>
      <c r="AF38" s="7">
        <f>AC38+AE38+X38+W38</f>
        <v/>
      </c>
      <c r="AG38" s="7">
        <f>D38+F38+R38+T38+H38</f>
        <v/>
      </c>
      <c r="AH38" s="7">
        <f>AG38-AF38-O38</f>
        <v/>
      </c>
      <c r="AI38" s="7">
        <f>D38+F38+G38+H38</f>
        <v/>
      </c>
      <c r="AJ38" s="7">
        <f>loc_gastosVida*C38*g_gastos</f>
        <v/>
      </c>
      <c r="AK38" s="7">
        <f>IF(5=0,personal_liquidoInicial,DR37)</f>
        <v/>
      </c>
      <c r="AL38" s="7">
        <f>IF(5=0,0,BB37)</f>
        <v/>
      </c>
      <c r="AM38" s="7">
        <f>CHOOSE(sel_cfgIdx,loc_precio_duplex,loc_precio_inlaw,loc_precio_dosCasas,loc_precio_casaAdu,loc_precio_multi)</f>
        <v/>
      </c>
      <c r="AN38" s="7">
        <f>AM38*(1+g_appr)^(A38-2026)</f>
        <v/>
      </c>
      <c r="AO38" s="7">
        <f>IF(AND(M38=1,vivienda_prestamoMedico=1),1,0)</f>
        <v/>
      </c>
      <c r="AP38" s="7">
        <f>IF(AO38=1,0.05,vivienda_enganchePct)</f>
        <v/>
      </c>
      <c r="AQ38" s="7">
        <f>AN38*(1-AP38)</f>
        <v/>
      </c>
      <c r="AR38" s="7">
        <f>PMT(g_mortRate/12,vivienda_plazoHipoteca*12,-AQ38)</f>
        <v/>
      </c>
      <c r="AS38" s="7">
        <f>INDEX(cfg_units,sel_cfgIdx)</f>
        <v/>
      </c>
      <c r="AT38" s="7">
        <f>AS38*loc_rentaUnidad*(1+g_inf)^(A38-2026)*(1-vivienda_vacancia)</f>
        <v/>
      </c>
      <c r="AU38" s="7">
        <f>AR38+AN38*loc_impuestoPropPct/12+AM38*loc_seguroPct*(1+vivienda_inflacionSeguro)^(A38-2026)/12+IF(AND(AO38=0,AP38&lt;0.2),AQ38*vivienda_pmiTasa/12,0)</f>
        <v/>
      </c>
      <c r="AV38" s="7">
        <f>AN38*AP38+AN38*vivienda_cierrePct+general_reservaMeses/12*AJ38</f>
        <v/>
      </c>
      <c r="AW38" s="7">
        <f>(IF(5=0,MIN(personal_irsSaldo,personal_irsPagoMensual*12),MIN(CD37,personal_irsPagoMensual*12))+IF(CE38&gt;0,PMT(CF38,MAX(1,prestamos_plazoAnios-CG38),-CE38),0)+IF(CR38&gt;0,PMT(CS38,MAX(1,prestamos_plazoAnios-CT38),-CR38),0))/12</f>
        <v/>
      </c>
      <c r="AX38" s="7">
        <f>IF(OR(sel_cfg="duplex",sel_cfg="multi",sel_cfg="dosCasas"),0.75*personal_aporteFamiliaMensual,0)</f>
        <v/>
      </c>
      <c r="AY38" s="7">
        <f>AU38-0.75*AT38-AX38+AW38</f>
        <v/>
      </c>
      <c r="AZ38" s="7">
        <f>(D38+G38+H38+0.5*F38)/12</f>
        <v/>
      </c>
      <c r="BA38" s="7">
        <f>IF(AND(AL38=0,A38&gt;=vivienda_anioMinCompra,J38&lt;0.5,AI38&gt;0,AK38&gt;=AV38,AY38&lt;=vivienda_dtiMax*AZ38),1,0)</f>
        <v/>
      </c>
      <c r="BB38" s="7">
        <f>MAX(AL38,BA38)</f>
        <v/>
      </c>
      <c r="BC38" s="7">
        <f>IF(BA38=1,A38,IF(5=0,"",BC37))</f>
        <v/>
      </c>
      <c r="BD38" s="7">
        <f>AK38-IF(BA38=1,AN38*AP38+AN38*vivienda_cierrePct,0)</f>
        <v/>
      </c>
      <c r="BE38" s="7">
        <f>IF(BA38=1,AN38,IF(5=0,0,BE37))</f>
        <v/>
      </c>
      <c r="BF38" s="7">
        <f>IF(BA38=1,AR38,IF(5=0,0,BF37))</f>
        <v/>
      </c>
      <c r="BG38" s="7">
        <f>IF(BA38=1,IF(AND(AO38=0,AP38&lt;0.2),1,0),IF(5=0,0,BY37))</f>
        <v/>
      </c>
      <c r="BH38" s="7">
        <f>IF(sel_cfg="casaAdu",1,0)</f>
        <v/>
      </c>
      <c r="BI38" s="7">
        <f>IF(AND(BB38=1,BH38=1,IF(5=0,0,BJ37)=0,A38&gt;=IF(BC38="",9999,BC38)+vivienda_aduRetrasoAnios),1,0)</f>
        <v/>
      </c>
      <c r="BJ38" s="7">
        <f>MAX(IF(5=0,0,BJ37),BI38)</f>
        <v/>
      </c>
      <c r="BK38" s="7">
        <f>IF(BI38=1,PMT((g_mortRate+0.005)/12,180,-loc_precio_aduCosto*C38),IF(5=0,0,BK37))</f>
        <v/>
      </c>
      <c r="BL38" s="7">
        <f>IF(BA38=1,AN38,IF(5=0,0,DT37))+IF(BI38=1,loc_precio_aduCosto*C38,0)</f>
        <v/>
      </c>
      <c r="BM38" s="7">
        <f>IF(BA38=1,AQ38,IF(5=0,0,DU37))</f>
        <v/>
      </c>
      <c r="BN38" s="7">
        <f>IF(BM38&lt;=0,0,FV(g_mortRate/12,12,BF38,-BM38))</f>
        <v/>
      </c>
      <c r="BO38" s="7">
        <f>IF(BM38&lt;=0,0,12*BF38+MIN(0,BN38))</f>
        <v/>
      </c>
      <c r="BP38" s="7">
        <f>MAX(0,BN38)</f>
        <v/>
      </c>
      <c r="BQ38" s="7">
        <f>IF(BI38=1,loc_precio_aduCosto*C38,IF(5=0,0,DV37))</f>
        <v/>
      </c>
      <c r="BR38" s="7">
        <f>IF(BQ38&lt;=0,0,FV((g_mortRate+0.005)/12,12,BK38,-BQ38))</f>
        <v/>
      </c>
      <c r="BS38" s="7">
        <f>IF(BQ38&lt;=0,0,12*BK38+MIN(0,BR38))</f>
        <v/>
      </c>
      <c r="BT38" s="7">
        <f>MAX(0,BR38)</f>
        <v/>
      </c>
      <c r="BU38" s="7">
        <f>IF(BB38=1,AM38*loc_seguroPct*(1+vivienda_inflacionSeguro)^(A38-2026)*IF(BJ38=1,1+loc_precio_aduCosto/AM38,1),0)</f>
        <v/>
      </c>
      <c r="BV38" s="7">
        <f>BL38*loc_impuestoPropPct</f>
        <v/>
      </c>
      <c r="BW38" s="7">
        <f>BL38*vivienda_mantenimientoPct</f>
        <v/>
      </c>
      <c r="BX38" s="7">
        <f>IF(AND(BG38=1,BP38&gt;0.8*BE38),BE38*(1-vivienda_enganchePct)*vivienda_pmiTasa,0)</f>
        <v/>
      </c>
      <c r="BY38" s="7">
        <f>IF(AND(BG38=1,BP38&gt;0.8*BE38),1,0)</f>
        <v/>
      </c>
      <c r="BZ38" s="7">
        <f>IF(BB38=1,AS38*loc_rentaUnidad*12*C38*(1-vivienda_vacancia)*(1-vivienda_gestionPct),0)</f>
        <v/>
      </c>
      <c r="CA38" s="7">
        <f>IF(BB38=1,BO38+BS38+BU38+BV38+BW38+BX38,loc_rentaMensual*12*C38)</f>
        <v/>
      </c>
      <c r="CB38" s="7">
        <f>IF(BB38=1,personal_aporteFamiliaMensual*12,0)</f>
        <v/>
      </c>
      <c r="CC38" s="7">
        <f>MIN(IF(5=0,personal_irsSaldo,CD37),personal_irsPagoMensual*12)</f>
        <v/>
      </c>
      <c r="CD38" s="7">
        <f>IF(5=0,personal_irsSaldo,CD37)-CC38</f>
        <v/>
      </c>
      <c r="CE38" s="7">
        <f>IF(5=0,IF(personal_deudaEsFederal=1,personal_deudaEstudiantil,0),DW37)</f>
        <v/>
      </c>
      <c r="CF38" s="7">
        <f>IF(5=0,personal_tasaDeudaEstudiantil,DX37)</f>
        <v/>
      </c>
      <c r="CG38" s="7">
        <f>IF(5=0,0,DY37)</f>
        <v/>
      </c>
      <c r="CH38" s="7">
        <f>IF(J38&gt;=0.5,1,0)</f>
        <v/>
      </c>
      <c r="CI38" s="7">
        <f>IF(AND(CH38=0,prestamos_pslfActivo=1,K38&gt;=0.5,CE38&gt;0),1,0)</f>
        <v/>
      </c>
      <c r="CJ38" s="7">
        <f>CE38*CF38</f>
        <v/>
      </c>
      <c r="CK38" s="7">
        <f>MAX(prestamos_rapPagoMinimoAnual,IF(Y38&lt;10000,0,MIN(0.1,INT(Y38/10000)/100))*Y38)</f>
        <v/>
      </c>
      <c r="CL38" s="7">
        <f>IF(CE38&lt;=0,0,IF(CH38=1,0,IF(CI38=1,MIN(CE38+CJ38,CK38),PMT(CF38,MAX(1,prestamos_plazoAnios-CG38),-CE38))))</f>
        <v/>
      </c>
      <c r="CM38" s="7">
        <f>IF(CE38&lt;=0,0,IF(CH38=1,CE38+CJ38,IF(CI38=1,MAX(0,CE38-MAX(CL38-CJ38,MIN(600,CL38))),MAX(0,CE38*(1+CF38)-CL38))))</f>
        <v/>
      </c>
      <c r="CN38" s="7">
        <f>IF(5=0,0,CN37)+IF(CI38=1,12*MIN(1,K38),0)</f>
        <v/>
      </c>
      <c r="CO38" s="7">
        <f>IF(AND(CI38=1,CN38&gt;=prestamos_pslfPagos,CM38&gt;0),CM38,0)</f>
        <v/>
      </c>
      <c r="CP38" s="7">
        <f>CM38-CO38</f>
        <v/>
      </c>
      <c r="CQ38" s="7">
        <f>IF(AND(CE38&gt;0,CH38=0,CI38=0),CG38+1,CG38)</f>
        <v/>
      </c>
      <c r="CR38" s="7">
        <f>IF(5=0,IF(personal_deudaEsFederal=1,0,personal_deudaEstudiantil),EA37)</f>
        <v/>
      </c>
      <c r="CS38" s="7">
        <f>IF(5=0,IF(personal_deudaEsFederal=1,prestamos_tasaPrivada,personal_tasaDeudaEstudiantil),EB37)</f>
        <v/>
      </c>
      <c r="CT38" s="7">
        <f>IF(5=0,0,EC37)</f>
        <v/>
      </c>
      <c r="CU38" s="7">
        <f>IF(OR(CR38&lt;=0,CH38=1),0,PMT(CS38,MAX(1,prestamos_plazoAnios-CT38),-CR38))</f>
        <v/>
      </c>
      <c r="CV38" s="7">
        <f>IF(CR38&lt;=0,0,IF(CH38=1,CR38*(1+CS38),MAX(0,CR38*(1+CS38)-CU38)))</f>
        <v/>
      </c>
      <c r="CW38" s="7">
        <f>IF(AND(CR38&gt;0,CH38=0),CT38+1,CT38)</f>
        <v/>
      </c>
      <c r="CX38" s="7">
        <f>IF(5=0,0,ED37)*(1+general_tasaDeudaConsumo)</f>
        <v/>
      </c>
      <c r="CY38" s="7">
        <f>L38*12*tiempos_travelGastoExtraMes*C38</f>
        <v/>
      </c>
      <c r="CZ38" s="7">
        <f>AJ38+CY38+CA38+CC38+CL38+CU38+I38+N38-BZ38-CB38</f>
        <v/>
      </c>
      <c r="DA38" s="7">
        <f>AH38-CZ38</f>
        <v/>
      </c>
      <c r="DB38" s="7">
        <f>IF(5=0,0,DB37)+DA38</f>
        <v/>
      </c>
      <c r="DC38" s="7">
        <f>AN38*vivienda_enganchePct+AN38*vivienda_cierrePct+general_reservaMeses/12*AJ38</f>
        <v/>
      </c>
      <c r="DD38" s="7">
        <f>IF(BB38=1,g_ret,IF(BD38&gt;0,MIN(1,DC38/BD38),1)*g_cash+(1-IF(BD38&gt;0,MIN(1,DC38/BD38),1))*g_ret)</f>
        <v/>
      </c>
      <c r="DE38" s="7">
        <f>IF(DA38&gt;=0,MIN(CX38,DA38),0)</f>
        <v/>
      </c>
      <c r="DF38" s="7">
        <f>IF(DA38&gt;=0,(1-general_tasaAhorro)*(DA38-DE38),0)</f>
        <v/>
      </c>
      <c r="DG38" s="7">
        <f>IF(DA38&gt;=0,DA38-DE38-DF38,0)</f>
        <v/>
      </c>
      <c r="DH38" s="7">
        <f>MIN(personal_rothAnual,DG38)</f>
        <v/>
      </c>
      <c r="DI38" s="7">
        <f>IF(AND(DA38&gt;=0,BB38=1,BP38+BT38&gt;0),MIN(vivienda_prepagoPct*(DG38-DH38),BP38+BT38),0)</f>
        <v/>
      </c>
      <c r="DJ38" s="7">
        <f>MIN(DI38,BP38)</f>
        <v/>
      </c>
      <c r="DK38" s="7">
        <f>IF(DA38&lt;0,MIN(MAX(0,BD38),-DA38),0)</f>
        <v/>
      </c>
      <c r="DL38" s="7">
        <f>IF(DA38&lt;0,-DA38-DK38,0)</f>
        <v/>
      </c>
      <c r="DM38" s="7">
        <f>IF(5=0,0,DZ37)</f>
        <v/>
      </c>
      <c r="DN38" s="7">
        <f>IF(AND(DL38&gt;0,J38&gt;0),MIN(DL38,MIN(prestamos_topeAnualPosgrado*MIN(1,J38),MAX(0,prestamos_topeTotalPosgrado-DM38))),0)</f>
        <v/>
      </c>
      <c r="DO38" s="7">
        <f>IF(AND(DL38&gt;0,J38&gt;0),DL38-DN38,0)</f>
        <v/>
      </c>
      <c r="DP38" s="7">
        <f>IF(AND(DL38&gt;0,J38&lt;=0),DL38,0)</f>
        <v/>
      </c>
      <c r="DQ38" s="7">
        <f>IF(DA38&gt;=0,DG38-DH38-DI38,-DK38)</f>
        <v/>
      </c>
      <c r="DR38" s="7">
        <f>BD38*(1+DD38)+DQ38*(1+DD38/2)</f>
        <v/>
      </c>
      <c r="DS38" s="7">
        <f>IF(5=0,personal_retiroInicial,DS37)*(1+g_ret)+(O38+P38+DH38)*(1+g_ret/2)</f>
        <v/>
      </c>
      <c r="DT38" s="7">
        <f>IF(BB38=1,BL38*(1+g_appr),0)</f>
        <v/>
      </c>
      <c r="DU38" s="7">
        <f>BP38-DJ38</f>
        <v/>
      </c>
      <c r="DV38" s="7">
        <f>BT38-(DI38-DJ38)</f>
        <v/>
      </c>
      <c r="DW38" s="7">
        <f>CP38+DN38</f>
        <v/>
      </c>
      <c r="DX38" s="7">
        <f>IF(DN38&gt;0,(CP38*CF38+DN38*prestamos_tasaFederalPosgrado)/(CP38+DN38),CF38)</f>
        <v/>
      </c>
      <c r="DY38" s="7">
        <f>IF(DN38&gt;0,0,CQ38)</f>
        <v/>
      </c>
      <c r="DZ38" s="7">
        <f>DM38+DN38</f>
        <v/>
      </c>
      <c r="EA38" s="7">
        <f>CV38+DO38</f>
        <v/>
      </c>
      <c r="EB38" s="7">
        <f>IF(DO38&gt;0,(CV38*CS38+DO38*prestamos_tasaPrivada)/(CV38+DO38),CS38)</f>
        <v/>
      </c>
      <c r="EC38" s="7">
        <f>IF(DO38&gt;0,0,CW38)</f>
        <v/>
      </c>
      <c r="ED38" s="7">
        <f>CX38-DE38+DP38</f>
        <v/>
      </c>
      <c r="EE38" s="7">
        <f>IF(IF(5=0,"",EE37)&lt;&gt;"",EE37,IF(AND(BB38=1,DU38&lt;=0.5,DV38&lt;=0.5,OR(BH38=0,BJ38=1)),A38,""))</f>
        <v/>
      </c>
      <c r="EF38" s="7">
        <f>DU38+DV38+DW38+EA38+ED38+CD38</f>
        <v/>
      </c>
      <c r="EG38" s="7">
        <f>DR38+DS38+DT38-EF38</f>
        <v/>
      </c>
      <c r="EH38" s="7">
        <f>EG38/(1+g_inf)^(A38+1-2026)</f>
        <v/>
      </c>
    </row>
    <row r="39">
      <c r="A39" t="n">
        <v>2033</v>
      </c>
      <c r="B39" t="n">
        <v>6</v>
      </c>
      <c r="C39" s="7">
        <f>(1+g_inf)^(A39-2026)</f>
        <v/>
      </c>
      <c r="D39" s="7">
        <f>SUMPRODUCT($Z$5:$Z$29,$E$5:$E$29*(1+$F$5:$F$29)^(A39-2026)*$G$5:$G$29*$H$5:$H$29*(1-$N$5:$N$29*$O$5:$O$29))*g_salMult+SUMPRODUCT(($B$5:$B$29&gt;=A39)*($B$5:$B$29&lt;A39+1)*$I$5:$I$29)*g_salMult</f>
        <v/>
      </c>
      <c r="E39" s="7">
        <f>SUMPRODUCT($Z$5:$Z$29,$E$5:$E$29*(1+$F$5:$F$29)^(A39-2026)*$G$5:$G$29*$H$5:$H$29*$M$5:$M$29)*g_salMult</f>
        <v/>
      </c>
      <c r="F39" s="7">
        <f>SUMPRODUCT($Z$5:$Z$29,$E$5:$E$29*(1+$F$5:$F$29)^(A39-2026)*$G$5:$G$29*$H$5:$H$29*$N$5:$N$29*$O$5:$O$29)*g_salMult</f>
        <v/>
      </c>
      <c r="G39" s="7">
        <f>SUMPRODUCT($Z$5:$Z$29,$P$5:$P$29*(1+$F$5:$F$29)^(A39-2026))</f>
        <v/>
      </c>
      <c r="H39" s="7">
        <f>SUMPRODUCT($Z$5:$Z$29,$Q$5:$Q$29*(1+$F$5:$F$29)^(A39-2026))+IF(personal_llcActivo=1,personal_llcNeto*(1+personal_llcCrecimiento)^6,0)</f>
        <v/>
      </c>
      <c r="I39" s="7">
        <f>SUMPRODUCT($Z$5:$Z$29,$J$5:$J$29/($C$5:$C$29-$B$5:$B$29+($C$5:$C$29=$B$5:$B$29)))*C39</f>
        <v/>
      </c>
      <c r="J39" s="7">
        <f>SUMPRODUCT($Z$5:$Z$29,$K$5:$K$29)</f>
        <v/>
      </c>
      <c r="K39" s="7">
        <f>SUMPRODUCT($Z$5:$Z$29,$L$5:$L$29)</f>
        <v/>
      </c>
      <c r="L39" s="7">
        <f>SUMPRODUCT($Z$5:$Z$29,$N$5:$N$29)</f>
        <v/>
      </c>
      <c r="M39" s="7">
        <f>IF(SUMPRODUCT($Z$5:$Z$29,$R$5:$R$29)&gt;0,1,0)</f>
        <v/>
      </c>
      <c r="N39" s="7">
        <f>SUMPRODUCT(($AO$5:$AO$24&gt;=A39)*($AO$5:$AO$24&lt;A39+1)*$AP$5:$AP$24)*C39+IF(6=0,IF(sel_loc&lt;&gt;"miami",personal_costoMudanzaInicial,0),0)</f>
        <v/>
      </c>
      <c r="O39" s="7">
        <f>MIN(personal_aporte403bPct*D39,retiro_limite403b*C39)</f>
        <v/>
      </c>
      <c r="P39" s="7">
        <f>MIN(personal_aporte403bPct,personal_match403bPct)*E39</f>
        <v/>
      </c>
      <c r="Q39" s="7">
        <f>IF(G39&gt;0,MAX(0,G39-impuestos_scorpCostoAnual*C39),0)</f>
        <v/>
      </c>
      <c r="R39" s="7">
        <f>Q39*impuestos_scorpSalarioPct/(1+impuestos_ssTasa+impuestos_medicareTasa)</f>
        <v/>
      </c>
      <c r="S39" s="7">
        <f>impuestos_ssTasa*MIN(R39,MAX(0,impuestos_ssTope*C39-D39))+impuestos_medicareTasa*R39</f>
        <v/>
      </c>
      <c r="T39" s="7">
        <f>Q39-R39-S39</f>
        <v/>
      </c>
      <c r="U39" s="7">
        <f>D39+R39</f>
        <v/>
      </c>
      <c r="V39" s="7">
        <f>H39*0.9235</f>
        <v/>
      </c>
      <c r="W39" s="7">
        <f>IF(H39&gt;0,2*impuestos_ssTasa*MIN(V39,MAX(0,impuestos_ssTope*C39-U39))+2*impuestos_medicareTasa*V39,0)</f>
        <v/>
      </c>
      <c r="X39" s="7">
        <f>impuestos_ssTasa*MIN(U39,impuestos_ssTope*C39)+impuestos_medicareTasa*U39+impuestos_medicareAdicional*MAX(0,U39+H39*0.9235-impuestos_medicareUmbral)</f>
        <v/>
      </c>
      <c r="Y39" s="7">
        <f>MAX(0,D39-O39+R39+T39+H39-W39/2)</f>
        <v/>
      </c>
      <c r="Z39" s="7">
        <f>MAX(0,Y39-impuestos_deduccionEstandar*C39)</f>
        <v/>
      </c>
      <c r="AA39" s="7">
        <f>MIN(0.2*MAX(0,T39+H39-W39/2)*MAX(0,MIN(1,1-(Z39-impuestos_qbiUmbral*C39)/(impuestos_qbiRango*C39))),0.2*Z39)</f>
        <v/>
      </c>
      <c r="AB39" s="7">
        <f>MAX(0,Z39-AA39)</f>
        <v/>
      </c>
      <c r="AC39" s="7">
        <f>SUMPRODUCT((AB39&gt;tb_federalBrackets_lo*C39)*(AB39-tb_federalBrackets_lo*C39)*tb_federalBrackets_dr)</f>
        <v/>
      </c>
      <c r="AD39" s="7">
        <f>MAX(0,Y39-impuestos_nyDeduccion*C39)</f>
        <v/>
      </c>
      <c r="AE39" s="7">
        <f>CHOOSE(loc_taxcode,0,impuestos_ohTasa*MAX(0,Y39-impuestos_ohExento*C39)+impuestos_ohMunicipal*U39,SUMPRODUCT((AD39&gt;tb_nyBrackets_lo*C39)*(AD39-tb_nyBrackets_lo*C39)*tb_nyBrackets_dr)+loc_nyc*SUMPRODUCT((AD39&gt;tb_nycBrackets_lo*C39)*(AD39-tb_nycBrackets_lo*C39)*tb_nycBrackets_dr))</f>
        <v/>
      </c>
      <c r="AF39" s="7">
        <f>AC39+AE39+X39+W39</f>
        <v/>
      </c>
      <c r="AG39" s="7">
        <f>D39+F39+R39+T39+H39</f>
        <v/>
      </c>
      <c r="AH39" s="7">
        <f>AG39-AF39-O39</f>
        <v/>
      </c>
      <c r="AI39" s="7">
        <f>D39+F39+G39+H39</f>
        <v/>
      </c>
      <c r="AJ39" s="7">
        <f>loc_gastosVida*C39*g_gastos</f>
        <v/>
      </c>
      <c r="AK39" s="7">
        <f>IF(6=0,personal_liquidoInicial,DR38)</f>
        <v/>
      </c>
      <c r="AL39" s="7">
        <f>IF(6=0,0,BB38)</f>
        <v/>
      </c>
      <c r="AM39" s="7">
        <f>CHOOSE(sel_cfgIdx,loc_precio_duplex,loc_precio_inlaw,loc_precio_dosCasas,loc_precio_casaAdu,loc_precio_multi)</f>
        <v/>
      </c>
      <c r="AN39" s="7">
        <f>AM39*(1+g_appr)^(A39-2026)</f>
        <v/>
      </c>
      <c r="AO39" s="7">
        <f>IF(AND(M39=1,vivienda_prestamoMedico=1),1,0)</f>
        <v/>
      </c>
      <c r="AP39" s="7">
        <f>IF(AO39=1,0.05,vivienda_enganchePct)</f>
        <v/>
      </c>
      <c r="AQ39" s="7">
        <f>AN39*(1-AP39)</f>
        <v/>
      </c>
      <c r="AR39" s="7">
        <f>PMT(g_mortRate/12,vivienda_plazoHipoteca*12,-AQ39)</f>
        <v/>
      </c>
      <c r="AS39" s="7">
        <f>INDEX(cfg_units,sel_cfgIdx)</f>
        <v/>
      </c>
      <c r="AT39" s="7">
        <f>AS39*loc_rentaUnidad*(1+g_inf)^(A39-2026)*(1-vivienda_vacancia)</f>
        <v/>
      </c>
      <c r="AU39" s="7">
        <f>AR39+AN39*loc_impuestoPropPct/12+AM39*loc_seguroPct*(1+vivienda_inflacionSeguro)^(A39-2026)/12+IF(AND(AO39=0,AP39&lt;0.2),AQ39*vivienda_pmiTasa/12,0)</f>
        <v/>
      </c>
      <c r="AV39" s="7">
        <f>AN39*AP39+AN39*vivienda_cierrePct+general_reservaMeses/12*AJ39</f>
        <v/>
      </c>
      <c r="AW39" s="7">
        <f>(IF(6=0,MIN(personal_irsSaldo,personal_irsPagoMensual*12),MIN(CD38,personal_irsPagoMensual*12))+IF(CE39&gt;0,PMT(CF39,MAX(1,prestamos_plazoAnios-CG39),-CE39),0)+IF(CR39&gt;0,PMT(CS39,MAX(1,prestamos_plazoAnios-CT39),-CR39),0))/12</f>
        <v/>
      </c>
      <c r="AX39" s="7">
        <f>IF(OR(sel_cfg="duplex",sel_cfg="multi",sel_cfg="dosCasas"),0.75*personal_aporteFamiliaMensual,0)</f>
        <v/>
      </c>
      <c r="AY39" s="7">
        <f>AU39-0.75*AT39-AX39+AW39</f>
        <v/>
      </c>
      <c r="AZ39" s="7">
        <f>(D39+G39+H39+0.5*F39)/12</f>
        <v/>
      </c>
      <c r="BA39" s="7">
        <f>IF(AND(AL39=0,A39&gt;=vivienda_anioMinCompra,J39&lt;0.5,AI39&gt;0,AK39&gt;=AV39,AY39&lt;=vivienda_dtiMax*AZ39),1,0)</f>
        <v/>
      </c>
      <c r="BB39" s="7">
        <f>MAX(AL39,BA39)</f>
        <v/>
      </c>
      <c r="BC39" s="7">
        <f>IF(BA39=1,A39,IF(6=0,"",BC38))</f>
        <v/>
      </c>
      <c r="BD39" s="7">
        <f>AK39-IF(BA39=1,AN39*AP39+AN39*vivienda_cierrePct,0)</f>
        <v/>
      </c>
      <c r="BE39" s="7">
        <f>IF(BA39=1,AN39,IF(6=0,0,BE38))</f>
        <v/>
      </c>
      <c r="BF39" s="7">
        <f>IF(BA39=1,AR39,IF(6=0,0,BF38))</f>
        <v/>
      </c>
      <c r="BG39" s="7">
        <f>IF(BA39=1,IF(AND(AO39=0,AP39&lt;0.2),1,0),IF(6=0,0,BY38))</f>
        <v/>
      </c>
      <c r="BH39" s="7">
        <f>IF(sel_cfg="casaAdu",1,0)</f>
        <v/>
      </c>
      <c r="BI39" s="7">
        <f>IF(AND(BB39=1,BH39=1,IF(6=0,0,BJ38)=0,A39&gt;=IF(BC39="",9999,BC39)+vivienda_aduRetrasoAnios),1,0)</f>
        <v/>
      </c>
      <c r="BJ39" s="7">
        <f>MAX(IF(6=0,0,BJ38),BI39)</f>
        <v/>
      </c>
      <c r="BK39" s="7">
        <f>IF(BI39=1,PMT((g_mortRate+0.005)/12,180,-loc_precio_aduCosto*C39),IF(6=0,0,BK38))</f>
        <v/>
      </c>
      <c r="BL39" s="7">
        <f>IF(BA39=1,AN39,IF(6=0,0,DT38))+IF(BI39=1,loc_precio_aduCosto*C39,0)</f>
        <v/>
      </c>
      <c r="BM39" s="7">
        <f>IF(BA39=1,AQ39,IF(6=0,0,DU38))</f>
        <v/>
      </c>
      <c r="BN39" s="7">
        <f>IF(BM39&lt;=0,0,FV(g_mortRate/12,12,BF39,-BM39))</f>
        <v/>
      </c>
      <c r="BO39" s="7">
        <f>IF(BM39&lt;=0,0,12*BF39+MIN(0,BN39))</f>
        <v/>
      </c>
      <c r="BP39" s="7">
        <f>MAX(0,BN39)</f>
        <v/>
      </c>
      <c r="BQ39" s="7">
        <f>IF(BI39=1,loc_precio_aduCosto*C39,IF(6=0,0,DV38))</f>
        <v/>
      </c>
      <c r="BR39" s="7">
        <f>IF(BQ39&lt;=0,0,FV((g_mortRate+0.005)/12,12,BK39,-BQ39))</f>
        <v/>
      </c>
      <c r="BS39" s="7">
        <f>IF(BQ39&lt;=0,0,12*BK39+MIN(0,BR39))</f>
        <v/>
      </c>
      <c r="BT39" s="7">
        <f>MAX(0,BR39)</f>
        <v/>
      </c>
      <c r="BU39" s="7">
        <f>IF(BB39=1,AM39*loc_seguroPct*(1+vivienda_inflacionSeguro)^(A39-2026)*IF(BJ39=1,1+loc_precio_aduCosto/AM39,1),0)</f>
        <v/>
      </c>
      <c r="BV39" s="7">
        <f>BL39*loc_impuestoPropPct</f>
        <v/>
      </c>
      <c r="BW39" s="7">
        <f>BL39*vivienda_mantenimientoPct</f>
        <v/>
      </c>
      <c r="BX39" s="7">
        <f>IF(AND(BG39=1,BP39&gt;0.8*BE39),BE39*(1-vivienda_enganchePct)*vivienda_pmiTasa,0)</f>
        <v/>
      </c>
      <c r="BY39" s="7">
        <f>IF(AND(BG39=1,BP39&gt;0.8*BE39),1,0)</f>
        <v/>
      </c>
      <c r="BZ39" s="7">
        <f>IF(BB39=1,AS39*loc_rentaUnidad*12*C39*(1-vivienda_vacancia)*(1-vivienda_gestionPct),0)</f>
        <v/>
      </c>
      <c r="CA39" s="7">
        <f>IF(BB39=1,BO39+BS39+BU39+BV39+BW39+BX39,loc_rentaMensual*12*C39)</f>
        <v/>
      </c>
      <c r="CB39" s="7">
        <f>IF(BB39=1,personal_aporteFamiliaMensual*12,0)</f>
        <v/>
      </c>
      <c r="CC39" s="7">
        <f>MIN(IF(6=0,personal_irsSaldo,CD38),personal_irsPagoMensual*12)</f>
        <v/>
      </c>
      <c r="CD39" s="7">
        <f>IF(6=0,personal_irsSaldo,CD38)-CC39</f>
        <v/>
      </c>
      <c r="CE39" s="7">
        <f>IF(6=0,IF(personal_deudaEsFederal=1,personal_deudaEstudiantil,0),DW38)</f>
        <v/>
      </c>
      <c r="CF39" s="7">
        <f>IF(6=0,personal_tasaDeudaEstudiantil,DX38)</f>
        <v/>
      </c>
      <c r="CG39" s="7">
        <f>IF(6=0,0,DY38)</f>
        <v/>
      </c>
      <c r="CH39" s="7">
        <f>IF(J39&gt;=0.5,1,0)</f>
        <v/>
      </c>
      <c r="CI39" s="7">
        <f>IF(AND(CH39=0,prestamos_pslfActivo=1,K39&gt;=0.5,CE39&gt;0),1,0)</f>
        <v/>
      </c>
      <c r="CJ39" s="7">
        <f>CE39*CF39</f>
        <v/>
      </c>
      <c r="CK39" s="7">
        <f>MAX(prestamos_rapPagoMinimoAnual,IF(Y39&lt;10000,0,MIN(0.1,INT(Y39/10000)/100))*Y39)</f>
        <v/>
      </c>
      <c r="CL39" s="7">
        <f>IF(CE39&lt;=0,0,IF(CH39=1,0,IF(CI39=1,MIN(CE39+CJ39,CK39),PMT(CF39,MAX(1,prestamos_plazoAnios-CG39),-CE39))))</f>
        <v/>
      </c>
      <c r="CM39" s="7">
        <f>IF(CE39&lt;=0,0,IF(CH39=1,CE39+CJ39,IF(CI39=1,MAX(0,CE39-MAX(CL39-CJ39,MIN(600,CL39))),MAX(0,CE39*(1+CF39)-CL39))))</f>
        <v/>
      </c>
      <c r="CN39" s="7">
        <f>IF(6=0,0,CN38)+IF(CI39=1,12*MIN(1,K39),0)</f>
        <v/>
      </c>
      <c r="CO39" s="7">
        <f>IF(AND(CI39=1,CN39&gt;=prestamos_pslfPagos,CM39&gt;0),CM39,0)</f>
        <v/>
      </c>
      <c r="CP39" s="7">
        <f>CM39-CO39</f>
        <v/>
      </c>
      <c r="CQ39" s="7">
        <f>IF(AND(CE39&gt;0,CH39=0,CI39=0),CG39+1,CG39)</f>
        <v/>
      </c>
      <c r="CR39" s="7">
        <f>IF(6=0,IF(personal_deudaEsFederal=1,0,personal_deudaEstudiantil),EA38)</f>
        <v/>
      </c>
      <c r="CS39" s="7">
        <f>IF(6=0,IF(personal_deudaEsFederal=1,prestamos_tasaPrivada,personal_tasaDeudaEstudiantil),EB38)</f>
        <v/>
      </c>
      <c r="CT39" s="7">
        <f>IF(6=0,0,EC38)</f>
        <v/>
      </c>
      <c r="CU39" s="7">
        <f>IF(OR(CR39&lt;=0,CH39=1),0,PMT(CS39,MAX(1,prestamos_plazoAnios-CT39),-CR39))</f>
        <v/>
      </c>
      <c r="CV39" s="7">
        <f>IF(CR39&lt;=0,0,IF(CH39=1,CR39*(1+CS39),MAX(0,CR39*(1+CS39)-CU39)))</f>
        <v/>
      </c>
      <c r="CW39" s="7">
        <f>IF(AND(CR39&gt;0,CH39=0),CT39+1,CT39)</f>
        <v/>
      </c>
      <c r="CX39" s="7">
        <f>IF(6=0,0,ED38)*(1+general_tasaDeudaConsumo)</f>
        <v/>
      </c>
      <c r="CY39" s="7">
        <f>L39*12*tiempos_travelGastoExtraMes*C39</f>
        <v/>
      </c>
      <c r="CZ39" s="7">
        <f>AJ39+CY39+CA39+CC39+CL39+CU39+I39+N39-BZ39-CB39</f>
        <v/>
      </c>
      <c r="DA39" s="7">
        <f>AH39-CZ39</f>
        <v/>
      </c>
      <c r="DB39" s="7">
        <f>IF(6=0,0,DB38)+DA39</f>
        <v/>
      </c>
      <c r="DC39" s="7">
        <f>AN39*vivienda_enganchePct+AN39*vivienda_cierrePct+general_reservaMeses/12*AJ39</f>
        <v/>
      </c>
      <c r="DD39" s="7">
        <f>IF(BB39=1,g_ret,IF(BD39&gt;0,MIN(1,DC39/BD39),1)*g_cash+(1-IF(BD39&gt;0,MIN(1,DC39/BD39),1))*g_ret)</f>
        <v/>
      </c>
      <c r="DE39" s="7">
        <f>IF(DA39&gt;=0,MIN(CX39,DA39),0)</f>
        <v/>
      </c>
      <c r="DF39" s="7">
        <f>IF(DA39&gt;=0,(1-general_tasaAhorro)*(DA39-DE39),0)</f>
        <v/>
      </c>
      <c r="DG39" s="7">
        <f>IF(DA39&gt;=0,DA39-DE39-DF39,0)</f>
        <v/>
      </c>
      <c r="DH39" s="7">
        <f>MIN(personal_rothAnual,DG39)</f>
        <v/>
      </c>
      <c r="DI39" s="7">
        <f>IF(AND(DA39&gt;=0,BB39=1,BP39+BT39&gt;0),MIN(vivienda_prepagoPct*(DG39-DH39),BP39+BT39),0)</f>
        <v/>
      </c>
      <c r="DJ39" s="7">
        <f>MIN(DI39,BP39)</f>
        <v/>
      </c>
      <c r="DK39" s="7">
        <f>IF(DA39&lt;0,MIN(MAX(0,BD39),-DA39),0)</f>
        <v/>
      </c>
      <c r="DL39" s="7">
        <f>IF(DA39&lt;0,-DA39-DK39,0)</f>
        <v/>
      </c>
      <c r="DM39" s="7">
        <f>IF(6=0,0,DZ38)</f>
        <v/>
      </c>
      <c r="DN39" s="7">
        <f>IF(AND(DL39&gt;0,J39&gt;0),MIN(DL39,MIN(prestamos_topeAnualPosgrado*MIN(1,J39),MAX(0,prestamos_topeTotalPosgrado-DM39))),0)</f>
        <v/>
      </c>
      <c r="DO39" s="7">
        <f>IF(AND(DL39&gt;0,J39&gt;0),DL39-DN39,0)</f>
        <v/>
      </c>
      <c r="DP39" s="7">
        <f>IF(AND(DL39&gt;0,J39&lt;=0),DL39,0)</f>
        <v/>
      </c>
      <c r="DQ39" s="7">
        <f>IF(DA39&gt;=0,DG39-DH39-DI39,-DK39)</f>
        <v/>
      </c>
      <c r="DR39" s="7">
        <f>BD39*(1+DD39)+DQ39*(1+DD39/2)</f>
        <v/>
      </c>
      <c r="DS39" s="7">
        <f>IF(6=0,personal_retiroInicial,DS38)*(1+g_ret)+(O39+P39+DH39)*(1+g_ret/2)</f>
        <v/>
      </c>
      <c r="DT39" s="7">
        <f>IF(BB39=1,BL39*(1+g_appr),0)</f>
        <v/>
      </c>
      <c r="DU39" s="7">
        <f>BP39-DJ39</f>
        <v/>
      </c>
      <c r="DV39" s="7">
        <f>BT39-(DI39-DJ39)</f>
        <v/>
      </c>
      <c r="DW39" s="7">
        <f>CP39+DN39</f>
        <v/>
      </c>
      <c r="DX39" s="7">
        <f>IF(DN39&gt;0,(CP39*CF39+DN39*prestamos_tasaFederalPosgrado)/(CP39+DN39),CF39)</f>
        <v/>
      </c>
      <c r="DY39" s="7">
        <f>IF(DN39&gt;0,0,CQ39)</f>
        <v/>
      </c>
      <c r="DZ39" s="7">
        <f>DM39+DN39</f>
        <v/>
      </c>
      <c r="EA39" s="7">
        <f>CV39+DO39</f>
        <v/>
      </c>
      <c r="EB39" s="7">
        <f>IF(DO39&gt;0,(CV39*CS39+DO39*prestamos_tasaPrivada)/(CV39+DO39),CS39)</f>
        <v/>
      </c>
      <c r="EC39" s="7">
        <f>IF(DO39&gt;0,0,CW39)</f>
        <v/>
      </c>
      <c r="ED39" s="7">
        <f>CX39-DE39+DP39</f>
        <v/>
      </c>
      <c r="EE39" s="7">
        <f>IF(IF(6=0,"",EE38)&lt;&gt;"",EE38,IF(AND(BB39=1,DU39&lt;=0.5,DV39&lt;=0.5,OR(BH39=0,BJ39=1)),A39,""))</f>
        <v/>
      </c>
      <c r="EF39" s="7">
        <f>DU39+DV39+DW39+EA39+ED39+CD39</f>
        <v/>
      </c>
      <c r="EG39" s="7">
        <f>DR39+DS39+DT39-EF39</f>
        <v/>
      </c>
      <c r="EH39" s="7">
        <f>EG39/(1+g_inf)^(A39+1-2026)</f>
        <v/>
      </c>
    </row>
    <row r="40">
      <c r="A40" t="n">
        <v>2034</v>
      </c>
      <c r="B40" t="n">
        <v>7</v>
      </c>
      <c r="C40" s="7">
        <f>(1+g_inf)^(A40-2026)</f>
        <v/>
      </c>
      <c r="D40" s="7">
        <f>SUMPRODUCT($AA$5:$AA$29,$E$5:$E$29*(1+$F$5:$F$29)^(A40-2026)*$G$5:$G$29*$H$5:$H$29*(1-$N$5:$N$29*$O$5:$O$29))*g_salMult+SUMPRODUCT(($B$5:$B$29&gt;=A40)*($B$5:$B$29&lt;A40+1)*$I$5:$I$29)*g_salMult</f>
        <v/>
      </c>
      <c r="E40" s="7">
        <f>SUMPRODUCT($AA$5:$AA$29,$E$5:$E$29*(1+$F$5:$F$29)^(A40-2026)*$G$5:$G$29*$H$5:$H$29*$M$5:$M$29)*g_salMult</f>
        <v/>
      </c>
      <c r="F40" s="7">
        <f>SUMPRODUCT($AA$5:$AA$29,$E$5:$E$29*(1+$F$5:$F$29)^(A40-2026)*$G$5:$G$29*$H$5:$H$29*$N$5:$N$29*$O$5:$O$29)*g_salMult</f>
        <v/>
      </c>
      <c r="G40" s="7">
        <f>SUMPRODUCT($AA$5:$AA$29,$P$5:$P$29*(1+$F$5:$F$29)^(A40-2026))</f>
        <v/>
      </c>
      <c r="H40" s="7">
        <f>SUMPRODUCT($AA$5:$AA$29,$Q$5:$Q$29*(1+$F$5:$F$29)^(A40-2026))+IF(personal_llcActivo=1,personal_llcNeto*(1+personal_llcCrecimiento)^7,0)</f>
        <v/>
      </c>
      <c r="I40" s="7">
        <f>SUMPRODUCT($AA$5:$AA$29,$J$5:$J$29/($C$5:$C$29-$B$5:$B$29+($C$5:$C$29=$B$5:$B$29)))*C40</f>
        <v/>
      </c>
      <c r="J40" s="7">
        <f>SUMPRODUCT($AA$5:$AA$29,$K$5:$K$29)</f>
        <v/>
      </c>
      <c r="K40" s="7">
        <f>SUMPRODUCT($AA$5:$AA$29,$L$5:$L$29)</f>
        <v/>
      </c>
      <c r="L40" s="7">
        <f>SUMPRODUCT($AA$5:$AA$29,$N$5:$N$29)</f>
        <v/>
      </c>
      <c r="M40" s="7">
        <f>IF(SUMPRODUCT($AA$5:$AA$29,$R$5:$R$29)&gt;0,1,0)</f>
        <v/>
      </c>
      <c r="N40" s="7">
        <f>SUMPRODUCT(($AO$5:$AO$24&gt;=A40)*($AO$5:$AO$24&lt;A40+1)*$AP$5:$AP$24)*C40+IF(7=0,IF(sel_loc&lt;&gt;"miami",personal_costoMudanzaInicial,0),0)</f>
        <v/>
      </c>
      <c r="O40" s="7">
        <f>MIN(personal_aporte403bPct*D40,retiro_limite403b*C40)</f>
        <v/>
      </c>
      <c r="P40" s="7">
        <f>MIN(personal_aporte403bPct,personal_match403bPct)*E40</f>
        <v/>
      </c>
      <c r="Q40" s="7">
        <f>IF(G40&gt;0,MAX(0,G40-impuestos_scorpCostoAnual*C40),0)</f>
        <v/>
      </c>
      <c r="R40" s="7">
        <f>Q40*impuestos_scorpSalarioPct/(1+impuestos_ssTasa+impuestos_medicareTasa)</f>
        <v/>
      </c>
      <c r="S40" s="7">
        <f>impuestos_ssTasa*MIN(R40,MAX(0,impuestos_ssTope*C40-D40))+impuestos_medicareTasa*R40</f>
        <v/>
      </c>
      <c r="T40" s="7">
        <f>Q40-R40-S40</f>
        <v/>
      </c>
      <c r="U40" s="7">
        <f>D40+R40</f>
        <v/>
      </c>
      <c r="V40" s="7">
        <f>H40*0.9235</f>
        <v/>
      </c>
      <c r="W40" s="7">
        <f>IF(H40&gt;0,2*impuestos_ssTasa*MIN(V40,MAX(0,impuestos_ssTope*C40-U40))+2*impuestos_medicareTasa*V40,0)</f>
        <v/>
      </c>
      <c r="X40" s="7">
        <f>impuestos_ssTasa*MIN(U40,impuestos_ssTope*C40)+impuestos_medicareTasa*U40+impuestos_medicareAdicional*MAX(0,U40+H40*0.9235-impuestos_medicareUmbral)</f>
        <v/>
      </c>
      <c r="Y40" s="7">
        <f>MAX(0,D40-O40+R40+T40+H40-W40/2)</f>
        <v/>
      </c>
      <c r="Z40" s="7">
        <f>MAX(0,Y40-impuestos_deduccionEstandar*C40)</f>
        <v/>
      </c>
      <c r="AA40" s="7">
        <f>MIN(0.2*MAX(0,T40+H40-W40/2)*MAX(0,MIN(1,1-(Z40-impuestos_qbiUmbral*C40)/(impuestos_qbiRango*C40))),0.2*Z40)</f>
        <v/>
      </c>
      <c r="AB40" s="7">
        <f>MAX(0,Z40-AA40)</f>
        <v/>
      </c>
      <c r="AC40" s="7">
        <f>SUMPRODUCT((AB40&gt;tb_federalBrackets_lo*C40)*(AB40-tb_federalBrackets_lo*C40)*tb_federalBrackets_dr)</f>
        <v/>
      </c>
      <c r="AD40" s="7">
        <f>MAX(0,Y40-impuestos_nyDeduccion*C40)</f>
        <v/>
      </c>
      <c r="AE40" s="7">
        <f>CHOOSE(loc_taxcode,0,impuestos_ohTasa*MAX(0,Y40-impuestos_ohExento*C40)+impuestos_ohMunicipal*U40,SUMPRODUCT((AD40&gt;tb_nyBrackets_lo*C40)*(AD40-tb_nyBrackets_lo*C40)*tb_nyBrackets_dr)+loc_nyc*SUMPRODUCT((AD40&gt;tb_nycBrackets_lo*C40)*(AD40-tb_nycBrackets_lo*C40)*tb_nycBrackets_dr))</f>
        <v/>
      </c>
      <c r="AF40" s="7">
        <f>AC40+AE40+X40+W40</f>
        <v/>
      </c>
      <c r="AG40" s="7">
        <f>D40+F40+R40+T40+H40</f>
        <v/>
      </c>
      <c r="AH40" s="7">
        <f>AG40-AF40-O40</f>
        <v/>
      </c>
      <c r="AI40" s="7">
        <f>D40+F40+G40+H40</f>
        <v/>
      </c>
      <c r="AJ40" s="7">
        <f>loc_gastosVida*C40*g_gastos</f>
        <v/>
      </c>
      <c r="AK40" s="7">
        <f>IF(7=0,personal_liquidoInicial,DR39)</f>
        <v/>
      </c>
      <c r="AL40" s="7">
        <f>IF(7=0,0,BB39)</f>
        <v/>
      </c>
      <c r="AM40" s="7">
        <f>CHOOSE(sel_cfgIdx,loc_precio_duplex,loc_precio_inlaw,loc_precio_dosCasas,loc_precio_casaAdu,loc_precio_multi)</f>
        <v/>
      </c>
      <c r="AN40" s="7">
        <f>AM40*(1+g_appr)^(A40-2026)</f>
        <v/>
      </c>
      <c r="AO40" s="7">
        <f>IF(AND(M40=1,vivienda_prestamoMedico=1),1,0)</f>
        <v/>
      </c>
      <c r="AP40" s="7">
        <f>IF(AO40=1,0.05,vivienda_enganchePct)</f>
        <v/>
      </c>
      <c r="AQ40" s="7">
        <f>AN40*(1-AP40)</f>
        <v/>
      </c>
      <c r="AR40" s="7">
        <f>PMT(g_mortRate/12,vivienda_plazoHipoteca*12,-AQ40)</f>
        <v/>
      </c>
      <c r="AS40" s="7">
        <f>INDEX(cfg_units,sel_cfgIdx)</f>
        <v/>
      </c>
      <c r="AT40" s="7">
        <f>AS40*loc_rentaUnidad*(1+g_inf)^(A40-2026)*(1-vivienda_vacancia)</f>
        <v/>
      </c>
      <c r="AU40" s="7">
        <f>AR40+AN40*loc_impuestoPropPct/12+AM40*loc_seguroPct*(1+vivienda_inflacionSeguro)^(A40-2026)/12+IF(AND(AO40=0,AP40&lt;0.2),AQ40*vivienda_pmiTasa/12,0)</f>
        <v/>
      </c>
      <c r="AV40" s="7">
        <f>AN40*AP40+AN40*vivienda_cierrePct+general_reservaMeses/12*AJ40</f>
        <v/>
      </c>
      <c r="AW40" s="7">
        <f>(IF(7=0,MIN(personal_irsSaldo,personal_irsPagoMensual*12),MIN(CD39,personal_irsPagoMensual*12))+IF(CE40&gt;0,PMT(CF40,MAX(1,prestamos_plazoAnios-CG40),-CE40),0)+IF(CR40&gt;0,PMT(CS40,MAX(1,prestamos_plazoAnios-CT40),-CR40),0))/12</f>
        <v/>
      </c>
      <c r="AX40" s="7">
        <f>IF(OR(sel_cfg="duplex",sel_cfg="multi",sel_cfg="dosCasas"),0.75*personal_aporteFamiliaMensual,0)</f>
        <v/>
      </c>
      <c r="AY40" s="7">
        <f>AU40-0.75*AT40-AX40+AW40</f>
        <v/>
      </c>
      <c r="AZ40" s="7">
        <f>(D40+G40+H40+0.5*F40)/12</f>
        <v/>
      </c>
      <c r="BA40" s="7">
        <f>IF(AND(AL40=0,A40&gt;=vivienda_anioMinCompra,J40&lt;0.5,AI40&gt;0,AK40&gt;=AV40,AY40&lt;=vivienda_dtiMax*AZ40),1,0)</f>
        <v/>
      </c>
      <c r="BB40" s="7">
        <f>MAX(AL40,BA40)</f>
        <v/>
      </c>
      <c r="BC40" s="7">
        <f>IF(BA40=1,A40,IF(7=0,"",BC39))</f>
        <v/>
      </c>
      <c r="BD40" s="7">
        <f>AK40-IF(BA40=1,AN40*AP40+AN40*vivienda_cierrePct,0)</f>
        <v/>
      </c>
      <c r="BE40" s="7">
        <f>IF(BA40=1,AN40,IF(7=0,0,BE39))</f>
        <v/>
      </c>
      <c r="BF40" s="7">
        <f>IF(BA40=1,AR40,IF(7=0,0,BF39))</f>
        <v/>
      </c>
      <c r="BG40" s="7">
        <f>IF(BA40=1,IF(AND(AO40=0,AP40&lt;0.2),1,0),IF(7=0,0,BY39))</f>
        <v/>
      </c>
      <c r="BH40" s="7">
        <f>IF(sel_cfg="casaAdu",1,0)</f>
        <v/>
      </c>
      <c r="BI40" s="7">
        <f>IF(AND(BB40=1,BH40=1,IF(7=0,0,BJ39)=0,A40&gt;=IF(BC40="",9999,BC40)+vivienda_aduRetrasoAnios),1,0)</f>
        <v/>
      </c>
      <c r="BJ40" s="7">
        <f>MAX(IF(7=0,0,BJ39),BI40)</f>
        <v/>
      </c>
      <c r="BK40" s="7">
        <f>IF(BI40=1,PMT((g_mortRate+0.005)/12,180,-loc_precio_aduCosto*C40),IF(7=0,0,BK39))</f>
        <v/>
      </c>
      <c r="BL40" s="7">
        <f>IF(BA40=1,AN40,IF(7=0,0,DT39))+IF(BI40=1,loc_precio_aduCosto*C40,0)</f>
        <v/>
      </c>
      <c r="BM40" s="7">
        <f>IF(BA40=1,AQ40,IF(7=0,0,DU39))</f>
        <v/>
      </c>
      <c r="BN40" s="7">
        <f>IF(BM40&lt;=0,0,FV(g_mortRate/12,12,BF40,-BM40))</f>
        <v/>
      </c>
      <c r="BO40" s="7">
        <f>IF(BM40&lt;=0,0,12*BF40+MIN(0,BN40))</f>
        <v/>
      </c>
      <c r="BP40" s="7">
        <f>MAX(0,BN40)</f>
        <v/>
      </c>
      <c r="BQ40" s="7">
        <f>IF(BI40=1,loc_precio_aduCosto*C40,IF(7=0,0,DV39))</f>
        <v/>
      </c>
      <c r="BR40" s="7">
        <f>IF(BQ40&lt;=0,0,FV((g_mortRate+0.005)/12,12,BK40,-BQ40))</f>
        <v/>
      </c>
      <c r="BS40" s="7">
        <f>IF(BQ40&lt;=0,0,12*BK40+MIN(0,BR40))</f>
        <v/>
      </c>
      <c r="BT40" s="7">
        <f>MAX(0,BR40)</f>
        <v/>
      </c>
      <c r="BU40" s="7">
        <f>IF(BB40=1,AM40*loc_seguroPct*(1+vivienda_inflacionSeguro)^(A40-2026)*IF(BJ40=1,1+loc_precio_aduCosto/AM40,1),0)</f>
        <v/>
      </c>
      <c r="BV40" s="7">
        <f>BL40*loc_impuestoPropPct</f>
        <v/>
      </c>
      <c r="BW40" s="7">
        <f>BL40*vivienda_mantenimientoPct</f>
        <v/>
      </c>
      <c r="BX40" s="7">
        <f>IF(AND(BG40=1,BP40&gt;0.8*BE40),BE40*(1-vivienda_enganchePct)*vivienda_pmiTasa,0)</f>
        <v/>
      </c>
      <c r="BY40" s="7">
        <f>IF(AND(BG40=1,BP40&gt;0.8*BE40),1,0)</f>
        <v/>
      </c>
      <c r="BZ40" s="7">
        <f>IF(BB40=1,AS40*loc_rentaUnidad*12*C40*(1-vivienda_vacancia)*(1-vivienda_gestionPct),0)</f>
        <v/>
      </c>
      <c r="CA40" s="7">
        <f>IF(BB40=1,BO40+BS40+BU40+BV40+BW40+BX40,loc_rentaMensual*12*C40)</f>
        <v/>
      </c>
      <c r="CB40" s="7">
        <f>IF(BB40=1,personal_aporteFamiliaMensual*12,0)</f>
        <v/>
      </c>
      <c r="CC40" s="7">
        <f>MIN(IF(7=0,personal_irsSaldo,CD39),personal_irsPagoMensual*12)</f>
        <v/>
      </c>
      <c r="CD40" s="7">
        <f>IF(7=0,personal_irsSaldo,CD39)-CC40</f>
        <v/>
      </c>
      <c r="CE40" s="7">
        <f>IF(7=0,IF(personal_deudaEsFederal=1,personal_deudaEstudiantil,0),DW39)</f>
        <v/>
      </c>
      <c r="CF40" s="7">
        <f>IF(7=0,personal_tasaDeudaEstudiantil,DX39)</f>
        <v/>
      </c>
      <c r="CG40" s="7">
        <f>IF(7=0,0,DY39)</f>
        <v/>
      </c>
      <c r="CH40" s="7">
        <f>IF(J40&gt;=0.5,1,0)</f>
        <v/>
      </c>
      <c r="CI40" s="7">
        <f>IF(AND(CH40=0,prestamos_pslfActivo=1,K40&gt;=0.5,CE40&gt;0),1,0)</f>
        <v/>
      </c>
      <c r="CJ40" s="7">
        <f>CE40*CF40</f>
        <v/>
      </c>
      <c r="CK40" s="7">
        <f>MAX(prestamos_rapPagoMinimoAnual,IF(Y40&lt;10000,0,MIN(0.1,INT(Y40/10000)/100))*Y40)</f>
        <v/>
      </c>
      <c r="CL40" s="7">
        <f>IF(CE40&lt;=0,0,IF(CH40=1,0,IF(CI40=1,MIN(CE40+CJ40,CK40),PMT(CF40,MAX(1,prestamos_plazoAnios-CG40),-CE40))))</f>
        <v/>
      </c>
      <c r="CM40" s="7">
        <f>IF(CE40&lt;=0,0,IF(CH40=1,CE40+CJ40,IF(CI40=1,MAX(0,CE40-MAX(CL40-CJ40,MIN(600,CL40))),MAX(0,CE40*(1+CF40)-CL40))))</f>
        <v/>
      </c>
      <c r="CN40" s="7">
        <f>IF(7=0,0,CN39)+IF(CI40=1,12*MIN(1,K40),0)</f>
        <v/>
      </c>
      <c r="CO40" s="7">
        <f>IF(AND(CI40=1,CN40&gt;=prestamos_pslfPagos,CM40&gt;0),CM40,0)</f>
        <v/>
      </c>
      <c r="CP40" s="7">
        <f>CM40-CO40</f>
        <v/>
      </c>
      <c r="CQ40" s="7">
        <f>IF(AND(CE40&gt;0,CH40=0,CI40=0),CG40+1,CG40)</f>
        <v/>
      </c>
      <c r="CR40" s="7">
        <f>IF(7=0,IF(personal_deudaEsFederal=1,0,personal_deudaEstudiantil),EA39)</f>
        <v/>
      </c>
      <c r="CS40" s="7">
        <f>IF(7=0,IF(personal_deudaEsFederal=1,prestamos_tasaPrivada,personal_tasaDeudaEstudiantil),EB39)</f>
        <v/>
      </c>
      <c r="CT40" s="7">
        <f>IF(7=0,0,EC39)</f>
        <v/>
      </c>
      <c r="CU40" s="7">
        <f>IF(OR(CR40&lt;=0,CH40=1),0,PMT(CS40,MAX(1,prestamos_plazoAnios-CT40),-CR40))</f>
        <v/>
      </c>
      <c r="CV40" s="7">
        <f>IF(CR40&lt;=0,0,IF(CH40=1,CR40*(1+CS40),MAX(0,CR40*(1+CS40)-CU40)))</f>
        <v/>
      </c>
      <c r="CW40" s="7">
        <f>IF(AND(CR40&gt;0,CH40=0),CT40+1,CT40)</f>
        <v/>
      </c>
      <c r="CX40" s="7">
        <f>IF(7=0,0,ED39)*(1+general_tasaDeudaConsumo)</f>
        <v/>
      </c>
      <c r="CY40" s="7">
        <f>L40*12*tiempos_travelGastoExtraMes*C40</f>
        <v/>
      </c>
      <c r="CZ40" s="7">
        <f>AJ40+CY40+CA40+CC40+CL40+CU40+I40+N40-BZ40-CB40</f>
        <v/>
      </c>
      <c r="DA40" s="7">
        <f>AH40-CZ40</f>
        <v/>
      </c>
      <c r="DB40" s="7">
        <f>IF(7=0,0,DB39)+DA40</f>
        <v/>
      </c>
      <c r="DC40" s="7">
        <f>AN40*vivienda_enganchePct+AN40*vivienda_cierrePct+general_reservaMeses/12*AJ40</f>
        <v/>
      </c>
      <c r="DD40" s="7">
        <f>IF(BB40=1,g_ret,IF(BD40&gt;0,MIN(1,DC40/BD40),1)*g_cash+(1-IF(BD40&gt;0,MIN(1,DC40/BD40),1))*g_ret)</f>
        <v/>
      </c>
      <c r="DE40" s="7">
        <f>IF(DA40&gt;=0,MIN(CX40,DA40),0)</f>
        <v/>
      </c>
      <c r="DF40" s="7">
        <f>IF(DA40&gt;=0,(1-general_tasaAhorro)*(DA40-DE40),0)</f>
        <v/>
      </c>
      <c r="DG40" s="7">
        <f>IF(DA40&gt;=0,DA40-DE40-DF40,0)</f>
        <v/>
      </c>
      <c r="DH40" s="7">
        <f>MIN(personal_rothAnual,DG40)</f>
        <v/>
      </c>
      <c r="DI40" s="7">
        <f>IF(AND(DA40&gt;=0,BB40=1,BP40+BT40&gt;0),MIN(vivienda_prepagoPct*(DG40-DH40),BP40+BT40),0)</f>
        <v/>
      </c>
      <c r="DJ40" s="7">
        <f>MIN(DI40,BP40)</f>
        <v/>
      </c>
      <c r="DK40" s="7">
        <f>IF(DA40&lt;0,MIN(MAX(0,BD40),-DA40),0)</f>
        <v/>
      </c>
      <c r="DL40" s="7">
        <f>IF(DA40&lt;0,-DA40-DK40,0)</f>
        <v/>
      </c>
      <c r="DM40" s="7">
        <f>IF(7=0,0,DZ39)</f>
        <v/>
      </c>
      <c r="DN40" s="7">
        <f>IF(AND(DL40&gt;0,J40&gt;0),MIN(DL40,MIN(prestamos_topeAnualPosgrado*MIN(1,J40),MAX(0,prestamos_topeTotalPosgrado-DM40))),0)</f>
        <v/>
      </c>
      <c r="DO40" s="7">
        <f>IF(AND(DL40&gt;0,J40&gt;0),DL40-DN40,0)</f>
        <v/>
      </c>
      <c r="DP40" s="7">
        <f>IF(AND(DL40&gt;0,J40&lt;=0),DL40,0)</f>
        <v/>
      </c>
      <c r="DQ40" s="7">
        <f>IF(DA40&gt;=0,DG40-DH40-DI40,-DK40)</f>
        <v/>
      </c>
      <c r="DR40" s="7">
        <f>BD40*(1+DD40)+DQ40*(1+DD40/2)</f>
        <v/>
      </c>
      <c r="DS40" s="7">
        <f>IF(7=0,personal_retiroInicial,DS39)*(1+g_ret)+(O40+P40+DH40)*(1+g_ret/2)</f>
        <v/>
      </c>
      <c r="DT40" s="7">
        <f>IF(BB40=1,BL40*(1+g_appr),0)</f>
        <v/>
      </c>
      <c r="DU40" s="7">
        <f>BP40-DJ40</f>
        <v/>
      </c>
      <c r="DV40" s="7">
        <f>BT40-(DI40-DJ40)</f>
        <v/>
      </c>
      <c r="DW40" s="7">
        <f>CP40+DN40</f>
        <v/>
      </c>
      <c r="DX40" s="7">
        <f>IF(DN40&gt;0,(CP40*CF40+DN40*prestamos_tasaFederalPosgrado)/(CP40+DN40),CF40)</f>
        <v/>
      </c>
      <c r="DY40" s="7">
        <f>IF(DN40&gt;0,0,CQ40)</f>
        <v/>
      </c>
      <c r="DZ40" s="7">
        <f>DM40+DN40</f>
        <v/>
      </c>
      <c r="EA40" s="7">
        <f>CV40+DO40</f>
        <v/>
      </c>
      <c r="EB40" s="7">
        <f>IF(DO40&gt;0,(CV40*CS40+DO40*prestamos_tasaPrivada)/(CV40+DO40),CS40)</f>
        <v/>
      </c>
      <c r="EC40" s="7">
        <f>IF(DO40&gt;0,0,CW40)</f>
        <v/>
      </c>
      <c r="ED40" s="7">
        <f>CX40-DE40+DP40</f>
        <v/>
      </c>
      <c r="EE40" s="7">
        <f>IF(IF(7=0,"",EE39)&lt;&gt;"",EE39,IF(AND(BB40=1,DU40&lt;=0.5,DV40&lt;=0.5,OR(BH40=0,BJ40=1)),A40,""))</f>
        <v/>
      </c>
      <c r="EF40" s="7">
        <f>DU40+DV40+DW40+EA40+ED40+CD40</f>
        <v/>
      </c>
      <c r="EG40" s="7">
        <f>DR40+DS40+DT40-EF40</f>
        <v/>
      </c>
      <c r="EH40" s="7">
        <f>EG40/(1+g_inf)^(A40+1-2026)</f>
        <v/>
      </c>
    </row>
    <row r="41">
      <c r="A41" t="n">
        <v>2035</v>
      </c>
      <c r="B41" t="n">
        <v>8</v>
      </c>
      <c r="C41" s="7">
        <f>(1+g_inf)^(A41-2026)</f>
        <v/>
      </c>
      <c r="D41" s="7">
        <f>SUMPRODUCT($AB$5:$AB$29,$E$5:$E$29*(1+$F$5:$F$29)^(A41-2026)*$G$5:$G$29*$H$5:$H$29*(1-$N$5:$N$29*$O$5:$O$29))*g_salMult+SUMPRODUCT(($B$5:$B$29&gt;=A41)*($B$5:$B$29&lt;A41+1)*$I$5:$I$29)*g_salMult</f>
        <v/>
      </c>
      <c r="E41" s="7">
        <f>SUMPRODUCT($AB$5:$AB$29,$E$5:$E$29*(1+$F$5:$F$29)^(A41-2026)*$G$5:$G$29*$H$5:$H$29*$M$5:$M$29)*g_salMult</f>
        <v/>
      </c>
      <c r="F41" s="7">
        <f>SUMPRODUCT($AB$5:$AB$29,$E$5:$E$29*(1+$F$5:$F$29)^(A41-2026)*$G$5:$G$29*$H$5:$H$29*$N$5:$N$29*$O$5:$O$29)*g_salMult</f>
        <v/>
      </c>
      <c r="G41" s="7">
        <f>SUMPRODUCT($AB$5:$AB$29,$P$5:$P$29*(1+$F$5:$F$29)^(A41-2026))</f>
        <v/>
      </c>
      <c r="H41" s="7">
        <f>SUMPRODUCT($AB$5:$AB$29,$Q$5:$Q$29*(1+$F$5:$F$29)^(A41-2026))+IF(personal_llcActivo=1,personal_llcNeto*(1+personal_llcCrecimiento)^8,0)</f>
        <v/>
      </c>
      <c r="I41" s="7">
        <f>SUMPRODUCT($AB$5:$AB$29,$J$5:$J$29/($C$5:$C$29-$B$5:$B$29+($C$5:$C$29=$B$5:$B$29)))*C41</f>
        <v/>
      </c>
      <c r="J41" s="7">
        <f>SUMPRODUCT($AB$5:$AB$29,$K$5:$K$29)</f>
        <v/>
      </c>
      <c r="K41" s="7">
        <f>SUMPRODUCT($AB$5:$AB$29,$L$5:$L$29)</f>
        <v/>
      </c>
      <c r="L41" s="7">
        <f>SUMPRODUCT($AB$5:$AB$29,$N$5:$N$29)</f>
        <v/>
      </c>
      <c r="M41" s="7">
        <f>IF(SUMPRODUCT($AB$5:$AB$29,$R$5:$R$29)&gt;0,1,0)</f>
        <v/>
      </c>
      <c r="N41" s="7">
        <f>SUMPRODUCT(($AO$5:$AO$24&gt;=A41)*($AO$5:$AO$24&lt;A41+1)*$AP$5:$AP$24)*C41+IF(8=0,IF(sel_loc&lt;&gt;"miami",personal_costoMudanzaInicial,0),0)</f>
        <v/>
      </c>
      <c r="O41" s="7">
        <f>MIN(personal_aporte403bPct*D41,retiro_limite403b*C41)</f>
        <v/>
      </c>
      <c r="P41" s="7">
        <f>MIN(personal_aporte403bPct,personal_match403bPct)*E41</f>
        <v/>
      </c>
      <c r="Q41" s="7">
        <f>IF(G41&gt;0,MAX(0,G41-impuestos_scorpCostoAnual*C41),0)</f>
        <v/>
      </c>
      <c r="R41" s="7">
        <f>Q41*impuestos_scorpSalarioPct/(1+impuestos_ssTasa+impuestos_medicareTasa)</f>
        <v/>
      </c>
      <c r="S41" s="7">
        <f>impuestos_ssTasa*MIN(R41,MAX(0,impuestos_ssTope*C41-D41))+impuestos_medicareTasa*R41</f>
        <v/>
      </c>
      <c r="T41" s="7">
        <f>Q41-R41-S41</f>
        <v/>
      </c>
      <c r="U41" s="7">
        <f>D41+R41</f>
        <v/>
      </c>
      <c r="V41" s="7">
        <f>H41*0.9235</f>
        <v/>
      </c>
      <c r="W41" s="7">
        <f>IF(H41&gt;0,2*impuestos_ssTasa*MIN(V41,MAX(0,impuestos_ssTope*C41-U41))+2*impuestos_medicareTasa*V41,0)</f>
        <v/>
      </c>
      <c r="X41" s="7">
        <f>impuestos_ssTasa*MIN(U41,impuestos_ssTope*C41)+impuestos_medicareTasa*U41+impuestos_medicareAdicional*MAX(0,U41+H41*0.9235-impuestos_medicareUmbral)</f>
        <v/>
      </c>
      <c r="Y41" s="7">
        <f>MAX(0,D41-O41+R41+T41+H41-W41/2)</f>
        <v/>
      </c>
      <c r="Z41" s="7">
        <f>MAX(0,Y41-impuestos_deduccionEstandar*C41)</f>
        <v/>
      </c>
      <c r="AA41" s="7">
        <f>MIN(0.2*MAX(0,T41+H41-W41/2)*MAX(0,MIN(1,1-(Z41-impuestos_qbiUmbral*C41)/(impuestos_qbiRango*C41))),0.2*Z41)</f>
        <v/>
      </c>
      <c r="AB41" s="7">
        <f>MAX(0,Z41-AA41)</f>
        <v/>
      </c>
      <c r="AC41" s="7">
        <f>SUMPRODUCT((AB41&gt;tb_federalBrackets_lo*C41)*(AB41-tb_federalBrackets_lo*C41)*tb_federalBrackets_dr)</f>
        <v/>
      </c>
      <c r="AD41" s="7">
        <f>MAX(0,Y41-impuestos_nyDeduccion*C41)</f>
        <v/>
      </c>
      <c r="AE41" s="7">
        <f>CHOOSE(loc_taxcode,0,impuestos_ohTasa*MAX(0,Y41-impuestos_ohExento*C41)+impuestos_ohMunicipal*U41,SUMPRODUCT((AD41&gt;tb_nyBrackets_lo*C41)*(AD41-tb_nyBrackets_lo*C41)*tb_nyBrackets_dr)+loc_nyc*SUMPRODUCT((AD41&gt;tb_nycBrackets_lo*C41)*(AD41-tb_nycBrackets_lo*C41)*tb_nycBrackets_dr))</f>
        <v/>
      </c>
      <c r="AF41" s="7">
        <f>AC41+AE41+X41+W41</f>
        <v/>
      </c>
      <c r="AG41" s="7">
        <f>D41+F41+R41+T41+H41</f>
        <v/>
      </c>
      <c r="AH41" s="7">
        <f>AG41-AF41-O41</f>
        <v/>
      </c>
      <c r="AI41" s="7">
        <f>D41+F41+G41+H41</f>
        <v/>
      </c>
      <c r="AJ41" s="7">
        <f>loc_gastosVida*C41*g_gastos</f>
        <v/>
      </c>
      <c r="AK41" s="7">
        <f>IF(8=0,personal_liquidoInicial,DR40)</f>
        <v/>
      </c>
      <c r="AL41" s="7">
        <f>IF(8=0,0,BB40)</f>
        <v/>
      </c>
      <c r="AM41" s="7">
        <f>CHOOSE(sel_cfgIdx,loc_precio_duplex,loc_precio_inlaw,loc_precio_dosCasas,loc_precio_casaAdu,loc_precio_multi)</f>
        <v/>
      </c>
      <c r="AN41" s="7">
        <f>AM41*(1+g_appr)^(A41-2026)</f>
        <v/>
      </c>
      <c r="AO41" s="7">
        <f>IF(AND(M41=1,vivienda_prestamoMedico=1),1,0)</f>
        <v/>
      </c>
      <c r="AP41" s="7">
        <f>IF(AO41=1,0.05,vivienda_enganchePct)</f>
        <v/>
      </c>
      <c r="AQ41" s="7">
        <f>AN41*(1-AP41)</f>
        <v/>
      </c>
      <c r="AR41" s="7">
        <f>PMT(g_mortRate/12,vivienda_plazoHipoteca*12,-AQ41)</f>
        <v/>
      </c>
      <c r="AS41" s="7">
        <f>INDEX(cfg_units,sel_cfgIdx)</f>
        <v/>
      </c>
      <c r="AT41" s="7">
        <f>AS41*loc_rentaUnidad*(1+g_inf)^(A41-2026)*(1-vivienda_vacancia)</f>
        <v/>
      </c>
      <c r="AU41" s="7">
        <f>AR41+AN41*loc_impuestoPropPct/12+AM41*loc_seguroPct*(1+vivienda_inflacionSeguro)^(A41-2026)/12+IF(AND(AO41=0,AP41&lt;0.2),AQ41*vivienda_pmiTasa/12,0)</f>
        <v/>
      </c>
      <c r="AV41" s="7">
        <f>AN41*AP41+AN41*vivienda_cierrePct+general_reservaMeses/12*AJ41</f>
        <v/>
      </c>
      <c r="AW41" s="7">
        <f>(IF(8=0,MIN(personal_irsSaldo,personal_irsPagoMensual*12),MIN(CD40,personal_irsPagoMensual*12))+IF(CE41&gt;0,PMT(CF41,MAX(1,prestamos_plazoAnios-CG41),-CE41),0)+IF(CR41&gt;0,PMT(CS41,MAX(1,prestamos_plazoAnios-CT41),-CR41),0))/12</f>
        <v/>
      </c>
      <c r="AX41" s="7">
        <f>IF(OR(sel_cfg="duplex",sel_cfg="multi",sel_cfg="dosCasas"),0.75*personal_aporteFamiliaMensual,0)</f>
        <v/>
      </c>
      <c r="AY41" s="7">
        <f>AU41-0.75*AT41-AX41+AW41</f>
        <v/>
      </c>
      <c r="AZ41" s="7">
        <f>(D41+G41+H41+0.5*F41)/12</f>
        <v/>
      </c>
      <c r="BA41" s="7">
        <f>IF(AND(AL41=0,A41&gt;=vivienda_anioMinCompra,J41&lt;0.5,AI41&gt;0,AK41&gt;=AV41,AY41&lt;=vivienda_dtiMax*AZ41),1,0)</f>
        <v/>
      </c>
      <c r="BB41" s="7">
        <f>MAX(AL41,BA41)</f>
        <v/>
      </c>
      <c r="BC41" s="7">
        <f>IF(BA41=1,A41,IF(8=0,"",BC40))</f>
        <v/>
      </c>
      <c r="BD41" s="7">
        <f>AK41-IF(BA41=1,AN41*AP41+AN41*vivienda_cierrePct,0)</f>
        <v/>
      </c>
      <c r="BE41" s="7">
        <f>IF(BA41=1,AN41,IF(8=0,0,BE40))</f>
        <v/>
      </c>
      <c r="BF41" s="7">
        <f>IF(BA41=1,AR41,IF(8=0,0,BF40))</f>
        <v/>
      </c>
      <c r="BG41" s="7">
        <f>IF(BA41=1,IF(AND(AO41=0,AP41&lt;0.2),1,0),IF(8=0,0,BY40))</f>
        <v/>
      </c>
      <c r="BH41" s="7">
        <f>IF(sel_cfg="casaAdu",1,0)</f>
        <v/>
      </c>
      <c r="BI41" s="7">
        <f>IF(AND(BB41=1,BH41=1,IF(8=0,0,BJ40)=0,A41&gt;=IF(BC41="",9999,BC41)+vivienda_aduRetrasoAnios),1,0)</f>
        <v/>
      </c>
      <c r="BJ41" s="7">
        <f>MAX(IF(8=0,0,BJ40),BI41)</f>
        <v/>
      </c>
      <c r="BK41" s="7">
        <f>IF(BI41=1,PMT((g_mortRate+0.005)/12,180,-loc_precio_aduCosto*C41),IF(8=0,0,BK40))</f>
        <v/>
      </c>
      <c r="BL41" s="7">
        <f>IF(BA41=1,AN41,IF(8=0,0,DT40))+IF(BI41=1,loc_precio_aduCosto*C41,0)</f>
        <v/>
      </c>
      <c r="BM41" s="7">
        <f>IF(BA41=1,AQ41,IF(8=0,0,DU40))</f>
        <v/>
      </c>
      <c r="BN41" s="7">
        <f>IF(BM41&lt;=0,0,FV(g_mortRate/12,12,BF41,-BM41))</f>
        <v/>
      </c>
      <c r="BO41" s="7">
        <f>IF(BM41&lt;=0,0,12*BF41+MIN(0,BN41))</f>
        <v/>
      </c>
      <c r="BP41" s="7">
        <f>MAX(0,BN41)</f>
        <v/>
      </c>
      <c r="BQ41" s="7">
        <f>IF(BI41=1,loc_precio_aduCosto*C41,IF(8=0,0,DV40))</f>
        <v/>
      </c>
      <c r="BR41" s="7">
        <f>IF(BQ41&lt;=0,0,FV((g_mortRate+0.005)/12,12,BK41,-BQ41))</f>
        <v/>
      </c>
      <c r="BS41" s="7">
        <f>IF(BQ41&lt;=0,0,12*BK41+MIN(0,BR41))</f>
        <v/>
      </c>
      <c r="BT41" s="7">
        <f>MAX(0,BR41)</f>
        <v/>
      </c>
      <c r="BU41" s="7">
        <f>IF(BB41=1,AM41*loc_seguroPct*(1+vivienda_inflacionSeguro)^(A41-2026)*IF(BJ41=1,1+loc_precio_aduCosto/AM41,1),0)</f>
        <v/>
      </c>
      <c r="BV41" s="7">
        <f>BL41*loc_impuestoPropPct</f>
        <v/>
      </c>
      <c r="BW41" s="7">
        <f>BL41*vivienda_mantenimientoPct</f>
        <v/>
      </c>
      <c r="BX41" s="7">
        <f>IF(AND(BG41=1,BP41&gt;0.8*BE41),BE41*(1-vivienda_enganchePct)*vivienda_pmiTasa,0)</f>
        <v/>
      </c>
      <c r="BY41" s="7">
        <f>IF(AND(BG41=1,BP41&gt;0.8*BE41),1,0)</f>
        <v/>
      </c>
      <c r="BZ41" s="7">
        <f>IF(BB41=1,AS41*loc_rentaUnidad*12*C41*(1-vivienda_vacancia)*(1-vivienda_gestionPct),0)</f>
        <v/>
      </c>
      <c r="CA41" s="7">
        <f>IF(BB41=1,BO41+BS41+BU41+BV41+BW41+BX41,loc_rentaMensual*12*C41)</f>
        <v/>
      </c>
      <c r="CB41" s="7">
        <f>IF(BB41=1,personal_aporteFamiliaMensual*12,0)</f>
        <v/>
      </c>
      <c r="CC41" s="7">
        <f>MIN(IF(8=0,personal_irsSaldo,CD40),personal_irsPagoMensual*12)</f>
        <v/>
      </c>
      <c r="CD41" s="7">
        <f>IF(8=0,personal_irsSaldo,CD40)-CC41</f>
        <v/>
      </c>
      <c r="CE41" s="7">
        <f>IF(8=0,IF(personal_deudaEsFederal=1,personal_deudaEstudiantil,0),DW40)</f>
        <v/>
      </c>
      <c r="CF41" s="7">
        <f>IF(8=0,personal_tasaDeudaEstudiantil,DX40)</f>
        <v/>
      </c>
      <c r="CG41" s="7">
        <f>IF(8=0,0,DY40)</f>
        <v/>
      </c>
      <c r="CH41" s="7">
        <f>IF(J41&gt;=0.5,1,0)</f>
        <v/>
      </c>
      <c r="CI41" s="7">
        <f>IF(AND(CH41=0,prestamos_pslfActivo=1,K41&gt;=0.5,CE41&gt;0),1,0)</f>
        <v/>
      </c>
      <c r="CJ41" s="7">
        <f>CE41*CF41</f>
        <v/>
      </c>
      <c r="CK41" s="7">
        <f>MAX(prestamos_rapPagoMinimoAnual,IF(Y41&lt;10000,0,MIN(0.1,INT(Y41/10000)/100))*Y41)</f>
        <v/>
      </c>
      <c r="CL41" s="7">
        <f>IF(CE41&lt;=0,0,IF(CH41=1,0,IF(CI41=1,MIN(CE41+CJ41,CK41),PMT(CF41,MAX(1,prestamos_plazoAnios-CG41),-CE41))))</f>
        <v/>
      </c>
      <c r="CM41" s="7">
        <f>IF(CE41&lt;=0,0,IF(CH41=1,CE41+CJ41,IF(CI41=1,MAX(0,CE41-MAX(CL41-CJ41,MIN(600,CL41))),MAX(0,CE41*(1+CF41)-CL41))))</f>
        <v/>
      </c>
      <c r="CN41" s="7">
        <f>IF(8=0,0,CN40)+IF(CI41=1,12*MIN(1,K41),0)</f>
        <v/>
      </c>
      <c r="CO41" s="7">
        <f>IF(AND(CI41=1,CN41&gt;=prestamos_pslfPagos,CM41&gt;0),CM41,0)</f>
        <v/>
      </c>
      <c r="CP41" s="7">
        <f>CM41-CO41</f>
        <v/>
      </c>
      <c r="CQ41" s="7">
        <f>IF(AND(CE41&gt;0,CH41=0,CI41=0),CG41+1,CG41)</f>
        <v/>
      </c>
      <c r="CR41" s="7">
        <f>IF(8=0,IF(personal_deudaEsFederal=1,0,personal_deudaEstudiantil),EA40)</f>
        <v/>
      </c>
      <c r="CS41" s="7">
        <f>IF(8=0,IF(personal_deudaEsFederal=1,prestamos_tasaPrivada,personal_tasaDeudaEstudiantil),EB40)</f>
        <v/>
      </c>
      <c r="CT41" s="7">
        <f>IF(8=0,0,EC40)</f>
        <v/>
      </c>
      <c r="CU41" s="7">
        <f>IF(OR(CR41&lt;=0,CH41=1),0,PMT(CS41,MAX(1,prestamos_plazoAnios-CT41),-CR41))</f>
        <v/>
      </c>
      <c r="CV41" s="7">
        <f>IF(CR41&lt;=0,0,IF(CH41=1,CR41*(1+CS41),MAX(0,CR41*(1+CS41)-CU41)))</f>
        <v/>
      </c>
      <c r="CW41" s="7">
        <f>IF(AND(CR41&gt;0,CH41=0),CT41+1,CT41)</f>
        <v/>
      </c>
      <c r="CX41" s="7">
        <f>IF(8=0,0,ED40)*(1+general_tasaDeudaConsumo)</f>
        <v/>
      </c>
      <c r="CY41" s="7">
        <f>L41*12*tiempos_travelGastoExtraMes*C41</f>
        <v/>
      </c>
      <c r="CZ41" s="7">
        <f>AJ41+CY41+CA41+CC41+CL41+CU41+I41+N41-BZ41-CB41</f>
        <v/>
      </c>
      <c r="DA41" s="7">
        <f>AH41-CZ41</f>
        <v/>
      </c>
      <c r="DB41" s="7">
        <f>IF(8=0,0,DB40)+DA41</f>
        <v/>
      </c>
      <c r="DC41" s="7">
        <f>AN41*vivienda_enganchePct+AN41*vivienda_cierrePct+general_reservaMeses/12*AJ41</f>
        <v/>
      </c>
      <c r="DD41" s="7">
        <f>IF(BB41=1,g_ret,IF(BD41&gt;0,MIN(1,DC41/BD41),1)*g_cash+(1-IF(BD41&gt;0,MIN(1,DC41/BD41),1))*g_ret)</f>
        <v/>
      </c>
      <c r="DE41" s="7">
        <f>IF(DA41&gt;=0,MIN(CX41,DA41),0)</f>
        <v/>
      </c>
      <c r="DF41" s="7">
        <f>IF(DA41&gt;=0,(1-general_tasaAhorro)*(DA41-DE41),0)</f>
        <v/>
      </c>
      <c r="DG41" s="7">
        <f>IF(DA41&gt;=0,DA41-DE41-DF41,0)</f>
        <v/>
      </c>
      <c r="DH41" s="7">
        <f>MIN(personal_rothAnual,DG41)</f>
        <v/>
      </c>
      <c r="DI41" s="7">
        <f>IF(AND(DA41&gt;=0,BB41=1,BP41+BT41&gt;0),MIN(vivienda_prepagoPct*(DG41-DH41),BP41+BT41),0)</f>
        <v/>
      </c>
      <c r="DJ41" s="7">
        <f>MIN(DI41,BP41)</f>
        <v/>
      </c>
      <c r="DK41" s="7">
        <f>IF(DA41&lt;0,MIN(MAX(0,BD41),-DA41),0)</f>
        <v/>
      </c>
      <c r="DL41" s="7">
        <f>IF(DA41&lt;0,-DA41-DK41,0)</f>
        <v/>
      </c>
      <c r="DM41" s="7">
        <f>IF(8=0,0,DZ40)</f>
        <v/>
      </c>
      <c r="DN41" s="7">
        <f>IF(AND(DL41&gt;0,J41&gt;0),MIN(DL41,MIN(prestamos_topeAnualPosgrado*MIN(1,J41),MAX(0,prestamos_topeTotalPosgrado-DM41))),0)</f>
        <v/>
      </c>
      <c r="DO41" s="7">
        <f>IF(AND(DL41&gt;0,J41&gt;0),DL41-DN41,0)</f>
        <v/>
      </c>
      <c r="DP41" s="7">
        <f>IF(AND(DL41&gt;0,J41&lt;=0),DL41,0)</f>
        <v/>
      </c>
      <c r="DQ41" s="7">
        <f>IF(DA41&gt;=0,DG41-DH41-DI41,-DK41)</f>
        <v/>
      </c>
      <c r="DR41" s="7">
        <f>BD41*(1+DD41)+DQ41*(1+DD41/2)</f>
        <v/>
      </c>
      <c r="DS41" s="7">
        <f>IF(8=0,personal_retiroInicial,DS40)*(1+g_ret)+(O41+P41+DH41)*(1+g_ret/2)</f>
        <v/>
      </c>
      <c r="DT41" s="7">
        <f>IF(BB41=1,BL41*(1+g_appr),0)</f>
        <v/>
      </c>
      <c r="DU41" s="7">
        <f>BP41-DJ41</f>
        <v/>
      </c>
      <c r="DV41" s="7">
        <f>BT41-(DI41-DJ41)</f>
        <v/>
      </c>
      <c r="DW41" s="7">
        <f>CP41+DN41</f>
        <v/>
      </c>
      <c r="DX41" s="7">
        <f>IF(DN41&gt;0,(CP41*CF41+DN41*prestamos_tasaFederalPosgrado)/(CP41+DN41),CF41)</f>
        <v/>
      </c>
      <c r="DY41" s="7">
        <f>IF(DN41&gt;0,0,CQ41)</f>
        <v/>
      </c>
      <c r="DZ41" s="7">
        <f>DM41+DN41</f>
        <v/>
      </c>
      <c r="EA41" s="7">
        <f>CV41+DO41</f>
        <v/>
      </c>
      <c r="EB41" s="7">
        <f>IF(DO41&gt;0,(CV41*CS41+DO41*prestamos_tasaPrivada)/(CV41+DO41),CS41)</f>
        <v/>
      </c>
      <c r="EC41" s="7">
        <f>IF(DO41&gt;0,0,CW41)</f>
        <v/>
      </c>
      <c r="ED41" s="7">
        <f>CX41-DE41+DP41</f>
        <v/>
      </c>
      <c r="EE41" s="7">
        <f>IF(IF(8=0,"",EE40)&lt;&gt;"",EE40,IF(AND(BB41=1,DU41&lt;=0.5,DV41&lt;=0.5,OR(BH41=0,BJ41=1)),A41,""))</f>
        <v/>
      </c>
      <c r="EF41" s="7">
        <f>DU41+DV41+DW41+EA41+ED41+CD41</f>
        <v/>
      </c>
      <c r="EG41" s="7">
        <f>DR41+DS41+DT41-EF41</f>
        <v/>
      </c>
      <c r="EH41" s="7">
        <f>EG41/(1+g_inf)^(A41+1-2026)</f>
        <v/>
      </c>
    </row>
    <row r="42">
      <c r="A42" t="n">
        <v>2036</v>
      </c>
      <c r="B42" t="n">
        <v>9</v>
      </c>
      <c r="C42" s="7">
        <f>(1+g_inf)^(A42-2026)</f>
        <v/>
      </c>
      <c r="D42" s="7">
        <f>SUMPRODUCT($AC$5:$AC$29,$E$5:$E$29*(1+$F$5:$F$29)^(A42-2026)*$G$5:$G$29*$H$5:$H$29*(1-$N$5:$N$29*$O$5:$O$29))*g_salMult+SUMPRODUCT(($B$5:$B$29&gt;=A42)*($B$5:$B$29&lt;A42+1)*$I$5:$I$29)*g_salMult</f>
        <v/>
      </c>
      <c r="E42" s="7">
        <f>SUMPRODUCT($AC$5:$AC$29,$E$5:$E$29*(1+$F$5:$F$29)^(A42-2026)*$G$5:$G$29*$H$5:$H$29*$M$5:$M$29)*g_salMult</f>
        <v/>
      </c>
      <c r="F42" s="7">
        <f>SUMPRODUCT($AC$5:$AC$29,$E$5:$E$29*(1+$F$5:$F$29)^(A42-2026)*$G$5:$G$29*$H$5:$H$29*$N$5:$N$29*$O$5:$O$29)*g_salMult</f>
        <v/>
      </c>
      <c r="G42" s="7">
        <f>SUMPRODUCT($AC$5:$AC$29,$P$5:$P$29*(1+$F$5:$F$29)^(A42-2026))</f>
        <v/>
      </c>
      <c r="H42" s="7">
        <f>SUMPRODUCT($AC$5:$AC$29,$Q$5:$Q$29*(1+$F$5:$F$29)^(A42-2026))+IF(personal_llcActivo=1,personal_llcNeto*(1+personal_llcCrecimiento)^9,0)</f>
        <v/>
      </c>
      <c r="I42" s="7">
        <f>SUMPRODUCT($AC$5:$AC$29,$J$5:$J$29/($C$5:$C$29-$B$5:$B$29+($C$5:$C$29=$B$5:$B$29)))*C42</f>
        <v/>
      </c>
      <c r="J42" s="7">
        <f>SUMPRODUCT($AC$5:$AC$29,$K$5:$K$29)</f>
        <v/>
      </c>
      <c r="K42" s="7">
        <f>SUMPRODUCT($AC$5:$AC$29,$L$5:$L$29)</f>
        <v/>
      </c>
      <c r="L42" s="7">
        <f>SUMPRODUCT($AC$5:$AC$29,$N$5:$N$29)</f>
        <v/>
      </c>
      <c r="M42" s="7">
        <f>IF(SUMPRODUCT($AC$5:$AC$29,$R$5:$R$29)&gt;0,1,0)</f>
        <v/>
      </c>
      <c r="N42" s="7">
        <f>SUMPRODUCT(($AO$5:$AO$24&gt;=A42)*($AO$5:$AO$24&lt;A42+1)*$AP$5:$AP$24)*C42+IF(9=0,IF(sel_loc&lt;&gt;"miami",personal_costoMudanzaInicial,0),0)</f>
        <v/>
      </c>
      <c r="O42" s="7">
        <f>MIN(personal_aporte403bPct*D42,retiro_limite403b*C42)</f>
        <v/>
      </c>
      <c r="P42" s="7">
        <f>MIN(personal_aporte403bPct,personal_match403bPct)*E42</f>
        <v/>
      </c>
      <c r="Q42" s="7">
        <f>IF(G42&gt;0,MAX(0,G42-impuestos_scorpCostoAnual*C42),0)</f>
        <v/>
      </c>
      <c r="R42" s="7">
        <f>Q42*impuestos_scorpSalarioPct/(1+impuestos_ssTasa+impuestos_medicareTasa)</f>
        <v/>
      </c>
      <c r="S42" s="7">
        <f>impuestos_ssTasa*MIN(R42,MAX(0,impuestos_ssTope*C42-D42))+impuestos_medicareTasa*R42</f>
        <v/>
      </c>
      <c r="T42" s="7">
        <f>Q42-R42-S42</f>
        <v/>
      </c>
      <c r="U42" s="7">
        <f>D42+R42</f>
        <v/>
      </c>
      <c r="V42" s="7">
        <f>H42*0.9235</f>
        <v/>
      </c>
      <c r="W42" s="7">
        <f>IF(H42&gt;0,2*impuestos_ssTasa*MIN(V42,MAX(0,impuestos_ssTope*C42-U42))+2*impuestos_medicareTasa*V42,0)</f>
        <v/>
      </c>
      <c r="X42" s="7">
        <f>impuestos_ssTasa*MIN(U42,impuestos_ssTope*C42)+impuestos_medicareTasa*U42+impuestos_medicareAdicional*MAX(0,U42+H42*0.9235-impuestos_medicareUmbral)</f>
        <v/>
      </c>
      <c r="Y42" s="7">
        <f>MAX(0,D42-O42+R42+T42+H42-W42/2)</f>
        <v/>
      </c>
      <c r="Z42" s="7">
        <f>MAX(0,Y42-impuestos_deduccionEstandar*C42)</f>
        <v/>
      </c>
      <c r="AA42" s="7">
        <f>MIN(0.2*MAX(0,T42+H42-W42/2)*MAX(0,MIN(1,1-(Z42-impuestos_qbiUmbral*C42)/(impuestos_qbiRango*C42))),0.2*Z42)</f>
        <v/>
      </c>
      <c r="AB42" s="7">
        <f>MAX(0,Z42-AA42)</f>
        <v/>
      </c>
      <c r="AC42" s="7">
        <f>SUMPRODUCT((AB42&gt;tb_federalBrackets_lo*C42)*(AB42-tb_federalBrackets_lo*C42)*tb_federalBrackets_dr)</f>
        <v/>
      </c>
      <c r="AD42" s="7">
        <f>MAX(0,Y42-impuestos_nyDeduccion*C42)</f>
        <v/>
      </c>
      <c r="AE42" s="7">
        <f>CHOOSE(loc_taxcode,0,impuestos_ohTasa*MAX(0,Y42-impuestos_ohExento*C42)+impuestos_ohMunicipal*U42,SUMPRODUCT((AD42&gt;tb_nyBrackets_lo*C42)*(AD42-tb_nyBrackets_lo*C42)*tb_nyBrackets_dr)+loc_nyc*SUMPRODUCT((AD42&gt;tb_nycBrackets_lo*C42)*(AD42-tb_nycBrackets_lo*C42)*tb_nycBrackets_dr))</f>
        <v/>
      </c>
      <c r="AF42" s="7">
        <f>AC42+AE42+X42+W42</f>
        <v/>
      </c>
      <c r="AG42" s="7">
        <f>D42+F42+R42+T42+H42</f>
        <v/>
      </c>
      <c r="AH42" s="7">
        <f>AG42-AF42-O42</f>
        <v/>
      </c>
      <c r="AI42" s="7">
        <f>D42+F42+G42+H42</f>
        <v/>
      </c>
      <c r="AJ42" s="7">
        <f>loc_gastosVida*C42*g_gastos</f>
        <v/>
      </c>
      <c r="AK42" s="7">
        <f>IF(9=0,personal_liquidoInicial,DR41)</f>
        <v/>
      </c>
      <c r="AL42" s="7">
        <f>IF(9=0,0,BB41)</f>
        <v/>
      </c>
      <c r="AM42" s="7">
        <f>CHOOSE(sel_cfgIdx,loc_precio_duplex,loc_precio_inlaw,loc_precio_dosCasas,loc_precio_casaAdu,loc_precio_multi)</f>
        <v/>
      </c>
      <c r="AN42" s="7">
        <f>AM42*(1+g_appr)^(A42-2026)</f>
        <v/>
      </c>
      <c r="AO42" s="7">
        <f>IF(AND(M42=1,vivienda_prestamoMedico=1),1,0)</f>
        <v/>
      </c>
      <c r="AP42" s="7">
        <f>IF(AO42=1,0.05,vivienda_enganchePct)</f>
        <v/>
      </c>
      <c r="AQ42" s="7">
        <f>AN42*(1-AP42)</f>
        <v/>
      </c>
      <c r="AR42" s="7">
        <f>PMT(g_mortRate/12,vivienda_plazoHipoteca*12,-AQ42)</f>
        <v/>
      </c>
      <c r="AS42" s="7">
        <f>INDEX(cfg_units,sel_cfgIdx)</f>
        <v/>
      </c>
      <c r="AT42" s="7">
        <f>AS42*loc_rentaUnidad*(1+g_inf)^(A42-2026)*(1-vivienda_vacancia)</f>
        <v/>
      </c>
      <c r="AU42" s="7">
        <f>AR42+AN42*loc_impuestoPropPct/12+AM42*loc_seguroPct*(1+vivienda_inflacionSeguro)^(A42-2026)/12+IF(AND(AO42=0,AP42&lt;0.2),AQ42*vivienda_pmiTasa/12,0)</f>
        <v/>
      </c>
      <c r="AV42" s="7">
        <f>AN42*AP42+AN42*vivienda_cierrePct+general_reservaMeses/12*AJ42</f>
        <v/>
      </c>
      <c r="AW42" s="7">
        <f>(IF(9=0,MIN(personal_irsSaldo,personal_irsPagoMensual*12),MIN(CD41,personal_irsPagoMensual*12))+IF(CE42&gt;0,PMT(CF42,MAX(1,prestamos_plazoAnios-CG42),-CE42),0)+IF(CR42&gt;0,PMT(CS42,MAX(1,prestamos_plazoAnios-CT42),-CR42),0))/12</f>
        <v/>
      </c>
      <c r="AX42" s="7">
        <f>IF(OR(sel_cfg="duplex",sel_cfg="multi",sel_cfg="dosCasas"),0.75*personal_aporteFamiliaMensual,0)</f>
        <v/>
      </c>
      <c r="AY42" s="7">
        <f>AU42-0.75*AT42-AX42+AW42</f>
        <v/>
      </c>
      <c r="AZ42" s="7">
        <f>(D42+G42+H42+0.5*F42)/12</f>
        <v/>
      </c>
      <c r="BA42" s="7">
        <f>IF(AND(AL42=0,A42&gt;=vivienda_anioMinCompra,J42&lt;0.5,AI42&gt;0,AK42&gt;=AV42,AY42&lt;=vivienda_dtiMax*AZ42),1,0)</f>
        <v/>
      </c>
      <c r="BB42" s="7">
        <f>MAX(AL42,BA42)</f>
        <v/>
      </c>
      <c r="BC42" s="7">
        <f>IF(BA42=1,A42,IF(9=0,"",BC41))</f>
        <v/>
      </c>
      <c r="BD42" s="7">
        <f>AK42-IF(BA42=1,AN42*AP42+AN42*vivienda_cierrePct,0)</f>
        <v/>
      </c>
      <c r="BE42" s="7">
        <f>IF(BA42=1,AN42,IF(9=0,0,BE41))</f>
        <v/>
      </c>
      <c r="BF42" s="7">
        <f>IF(BA42=1,AR42,IF(9=0,0,BF41))</f>
        <v/>
      </c>
      <c r="BG42" s="7">
        <f>IF(BA42=1,IF(AND(AO42=0,AP42&lt;0.2),1,0),IF(9=0,0,BY41))</f>
        <v/>
      </c>
      <c r="BH42" s="7">
        <f>IF(sel_cfg="casaAdu",1,0)</f>
        <v/>
      </c>
      <c r="BI42" s="7">
        <f>IF(AND(BB42=1,BH42=1,IF(9=0,0,BJ41)=0,A42&gt;=IF(BC42="",9999,BC42)+vivienda_aduRetrasoAnios),1,0)</f>
        <v/>
      </c>
      <c r="BJ42" s="7">
        <f>MAX(IF(9=0,0,BJ41),BI42)</f>
        <v/>
      </c>
      <c r="BK42" s="7">
        <f>IF(BI42=1,PMT((g_mortRate+0.005)/12,180,-loc_precio_aduCosto*C42),IF(9=0,0,BK41))</f>
        <v/>
      </c>
      <c r="BL42" s="7">
        <f>IF(BA42=1,AN42,IF(9=0,0,DT41))+IF(BI42=1,loc_precio_aduCosto*C42,0)</f>
        <v/>
      </c>
      <c r="BM42" s="7">
        <f>IF(BA42=1,AQ42,IF(9=0,0,DU41))</f>
        <v/>
      </c>
      <c r="BN42" s="7">
        <f>IF(BM42&lt;=0,0,FV(g_mortRate/12,12,BF42,-BM42))</f>
        <v/>
      </c>
      <c r="BO42" s="7">
        <f>IF(BM42&lt;=0,0,12*BF42+MIN(0,BN42))</f>
        <v/>
      </c>
      <c r="BP42" s="7">
        <f>MAX(0,BN42)</f>
        <v/>
      </c>
      <c r="BQ42" s="7">
        <f>IF(BI42=1,loc_precio_aduCosto*C42,IF(9=0,0,DV41))</f>
        <v/>
      </c>
      <c r="BR42" s="7">
        <f>IF(BQ42&lt;=0,0,FV((g_mortRate+0.005)/12,12,BK42,-BQ42))</f>
        <v/>
      </c>
      <c r="BS42" s="7">
        <f>IF(BQ42&lt;=0,0,12*BK42+MIN(0,BR42))</f>
        <v/>
      </c>
      <c r="BT42" s="7">
        <f>MAX(0,BR42)</f>
        <v/>
      </c>
      <c r="BU42" s="7">
        <f>IF(BB42=1,AM42*loc_seguroPct*(1+vivienda_inflacionSeguro)^(A42-2026)*IF(BJ42=1,1+loc_precio_aduCosto/AM42,1),0)</f>
        <v/>
      </c>
      <c r="BV42" s="7">
        <f>BL42*loc_impuestoPropPct</f>
        <v/>
      </c>
      <c r="BW42" s="7">
        <f>BL42*vivienda_mantenimientoPct</f>
        <v/>
      </c>
      <c r="BX42" s="7">
        <f>IF(AND(BG42=1,BP42&gt;0.8*BE42),BE42*(1-vivienda_enganchePct)*vivienda_pmiTasa,0)</f>
        <v/>
      </c>
      <c r="BY42" s="7">
        <f>IF(AND(BG42=1,BP42&gt;0.8*BE42),1,0)</f>
        <v/>
      </c>
      <c r="BZ42" s="7">
        <f>IF(BB42=1,AS42*loc_rentaUnidad*12*C42*(1-vivienda_vacancia)*(1-vivienda_gestionPct),0)</f>
        <v/>
      </c>
      <c r="CA42" s="7">
        <f>IF(BB42=1,BO42+BS42+BU42+BV42+BW42+BX42,loc_rentaMensual*12*C42)</f>
        <v/>
      </c>
      <c r="CB42" s="7">
        <f>IF(BB42=1,personal_aporteFamiliaMensual*12,0)</f>
        <v/>
      </c>
      <c r="CC42" s="7">
        <f>MIN(IF(9=0,personal_irsSaldo,CD41),personal_irsPagoMensual*12)</f>
        <v/>
      </c>
      <c r="CD42" s="7">
        <f>IF(9=0,personal_irsSaldo,CD41)-CC42</f>
        <v/>
      </c>
      <c r="CE42" s="7">
        <f>IF(9=0,IF(personal_deudaEsFederal=1,personal_deudaEstudiantil,0),DW41)</f>
        <v/>
      </c>
      <c r="CF42" s="7">
        <f>IF(9=0,personal_tasaDeudaEstudiantil,DX41)</f>
        <v/>
      </c>
      <c r="CG42" s="7">
        <f>IF(9=0,0,DY41)</f>
        <v/>
      </c>
      <c r="CH42" s="7">
        <f>IF(J42&gt;=0.5,1,0)</f>
        <v/>
      </c>
      <c r="CI42" s="7">
        <f>IF(AND(CH42=0,prestamos_pslfActivo=1,K42&gt;=0.5,CE42&gt;0),1,0)</f>
        <v/>
      </c>
      <c r="CJ42" s="7">
        <f>CE42*CF42</f>
        <v/>
      </c>
      <c r="CK42" s="7">
        <f>MAX(prestamos_rapPagoMinimoAnual,IF(Y42&lt;10000,0,MIN(0.1,INT(Y42/10000)/100))*Y42)</f>
        <v/>
      </c>
      <c r="CL42" s="7">
        <f>IF(CE42&lt;=0,0,IF(CH42=1,0,IF(CI42=1,MIN(CE42+CJ42,CK42),PMT(CF42,MAX(1,prestamos_plazoAnios-CG42),-CE42))))</f>
        <v/>
      </c>
      <c r="CM42" s="7">
        <f>IF(CE42&lt;=0,0,IF(CH42=1,CE42+CJ42,IF(CI42=1,MAX(0,CE42-MAX(CL42-CJ42,MIN(600,CL42))),MAX(0,CE42*(1+CF42)-CL42))))</f>
        <v/>
      </c>
      <c r="CN42" s="7">
        <f>IF(9=0,0,CN41)+IF(CI42=1,12*MIN(1,K42),0)</f>
        <v/>
      </c>
      <c r="CO42" s="7">
        <f>IF(AND(CI42=1,CN42&gt;=prestamos_pslfPagos,CM42&gt;0),CM42,0)</f>
        <v/>
      </c>
      <c r="CP42" s="7">
        <f>CM42-CO42</f>
        <v/>
      </c>
      <c r="CQ42" s="7">
        <f>IF(AND(CE42&gt;0,CH42=0,CI42=0),CG42+1,CG42)</f>
        <v/>
      </c>
      <c r="CR42" s="7">
        <f>IF(9=0,IF(personal_deudaEsFederal=1,0,personal_deudaEstudiantil),EA41)</f>
        <v/>
      </c>
      <c r="CS42" s="7">
        <f>IF(9=0,IF(personal_deudaEsFederal=1,prestamos_tasaPrivada,personal_tasaDeudaEstudiantil),EB41)</f>
        <v/>
      </c>
      <c r="CT42" s="7">
        <f>IF(9=0,0,EC41)</f>
        <v/>
      </c>
      <c r="CU42" s="7">
        <f>IF(OR(CR42&lt;=0,CH42=1),0,PMT(CS42,MAX(1,prestamos_plazoAnios-CT42),-CR42))</f>
        <v/>
      </c>
      <c r="CV42" s="7">
        <f>IF(CR42&lt;=0,0,IF(CH42=1,CR42*(1+CS42),MAX(0,CR42*(1+CS42)-CU42)))</f>
        <v/>
      </c>
      <c r="CW42" s="7">
        <f>IF(AND(CR42&gt;0,CH42=0),CT42+1,CT42)</f>
        <v/>
      </c>
      <c r="CX42" s="7">
        <f>IF(9=0,0,ED41)*(1+general_tasaDeudaConsumo)</f>
        <v/>
      </c>
      <c r="CY42" s="7">
        <f>L42*12*tiempos_travelGastoExtraMes*C42</f>
        <v/>
      </c>
      <c r="CZ42" s="7">
        <f>AJ42+CY42+CA42+CC42+CL42+CU42+I42+N42-BZ42-CB42</f>
        <v/>
      </c>
      <c r="DA42" s="7">
        <f>AH42-CZ42</f>
        <v/>
      </c>
      <c r="DB42" s="7">
        <f>IF(9=0,0,DB41)+DA42</f>
        <v/>
      </c>
      <c r="DC42" s="7">
        <f>AN42*vivienda_enganchePct+AN42*vivienda_cierrePct+general_reservaMeses/12*AJ42</f>
        <v/>
      </c>
      <c r="DD42" s="7">
        <f>IF(BB42=1,g_ret,IF(BD42&gt;0,MIN(1,DC42/BD42),1)*g_cash+(1-IF(BD42&gt;0,MIN(1,DC42/BD42),1))*g_ret)</f>
        <v/>
      </c>
      <c r="DE42" s="7">
        <f>IF(DA42&gt;=0,MIN(CX42,DA42),0)</f>
        <v/>
      </c>
      <c r="DF42" s="7">
        <f>IF(DA42&gt;=0,(1-general_tasaAhorro)*(DA42-DE42),0)</f>
        <v/>
      </c>
      <c r="DG42" s="7">
        <f>IF(DA42&gt;=0,DA42-DE42-DF42,0)</f>
        <v/>
      </c>
      <c r="DH42" s="7">
        <f>MIN(personal_rothAnual,DG42)</f>
        <v/>
      </c>
      <c r="DI42" s="7">
        <f>IF(AND(DA42&gt;=0,BB42=1,BP42+BT42&gt;0),MIN(vivienda_prepagoPct*(DG42-DH42),BP42+BT42),0)</f>
        <v/>
      </c>
      <c r="DJ42" s="7">
        <f>MIN(DI42,BP42)</f>
        <v/>
      </c>
      <c r="DK42" s="7">
        <f>IF(DA42&lt;0,MIN(MAX(0,BD42),-DA42),0)</f>
        <v/>
      </c>
      <c r="DL42" s="7">
        <f>IF(DA42&lt;0,-DA42-DK42,0)</f>
        <v/>
      </c>
      <c r="DM42" s="7">
        <f>IF(9=0,0,DZ41)</f>
        <v/>
      </c>
      <c r="DN42" s="7">
        <f>IF(AND(DL42&gt;0,J42&gt;0),MIN(DL42,MIN(prestamos_topeAnualPosgrado*MIN(1,J42),MAX(0,prestamos_topeTotalPosgrado-DM42))),0)</f>
        <v/>
      </c>
      <c r="DO42" s="7">
        <f>IF(AND(DL42&gt;0,J42&gt;0),DL42-DN42,0)</f>
        <v/>
      </c>
      <c r="DP42" s="7">
        <f>IF(AND(DL42&gt;0,J42&lt;=0),DL42,0)</f>
        <v/>
      </c>
      <c r="DQ42" s="7">
        <f>IF(DA42&gt;=0,DG42-DH42-DI42,-DK42)</f>
        <v/>
      </c>
      <c r="DR42" s="7">
        <f>BD42*(1+DD42)+DQ42*(1+DD42/2)</f>
        <v/>
      </c>
      <c r="DS42" s="7">
        <f>IF(9=0,personal_retiroInicial,DS41)*(1+g_ret)+(O42+P42+DH42)*(1+g_ret/2)</f>
        <v/>
      </c>
      <c r="DT42" s="7">
        <f>IF(BB42=1,BL42*(1+g_appr),0)</f>
        <v/>
      </c>
      <c r="DU42" s="7">
        <f>BP42-DJ42</f>
        <v/>
      </c>
      <c r="DV42" s="7">
        <f>BT42-(DI42-DJ42)</f>
        <v/>
      </c>
      <c r="DW42" s="7">
        <f>CP42+DN42</f>
        <v/>
      </c>
      <c r="DX42" s="7">
        <f>IF(DN42&gt;0,(CP42*CF42+DN42*prestamos_tasaFederalPosgrado)/(CP42+DN42),CF42)</f>
        <v/>
      </c>
      <c r="DY42" s="7">
        <f>IF(DN42&gt;0,0,CQ42)</f>
        <v/>
      </c>
      <c r="DZ42" s="7">
        <f>DM42+DN42</f>
        <v/>
      </c>
      <c r="EA42" s="7">
        <f>CV42+DO42</f>
        <v/>
      </c>
      <c r="EB42" s="7">
        <f>IF(DO42&gt;0,(CV42*CS42+DO42*prestamos_tasaPrivada)/(CV42+DO42),CS42)</f>
        <v/>
      </c>
      <c r="EC42" s="7">
        <f>IF(DO42&gt;0,0,CW42)</f>
        <v/>
      </c>
      <c r="ED42" s="7">
        <f>CX42-DE42+DP42</f>
        <v/>
      </c>
      <c r="EE42" s="7">
        <f>IF(IF(9=0,"",EE41)&lt;&gt;"",EE41,IF(AND(BB42=1,DU42&lt;=0.5,DV42&lt;=0.5,OR(BH42=0,BJ42=1)),A42,""))</f>
        <v/>
      </c>
      <c r="EF42" s="7">
        <f>DU42+DV42+DW42+EA42+ED42+CD42</f>
        <v/>
      </c>
      <c r="EG42" s="7">
        <f>DR42+DS42+DT42-EF42</f>
        <v/>
      </c>
      <c r="EH42" s="7">
        <f>EG42/(1+g_inf)^(A42+1-2026)</f>
        <v/>
      </c>
    </row>
    <row r="43">
      <c r="A43" t="n">
        <v>2037</v>
      </c>
      <c r="B43" t="n">
        <v>10</v>
      </c>
      <c r="C43" s="7">
        <f>(1+g_inf)^(A43-2026)</f>
        <v/>
      </c>
      <c r="D43" s="7">
        <f>SUMPRODUCT($AD$5:$AD$29,$E$5:$E$29*(1+$F$5:$F$29)^(A43-2026)*$G$5:$G$29*$H$5:$H$29*(1-$N$5:$N$29*$O$5:$O$29))*g_salMult+SUMPRODUCT(($B$5:$B$29&gt;=A43)*($B$5:$B$29&lt;A43+1)*$I$5:$I$29)*g_salMult</f>
        <v/>
      </c>
      <c r="E43" s="7">
        <f>SUMPRODUCT($AD$5:$AD$29,$E$5:$E$29*(1+$F$5:$F$29)^(A43-2026)*$G$5:$G$29*$H$5:$H$29*$M$5:$M$29)*g_salMult</f>
        <v/>
      </c>
      <c r="F43" s="7">
        <f>SUMPRODUCT($AD$5:$AD$29,$E$5:$E$29*(1+$F$5:$F$29)^(A43-2026)*$G$5:$G$29*$H$5:$H$29*$N$5:$N$29*$O$5:$O$29)*g_salMult</f>
        <v/>
      </c>
      <c r="G43" s="7">
        <f>SUMPRODUCT($AD$5:$AD$29,$P$5:$P$29*(1+$F$5:$F$29)^(A43-2026))</f>
        <v/>
      </c>
      <c r="H43" s="7">
        <f>SUMPRODUCT($AD$5:$AD$29,$Q$5:$Q$29*(1+$F$5:$F$29)^(A43-2026))+IF(personal_llcActivo=1,personal_llcNeto*(1+personal_llcCrecimiento)^10,0)</f>
        <v/>
      </c>
      <c r="I43" s="7">
        <f>SUMPRODUCT($AD$5:$AD$29,$J$5:$J$29/($C$5:$C$29-$B$5:$B$29+($C$5:$C$29=$B$5:$B$29)))*C43</f>
        <v/>
      </c>
      <c r="J43" s="7">
        <f>SUMPRODUCT($AD$5:$AD$29,$K$5:$K$29)</f>
        <v/>
      </c>
      <c r="K43" s="7">
        <f>SUMPRODUCT($AD$5:$AD$29,$L$5:$L$29)</f>
        <v/>
      </c>
      <c r="L43" s="7">
        <f>SUMPRODUCT($AD$5:$AD$29,$N$5:$N$29)</f>
        <v/>
      </c>
      <c r="M43" s="7">
        <f>IF(SUMPRODUCT($AD$5:$AD$29,$R$5:$R$29)&gt;0,1,0)</f>
        <v/>
      </c>
      <c r="N43" s="7">
        <f>SUMPRODUCT(($AO$5:$AO$24&gt;=A43)*($AO$5:$AO$24&lt;A43+1)*$AP$5:$AP$24)*C43+IF(10=0,IF(sel_loc&lt;&gt;"miami",personal_costoMudanzaInicial,0),0)</f>
        <v/>
      </c>
      <c r="O43" s="7">
        <f>MIN(personal_aporte403bPct*D43,retiro_limite403b*C43)</f>
        <v/>
      </c>
      <c r="P43" s="7">
        <f>MIN(personal_aporte403bPct,personal_match403bPct)*E43</f>
        <v/>
      </c>
      <c r="Q43" s="7">
        <f>IF(G43&gt;0,MAX(0,G43-impuestos_scorpCostoAnual*C43),0)</f>
        <v/>
      </c>
      <c r="R43" s="7">
        <f>Q43*impuestos_scorpSalarioPct/(1+impuestos_ssTasa+impuestos_medicareTasa)</f>
        <v/>
      </c>
      <c r="S43" s="7">
        <f>impuestos_ssTasa*MIN(R43,MAX(0,impuestos_ssTope*C43-D43))+impuestos_medicareTasa*R43</f>
        <v/>
      </c>
      <c r="T43" s="7">
        <f>Q43-R43-S43</f>
        <v/>
      </c>
      <c r="U43" s="7">
        <f>D43+R43</f>
        <v/>
      </c>
      <c r="V43" s="7">
        <f>H43*0.9235</f>
        <v/>
      </c>
      <c r="W43" s="7">
        <f>IF(H43&gt;0,2*impuestos_ssTasa*MIN(V43,MAX(0,impuestos_ssTope*C43-U43))+2*impuestos_medicareTasa*V43,0)</f>
        <v/>
      </c>
      <c r="X43" s="7">
        <f>impuestos_ssTasa*MIN(U43,impuestos_ssTope*C43)+impuestos_medicareTasa*U43+impuestos_medicareAdicional*MAX(0,U43+H43*0.9235-impuestos_medicareUmbral)</f>
        <v/>
      </c>
      <c r="Y43" s="7">
        <f>MAX(0,D43-O43+R43+T43+H43-W43/2)</f>
        <v/>
      </c>
      <c r="Z43" s="7">
        <f>MAX(0,Y43-impuestos_deduccionEstandar*C43)</f>
        <v/>
      </c>
      <c r="AA43" s="7">
        <f>MIN(0.2*MAX(0,T43+H43-W43/2)*MAX(0,MIN(1,1-(Z43-impuestos_qbiUmbral*C43)/(impuestos_qbiRango*C43))),0.2*Z43)</f>
        <v/>
      </c>
      <c r="AB43" s="7">
        <f>MAX(0,Z43-AA43)</f>
        <v/>
      </c>
      <c r="AC43" s="7">
        <f>SUMPRODUCT((AB43&gt;tb_federalBrackets_lo*C43)*(AB43-tb_federalBrackets_lo*C43)*tb_federalBrackets_dr)</f>
        <v/>
      </c>
      <c r="AD43" s="7">
        <f>MAX(0,Y43-impuestos_nyDeduccion*C43)</f>
        <v/>
      </c>
      <c r="AE43" s="7">
        <f>CHOOSE(loc_taxcode,0,impuestos_ohTasa*MAX(0,Y43-impuestos_ohExento*C43)+impuestos_ohMunicipal*U43,SUMPRODUCT((AD43&gt;tb_nyBrackets_lo*C43)*(AD43-tb_nyBrackets_lo*C43)*tb_nyBrackets_dr)+loc_nyc*SUMPRODUCT((AD43&gt;tb_nycBrackets_lo*C43)*(AD43-tb_nycBrackets_lo*C43)*tb_nycBrackets_dr))</f>
        <v/>
      </c>
      <c r="AF43" s="7">
        <f>AC43+AE43+X43+W43</f>
        <v/>
      </c>
      <c r="AG43" s="7">
        <f>D43+F43+R43+T43+H43</f>
        <v/>
      </c>
      <c r="AH43" s="7">
        <f>AG43-AF43-O43</f>
        <v/>
      </c>
      <c r="AI43" s="7">
        <f>D43+F43+G43+H43</f>
        <v/>
      </c>
      <c r="AJ43" s="7">
        <f>loc_gastosVida*C43*g_gastos</f>
        <v/>
      </c>
      <c r="AK43" s="7">
        <f>IF(10=0,personal_liquidoInicial,DR42)</f>
        <v/>
      </c>
      <c r="AL43" s="7">
        <f>IF(10=0,0,BB42)</f>
        <v/>
      </c>
      <c r="AM43" s="7">
        <f>CHOOSE(sel_cfgIdx,loc_precio_duplex,loc_precio_inlaw,loc_precio_dosCasas,loc_precio_casaAdu,loc_precio_multi)</f>
        <v/>
      </c>
      <c r="AN43" s="7">
        <f>AM43*(1+g_appr)^(A43-2026)</f>
        <v/>
      </c>
      <c r="AO43" s="7">
        <f>IF(AND(M43=1,vivienda_prestamoMedico=1),1,0)</f>
        <v/>
      </c>
      <c r="AP43" s="7">
        <f>IF(AO43=1,0.05,vivienda_enganchePct)</f>
        <v/>
      </c>
      <c r="AQ43" s="7">
        <f>AN43*(1-AP43)</f>
        <v/>
      </c>
      <c r="AR43" s="7">
        <f>PMT(g_mortRate/12,vivienda_plazoHipoteca*12,-AQ43)</f>
        <v/>
      </c>
      <c r="AS43" s="7">
        <f>INDEX(cfg_units,sel_cfgIdx)</f>
        <v/>
      </c>
      <c r="AT43" s="7">
        <f>AS43*loc_rentaUnidad*(1+g_inf)^(A43-2026)*(1-vivienda_vacancia)</f>
        <v/>
      </c>
      <c r="AU43" s="7">
        <f>AR43+AN43*loc_impuestoPropPct/12+AM43*loc_seguroPct*(1+vivienda_inflacionSeguro)^(A43-2026)/12+IF(AND(AO43=0,AP43&lt;0.2),AQ43*vivienda_pmiTasa/12,0)</f>
        <v/>
      </c>
      <c r="AV43" s="7">
        <f>AN43*AP43+AN43*vivienda_cierrePct+general_reservaMeses/12*AJ43</f>
        <v/>
      </c>
      <c r="AW43" s="7">
        <f>(IF(10=0,MIN(personal_irsSaldo,personal_irsPagoMensual*12),MIN(CD42,personal_irsPagoMensual*12))+IF(CE43&gt;0,PMT(CF43,MAX(1,prestamos_plazoAnios-CG43),-CE43),0)+IF(CR43&gt;0,PMT(CS43,MAX(1,prestamos_plazoAnios-CT43),-CR43),0))/12</f>
        <v/>
      </c>
      <c r="AX43" s="7">
        <f>IF(OR(sel_cfg="duplex",sel_cfg="multi",sel_cfg="dosCasas"),0.75*personal_aporteFamiliaMensual,0)</f>
        <v/>
      </c>
      <c r="AY43" s="7">
        <f>AU43-0.75*AT43-AX43+AW43</f>
        <v/>
      </c>
      <c r="AZ43" s="7">
        <f>(D43+G43+H43+0.5*F43)/12</f>
        <v/>
      </c>
      <c r="BA43" s="7">
        <f>IF(AND(AL43=0,A43&gt;=vivienda_anioMinCompra,J43&lt;0.5,AI43&gt;0,AK43&gt;=AV43,AY43&lt;=vivienda_dtiMax*AZ43),1,0)</f>
        <v/>
      </c>
      <c r="BB43" s="7">
        <f>MAX(AL43,BA43)</f>
        <v/>
      </c>
      <c r="BC43" s="7">
        <f>IF(BA43=1,A43,IF(10=0,"",BC42))</f>
        <v/>
      </c>
      <c r="BD43" s="7">
        <f>AK43-IF(BA43=1,AN43*AP43+AN43*vivienda_cierrePct,0)</f>
        <v/>
      </c>
      <c r="BE43" s="7">
        <f>IF(BA43=1,AN43,IF(10=0,0,BE42))</f>
        <v/>
      </c>
      <c r="BF43" s="7">
        <f>IF(BA43=1,AR43,IF(10=0,0,BF42))</f>
        <v/>
      </c>
      <c r="BG43" s="7">
        <f>IF(BA43=1,IF(AND(AO43=0,AP43&lt;0.2),1,0),IF(10=0,0,BY42))</f>
        <v/>
      </c>
      <c r="BH43" s="7">
        <f>IF(sel_cfg="casaAdu",1,0)</f>
        <v/>
      </c>
      <c r="BI43" s="7">
        <f>IF(AND(BB43=1,BH43=1,IF(10=0,0,BJ42)=0,A43&gt;=IF(BC43="",9999,BC43)+vivienda_aduRetrasoAnios),1,0)</f>
        <v/>
      </c>
      <c r="BJ43" s="7">
        <f>MAX(IF(10=0,0,BJ42),BI43)</f>
        <v/>
      </c>
      <c r="BK43" s="7">
        <f>IF(BI43=1,PMT((g_mortRate+0.005)/12,180,-loc_precio_aduCosto*C43),IF(10=0,0,BK42))</f>
        <v/>
      </c>
      <c r="BL43" s="7">
        <f>IF(BA43=1,AN43,IF(10=0,0,DT42))+IF(BI43=1,loc_precio_aduCosto*C43,0)</f>
        <v/>
      </c>
      <c r="BM43" s="7">
        <f>IF(BA43=1,AQ43,IF(10=0,0,DU42))</f>
        <v/>
      </c>
      <c r="BN43" s="7">
        <f>IF(BM43&lt;=0,0,FV(g_mortRate/12,12,BF43,-BM43))</f>
        <v/>
      </c>
      <c r="BO43" s="7">
        <f>IF(BM43&lt;=0,0,12*BF43+MIN(0,BN43))</f>
        <v/>
      </c>
      <c r="BP43" s="7">
        <f>MAX(0,BN43)</f>
        <v/>
      </c>
      <c r="BQ43" s="7">
        <f>IF(BI43=1,loc_precio_aduCosto*C43,IF(10=0,0,DV42))</f>
        <v/>
      </c>
      <c r="BR43" s="7">
        <f>IF(BQ43&lt;=0,0,FV((g_mortRate+0.005)/12,12,BK43,-BQ43))</f>
        <v/>
      </c>
      <c r="BS43" s="7">
        <f>IF(BQ43&lt;=0,0,12*BK43+MIN(0,BR43))</f>
        <v/>
      </c>
      <c r="BT43" s="7">
        <f>MAX(0,BR43)</f>
        <v/>
      </c>
      <c r="BU43" s="7">
        <f>IF(BB43=1,AM43*loc_seguroPct*(1+vivienda_inflacionSeguro)^(A43-2026)*IF(BJ43=1,1+loc_precio_aduCosto/AM43,1),0)</f>
        <v/>
      </c>
      <c r="BV43" s="7">
        <f>BL43*loc_impuestoPropPct</f>
        <v/>
      </c>
      <c r="BW43" s="7">
        <f>BL43*vivienda_mantenimientoPct</f>
        <v/>
      </c>
      <c r="BX43" s="7">
        <f>IF(AND(BG43=1,BP43&gt;0.8*BE43),BE43*(1-vivienda_enganchePct)*vivienda_pmiTasa,0)</f>
        <v/>
      </c>
      <c r="BY43" s="7">
        <f>IF(AND(BG43=1,BP43&gt;0.8*BE43),1,0)</f>
        <v/>
      </c>
      <c r="BZ43" s="7">
        <f>IF(BB43=1,AS43*loc_rentaUnidad*12*C43*(1-vivienda_vacancia)*(1-vivienda_gestionPct),0)</f>
        <v/>
      </c>
      <c r="CA43" s="7">
        <f>IF(BB43=1,BO43+BS43+BU43+BV43+BW43+BX43,loc_rentaMensual*12*C43)</f>
        <v/>
      </c>
      <c r="CB43" s="7">
        <f>IF(BB43=1,personal_aporteFamiliaMensual*12,0)</f>
        <v/>
      </c>
      <c r="CC43" s="7">
        <f>MIN(IF(10=0,personal_irsSaldo,CD42),personal_irsPagoMensual*12)</f>
        <v/>
      </c>
      <c r="CD43" s="7">
        <f>IF(10=0,personal_irsSaldo,CD42)-CC43</f>
        <v/>
      </c>
      <c r="CE43" s="7">
        <f>IF(10=0,IF(personal_deudaEsFederal=1,personal_deudaEstudiantil,0),DW42)</f>
        <v/>
      </c>
      <c r="CF43" s="7">
        <f>IF(10=0,personal_tasaDeudaEstudiantil,DX42)</f>
        <v/>
      </c>
      <c r="CG43" s="7">
        <f>IF(10=0,0,DY42)</f>
        <v/>
      </c>
      <c r="CH43" s="7">
        <f>IF(J43&gt;=0.5,1,0)</f>
        <v/>
      </c>
      <c r="CI43" s="7">
        <f>IF(AND(CH43=0,prestamos_pslfActivo=1,K43&gt;=0.5,CE43&gt;0),1,0)</f>
        <v/>
      </c>
      <c r="CJ43" s="7">
        <f>CE43*CF43</f>
        <v/>
      </c>
      <c r="CK43" s="7">
        <f>MAX(prestamos_rapPagoMinimoAnual,IF(Y43&lt;10000,0,MIN(0.1,INT(Y43/10000)/100))*Y43)</f>
        <v/>
      </c>
      <c r="CL43" s="7">
        <f>IF(CE43&lt;=0,0,IF(CH43=1,0,IF(CI43=1,MIN(CE43+CJ43,CK43),PMT(CF43,MAX(1,prestamos_plazoAnios-CG43),-CE43))))</f>
        <v/>
      </c>
      <c r="CM43" s="7">
        <f>IF(CE43&lt;=0,0,IF(CH43=1,CE43+CJ43,IF(CI43=1,MAX(0,CE43-MAX(CL43-CJ43,MIN(600,CL43))),MAX(0,CE43*(1+CF43)-CL43))))</f>
        <v/>
      </c>
      <c r="CN43" s="7">
        <f>IF(10=0,0,CN42)+IF(CI43=1,12*MIN(1,K43),0)</f>
        <v/>
      </c>
      <c r="CO43" s="7">
        <f>IF(AND(CI43=1,CN43&gt;=prestamos_pslfPagos,CM43&gt;0),CM43,0)</f>
        <v/>
      </c>
      <c r="CP43" s="7">
        <f>CM43-CO43</f>
        <v/>
      </c>
      <c r="CQ43" s="7">
        <f>IF(AND(CE43&gt;0,CH43=0,CI43=0),CG43+1,CG43)</f>
        <v/>
      </c>
      <c r="CR43" s="7">
        <f>IF(10=0,IF(personal_deudaEsFederal=1,0,personal_deudaEstudiantil),EA42)</f>
        <v/>
      </c>
      <c r="CS43" s="7">
        <f>IF(10=0,IF(personal_deudaEsFederal=1,prestamos_tasaPrivada,personal_tasaDeudaEstudiantil),EB42)</f>
        <v/>
      </c>
      <c r="CT43" s="7">
        <f>IF(10=0,0,EC42)</f>
        <v/>
      </c>
      <c r="CU43" s="7">
        <f>IF(OR(CR43&lt;=0,CH43=1),0,PMT(CS43,MAX(1,prestamos_plazoAnios-CT43),-CR43))</f>
        <v/>
      </c>
      <c r="CV43" s="7">
        <f>IF(CR43&lt;=0,0,IF(CH43=1,CR43*(1+CS43),MAX(0,CR43*(1+CS43)-CU43)))</f>
        <v/>
      </c>
      <c r="CW43" s="7">
        <f>IF(AND(CR43&gt;0,CH43=0),CT43+1,CT43)</f>
        <v/>
      </c>
      <c r="CX43" s="7">
        <f>IF(10=0,0,ED42)*(1+general_tasaDeudaConsumo)</f>
        <v/>
      </c>
      <c r="CY43" s="7">
        <f>L43*12*tiempos_travelGastoExtraMes*C43</f>
        <v/>
      </c>
      <c r="CZ43" s="7">
        <f>AJ43+CY43+CA43+CC43+CL43+CU43+I43+N43-BZ43-CB43</f>
        <v/>
      </c>
      <c r="DA43" s="7">
        <f>AH43-CZ43</f>
        <v/>
      </c>
      <c r="DB43" s="7">
        <f>IF(10=0,0,DB42)+DA43</f>
        <v/>
      </c>
      <c r="DC43" s="7">
        <f>AN43*vivienda_enganchePct+AN43*vivienda_cierrePct+general_reservaMeses/12*AJ43</f>
        <v/>
      </c>
      <c r="DD43" s="7">
        <f>IF(BB43=1,g_ret,IF(BD43&gt;0,MIN(1,DC43/BD43),1)*g_cash+(1-IF(BD43&gt;0,MIN(1,DC43/BD43),1))*g_ret)</f>
        <v/>
      </c>
      <c r="DE43" s="7">
        <f>IF(DA43&gt;=0,MIN(CX43,DA43),0)</f>
        <v/>
      </c>
      <c r="DF43" s="7">
        <f>IF(DA43&gt;=0,(1-general_tasaAhorro)*(DA43-DE43),0)</f>
        <v/>
      </c>
      <c r="DG43" s="7">
        <f>IF(DA43&gt;=0,DA43-DE43-DF43,0)</f>
        <v/>
      </c>
      <c r="DH43" s="7">
        <f>MIN(personal_rothAnual,DG43)</f>
        <v/>
      </c>
      <c r="DI43" s="7">
        <f>IF(AND(DA43&gt;=0,BB43=1,BP43+BT43&gt;0),MIN(vivienda_prepagoPct*(DG43-DH43),BP43+BT43),0)</f>
        <v/>
      </c>
      <c r="DJ43" s="7">
        <f>MIN(DI43,BP43)</f>
        <v/>
      </c>
      <c r="DK43" s="7">
        <f>IF(DA43&lt;0,MIN(MAX(0,BD43),-DA43),0)</f>
        <v/>
      </c>
      <c r="DL43" s="7">
        <f>IF(DA43&lt;0,-DA43-DK43,0)</f>
        <v/>
      </c>
      <c r="DM43" s="7">
        <f>IF(10=0,0,DZ42)</f>
        <v/>
      </c>
      <c r="DN43" s="7">
        <f>IF(AND(DL43&gt;0,J43&gt;0),MIN(DL43,MIN(prestamos_topeAnualPosgrado*MIN(1,J43),MAX(0,prestamos_topeTotalPosgrado-DM43))),0)</f>
        <v/>
      </c>
      <c r="DO43" s="7">
        <f>IF(AND(DL43&gt;0,J43&gt;0),DL43-DN43,0)</f>
        <v/>
      </c>
      <c r="DP43" s="7">
        <f>IF(AND(DL43&gt;0,J43&lt;=0),DL43,0)</f>
        <v/>
      </c>
      <c r="DQ43" s="7">
        <f>IF(DA43&gt;=0,DG43-DH43-DI43,-DK43)</f>
        <v/>
      </c>
      <c r="DR43" s="7">
        <f>BD43*(1+DD43)+DQ43*(1+DD43/2)</f>
        <v/>
      </c>
      <c r="DS43" s="7">
        <f>IF(10=0,personal_retiroInicial,DS42)*(1+g_ret)+(O43+P43+DH43)*(1+g_ret/2)</f>
        <v/>
      </c>
      <c r="DT43" s="7">
        <f>IF(BB43=1,BL43*(1+g_appr),0)</f>
        <v/>
      </c>
      <c r="DU43" s="7">
        <f>BP43-DJ43</f>
        <v/>
      </c>
      <c r="DV43" s="7">
        <f>BT43-(DI43-DJ43)</f>
        <v/>
      </c>
      <c r="DW43" s="7">
        <f>CP43+DN43</f>
        <v/>
      </c>
      <c r="DX43" s="7">
        <f>IF(DN43&gt;0,(CP43*CF43+DN43*prestamos_tasaFederalPosgrado)/(CP43+DN43),CF43)</f>
        <v/>
      </c>
      <c r="DY43" s="7">
        <f>IF(DN43&gt;0,0,CQ43)</f>
        <v/>
      </c>
      <c r="DZ43" s="7">
        <f>DM43+DN43</f>
        <v/>
      </c>
      <c r="EA43" s="7">
        <f>CV43+DO43</f>
        <v/>
      </c>
      <c r="EB43" s="7">
        <f>IF(DO43&gt;0,(CV43*CS43+DO43*prestamos_tasaPrivada)/(CV43+DO43),CS43)</f>
        <v/>
      </c>
      <c r="EC43" s="7">
        <f>IF(DO43&gt;0,0,CW43)</f>
        <v/>
      </c>
      <c r="ED43" s="7">
        <f>CX43-DE43+DP43</f>
        <v/>
      </c>
      <c r="EE43" s="7">
        <f>IF(IF(10=0,"",EE42)&lt;&gt;"",EE42,IF(AND(BB43=1,DU43&lt;=0.5,DV43&lt;=0.5,OR(BH43=0,BJ43=1)),A43,""))</f>
        <v/>
      </c>
      <c r="EF43" s="7">
        <f>DU43+DV43+DW43+EA43+ED43+CD43</f>
        <v/>
      </c>
      <c r="EG43" s="7">
        <f>DR43+DS43+DT43-EF43</f>
        <v/>
      </c>
      <c r="EH43" s="7">
        <f>EG43/(1+g_inf)^(A43+1-2026)</f>
        <v/>
      </c>
    </row>
    <row r="44">
      <c r="A44" t="n">
        <v>2038</v>
      </c>
      <c r="B44" t="n">
        <v>11</v>
      </c>
      <c r="C44" s="7">
        <f>(1+g_inf)^(A44-2026)</f>
        <v/>
      </c>
      <c r="D44" s="7">
        <f>SUMPRODUCT($AE$5:$AE$29,$E$5:$E$29*(1+$F$5:$F$29)^(A44-2026)*$G$5:$G$29*$H$5:$H$29*(1-$N$5:$N$29*$O$5:$O$29))*g_salMult+SUMPRODUCT(($B$5:$B$29&gt;=A44)*($B$5:$B$29&lt;A44+1)*$I$5:$I$29)*g_salMult</f>
        <v/>
      </c>
      <c r="E44" s="7">
        <f>SUMPRODUCT($AE$5:$AE$29,$E$5:$E$29*(1+$F$5:$F$29)^(A44-2026)*$G$5:$G$29*$H$5:$H$29*$M$5:$M$29)*g_salMult</f>
        <v/>
      </c>
      <c r="F44" s="7">
        <f>SUMPRODUCT($AE$5:$AE$29,$E$5:$E$29*(1+$F$5:$F$29)^(A44-2026)*$G$5:$G$29*$H$5:$H$29*$N$5:$N$29*$O$5:$O$29)*g_salMult</f>
        <v/>
      </c>
      <c r="G44" s="7">
        <f>SUMPRODUCT($AE$5:$AE$29,$P$5:$P$29*(1+$F$5:$F$29)^(A44-2026))</f>
        <v/>
      </c>
      <c r="H44" s="7">
        <f>SUMPRODUCT($AE$5:$AE$29,$Q$5:$Q$29*(1+$F$5:$F$29)^(A44-2026))+IF(personal_llcActivo=1,personal_llcNeto*(1+personal_llcCrecimiento)^11,0)</f>
        <v/>
      </c>
      <c r="I44" s="7">
        <f>SUMPRODUCT($AE$5:$AE$29,$J$5:$J$29/($C$5:$C$29-$B$5:$B$29+($C$5:$C$29=$B$5:$B$29)))*C44</f>
        <v/>
      </c>
      <c r="J44" s="7">
        <f>SUMPRODUCT($AE$5:$AE$29,$K$5:$K$29)</f>
        <v/>
      </c>
      <c r="K44" s="7">
        <f>SUMPRODUCT($AE$5:$AE$29,$L$5:$L$29)</f>
        <v/>
      </c>
      <c r="L44" s="7">
        <f>SUMPRODUCT($AE$5:$AE$29,$N$5:$N$29)</f>
        <v/>
      </c>
      <c r="M44" s="7">
        <f>IF(SUMPRODUCT($AE$5:$AE$29,$R$5:$R$29)&gt;0,1,0)</f>
        <v/>
      </c>
      <c r="N44" s="7">
        <f>SUMPRODUCT(($AO$5:$AO$24&gt;=A44)*($AO$5:$AO$24&lt;A44+1)*$AP$5:$AP$24)*C44+IF(11=0,IF(sel_loc&lt;&gt;"miami",personal_costoMudanzaInicial,0),0)</f>
        <v/>
      </c>
      <c r="O44" s="7">
        <f>MIN(personal_aporte403bPct*D44,retiro_limite403b*C44)</f>
        <v/>
      </c>
      <c r="P44" s="7">
        <f>MIN(personal_aporte403bPct,personal_match403bPct)*E44</f>
        <v/>
      </c>
      <c r="Q44" s="7">
        <f>IF(G44&gt;0,MAX(0,G44-impuestos_scorpCostoAnual*C44),0)</f>
        <v/>
      </c>
      <c r="R44" s="7">
        <f>Q44*impuestos_scorpSalarioPct/(1+impuestos_ssTasa+impuestos_medicareTasa)</f>
        <v/>
      </c>
      <c r="S44" s="7">
        <f>impuestos_ssTasa*MIN(R44,MAX(0,impuestos_ssTope*C44-D44))+impuestos_medicareTasa*R44</f>
        <v/>
      </c>
      <c r="T44" s="7">
        <f>Q44-R44-S44</f>
        <v/>
      </c>
      <c r="U44" s="7">
        <f>D44+R44</f>
        <v/>
      </c>
      <c r="V44" s="7">
        <f>H44*0.9235</f>
        <v/>
      </c>
      <c r="W44" s="7">
        <f>IF(H44&gt;0,2*impuestos_ssTasa*MIN(V44,MAX(0,impuestos_ssTope*C44-U44))+2*impuestos_medicareTasa*V44,0)</f>
        <v/>
      </c>
      <c r="X44" s="7">
        <f>impuestos_ssTasa*MIN(U44,impuestos_ssTope*C44)+impuestos_medicareTasa*U44+impuestos_medicareAdicional*MAX(0,U44+H44*0.9235-impuestos_medicareUmbral)</f>
        <v/>
      </c>
      <c r="Y44" s="7">
        <f>MAX(0,D44-O44+R44+T44+H44-W44/2)</f>
        <v/>
      </c>
      <c r="Z44" s="7">
        <f>MAX(0,Y44-impuestos_deduccionEstandar*C44)</f>
        <v/>
      </c>
      <c r="AA44" s="7">
        <f>MIN(0.2*MAX(0,T44+H44-W44/2)*MAX(0,MIN(1,1-(Z44-impuestos_qbiUmbral*C44)/(impuestos_qbiRango*C44))),0.2*Z44)</f>
        <v/>
      </c>
      <c r="AB44" s="7">
        <f>MAX(0,Z44-AA44)</f>
        <v/>
      </c>
      <c r="AC44" s="7">
        <f>SUMPRODUCT((AB44&gt;tb_federalBrackets_lo*C44)*(AB44-tb_federalBrackets_lo*C44)*tb_federalBrackets_dr)</f>
        <v/>
      </c>
      <c r="AD44" s="7">
        <f>MAX(0,Y44-impuestos_nyDeduccion*C44)</f>
        <v/>
      </c>
      <c r="AE44" s="7">
        <f>CHOOSE(loc_taxcode,0,impuestos_ohTasa*MAX(0,Y44-impuestos_ohExento*C44)+impuestos_ohMunicipal*U44,SUMPRODUCT((AD44&gt;tb_nyBrackets_lo*C44)*(AD44-tb_nyBrackets_lo*C44)*tb_nyBrackets_dr)+loc_nyc*SUMPRODUCT((AD44&gt;tb_nycBrackets_lo*C44)*(AD44-tb_nycBrackets_lo*C44)*tb_nycBrackets_dr))</f>
        <v/>
      </c>
      <c r="AF44" s="7">
        <f>AC44+AE44+X44+W44</f>
        <v/>
      </c>
      <c r="AG44" s="7">
        <f>D44+F44+R44+T44+H44</f>
        <v/>
      </c>
      <c r="AH44" s="7">
        <f>AG44-AF44-O44</f>
        <v/>
      </c>
      <c r="AI44" s="7">
        <f>D44+F44+G44+H44</f>
        <v/>
      </c>
      <c r="AJ44" s="7">
        <f>loc_gastosVida*C44*g_gastos</f>
        <v/>
      </c>
      <c r="AK44" s="7">
        <f>IF(11=0,personal_liquidoInicial,DR43)</f>
        <v/>
      </c>
      <c r="AL44" s="7">
        <f>IF(11=0,0,BB43)</f>
        <v/>
      </c>
      <c r="AM44" s="7">
        <f>CHOOSE(sel_cfgIdx,loc_precio_duplex,loc_precio_inlaw,loc_precio_dosCasas,loc_precio_casaAdu,loc_precio_multi)</f>
        <v/>
      </c>
      <c r="AN44" s="7">
        <f>AM44*(1+g_appr)^(A44-2026)</f>
        <v/>
      </c>
      <c r="AO44" s="7">
        <f>IF(AND(M44=1,vivienda_prestamoMedico=1),1,0)</f>
        <v/>
      </c>
      <c r="AP44" s="7">
        <f>IF(AO44=1,0.05,vivienda_enganchePct)</f>
        <v/>
      </c>
      <c r="AQ44" s="7">
        <f>AN44*(1-AP44)</f>
        <v/>
      </c>
      <c r="AR44" s="7">
        <f>PMT(g_mortRate/12,vivienda_plazoHipoteca*12,-AQ44)</f>
        <v/>
      </c>
      <c r="AS44" s="7">
        <f>INDEX(cfg_units,sel_cfgIdx)</f>
        <v/>
      </c>
      <c r="AT44" s="7">
        <f>AS44*loc_rentaUnidad*(1+g_inf)^(A44-2026)*(1-vivienda_vacancia)</f>
        <v/>
      </c>
      <c r="AU44" s="7">
        <f>AR44+AN44*loc_impuestoPropPct/12+AM44*loc_seguroPct*(1+vivienda_inflacionSeguro)^(A44-2026)/12+IF(AND(AO44=0,AP44&lt;0.2),AQ44*vivienda_pmiTasa/12,0)</f>
        <v/>
      </c>
      <c r="AV44" s="7">
        <f>AN44*AP44+AN44*vivienda_cierrePct+general_reservaMeses/12*AJ44</f>
        <v/>
      </c>
      <c r="AW44" s="7">
        <f>(IF(11=0,MIN(personal_irsSaldo,personal_irsPagoMensual*12),MIN(CD43,personal_irsPagoMensual*12))+IF(CE44&gt;0,PMT(CF44,MAX(1,prestamos_plazoAnios-CG44),-CE44),0)+IF(CR44&gt;0,PMT(CS44,MAX(1,prestamos_plazoAnios-CT44),-CR44),0))/12</f>
        <v/>
      </c>
      <c r="AX44" s="7">
        <f>IF(OR(sel_cfg="duplex",sel_cfg="multi",sel_cfg="dosCasas"),0.75*personal_aporteFamiliaMensual,0)</f>
        <v/>
      </c>
      <c r="AY44" s="7">
        <f>AU44-0.75*AT44-AX44+AW44</f>
        <v/>
      </c>
      <c r="AZ44" s="7">
        <f>(D44+G44+H44+0.5*F44)/12</f>
        <v/>
      </c>
      <c r="BA44" s="7">
        <f>IF(AND(AL44=0,A44&gt;=vivienda_anioMinCompra,J44&lt;0.5,AI44&gt;0,AK44&gt;=AV44,AY44&lt;=vivienda_dtiMax*AZ44),1,0)</f>
        <v/>
      </c>
      <c r="BB44" s="7">
        <f>MAX(AL44,BA44)</f>
        <v/>
      </c>
      <c r="BC44" s="7">
        <f>IF(BA44=1,A44,IF(11=0,"",BC43))</f>
        <v/>
      </c>
      <c r="BD44" s="7">
        <f>AK44-IF(BA44=1,AN44*AP44+AN44*vivienda_cierrePct,0)</f>
        <v/>
      </c>
      <c r="BE44" s="7">
        <f>IF(BA44=1,AN44,IF(11=0,0,BE43))</f>
        <v/>
      </c>
      <c r="BF44" s="7">
        <f>IF(BA44=1,AR44,IF(11=0,0,BF43))</f>
        <v/>
      </c>
      <c r="BG44" s="7">
        <f>IF(BA44=1,IF(AND(AO44=0,AP44&lt;0.2),1,0),IF(11=0,0,BY43))</f>
        <v/>
      </c>
      <c r="BH44" s="7">
        <f>IF(sel_cfg="casaAdu",1,0)</f>
        <v/>
      </c>
      <c r="BI44" s="7">
        <f>IF(AND(BB44=1,BH44=1,IF(11=0,0,BJ43)=0,A44&gt;=IF(BC44="",9999,BC44)+vivienda_aduRetrasoAnios),1,0)</f>
        <v/>
      </c>
      <c r="BJ44" s="7">
        <f>MAX(IF(11=0,0,BJ43),BI44)</f>
        <v/>
      </c>
      <c r="BK44" s="7">
        <f>IF(BI44=1,PMT((g_mortRate+0.005)/12,180,-loc_precio_aduCosto*C44),IF(11=0,0,BK43))</f>
        <v/>
      </c>
      <c r="BL44" s="7">
        <f>IF(BA44=1,AN44,IF(11=0,0,DT43))+IF(BI44=1,loc_precio_aduCosto*C44,0)</f>
        <v/>
      </c>
      <c r="BM44" s="7">
        <f>IF(BA44=1,AQ44,IF(11=0,0,DU43))</f>
        <v/>
      </c>
      <c r="BN44" s="7">
        <f>IF(BM44&lt;=0,0,FV(g_mortRate/12,12,BF44,-BM44))</f>
        <v/>
      </c>
      <c r="BO44" s="7">
        <f>IF(BM44&lt;=0,0,12*BF44+MIN(0,BN44))</f>
        <v/>
      </c>
      <c r="BP44" s="7">
        <f>MAX(0,BN44)</f>
        <v/>
      </c>
      <c r="BQ44" s="7">
        <f>IF(BI44=1,loc_precio_aduCosto*C44,IF(11=0,0,DV43))</f>
        <v/>
      </c>
      <c r="BR44" s="7">
        <f>IF(BQ44&lt;=0,0,FV((g_mortRate+0.005)/12,12,BK44,-BQ44))</f>
        <v/>
      </c>
      <c r="BS44" s="7">
        <f>IF(BQ44&lt;=0,0,12*BK44+MIN(0,BR44))</f>
        <v/>
      </c>
      <c r="BT44" s="7">
        <f>MAX(0,BR44)</f>
        <v/>
      </c>
      <c r="BU44" s="7">
        <f>IF(BB44=1,AM44*loc_seguroPct*(1+vivienda_inflacionSeguro)^(A44-2026)*IF(BJ44=1,1+loc_precio_aduCosto/AM44,1),0)</f>
        <v/>
      </c>
      <c r="BV44" s="7">
        <f>BL44*loc_impuestoPropPct</f>
        <v/>
      </c>
      <c r="BW44" s="7">
        <f>BL44*vivienda_mantenimientoPct</f>
        <v/>
      </c>
      <c r="BX44" s="7">
        <f>IF(AND(BG44=1,BP44&gt;0.8*BE44),BE44*(1-vivienda_enganchePct)*vivienda_pmiTasa,0)</f>
        <v/>
      </c>
      <c r="BY44" s="7">
        <f>IF(AND(BG44=1,BP44&gt;0.8*BE44),1,0)</f>
        <v/>
      </c>
      <c r="BZ44" s="7">
        <f>IF(BB44=1,AS44*loc_rentaUnidad*12*C44*(1-vivienda_vacancia)*(1-vivienda_gestionPct),0)</f>
        <v/>
      </c>
      <c r="CA44" s="7">
        <f>IF(BB44=1,BO44+BS44+BU44+BV44+BW44+BX44,loc_rentaMensual*12*C44)</f>
        <v/>
      </c>
      <c r="CB44" s="7">
        <f>IF(BB44=1,personal_aporteFamiliaMensual*12,0)</f>
        <v/>
      </c>
      <c r="CC44" s="7">
        <f>MIN(IF(11=0,personal_irsSaldo,CD43),personal_irsPagoMensual*12)</f>
        <v/>
      </c>
      <c r="CD44" s="7">
        <f>IF(11=0,personal_irsSaldo,CD43)-CC44</f>
        <v/>
      </c>
      <c r="CE44" s="7">
        <f>IF(11=0,IF(personal_deudaEsFederal=1,personal_deudaEstudiantil,0),DW43)</f>
        <v/>
      </c>
      <c r="CF44" s="7">
        <f>IF(11=0,personal_tasaDeudaEstudiantil,DX43)</f>
        <v/>
      </c>
      <c r="CG44" s="7">
        <f>IF(11=0,0,DY43)</f>
        <v/>
      </c>
      <c r="CH44" s="7">
        <f>IF(J44&gt;=0.5,1,0)</f>
        <v/>
      </c>
      <c r="CI44" s="7">
        <f>IF(AND(CH44=0,prestamos_pslfActivo=1,K44&gt;=0.5,CE44&gt;0),1,0)</f>
        <v/>
      </c>
      <c r="CJ44" s="7">
        <f>CE44*CF44</f>
        <v/>
      </c>
      <c r="CK44" s="7">
        <f>MAX(prestamos_rapPagoMinimoAnual,IF(Y44&lt;10000,0,MIN(0.1,INT(Y44/10000)/100))*Y44)</f>
        <v/>
      </c>
      <c r="CL44" s="7">
        <f>IF(CE44&lt;=0,0,IF(CH44=1,0,IF(CI44=1,MIN(CE44+CJ44,CK44),PMT(CF44,MAX(1,prestamos_plazoAnios-CG44),-CE44))))</f>
        <v/>
      </c>
      <c r="CM44" s="7">
        <f>IF(CE44&lt;=0,0,IF(CH44=1,CE44+CJ44,IF(CI44=1,MAX(0,CE44-MAX(CL44-CJ44,MIN(600,CL44))),MAX(0,CE44*(1+CF44)-CL44))))</f>
        <v/>
      </c>
      <c r="CN44" s="7">
        <f>IF(11=0,0,CN43)+IF(CI44=1,12*MIN(1,K44),0)</f>
        <v/>
      </c>
      <c r="CO44" s="7">
        <f>IF(AND(CI44=1,CN44&gt;=prestamos_pslfPagos,CM44&gt;0),CM44,0)</f>
        <v/>
      </c>
      <c r="CP44" s="7">
        <f>CM44-CO44</f>
        <v/>
      </c>
      <c r="CQ44" s="7">
        <f>IF(AND(CE44&gt;0,CH44=0,CI44=0),CG44+1,CG44)</f>
        <v/>
      </c>
      <c r="CR44" s="7">
        <f>IF(11=0,IF(personal_deudaEsFederal=1,0,personal_deudaEstudiantil),EA43)</f>
        <v/>
      </c>
      <c r="CS44" s="7">
        <f>IF(11=0,IF(personal_deudaEsFederal=1,prestamos_tasaPrivada,personal_tasaDeudaEstudiantil),EB43)</f>
        <v/>
      </c>
      <c r="CT44" s="7">
        <f>IF(11=0,0,EC43)</f>
        <v/>
      </c>
      <c r="CU44" s="7">
        <f>IF(OR(CR44&lt;=0,CH44=1),0,PMT(CS44,MAX(1,prestamos_plazoAnios-CT44),-CR44))</f>
        <v/>
      </c>
      <c r="CV44" s="7">
        <f>IF(CR44&lt;=0,0,IF(CH44=1,CR44*(1+CS44),MAX(0,CR44*(1+CS44)-CU44)))</f>
        <v/>
      </c>
      <c r="CW44" s="7">
        <f>IF(AND(CR44&gt;0,CH44=0),CT44+1,CT44)</f>
        <v/>
      </c>
      <c r="CX44" s="7">
        <f>IF(11=0,0,ED43)*(1+general_tasaDeudaConsumo)</f>
        <v/>
      </c>
      <c r="CY44" s="7">
        <f>L44*12*tiempos_travelGastoExtraMes*C44</f>
        <v/>
      </c>
      <c r="CZ44" s="7">
        <f>AJ44+CY44+CA44+CC44+CL44+CU44+I44+N44-BZ44-CB44</f>
        <v/>
      </c>
      <c r="DA44" s="7">
        <f>AH44-CZ44</f>
        <v/>
      </c>
      <c r="DB44" s="7">
        <f>IF(11=0,0,DB43)+DA44</f>
        <v/>
      </c>
      <c r="DC44" s="7">
        <f>AN44*vivienda_enganchePct+AN44*vivienda_cierrePct+general_reservaMeses/12*AJ44</f>
        <v/>
      </c>
      <c r="DD44" s="7">
        <f>IF(BB44=1,g_ret,IF(BD44&gt;0,MIN(1,DC44/BD44),1)*g_cash+(1-IF(BD44&gt;0,MIN(1,DC44/BD44),1))*g_ret)</f>
        <v/>
      </c>
      <c r="DE44" s="7">
        <f>IF(DA44&gt;=0,MIN(CX44,DA44),0)</f>
        <v/>
      </c>
      <c r="DF44" s="7">
        <f>IF(DA44&gt;=0,(1-general_tasaAhorro)*(DA44-DE44),0)</f>
        <v/>
      </c>
      <c r="DG44" s="7">
        <f>IF(DA44&gt;=0,DA44-DE44-DF44,0)</f>
        <v/>
      </c>
      <c r="DH44" s="7">
        <f>MIN(personal_rothAnual,DG44)</f>
        <v/>
      </c>
      <c r="DI44" s="7">
        <f>IF(AND(DA44&gt;=0,BB44=1,BP44+BT44&gt;0),MIN(vivienda_prepagoPct*(DG44-DH44),BP44+BT44),0)</f>
        <v/>
      </c>
      <c r="DJ44" s="7">
        <f>MIN(DI44,BP44)</f>
        <v/>
      </c>
      <c r="DK44" s="7">
        <f>IF(DA44&lt;0,MIN(MAX(0,BD44),-DA44),0)</f>
        <v/>
      </c>
      <c r="DL44" s="7">
        <f>IF(DA44&lt;0,-DA44-DK44,0)</f>
        <v/>
      </c>
      <c r="DM44" s="7">
        <f>IF(11=0,0,DZ43)</f>
        <v/>
      </c>
      <c r="DN44" s="7">
        <f>IF(AND(DL44&gt;0,J44&gt;0),MIN(DL44,MIN(prestamos_topeAnualPosgrado*MIN(1,J44),MAX(0,prestamos_topeTotalPosgrado-DM44))),0)</f>
        <v/>
      </c>
      <c r="DO44" s="7">
        <f>IF(AND(DL44&gt;0,J44&gt;0),DL44-DN44,0)</f>
        <v/>
      </c>
      <c r="DP44" s="7">
        <f>IF(AND(DL44&gt;0,J44&lt;=0),DL44,0)</f>
        <v/>
      </c>
      <c r="DQ44" s="7">
        <f>IF(DA44&gt;=0,DG44-DH44-DI44,-DK44)</f>
        <v/>
      </c>
      <c r="DR44" s="7">
        <f>BD44*(1+DD44)+DQ44*(1+DD44/2)</f>
        <v/>
      </c>
      <c r="DS44" s="7">
        <f>IF(11=0,personal_retiroInicial,DS43)*(1+g_ret)+(O44+P44+DH44)*(1+g_ret/2)</f>
        <v/>
      </c>
      <c r="DT44" s="7">
        <f>IF(BB44=1,BL44*(1+g_appr),0)</f>
        <v/>
      </c>
      <c r="DU44" s="7">
        <f>BP44-DJ44</f>
        <v/>
      </c>
      <c r="DV44" s="7">
        <f>BT44-(DI44-DJ44)</f>
        <v/>
      </c>
      <c r="DW44" s="7">
        <f>CP44+DN44</f>
        <v/>
      </c>
      <c r="DX44" s="7">
        <f>IF(DN44&gt;0,(CP44*CF44+DN44*prestamos_tasaFederalPosgrado)/(CP44+DN44),CF44)</f>
        <v/>
      </c>
      <c r="DY44" s="7">
        <f>IF(DN44&gt;0,0,CQ44)</f>
        <v/>
      </c>
      <c r="DZ44" s="7">
        <f>DM44+DN44</f>
        <v/>
      </c>
      <c r="EA44" s="7">
        <f>CV44+DO44</f>
        <v/>
      </c>
      <c r="EB44" s="7">
        <f>IF(DO44&gt;0,(CV44*CS44+DO44*prestamos_tasaPrivada)/(CV44+DO44),CS44)</f>
        <v/>
      </c>
      <c r="EC44" s="7">
        <f>IF(DO44&gt;0,0,CW44)</f>
        <v/>
      </c>
      <c r="ED44" s="7">
        <f>CX44-DE44+DP44</f>
        <v/>
      </c>
      <c r="EE44" s="7">
        <f>IF(IF(11=0,"",EE43)&lt;&gt;"",EE43,IF(AND(BB44=1,DU44&lt;=0.5,DV44&lt;=0.5,OR(BH44=0,BJ44=1)),A44,""))</f>
        <v/>
      </c>
      <c r="EF44" s="7">
        <f>DU44+DV44+DW44+EA44+ED44+CD44</f>
        <v/>
      </c>
      <c r="EG44" s="7">
        <f>DR44+DS44+DT44-EF44</f>
        <v/>
      </c>
      <c r="EH44" s="7">
        <f>EG44/(1+g_inf)^(A44+1-2026)</f>
        <v/>
      </c>
    </row>
    <row r="45">
      <c r="A45" t="n">
        <v>2039</v>
      </c>
      <c r="B45" t="n">
        <v>12</v>
      </c>
      <c r="C45" s="7">
        <f>(1+g_inf)^(A45-2026)</f>
        <v/>
      </c>
      <c r="D45" s="7">
        <f>SUMPRODUCT($AF$5:$AF$29,$E$5:$E$29*(1+$F$5:$F$29)^(A45-2026)*$G$5:$G$29*$H$5:$H$29*(1-$N$5:$N$29*$O$5:$O$29))*g_salMult+SUMPRODUCT(($B$5:$B$29&gt;=A45)*($B$5:$B$29&lt;A45+1)*$I$5:$I$29)*g_salMult</f>
        <v/>
      </c>
      <c r="E45" s="7">
        <f>SUMPRODUCT($AF$5:$AF$29,$E$5:$E$29*(1+$F$5:$F$29)^(A45-2026)*$G$5:$G$29*$H$5:$H$29*$M$5:$M$29)*g_salMult</f>
        <v/>
      </c>
      <c r="F45" s="7">
        <f>SUMPRODUCT($AF$5:$AF$29,$E$5:$E$29*(1+$F$5:$F$29)^(A45-2026)*$G$5:$G$29*$H$5:$H$29*$N$5:$N$29*$O$5:$O$29)*g_salMult</f>
        <v/>
      </c>
      <c r="G45" s="7">
        <f>SUMPRODUCT($AF$5:$AF$29,$P$5:$P$29*(1+$F$5:$F$29)^(A45-2026))</f>
        <v/>
      </c>
      <c r="H45" s="7">
        <f>SUMPRODUCT($AF$5:$AF$29,$Q$5:$Q$29*(1+$F$5:$F$29)^(A45-2026))+IF(personal_llcActivo=1,personal_llcNeto*(1+personal_llcCrecimiento)^12,0)</f>
        <v/>
      </c>
      <c r="I45" s="7">
        <f>SUMPRODUCT($AF$5:$AF$29,$J$5:$J$29/($C$5:$C$29-$B$5:$B$29+($C$5:$C$29=$B$5:$B$29)))*C45</f>
        <v/>
      </c>
      <c r="J45" s="7">
        <f>SUMPRODUCT($AF$5:$AF$29,$K$5:$K$29)</f>
        <v/>
      </c>
      <c r="K45" s="7">
        <f>SUMPRODUCT($AF$5:$AF$29,$L$5:$L$29)</f>
        <v/>
      </c>
      <c r="L45" s="7">
        <f>SUMPRODUCT($AF$5:$AF$29,$N$5:$N$29)</f>
        <v/>
      </c>
      <c r="M45" s="7">
        <f>IF(SUMPRODUCT($AF$5:$AF$29,$R$5:$R$29)&gt;0,1,0)</f>
        <v/>
      </c>
      <c r="N45" s="7">
        <f>SUMPRODUCT(($AO$5:$AO$24&gt;=A45)*($AO$5:$AO$24&lt;A45+1)*$AP$5:$AP$24)*C45+IF(12=0,IF(sel_loc&lt;&gt;"miami",personal_costoMudanzaInicial,0),0)</f>
        <v/>
      </c>
      <c r="O45" s="7">
        <f>MIN(personal_aporte403bPct*D45,retiro_limite403b*C45)</f>
        <v/>
      </c>
      <c r="P45" s="7">
        <f>MIN(personal_aporte403bPct,personal_match403bPct)*E45</f>
        <v/>
      </c>
      <c r="Q45" s="7">
        <f>IF(G45&gt;0,MAX(0,G45-impuestos_scorpCostoAnual*C45),0)</f>
        <v/>
      </c>
      <c r="R45" s="7">
        <f>Q45*impuestos_scorpSalarioPct/(1+impuestos_ssTasa+impuestos_medicareTasa)</f>
        <v/>
      </c>
      <c r="S45" s="7">
        <f>impuestos_ssTasa*MIN(R45,MAX(0,impuestos_ssTope*C45-D45))+impuestos_medicareTasa*R45</f>
        <v/>
      </c>
      <c r="T45" s="7">
        <f>Q45-R45-S45</f>
        <v/>
      </c>
      <c r="U45" s="7">
        <f>D45+R45</f>
        <v/>
      </c>
      <c r="V45" s="7">
        <f>H45*0.9235</f>
        <v/>
      </c>
      <c r="W45" s="7">
        <f>IF(H45&gt;0,2*impuestos_ssTasa*MIN(V45,MAX(0,impuestos_ssTope*C45-U45))+2*impuestos_medicareTasa*V45,0)</f>
        <v/>
      </c>
      <c r="X45" s="7">
        <f>impuestos_ssTasa*MIN(U45,impuestos_ssTope*C45)+impuestos_medicareTasa*U45+impuestos_medicareAdicional*MAX(0,U45+H45*0.9235-impuestos_medicareUmbral)</f>
        <v/>
      </c>
      <c r="Y45" s="7">
        <f>MAX(0,D45-O45+R45+T45+H45-W45/2)</f>
        <v/>
      </c>
      <c r="Z45" s="7">
        <f>MAX(0,Y45-impuestos_deduccionEstandar*C45)</f>
        <v/>
      </c>
      <c r="AA45" s="7">
        <f>MIN(0.2*MAX(0,T45+H45-W45/2)*MAX(0,MIN(1,1-(Z45-impuestos_qbiUmbral*C45)/(impuestos_qbiRango*C45))),0.2*Z45)</f>
        <v/>
      </c>
      <c r="AB45" s="7">
        <f>MAX(0,Z45-AA45)</f>
        <v/>
      </c>
      <c r="AC45" s="7">
        <f>SUMPRODUCT((AB45&gt;tb_federalBrackets_lo*C45)*(AB45-tb_federalBrackets_lo*C45)*tb_federalBrackets_dr)</f>
        <v/>
      </c>
      <c r="AD45" s="7">
        <f>MAX(0,Y45-impuestos_nyDeduccion*C45)</f>
        <v/>
      </c>
      <c r="AE45" s="7">
        <f>CHOOSE(loc_taxcode,0,impuestos_ohTasa*MAX(0,Y45-impuestos_ohExento*C45)+impuestos_ohMunicipal*U45,SUMPRODUCT((AD45&gt;tb_nyBrackets_lo*C45)*(AD45-tb_nyBrackets_lo*C45)*tb_nyBrackets_dr)+loc_nyc*SUMPRODUCT((AD45&gt;tb_nycBrackets_lo*C45)*(AD45-tb_nycBrackets_lo*C45)*tb_nycBrackets_dr))</f>
        <v/>
      </c>
      <c r="AF45" s="7">
        <f>AC45+AE45+X45+W45</f>
        <v/>
      </c>
      <c r="AG45" s="7">
        <f>D45+F45+R45+T45+H45</f>
        <v/>
      </c>
      <c r="AH45" s="7">
        <f>AG45-AF45-O45</f>
        <v/>
      </c>
      <c r="AI45" s="7">
        <f>D45+F45+G45+H45</f>
        <v/>
      </c>
      <c r="AJ45" s="7">
        <f>loc_gastosVida*C45*g_gastos</f>
        <v/>
      </c>
      <c r="AK45" s="7">
        <f>IF(12=0,personal_liquidoInicial,DR44)</f>
        <v/>
      </c>
      <c r="AL45" s="7">
        <f>IF(12=0,0,BB44)</f>
        <v/>
      </c>
      <c r="AM45" s="7">
        <f>CHOOSE(sel_cfgIdx,loc_precio_duplex,loc_precio_inlaw,loc_precio_dosCasas,loc_precio_casaAdu,loc_precio_multi)</f>
        <v/>
      </c>
      <c r="AN45" s="7">
        <f>AM45*(1+g_appr)^(A45-2026)</f>
        <v/>
      </c>
      <c r="AO45" s="7">
        <f>IF(AND(M45=1,vivienda_prestamoMedico=1),1,0)</f>
        <v/>
      </c>
      <c r="AP45" s="7">
        <f>IF(AO45=1,0.05,vivienda_enganchePct)</f>
        <v/>
      </c>
      <c r="AQ45" s="7">
        <f>AN45*(1-AP45)</f>
        <v/>
      </c>
      <c r="AR45" s="7">
        <f>PMT(g_mortRate/12,vivienda_plazoHipoteca*12,-AQ45)</f>
        <v/>
      </c>
      <c r="AS45" s="7">
        <f>INDEX(cfg_units,sel_cfgIdx)</f>
        <v/>
      </c>
      <c r="AT45" s="7">
        <f>AS45*loc_rentaUnidad*(1+g_inf)^(A45-2026)*(1-vivienda_vacancia)</f>
        <v/>
      </c>
      <c r="AU45" s="7">
        <f>AR45+AN45*loc_impuestoPropPct/12+AM45*loc_seguroPct*(1+vivienda_inflacionSeguro)^(A45-2026)/12+IF(AND(AO45=0,AP45&lt;0.2),AQ45*vivienda_pmiTasa/12,0)</f>
        <v/>
      </c>
      <c r="AV45" s="7">
        <f>AN45*AP45+AN45*vivienda_cierrePct+general_reservaMeses/12*AJ45</f>
        <v/>
      </c>
      <c r="AW45" s="7">
        <f>(IF(12=0,MIN(personal_irsSaldo,personal_irsPagoMensual*12),MIN(CD44,personal_irsPagoMensual*12))+IF(CE45&gt;0,PMT(CF45,MAX(1,prestamos_plazoAnios-CG45),-CE45),0)+IF(CR45&gt;0,PMT(CS45,MAX(1,prestamos_plazoAnios-CT45),-CR45),0))/12</f>
        <v/>
      </c>
      <c r="AX45" s="7">
        <f>IF(OR(sel_cfg="duplex",sel_cfg="multi",sel_cfg="dosCasas"),0.75*personal_aporteFamiliaMensual,0)</f>
        <v/>
      </c>
      <c r="AY45" s="7">
        <f>AU45-0.75*AT45-AX45+AW45</f>
        <v/>
      </c>
      <c r="AZ45" s="7">
        <f>(D45+G45+H45+0.5*F45)/12</f>
        <v/>
      </c>
      <c r="BA45" s="7">
        <f>IF(AND(AL45=0,A45&gt;=vivienda_anioMinCompra,J45&lt;0.5,AI45&gt;0,AK45&gt;=AV45,AY45&lt;=vivienda_dtiMax*AZ45),1,0)</f>
        <v/>
      </c>
      <c r="BB45" s="7">
        <f>MAX(AL45,BA45)</f>
        <v/>
      </c>
      <c r="BC45" s="7">
        <f>IF(BA45=1,A45,IF(12=0,"",BC44))</f>
        <v/>
      </c>
      <c r="BD45" s="7">
        <f>AK45-IF(BA45=1,AN45*AP45+AN45*vivienda_cierrePct,0)</f>
        <v/>
      </c>
      <c r="BE45" s="7">
        <f>IF(BA45=1,AN45,IF(12=0,0,BE44))</f>
        <v/>
      </c>
      <c r="BF45" s="7">
        <f>IF(BA45=1,AR45,IF(12=0,0,BF44))</f>
        <v/>
      </c>
      <c r="BG45" s="7">
        <f>IF(BA45=1,IF(AND(AO45=0,AP45&lt;0.2),1,0),IF(12=0,0,BY44))</f>
        <v/>
      </c>
      <c r="BH45" s="7">
        <f>IF(sel_cfg="casaAdu",1,0)</f>
        <v/>
      </c>
      <c r="BI45" s="7">
        <f>IF(AND(BB45=1,BH45=1,IF(12=0,0,BJ44)=0,A45&gt;=IF(BC45="",9999,BC45)+vivienda_aduRetrasoAnios),1,0)</f>
        <v/>
      </c>
      <c r="BJ45" s="7">
        <f>MAX(IF(12=0,0,BJ44),BI45)</f>
        <v/>
      </c>
      <c r="BK45" s="7">
        <f>IF(BI45=1,PMT((g_mortRate+0.005)/12,180,-loc_precio_aduCosto*C45),IF(12=0,0,BK44))</f>
        <v/>
      </c>
      <c r="BL45" s="7">
        <f>IF(BA45=1,AN45,IF(12=0,0,DT44))+IF(BI45=1,loc_precio_aduCosto*C45,0)</f>
        <v/>
      </c>
      <c r="BM45" s="7">
        <f>IF(BA45=1,AQ45,IF(12=0,0,DU44))</f>
        <v/>
      </c>
      <c r="BN45" s="7">
        <f>IF(BM45&lt;=0,0,FV(g_mortRate/12,12,BF45,-BM45))</f>
        <v/>
      </c>
      <c r="BO45" s="7">
        <f>IF(BM45&lt;=0,0,12*BF45+MIN(0,BN45))</f>
        <v/>
      </c>
      <c r="BP45" s="7">
        <f>MAX(0,BN45)</f>
        <v/>
      </c>
      <c r="BQ45" s="7">
        <f>IF(BI45=1,loc_precio_aduCosto*C45,IF(12=0,0,DV44))</f>
        <v/>
      </c>
      <c r="BR45" s="7">
        <f>IF(BQ45&lt;=0,0,FV((g_mortRate+0.005)/12,12,BK45,-BQ45))</f>
        <v/>
      </c>
      <c r="BS45" s="7">
        <f>IF(BQ45&lt;=0,0,12*BK45+MIN(0,BR45))</f>
        <v/>
      </c>
      <c r="BT45" s="7">
        <f>MAX(0,BR45)</f>
        <v/>
      </c>
      <c r="BU45" s="7">
        <f>IF(BB45=1,AM45*loc_seguroPct*(1+vivienda_inflacionSeguro)^(A45-2026)*IF(BJ45=1,1+loc_precio_aduCosto/AM45,1),0)</f>
        <v/>
      </c>
      <c r="BV45" s="7">
        <f>BL45*loc_impuestoPropPct</f>
        <v/>
      </c>
      <c r="BW45" s="7">
        <f>BL45*vivienda_mantenimientoPct</f>
        <v/>
      </c>
      <c r="BX45" s="7">
        <f>IF(AND(BG45=1,BP45&gt;0.8*BE45),BE45*(1-vivienda_enganchePct)*vivienda_pmiTasa,0)</f>
        <v/>
      </c>
      <c r="BY45" s="7">
        <f>IF(AND(BG45=1,BP45&gt;0.8*BE45),1,0)</f>
        <v/>
      </c>
      <c r="BZ45" s="7">
        <f>IF(BB45=1,AS45*loc_rentaUnidad*12*C45*(1-vivienda_vacancia)*(1-vivienda_gestionPct),0)</f>
        <v/>
      </c>
      <c r="CA45" s="7">
        <f>IF(BB45=1,BO45+BS45+BU45+BV45+BW45+BX45,loc_rentaMensual*12*C45)</f>
        <v/>
      </c>
      <c r="CB45" s="7">
        <f>IF(BB45=1,personal_aporteFamiliaMensual*12,0)</f>
        <v/>
      </c>
      <c r="CC45" s="7">
        <f>MIN(IF(12=0,personal_irsSaldo,CD44),personal_irsPagoMensual*12)</f>
        <v/>
      </c>
      <c r="CD45" s="7">
        <f>IF(12=0,personal_irsSaldo,CD44)-CC45</f>
        <v/>
      </c>
      <c r="CE45" s="7">
        <f>IF(12=0,IF(personal_deudaEsFederal=1,personal_deudaEstudiantil,0),DW44)</f>
        <v/>
      </c>
      <c r="CF45" s="7">
        <f>IF(12=0,personal_tasaDeudaEstudiantil,DX44)</f>
        <v/>
      </c>
      <c r="CG45" s="7">
        <f>IF(12=0,0,DY44)</f>
        <v/>
      </c>
      <c r="CH45" s="7">
        <f>IF(J45&gt;=0.5,1,0)</f>
        <v/>
      </c>
      <c r="CI45" s="7">
        <f>IF(AND(CH45=0,prestamos_pslfActivo=1,K45&gt;=0.5,CE45&gt;0),1,0)</f>
        <v/>
      </c>
      <c r="CJ45" s="7">
        <f>CE45*CF45</f>
        <v/>
      </c>
      <c r="CK45" s="7">
        <f>MAX(prestamos_rapPagoMinimoAnual,IF(Y45&lt;10000,0,MIN(0.1,INT(Y45/10000)/100))*Y45)</f>
        <v/>
      </c>
      <c r="CL45" s="7">
        <f>IF(CE45&lt;=0,0,IF(CH45=1,0,IF(CI45=1,MIN(CE45+CJ45,CK45),PMT(CF45,MAX(1,prestamos_plazoAnios-CG45),-CE45))))</f>
        <v/>
      </c>
      <c r="CM45" s="7">
        <f>IF(CE45&lt;=0,0,IF(CH45=1,CE45+CJ45,IF(CI45=1,MAX(0,CE45-MAX(CL45-CJ45,MIN(600,CL45))),MAX(0,CE45*(1+CF45)-CL45))))</f>
        <v/>
      </c>
      <c r="CN45" s="7">
        <f>IF(12=0,0,CN44)+IF(CI45=1,12*MIN(1,K45),0)</f>
        <v/>
      </c>
      <c r="CO45" s="7">
        <f>IF(AND(CI45=1,CN45&gt;=prestamos_pslfPagos,CM45&gt;0),CM45,0)</f>
        <v/>
      </c>
      <c r="CP45" s="7">
        <f>CM45-CO45</f>
        <v/>
      </c>
      <c r="CQ45" s="7">
        <f>IF(AND(CE45&gt;0,CH45=0,CI45=0),CG45+1,CG45)</f>
        <v/>
      </c>
      <c r="CR45" s="7">
        <f>IF(12=0,IF(personal_deudaEsFederal=1,0,personal_deudaEstudiantil),EA44)</f>
        <v/>
      </c>
      <c r="CS45" s="7">
        <f>IF(12=0,IF(personal_deudaEsFederal=1,prestamos_tasaPrivada,personal_tasaDeudaEstudiantil),EB44)</f>
        <v/>
      </c>
      <c r="CT45" s="7">
        <f>IF(12=0,0,EC44)</f>
        <v/>
      </c>
      <c r="CU45" s="7">
        <f>IF(OR(CR45&lt;=0,CH45=1),0,PMT(CS45,MAX(1,prestamos_plazoAnios-CT45),-CR45))</f>
        <v/>
      </c>
      <c r="CV45" s="7">
        <f>IF(CR45&lt;=0,0,IF(CH45=1,CR45*(1+CS45),MAX(0,CR45*(1+CS45)-CU45)))</f>
        <v/>
      </c>
      <c r="CW45" s="7">
        <f>IF(AND(CR45&gt;0,CH45=0),CT45+1,CT45)</f>
        <v/>
      </c>
      <c r="CX45" s="7">
        <f>IF(12=0,0,ED44)*(1+general_tasaDeudaConsumo)</f>
        <v/>
      </c>
      <c r="CY45" s="7">
        <f>L45*12*tiempos_travelGastoExtraMes*C45</f>
        <v/>
      </c>
      <c r="CZ45" s="7">
        <f>AJ45+CY45+CA45+CC45+CL45+CU45+I45+N45-BZ45-CB45</f>
        <v/>
      </c>
      <c r="DA45" s="7">
        <f>AH45-CZ45</f>
        <v/>
      </c>
      <c r="DB45" s="7">
        <f>IF(12=0,0,DB44)+DA45</f>
        <v/>
      </c>
      <c r="DC45" s="7">
        <f>AN45*vivienda_enganchePct+AN45*vivienda_cierrePct+general_reservaMeses/12*AJ45</f>
        <v/>
      </c>
      <c r="DD45" s="7">
        <f>IF(BB45=1,g_ret,IF(BD45&gt;0,MIN(1,DC45/BD45),1)*g_cash+(1-IF(BD45&gt;0,MIN(1,DC45/BD45),1))*g_ret)</f>
        <v/>
      </c>
      <c r="DE45" s="7">
        <f>IF(DA45&gt;=0,MIN(CX45,DA45),0)</f>
        <v/>
      </c>
      <c r="DF45" s="7">
        <f>IF(DA45&gt;=0,(1-general_tasaAhorro)*(DA45-DE45),0)</f>
        <v/>
      </c>
      <c r="DG45" s="7">
        <f>IF(DA45&gt;=0,DA45-DE45-DF45,0)</f>
        <v/>
      </c>
      <c r="DH45" s="7">
        <f>MIN(personal_rothAnual,DG45)</f>
        <v/>
      </c>
      <c r="DI45" s="7">
        <f>IF(AND(DA45&gt;=0,BB45=1,BP45+BT45&gt;0),MIN(vivienda_prepagoPct*(DG45-DH45),BP45+BT45),0)</f>
        <v/>
      </c>
      <c r="DJ45" s="7">
        <f>MIN(DI45,BP45)</f>
        <v/>
      </c>
      <c r="DK45" s="7">
        <f>IF(DA45&lt;0,MIN(MAX(0,BD45),-DA45),0)</f>
        <v/>
      </c>
      <c r="DL45" s="7">
        <f>IF(DA45&lt;0,-DA45-DK45,0)</f>
        <v/>
      </c>
      <c r="DM45" s="7">
        <f>IF(12=0,0,DZ44)</f>
        <v/>
      </c>
      <c r="DN45" s="7">
        <f>IF(AND(DL45&gt;0,J45&gt;0),MIN(DL45,MIN(prestamos_topeAnualPosgrado*MIN(1,J45),MAX(0,prestamos_topeTotalPosgrado-DM45))),0)</f>
        <v/>
      </c>
      <c r="DO45" s="7">
        <f>IF(AND(DL45&gt;0,J45&gt;0),DL45-DN45,0)</f>
        <v/>
      </c>
      <c r="DP45" s="7">
        <f>IF(AND(DL45&gt;0,J45&lt;=0),DL45,0)</f>
        <v/>
      </c>
      <c r="DQ45" s="7">
        <f>IF(DA45&gt;=0,DG45-DH45-DI45,-DK45)</f>
        <v/>
      </c>
      <c r="DR45" s="7">
        <f>BD45*(1+DD45)+DQ45*(1+DD45/2)</f>
        <v/>
      </c>
      <c r="DS45" s="7">
        <f>IF(12=0,personal_retiroInicial,DS44)*(1+g_ret)+(O45+P45+DH45)*(1+g_ret/2)</f>
        <v/>
      </c>
      <c r="DT45" s="7">
        <f>IF(BB45=1,BL45*(1+g_appr),0)</f>
        <v/>
      </c>
      <c r="DU45" s="7">
        <f>BP45-DJ45</f>
        <v/>
      </c>
      <c r="DV45" s="7">
        <f>BT45-(DI45-DJ45)</f>
        <v/>
      </c>
      <c r="DW45" s="7">
        <f>CP45+DN45</f>
        <v/>
      </c>
      <c r="DX45" s="7">
        <f>IF(DN45&gt;0,(CP45*CF45+DN45*prestamos_tasaFederalPosgrado)/(CP45+DN45),CF45)</f>
        <v/>
      </c>
      <c r="DY45" s="7">
        <f>IF(DN45&gt;0,0,CQ45)</f>
        <v/>
      </c>
      <c r="DZ45" s="7">
        <f>DM45+DN45</f>
        <v/>
      </c>
      <c r="EA45" s="7">
        <f>CV45+DO45</f>
        <v/>
      </c>
      <c r="EB45" s="7">
        <f>IF(DO45&gt;0,(CV45*CS45+DO45*prestamos_tasaPrivada)/(CV45+DO45),CS45)</f>
        <v/>
      </c>
      <c r="EC45" s="7">
        <f>IF(DO45&gt;0,0,CW45)</f>
        <v/>
      </c>
      <c r="ED45" s="7">
        <f>CX45-DE45+DP45</f>
        <v/>
      </c>
      <c r="EE45" s="7">
        <f>IF(IF(12=0,"",EE44)&lt;&gt;"",EE44,IF(AND(BB45=1,DU45&lt;=0.5,DV45&lt;=0.5,OR(BH45=0,BJ45=1)),A45,""))</f>
        <v/>
      </c>
      <c r="EF45" s="7">
        <f>DU45+DV45+DW45+EA45+ED45+CD45</f>
        <v/>
      </c>
      <c r="EG45" s="7">
        <f>DR45+DS45+DT45-EF45</f>
        <v/>
      </c>
      <c r="EH45" s="7">
        <f>EG45/(1+g_inf)^(A45+1-2026)</f>
        <v/>
      </c>
    </row>
    <row r="46">
      <c r="A46" t="n">
        <v>2040</v>
      </c>
      <c r="B46" t="n">
        <v>13</v>
      </c>
      <c r="C46" s="7">
        <f>(1+g_inf)^(A46-2026)</f>
        <v/>
      </c>
      <c r="D46" s="7">
        <f>SUMPRODUCT($AG$5:$AG$29,$E$5:$E$29*(1+$F$5:$F$29)^(A46-2026)*$G$5:$G$29*$H$5:$H$29*(1-$N$5:$N$29*$O$5:$O$29))*g_salMult+SUMPRODUCT(($B$5:$B$29&gt;=A46)*($B$5:$B$29&lt;A46+1)*$I$5:$I$29)*g_salMult</f>
        <v/>
      </c>
      <c r="E46" s="7">
        <f>SUMPRODUCT($AG$5:$AG$29,$E$5:$E$29*(1+$F$5:$F$29)^(A46-2026)*$G$5:$G$29*$H$5:$H$29*$M$5:$M$29)*g_salMult</f>
        <v/>
      </c>
      <c r="F46" s="7">
        <f>SUMPRODUCT($AG$5:$AG$29,$E$5:$E$29*(1+$F$5:$F$29)^(A46-2026)*$G$5:$G$29*$H$5:$H$29*$N$5:$N$29*$O$5:$O$29)*g_salMult</f>
        <v/>
      </c>
      <c r="G46" s="7">
        <f>SUMPRODUCT($AG$5:$AG$29,$P$5:$P$29*(1+$F$5:$F$29)^(A46-2026))</f>
        <v/>
      </c>
      <c r="H46" s="7">
        <f>SUMPRODUCT($AG$5:$AG$29,$Q$5:$Q$29*(1+$F$5:$F$29)^(A46-2026))+IF(personal_llcActivo=1,personal_llcNeto*(1+personal_llcCrecimiento)^13,0)</f>
        <v/>
      </c>
      <c r="I46" s="7">
        <f>SUMPRODUCT($AG$5:$AG$29,$J$5:$J$29/($C$5:$C$29-$B$5:$B$29+($C$5:$C$29=$B$5:$B$29)))*C46</f>
        <v/>
      </c>
      <c r="J46" s="7">
        <f>SUMPRODUCT($AG$5:$AG$29,$K$5:$K$29)</f>
        <v/>
      </c>
      <c r="K46" s="7">
        <f>SUMPRODUCT($AG$5:$AG$29,$L$5:$L$29)</f>
        <v/>
      </c>
      <c r="L46" s="7">
        <f>SUMPRODUCT($AG$5:$AG$29,$N$5:$N$29)</f>
        <v/>
      </c>
      <c r="M46" s="7">
        <f>IF(SUMPRODUCT($AG$5:$AG$29,$R$5:$R$29)&gt;0,1,0)</f>
        <v/>
      </c>
      <c r="N46" s="7">
        <f>SUMPRODUCT(($AO$5:$AO$24&gt;=A46)*($AO$5:$AO$24&lt;A46+1)*$AP$5:$AP$24)*C46+IF(13=0,IF(sel_loc&lt;&gt;"miami",personal_costoMudanzaInicial,0),0)</f>
        <v/>
      </c>
      <c r="O46" s="7">
        <f>MIN(personal_aporte403bPct*D46,retiro_limite403b*C46)</f>
        <v/>
      </c>
      <c r="P46" s="7">
        <f>MIN(personal_aporte403bPct,personal_match403bPct)*E46</f>
        <v/>
      </c>
      <c r="Q46" s="7">
        <f>IF(G46&gt;0,MAX(0,G46-impuestos_scorpCostoAnual*C46),0)</f>
        <v/>
      </c>
      <c r="R46" s="7">
        <f>Q46*impuestos_scorpSalarioPct/(1+impuestos_ssTasa+impuestos_medicareTasa)</f>
        <v/>
      </c>
      <c r="S46" s="7">
        <f>impuestos_ssTasa*MIN(R46,MAX(0,impuestos_ssTope*C46-D46))+impuestos_medicareTasa*R46</f>
        <v/>
      </c>
      <c r="T46" s="7">
        <f>Q46-R46-S46</f>
        <v/>
      </c>
      <c r="U46" s="7">
        <f>D46+R46</f>
        <v/>
      </c>
      <c r="V46" s="7">
        <f>H46*0.9235</f>
        <v/>
      </c>
      <c r="W46" s="7">
        <f>IF(H46&gt;0,2*impuestos_ssTasa*MIN(V46,MAX(0,impuestos_ssTope*C46-U46))+2*impuestos_medicareTasa*V46,0)</f>
        <v/>
      </c>
      <c r="X46" s="7">
        <f>impuestos_ssTasa*MIN(U46,impuestos_ssTope*C46)+impuestos_medicareTasa*U46+impuestos_medicareAdicional*MAX(0,U46+H46*0.9235-impuestos_medicareUmbral)</f>
        <v/>
      </c>
      <c r="Y46" s="7">
        <f>MAX(0,D46-O46+R46+T46+H46-W46/2)</f>
        <v/>
      </c>
      <c r="Z46" s="7">
        <f>MAX(0,Y46-impuestos_deduccionEstandar*C46)</f>
        <v/>
      </c>
      <c r="AA46" s="7">
        <f>MIN(0.2*MAX(0,T46+H46-W46/2)*MAX(0,MIN(1,1-(Z46-impuestos_qbiUmbral*C46)/(impuestos_qbiRango*C46))),0.2*Z46)</f>
        <v/>
      </c>
      <c r="AB46" s="7">
        <f>MAX(0,Z46-AA46)</f>
        <v/>
      </c>
      <c r="AC46" s="7">
        <f>SUMPRODUCT((AB46&gt;tb_federalBrackets_lo*C46)*(AB46-tb_federalBrackets_lo*C46)*tb_federalBrackets_dr)</f>
        <v/>
      </c>
      <c r="AD46" s="7">
        <f>MAX(0,Y46-impuestos_nyDeduccion*C46)</f>
        <v/>
      </c>
      <c r="AE46" s="7">
        <f>CHOOSE(loc_taxcode,0,impuestos_ohTasa*MAX(0,Y46-impuestos_ohExento*C46)+impuestos_ohMunicipal*U46,SUMPRODUCT((AD46&gt;tb_nyBrackets_lo*C46)*(AD46-tb_nyBrackets_lo*C46)*tb_nyBrackets_dr)+loc_nyc*SUMPRODUCT((AD46&gt;tb_nycBrackets_lo*C46)*(AD46-tb_nycBrackets_lo*C46)*tb_nycBrackets_dr))</f>
        <v/>
      </c>
      <c r="AF46" s="7">
        <f>AC46+AE46+X46+W46</f>
        <v/>
      </c>
      <c r="AG46" s="7">
        <f>D46+F46+R46+T46+H46</f>
        <v/>
      </c>
      <c r="AH46" s="7">
        <f>AG46-AF46-O46</f>
        <v/>
      </c>
      <c r="AI46" s="7">
        <f>D46+F46+G46+H46</f>
        <v/>
      </c>
      <c r="AJ46" s="7">
        <f>loc_gastosVida*C46*g_gastos</f>
        <v/>
      </c>
      <c r="AK46" s="7">
        <f>IF(13=0,personal_liquidoInicial,DR45)</f>
        <v/>
      </c>
      <c r="AL46" s="7">
        <f>IF(13=0,0,BB45)</f>
        <v/>
      </c>
      <c r="AM46" s="7">
        <f>CHOOSE(sel_cfgIdx,loc_precio_duplex,loc_precio_inlaw,loc_precio_dosCasas,loc_precio_casaAdu,loc_precio_multi)</f>
        <v/>
      </c>
      <c r="AN46" s="7">
        <f>AM46*(1+g_appr)^(A46-2026)</f>
        <v/>
      </c>
      <c r="AO46" s="7">
        <f>IF(AND(M46=1,vivienda_prestamoMedico=1),1,0)</f>
        <v/>
      </c>
      <c r="AP46" s="7">
        <f>IF(AO46=1,0.05,vivienda_enganchePct)</f>
        <v/>
      </c>
      <c r="AQ46" s="7">
        <f>AN46*(1-AP46)</f>
        <v/>
      </c>
      <c r="AR46" s="7">
        <f>PMT(g_mortRate/12,vivienda_plazoHipoteca*12,-AQ46)</f>
        <v/>
      </c>
      <c r="AS46" s="7">
        <f>INDEX(cfg_units,sel_cfgIdx)</f>
        <v/>
      </c>
      <c r="AT46" s="7">
        <f>AS46*loc_rentaUnidad*(1+g_inf)^(A46-2026)*(1-vivienda_vacancia)</f>
        <v/>
      </c>
      <c r="AU46" s="7">
        <f>AR46+AN46*loc_impuestoPropPct/12+AM46*loc_seguroPct*(1+vivienda_inflacionSeguro)^(A46-2026)/12+IF(AND(AO46=0,AP46&lt;0.2),AQ46*vivienda_pmiTasa/12,0)</f>
        <v/>
      </c>
      <c r="AV46" s="7">
        <f>AN46*AP46+AN46*vivienda_cierrePct+general_reservaMeses/12*AJ46</f>
        <v/>
      </c>
      <c r="AW46" s="7">
        <f>(IF(13=0,MIN(personal_irsSaldo,personal_irsPagoMensual*12),MIN(CD45,personal_irsPagoMensual*12))+IF(CE46&gt;0,PMT(CF46,MAX(1,prestamos_plazoAnios-CG46),-CE46),0)+IF(CR46&gt;0,PMT(CS46,MAX(1,prestamos_plazoAnios-CT46),-CR46),0))/12</f>
        <v/>
      </c>
      <c r="AX46" s="7">
        <f>IF(OR(sel_cfg="duplex",sel_cfg="multi",sel_cfg="dosCasas"),0.75*personal_aporteFamiliaMensual,0)</f>
        <v/>
      </c>
      <c r="AY46" s="7">
        <f>AU46-0.75*AT46-AX46+AW46</f>
        <v/>
      </c>
      <c r="AZ46" s="7">
        <f>(D46+G46+H46+0.5*F46)/12</f>
        <v/>
      </c>
      <c r="BA46" s="7">
        <f>IF(AND(AL46=0,A46&gt;=vivienda_anioMinCompra,J46&lt;0.5,AI46&gt;0,AK46&gt;=AV46,AY46&lt;=vivienda_dtiMax*AZ46),1,0)</f>
        <v/>
      </c>
      <c r="BB46" s="7">
        <f>MAX(AL46,BA46)</f>
        <v/>
      </c>
      <c r="BC46" s="7">
        <f>IF(BA46=1,A46,IF(13=0,"",BC45))</f>
        <v/>
      </c>
      <c r="BD46" s="7">
        <f>AK46-IF(BA46=1,AN46*AP46+AN46*vivienda_cierrePct,0)</f>
        <v/>
      </c>
      <c r="BE46" s="7">
        <f>IF(BA46=1,AN46,IF(13=0,0,BE45))</f>
        <v/>
      </c>
      <c r="BF46" s="7">
        <f>IF(BA46=1,AR46,IF(13=0,0,BF45))</f>
        <v/>
      </c>
      <c r="BG46" s="7">
        <f>IF(BA46=1,IF(AND(AO46=0,AP46&lt;0.2),1,0),IF(13=0,0,BY45))</f>
        <v/>
      </c>
      <c r="BH46" s="7">
        <f>IF(sel_cfg="casaAdu",1,0)</f>
        <v/>
      </c>
      <c r="BI46" s="7">
        <f>IF(AND(BB46=1,BH46=1,IF(13=0,0,BJ45)=0,A46&gt;=IF(BC46="",9999,BC46)+vivienda_aduRetrasoAnios),1,0)</f>
        <v/>
      </c>
      <c r="BJ46" s="7">
        <f>MAX(IF(13=0,0,BJ45),BI46)</f>
        <v/>
      </c>
      <c r="BK46" s="7">
        <f>IF(BI46=1,PMT((g_mortRate+0.005)/12,180,-loc_precio_aduCosto*C46),IF(13=0,0,BK45))</f>
        <v/>
      </c>
      <c r="BL46" s="7">
        <f>IF(BA46=1,AN46,IF(13=0,0,DT45))+IF(BI46=1,loc_precio_aduCosto*C46,0)</f>
        <v/>
      </c>
      <c r="BM46" s="7">
        <f>IF(BA46=1,AQ46,IF(13=0,0,DU45))</f>
        <v/>
      </c>
      <c r="BN46" s="7">
        <f>IF(BM46&lt;=0,0,FV(g_mortRate/12,12,BF46,-BM46))</f>
        <v/>
      </c>
      <c r="BO46" s="7">
        <f>IF(BM46&lt;=0,0,12*BF46+MIN(0,BN46))</f>
        <v/>
      </c>
      <c r="BP46" s="7">
        <f>MAX(0,BN46)</f>
        <v/>
      </c>
      <c r="BQ46" s="7">
        <f>IF(BI46=1,loc_precio_aduCosto*C46,IF(13=0,0,DV45))</f>
        <v/>
      </c>
      <c r="BR46" s="7">
        <f>IF(BQ46&lt;=0,0,FV((g_mortRate+0.005)/12,12,BK46,-BQ46))</f>
        <v/>
      </c>
      <c r="BS46" s="7">
        <f>IF(BQ46&lt;=0,0,12*BK46+MIN(0,BR46))</f>
        <v/>
      </c>
      <c r="BT46" s="7">
        <f>MAX(0,BR46)</f>
        <v/>
      </c>
      <c r="BU46" s="7">
        <f>IF(BB46=1,AM46*loc_seguroPct*(1+vivienda_inflacionSeguro)^(A46-2026)*IF(BJ46=1,1+loc_precio_aduCosto/AM46,1),0)</f>
        <v/>
      </c>
      <c r="BV46" s="7">
        <f>BL46*loc_impuestoPropPct</f>
        <v/>
      </c>
      <c r="BW46" s="7">
        <f>BL46*vivienda_mantenimientoPct</f>
        <v/>
      </c>
      <c r="BX46" s="7">
        <f>IF(AND(BG46=1,BP46&gt;0.8*BE46),BE46*(1-vivienda_enganchePct)*vivienda_pmiTasa,0)</f>
        <v/>
      </c>
      <c r="BY46" s="7">
        <f>IF(AND(BG46=1,BP46&gt;0.8*BE46),1,0)</f>
        <v/>
      </c>
      <c r="BZ46" s="7">
        <f>IF(BB46=1,AS46*loc_rentaUnidad*12*C46*(1-vivienda_vacancia)*(1-vivienda_gestionPct),0)</f>
        <v/>
      </c>
      <c r="CA46" s="7">
        <f>IF(BB46=1,BO46+BS46+BU46+BV46+BW46+BX46,loc_rentaMensual*12*C46)</f>
        <v/>
      </c>
      <c r="CB46" s="7">
        <f>IF(BB46=1,personal_aporteFamiliaMensual*12,0)</f>
        <v/>
      </c>
      <c r="CC46" s="7">
        <f>MIN(IF(13=0,personal_irsSaldo,CD45),personal_irsPagoMensual*12)</f>
        <v/>
      </c>
      <c r="CD46" s="7">
        <f>IF(13=0,personal_irsSaldo,CD45)-CC46</f>
        <v/>
      </c>
      <c r="CE46" s="7">
        <f>IF(13=0,IF(personal_deudaEsFederal=1,personal_deudaEstudiantil,0),DW45)</f>
        <v/>
      </c>
      <c r="CF46" s="7">
        <f>IF(13=0,personal_tasaDeudaEstudiantil,DX45)</f>
        <v/>
      </c>
      <c r="CG46" s="7">
        <f>IF(13=0,0,DY45)</f>
        <v/>
      </c>
      <c r="CH46" s="7">
        <f>IF(J46&gt;=0.5,1,0)</f>
        <v/>
      </c>
      <c r="CI46" s="7">
        <f>IF(AND(CH46=0,prestamos_pslfActivo=1,K46&gt;=0.5,CE46&gt;0),1,0)</f>
        <v/>
      </c>
      <c r="CJ46" s="7">
        <f>CE46*CF46</f>
        <v/>
      </c>
      <c r="CK46" s="7">
        <f>MAX(prestamos_rapPagoMinimoAnual,IF(Y46&lt;10000,0,MIN(0.1,INT(Y46/10000)/100))*Y46)</f>
        <v/>
      </c>
      <c r="CL46" s="7">
        <f>IF(CE46&lt;=0,0,IF(CH46=1,0,IF(CI46=1,MIN(CE46+CJ46,CK46),PMT(CF46,MAX(1,prestamos_plazoAnios-CG46),-CE46))))</f>
        <v/>
      </c>
      <c r="CM46" s="7">
        <f>IF(CE46&lt;=0,0,IF(CH46=1,CE46+CJ46,IF(CI46=1,MAX(0,CE46-MAX(CL46-CJ46,MIN(600,CL46))),MAX(0,CE46*(1+CF46)-CL46))))</f>
        <v/>
      </c>
      <c r="CN46" s="7">
        <f>IF(13=0,0,CN45)+IF(CI46=1,12*MIN(1,K46),0)</f>
        <v/>
      </c>
      <c r="CO46" s="7">
        <f>IF(AND(CI46=1,CN46&gt;=prestamos_pslfPagos,CM46&gt;0),CM46,0)</f>
        <v/>
      </c>
      <c r="CP46" s="7">
        <f>CM46-CO46</f>
        <v/>
      </c>
      <c r="CQ46" s="7">
        <f>IF(AND(CE46&gt;0,CH46=0,CI46=0),CG46+1,CG46)</f>
        <v/>
      </c>
      <c r="CR46" s="7">
        <f>IF(13=0,IF(personal_deudaEsFederal=1,0,personal_deudaEstudiantil),EA45)</f>
        <v/>
      </c>
      <c r="CS46" s="7">
        <f>IF(13=0,IF(personal_deudaEsFederal=1,prestamos_tasaPrivada,personal_tasaDeudaEstudiantil),EB45)</f>
        <v/>
      </c>
      <c r="CT46" s="7">
        <f>IF(13=0,0,EC45)</f>
        <v/>
      </c>
      <c r="CU46" s="7">
        <f>IF(OR(CR46&lt;=0,CH46=1),0,PMT(CS46,MAX(1,prestamos_plazoAnios-CT46),-CR46))</f>
        <v/>
      </c>
      <c r="CV46" s="7">
        <f>IF(CR46&lt;=0,0,IF(CH46=1,CR46*(1+CS46),MAX(0,CR46*(1+CS46)-CU46)))</f>
        <v/>
      </c>
      <c r="CW46" s="7">
        <f>IF(AND(CR46&gt;0,CH46=0),CT46+1,CT46)</f>
        <v/>
      </c>
      <c r="CX46" s="7">
        <f>IF(13=0,0,ED45)*(1+general_tasaDeudaConsumo)</f>
        <v/>
      </c>
      <c r="CY46" s="7">
        <f>L46*12*tiempos_travelGastoExtraMes*C46</f>
        <v/>
      </c>
      <c r="CZ46" s="7">
        <f>AJ46+CY46+CA46+CC46+CL46+CU46+I46+N46-BZ46-CB46</f>
        <v/>
      </c>
      <c r="DA46" s="7">
        <f>AH46-CZ46</f>
        <v/>
      </c>
      <c r="DB46" s="7">
        <f>IF(13=0,0,DB45)+DA46</f>
        <v/>
      </c>
      <c r="DC46" s="7">
        <f>AN46*vivienda_enganchePct+AN46*vivienda_cierrePct+general_reservaMeses/12*AJ46</f>
        <v/>
      </c>
      <c r="DD46" s="7">
        <f>IF(BB46=1,g_ret,IF(BD46&gt;0,MIN(1,DC46/BD46),1)*g_cash+(1-IF(BD46&gt;0,MIN(1,DC46/BD46),1))*g_ret)</f>
        <v/>
      </c>
      <c r="DE46" s="7">
        <f>IF(DA46&gt;=0,MIN(CX46,DA46),0)</f>
        <v/>
      </c>
      <c r="DF46" s="7">
        <f>IF(DA46&gt;=0,(1-general_tasaAhorro)*(DA46-DE46),0)</f>
        <v/>
      </c>
      <c r="DG46" s="7">
        <f>IF(DA46&gt;=0,DA46-DE46-DF46,0)</f>
        <v/>
      </c>
      <c r="DH46" s="7">
        <f>MIN(personal_rothAnual,DG46)</f>
        <v/>
      </c>
      <c r="DI46" s="7">
        <f>IF(AND(DA46&gt;=0,BB46=1,BP46+BT46&gt;0),MIN(vivienda_prepagoPct*(DG46-DH46),BP46+BT46),0)</f>
        <v/>
      </c>
      <c r="DJ46" s="7">
        <f>MIN(DI46,BP46)</f>
        <v/>
      </c>
      <c r="DK46" s="7">
        <f>IF(DA46&lt;0,MIN(MAX(0,BD46),-DA46),0)</f>
        <v/>
      </c>
      <c r="DL46" s="7">
        <f>IF(DA46&lt;0,-DA46-DK46,0)</f>
        <v/>
      </c>
      <c r="DM46" s="7">
        <f>IF(13=0,0,DZ45)</f>
        <v/>
      </c>
      <c r="DN46" s="7">
        <f>IF(AND(DL46&gt;0,J46&gt;0),MIN(DL46,MIN(prestamos_topeAnualPosgrado*MIN(1,J46),MAX(0,prestamos_topeTotalPosgrado-DM46))),0)</f>
        <v/>
      </c>
      <c r="DO46" s="7">
        <f>IF(AND(DL46&gt;0,J46&gt;0),DL46-DN46,0)</f>
        <v/>
      </c>
      <c r="DP46" s="7">
        <f>IF(AND(DL46&gt;0,J46&lt;=0),DL46,0)</f>
        <v/>
      </c>
      <c r="DQ46" s="7">
        <f>IF(DA46&gt;=0,DG46-DH46-DI46,-DK46)</f>
        <v/>
      </c>
      <c r="DR46" s="7">
        <f>BD46*(1+DD46)+DQ46*(1+DD46/2)</f>
        <v/>
      </c>
      <c r="DS46" s="7">
        <f>IF(13=0,personal_retiroInicial,DS45)*(1+g_ret)+(O46+P46+DH46)*(1+g_ret/2)</f>
        <v/>
      </c>
      <c r="DT46" s="7">
        <f>IF(BB46=1,BL46*(1+g_appr),0)</f>
        <v/>
      </c>
      <c r="DU46" s="7">
        <f>BP46-DJ46</f>
        <v/>
      </c>
      <c r="DV46" s="7">
        <f>BT46-(DI46-DJ46)</f>
        <v/>
      </c>
      <c r="DW46" s="7">
        <f>CP46+DN46</f>
        <v/>
      </c>
      <c r="DX46" s="7">
        <f>IF(DN46&gt;0,(CP46*CF46+DN46*prestamos_tasaFederalPosgrado)/(CP46+DN46),CF46)</f>
        <v/>
      </c>
      <c r="DY46" s="7">
        <f>IF(DN46&gt;0,0,CQ46)</f>
        <v/>
      </c>
      <c r="DZ46" s="7">
        <f>DM46+DN46</f>
        <v/>
      </c>
      <c r="EA46" s="7">
        <f>CV46+DO46</f>
        <v/>
      </c>
      <c r="EB46" s="7">
        <f>IF(DO46&gt;0,(CV46*CS46+DO46*prestamos_tasaPrivada)/(CV46+DO46),CS46)</f>
        <v/>
      </c>
      <c r="EC46" s="7">
        <f>IF(DO46&gt;0,0,CW46)</f>
        <v/>
      </c>
      <c r="ED46" s="7">
        <f>CX46-DE46+DP46</f>
        <v/>
      </c>
      <c r="EE46" s="7">
        <f>IF(IF(13=0,"",EE45)&lt;&gt;"",EE45,IF(AND(BB46=1,DU46&lt;=0.5,DV46&lt;=0.5,OR(BH46=0,BJ46=1)),A46,""))</f>
        <v/>
      </c>
      <c r="EF46" s="7">
        <f>DU46+DV46+DW46+EA46+ED46+CD46</f>
        <v/>
      </c>
      <c r="EG46" s="7">
        <f>DR46+DS46+DT46-EF46</f>
        <v/>
      </c>
      <c r="EH46" s="7">
        <f>EG46/(1+g_inf)^(A46+1-2026)</f>
        <v/>
      </c>
    </row>
    <row r="47">
      <c r="A47" t="n">
        <v>2041</v>
      </c>
      <c r="B47" t="n">
        <v>14</v>
      </c>
      <c r="C47" s="7">
        <f>(1+g_inf)^(A47-2026)</f>
        <v/>
      </c>
      <c r="D47" s="7">
        <f>SUMPRODUCT($AH$5:$AH$29,$E$5:$E$29*(1+$F$5:$F$29)^(A47-2026)*$G$5:$G$29*$H$5:$H$29*(1-$N$5:$N$29*$O$5:$O$29))*g_salMult+SUMPRODUCT(($B$5:$B$29&gt;=A47)*($B$5:$B$29&lt;A47+1)*$I$5:$I$29)*g_salMult</f>
        <v/>
      </c>
      <c r="E47" s="7">
        <f>SUMPRODUCT($AH$5:$AH$29,$E$5:$E$29*(1+$F$5:$F$29)^(A47-2026)*$G$5:$G$29*$H$5:$H$29*$M$5:$M$29)*g_salMult</f>
        <v/>
      </c>
      <c r="F47" s="7">
        <f>SUMPRODUCT($AH$5:$AH$29,$E$5:$E$29*(1+$F$5:$F$29)^(A47-2026)*$G$5:$G$29*$H$5:$H$29*$N$5:$N$29*$O$5:$O$29)*g_salMult</f>
        <v/>
      </c>
      <c r="G47" s="7">
        <f>SUMPRODUCT($AH$5:$AH$29,$P$5:$P$29*(1+$F$5:$F$29)^(A47-2026))</f>
        <v/>
      </c>
      <c r="H47" s="7">
        <f>SUMPRODUCT($AH$5:$AH$29,$Q$5:$Q$29*(1+$F$5:$F$29)^(A47-2026))+IF(personal_llcActivo=1,personal_llcNeto*(1+personal_llcCrecimiento)^14,0)</f>
        <v/>
      </c>
      <c r="I47" s="7">
        <f>SUMPRODUCT($AH$5:$AH$29,$J$5:$J$29/($C$5:$C$29-$B$5:$B$29+($C$5:$C$29=$B$5:$B$29)))*C47</f>
        <v/>
      </c>
      <c r="J47" s="7">
        <f>SUMPRODUCT($AH$5:$AH$29,$K$5:$K$29)</f>
        <v/>
      </c>
      <c r="K47" s="7">
        <f>SUMPRODUCT($AH$5:$AH$29,$L$5:$L$29)</f>
        <v/>
      </c>
      <c r="L47" s="7">
        <f>SUMPRODUCT($AH$5:$AH$29,$N$5:$N$29)</f>
        <v/>
      </c>
      <c r="M47" s="7">
        <f>IF(SUMPRODUCT($AH$5:$AH$29,$R$5:$R$29)&gt;0,1,0)</f>
        <v/>
      </c>
      <c r="N47" s="7">
        <f>SUMPRODUCT(($AO$5:$AO$24&gt;=A47)*($AO$5:$AO$24&lt;A47+1)*$AP$5:$AP$24)*C47+IF(14=0,IF(sel_loc&lt;&gt;"miami",personal_costoMudanzaInicial,0),0)</f>
        <v/>
      </c>
      <c r="O47" s="7">
        <f>MIN(personal_aporte403bPct*D47,retiro_limite403b*C47)</f>
        <v/>
      </c>
      <c r="P47" s="7">
        <f>MIN(personal_aporte403bPct,personal_match403bPct)*E47</f>
        <v/>
      </c>
      <c r="Q47" s="7">
        <f>IF(G47&gt;0,MAX(0,G47-impuestos_scorpCostoAnual*C47),0)</f>
        <v/>
      </c>
      <c r="R47" s="7">
        <f>Q47*impuestos_scorpSalarioPct/(1+impuestos_ssTasa+impuestos_medicareTasa)</f>
        <v/>
      </c>
      <c r="S47" s="7">
        <f>impuestos_ssTasa*MIN(R47,MAX(0,impuestos_ssTope*C47-D47))+impuestos_medicareTasa*R47</f>
        <v/>
      </c>
      <c r="T47" s="7">
        <f>Q47-R47-S47</f>
        <v/>
      </c>
      <c r="U47" s="7">
        <f>D47+R47</f>
        <v/>
      </c>
      <c r="V47" s="7">
        <f>H47*0.9235</f>
        <v/>
      </c>
      <c r="W47" s="7">
        <f>IF(H47&gt;0,2*impuestos_ssTasa*MIN(V47,MAX(0,impuestos_ssTope*C47-U47))+2*impuestos_medicareTasa*V47,0)</f>
        <v/>
      </c>
      <c r="X47" s="7">
        <f>impuestos_ssTasa*MIN(U47,impuestos_ssTope*C47)+impuestos_medicareTasa*U47+impuestos_medicareAdicional*MAX(0,U47+H47*0.9235-impuestos_medicareUmbral)</f>
        <v/>
      </c>
      <c r="Y47" s="7">
        <f>MAX(0,D47-O47+R47+T47+H47-W47/2)</f>
        <v/>
      </c>
      <c r="Z47" s="7">
        <f>MAX(0,Y47-impuestos_deduccionEstandar*C47)</f>
        <v/>
      </c>
      <c r="AA47" s="7">
        <f>MIN(0.2*MAX(0,T47+H47-W47/2)*MAX(0,MIN(1,1-(Z47-impuestos_qbiUmbral*C47)/(impuestos_qbiRango*C47))),0.2*Z47)</f>
        <v/>
      </c>
      <c r="AB47" s="7">
        <f>MAX(0,Z47-AA47)</f>
        <v/>
      </c>
      <c r="AC47" s="7">
        <f>SUMPRODUCT((AB47&gt;tb_federalBrackets_lo*C47)*(AB47-tb_federalBrackets_lo*C47)*tb_federalBrackets_dr)</f>
        <v/>
      </c>
      <c r="AD47" s="7">
        <f>MAX(0,Y47-impuestos_nyDeduccion*C47)</f>
        <v/>
      </c>
      <c r="AE47" s="7">
        <f>CHOOSE(loc_taxcode,0,impuestos_ohTasa*MAX(0,Y47-impuestos_ohExento*C47)+impuestos_ohMunicipal*U47,SUMPRODUCT((AD47&gt;tb_nyBrackets_lo*C47)*(AD47-tb_nyBrackets_lo*C47)*tb_nyBrackets_dr)+loc_nyc*SUMPRODUCT((AD47&gt;tb_nycBrackets_lo*C47)*(AD47-tb_nycBrackets_lo*C47)*tb_nycBrackets_dr))</f>
        <v/>
      </c>
      <c r="AF47" s="7">
        <f>AC47+AE47+X47+W47</f>
        <v/>
      </c>
      <c r="AG47" s="7">
        <f>D47+F47+R47+T47+H47</f>
        <v/>
      </c>
      <c r="AH47" s="7">
        <f>AG47-AF47-O47</f>
        <v/>
      </c>
      <c r="AI47" s="7">
        <f>D47+F47+G47+H47</f>
        <v/>
      </c>
      <c r="AJ47" s="7">
        <f>loc_gastosVida*C47*g_gastos</f>
        <v/>
      </c>
      <c r="AK47" s="7">
        <f>IF(14=0,personal_liquidoInicial,DR46)</f>
        <v/>
      </c>
      <c r="AL47" s="7">
        <f>IF(14=0,0,BB46)</f>
        <v/>
      </c>
      <c r="AM47" s="7">
        <f>CHOOSE(sel_cfgIdx,loc_precio_duplex,loc_precio_inlaw,loc_precio_dosCasas,loc_precio_casaAdu,loc_precio_multi)</f>
        <v/>
      </c>
      <c r="AN47" s="7">
        <f>AM47*(1+g_appr)^(A47-2026)</f>
        <v/>
      </c>
      <c r="AO47" s="7">
        <f>IF(AND(M47=1,vivienda_prestamoMedico=1),1,0)</f>
        <v/>
      </c>
      <c r="AP47" s="7">
        <f>IF(AO47=1,0.05,vivienda_enganchePct)</f>
        <v/>
      </c>
      <c r="AQ47" s="7">
        <f>AN47*(1-AP47)</f>
        <v/>
      </c>
      <c r="AR47" s="7">
        <f>PMT(g_mortRate/12,vivienda_plazoHipoteca*12,-AQ47)</f>
        <v/>
      </c>
      <c r="AS47" s="7">
        <f>INDEX(cfg_units,sel_cfgIdx)</f>
        <v/>
      </c>
      <c r="AT47" s="7">
        <f>AS47*loc_rentaUnidad*(1+g_inf)^(A47-2026)*(1-vivienda_vacancia)</f>
        <v/>
      </c>
      <c r="AU47" s="7">
        <f>AR47+AN47*loc_impuestoPropPct/12+AM47*loc_seguroPct*(1+vivienda_inflacionSeguro)^(A47-2026)/12+IF(AND(AO47=0,AP47&lt;0.2),AQ47*vivienda_pmiTasa/12,0)</f>
        <v/>
      </c>
      <c r="AV47" s="7">
        <f>AN47*AP47+AN47*vivienda_cierrePct+general_reservaMeses/12*AJ47</f>
        <v/>
      </c>
      <c r="AW47" s="7">
        <f>(IF(14=0,MIN(personal_irsSaldo,personal_irsPagoMensual*12),MIN(CD46,personal_irsPagoMensual*12))+IF(CE47&gt;0,PMT(CF47,MAX(1,prestamos_plazoAnios-CG47),-CE47),0)+IF(CR47&gt;0,PMT(CS47,MAX(1,prestamos_plazoAnios-CT47),-CR47),0))/12</f>
        <v/>
      </c>
      <c r="AX47" s="7">
        <f>IF(OR(sel_cfg="duplex",sel_cfg="multi",sel_cfg="dosCasas"),0.75*personal_aporteFamiliaMensual,0)</f>
        <v/>
      </c>
      <c r="AY47" s="7">
        <f>AU47-0.75*AT47-AX47+AW47</f>
        <v/>
      </c>
      <c r="AZ47" s="7">
        <f>(D47+G47+H47+0.5*F47)/12</f>
        <v/>
      </c>
      <c r="BA47" s="7">
        <f>IF(AND(AL47=0,A47&gt;=vivienda_anioMinCompra,J47&lt;0.5,AI47&gt;0,AK47&gt;=AV47,AY47&lt;=vivienda_dtiMax*AZ47),1,0)</f>
        <v/>
      </c>
      <c r="BB47" s="7">
        <f>MAX(AL47,BA47)</f>
        <v/>
      </c>
      <c r="BC47" s="7">
        <f>IF(BA47=1,A47,IF(14=0,"",BC46))</f>
        <v/>
      </c>
      <c r="BD47" s="7">
        <f>AK47-IF(BA47=1,AN47*AP47+AN47*vivienda_cierrePct,0)</f>
        <v/>
      </c>
      <c r="BE47" s="7">
        <f>IF(BA47=1,AN47,IF(14=0,0,BE46))</f>
        <v/>
      </c>
      <c r="BF47" s="7">
        <f>IF(BA47=1,AR47,IF(14=0,0,BF46))</f>
        <v/>
      </c>
      <c r="BG47" s="7">
        <f>IF(BA47=1,IF(AND(AO47=0,AP47&lt;0.2),1,0),IF(14=0,0,BY46))</f>
        <v/>
      </c>
      <c r="BH47" s="7">
        <f>IF(sel_cfg="casaAdu",1,0)</f>
        <v/>
      </c>
      <c r="BI47" s="7">
        <f>IF(AND(BB47=1,BH47=1,IF(14=0,0,BJ46)=0,A47&gt;=IF(BC47="",9999,BC47)+vivienda_aduRetrasoAnios),1,0)</f>
        <v/>
      </c>
      <c r="BJ47" s="7">
        <f>MAX(IF(14=0,0,BJ46),BI47)</f>
        <v/>
      </c>
      <c r="BK47" s="7">
        <f>IF(BI47=1,PMT((g_mortRate+0.005)/12,180,-loc_precio_aduCosto*C47),IF(14=0,0,BK46))</f>
        <v/>
      </c>
      <c r="BL47" s="7">
        <f>IF(BA47=1,AN47,IF(14=0,0,DT46))+IF(BI47=1,loc_precio_aduCosto*C47,0)</f>
        <v/>
      </c>
      <c r="BM47" s="7">
        <f>IF(BA47=1,AQ47,IF(14=0,0,DU46))</f>
        <v/>
      </c>
      <c r="BN47" s="7">
        <f>IF(BM47&lt;=0,0,FV(g_mortRate/12,12,BF47,-BM47))</f>
        <v/>
      </c>
      <c r="BO47" s="7">
        <f>IF(BM47&lt;=0,0,12*BF47+MIN(0,BN47))</f>
        <v/>
      </c>
      <c r="BP47" s="7">
        <f>MAX(0,BN47)</f>
        <v/>
      </c>
      <c r="BQ47" s="7">
        <f>IF(BI47=1,loc_precio_aduCosto*C47,IF(14=0,0,DV46))</f>
        <v/>
      </c>
      <c r="BR47" s="7">
        <f>IF(BQ47&lt;=0,0,FV((g_mortRate+0.005)/12,12,BK47,-BQ47))</f>
        <v/>
      </c>
      <c r="BS47" s="7">
        <f>IF(BQ47&lt;=0,0,12*BK47+MIN(0,BR47))</f>
        <v/>
      </c>
      <c r="BT47" s="7">
        <f>MAX(0,BR47)</f>
        <v/>
      </c>
      <c r="BU47" s="7">
        <f>IF(BB47=1,AM47*loc_seguroPct*(1+vivienda_inflacionSeguro)^(A47-2026)*IF(BJ47=1,1+loc_precio_aduCosto/AM47,1),0)</f>
        <v/>
      </c>
      <c r="BV47" s="7">
        <f>BL47*loc_impuestoPropPct</f>
        <v/>
      </c>
      <c r="BW47" s="7">
        <f>BL47*vivienda_mantenimientoPct</f>
        <v/>
      </c>
      <c r="BX47" s="7">
        <f>IF(AND(BG47=1,BP47&gt;0.8*BE47),BE47*(1-vivienda_enganchePct)*vivienda_pmiTasa,0)</f>
        <v/>
      </c>
      <c r="BY47" s="7">
        <f>IF(AND(BG47=1,BP47&gt;0.8*BE47),1,0)</f>
        <v/>
      </c>
      <c r="BZ47" s="7">
        <f>IF(BB47=1,AS47*loc_rentaUnidad*12*C47*(1-vivienda_vacancia)*(1-vivienda_gestionPct),0)</f>
        <v/>
      </c>
      <c r="CA47" s="7">
        <f>IF(BB47=1,BO47+BS47+BU47+BV47+BW47+BX47,loc_rentaMensual*12*C47)</f>
        <v/>
      </c>
      <c r="CB47" s="7">
        <f>IF(BB47=1,personal_aporteFamiliaMensual*12,0)</f>
        <v/>
      </c>
      <c r="CC47" s="7">
        <f>MIN(IF(14=0,personal_irsSaldo,CD46),personal_irsPagoMensual*12)</f>
        <v/>
      </c>
      <c r="CD47" s="7">
        <f>IF(14=0,personal_irsSaldo,CD46)-CC47</f>
        <v/>
      </c>
      <c r="CE47" s="7">
        <f>IF(14=0,IF(personal_deudaEsFederal=1,personal_deudaEstudiantil,0),DW46)</f>
        <v/>
      </c>
      <c r="CF47" s="7">
        <f>IF(14=0,personal_tasaDeudaEstudiantil,DX46)</f>
        <v/>
      </c>
      <c r="CG47" s="7">
        <f>IF(14=0,0,DY46)</f>
        <v/>
      </c>
      <c r="CH47" s="7">
        <f>IF(J47&gt;=0.5,1,0)</f>
        <v/>
      </c>
      <c r="CI47" s="7">
        <f>IF(AND(CH47=0,prestamos_pslfActivo=1,K47&gt;=0.5,CE47&gt;0),1,0)</f>
        <v/>
      </c>
      <c r="CJ47" s="7">
        <f>CE47*CF47</f>
        <v/>
      </c>
      <c r="CK47" s="7">
        <f>MAX(prestamos_rapPagoMinimoAnual,IF(Y47&lt;10000,0,MIN(0.1,INT(Y47/10000)/100))*Y47)</f>
        <v/>
      </c>
      <c r="CL47" s="7">
        <f>IF(CE47&lt;=0,0,IF(CH47=1,0,IF(CI47=1,MIN(CE47+CJ47,CK47),PMT(CF47,MAX(1,prestamos_plazoAnios-CG47),-CE47))))</f>
        <v/>
      </c>
      <c r="CM47" s="7">
        <f>IF(CE47&lt;=0,0,IF(CH47=1,CE47+CJ47,IF(CI47=1,MAX(0,CE47-MAX(CL47-CJ47,MIN(600,CL47))),MAX(0,CE47*(1+CF47)-CL47))))</f>
        <v/>
      </c>
      <c r="CN47" s="7">
        <f>IF(14=0,0,CN46)+IF(CI47=1,12*MIN(1,K47),0)</f>
        <v/>
      </c>
      <c r="CO47" s="7">
        <f>IF(AND(CI47=1,CN47&gt;=prestamos_pslfPagos,CM47&gt;0),CM47,0)</f>
        <v/>
      </c>
      <c r="CP47" s="7">
        <f>CM47-CO47</f>
        <v/>
      </c>
      <c r="CQ47" s="7">
        <f>IF(AND(CE47&gt;0,CH47=0,CI47=0),CG47+1,CG47)</f>
        <v/>
      </c>
      <c r="CR47" s="7">
        <f>IF(14=0,IF(personal_deudaEsFederal=1,0,personal_deudaEstudiantil),EA46)</f>
        <v/>
      </c>
      <c r="CS47" s="7">
        <f>IF(14=0,IF(personal_deudaEsFederal=1,prestamos_tasaPrivada,personal_tasaDeudaEstudiantil),EB46)</f>
        <v/>
      </c>
      <c r="CT47" s="7">
        <f>IF(14=0,0,EC46)</f>
        <v/>
      </c>
      <c r="CU47" s="7">
        <f>IF(OR(CR47&lt;=0,CH47=1),0,PMT(CS47,MAX(1,prestamos_plazoAnios-CT47),-CR47))</f>
        <v/>
      </c>
      <c r="CV47" s="7">
        <f>IF(CR47&lt;=0,0,IF(CH47=1,CR47*(1+CS47),MAX(0,CR47*(1+CS47)-CU47)))</f>
        <v/>
      </c>
      <c r="CW47" s="7">
        <f>IF(AND(CR47&gt;0,CH47=0),CT47+1,CT47)</f>
        <v/>
      </c>
      <c r="CX47" s="7">
        <f>IF(14=0,0,ED46)*(1+general_tasaDeudaConsumo)</f>
        <v/>
      </c>
      <c r="CY47" s="7">
        <f>L47*12*tiempos_travelGastoExtraMes*C47</f>
        <v/>
      </c>
      <c r="CZ47" s="7">
        <f>AJ47+CY47+CA47+CC47+CL47+CU47+I47+N47-BZ47-CB47</f>
        <v/>
      </c>
      <c r="DA47" s="7">
        <f>AH47-CZ47</f>
        <v/>
      </c>
      <c r="DB47" s="7">
        <f>IF(14=0,0,DB46)+DA47</f>
        <v/>
      </c>
      <c r="DC47" s="7">
        <f>AN47*vivienda_enganchePct+AN47*vivienda_cierrePct+general_reservaMeses/12*AJ47</f>
        <v/>
      </c>
      <c r="DD47" s="7">
        <f>IF(BB47=1,g_ret,IF(BD47&gt;0,MIN(1,DC47/BD47),1)*g_cash+(1-IF(BD47&gt;0,MIN(1,DC47/BD47),1))*g_ret)</f>
        <v/>
      </c>
      <c r="DE47" s="7">
        <f>IF(DA47&gt;=0,MIN(CX47,DA47),0)</f>
        <v/>
      </c>
      <c r="DF47" s="7">
        <f>IF(DA47&gt;=0,(1-general_tasaAhorro)*(DA47-DE47),0)</f>
        <v/>
      </c>
      <c r="DG47" s="7">
        <f>IF(DA47&gt;=0,DA47-DE47-DF47,0)</f>
        <v/>
      </c>
      <c r="DH47" s="7">
        <f>MIN(personal_rothAnual,DG47)</f>
        <v/>
      </c>
      <c r="DI47" s="7">
        <f>IF(AND(DA47&gt;=0,BB47=1,BP47+BT47&gt;0),MIN(vivienda_prepagoPct*(DG47-DH47),BP47+BT47),0)</f>
        <v/>
      </c>
      <c r="DJ47" s="7">
        <f>MIN(DI47,BP47)</f>
        <v/>
      </c>
      <c r="DK47" s="7">
        <f>IF(DA47&lt;0,MIN(MAX(0,BD47),-DA47),0)</f>
        <v/>
      </c>
      <c r="DL47" s="7">
        <f>IF(DA47&lt;0,-DA47-DK47,0)</f>
        <v/>
      </c>
      <c r="DM47" s="7">
        <f>IF(14=0,0,DZ46)</f>
        <v/>
      </c>
      <c r="DN47" s="7">
        <f>IF(AND(DL47&gt;0,J47&gt;0),MIN(DL47,MIN(prestamos_topeAnualPosgrado*MIN(1,J47),MAX(0,prestamos_topeTotalPosgrado-DM47))),0)</f>
        <v/>
      </c>
      <c r="DO47" s="7">
        <f>IF(AND(DL47&gt;0,J47&gt;0),DL47-DN47,0)</f>
        <v/>
      </c>
      <c r="DP47" s="7">
        <f>IF(AND(DL47&gt;0,J47&lt;=0),DL47,0)</f>
        <v/>
      </c>
      <c r="DQ47" s="7">
        <f>IF(DA47&gt;=0,DG47-DH47-DI47,-DK47)</f>
        <v/>
      </c>
      <c r="DR47" s="7">
        <f>BD47*(1+DD47)+DQ47*(1+DD47/2)</f>
        <v/>
      </c>
      <c r="DS47" s="7">
        <f>IF(14=0,personal_retiroInicial,DS46)*(1+g_ret)+(O47+P47+DH47)*(1+g_ret/2)</f>
        <v/>
      </c>
      <c r="DT47" s="7">
        <f>IF(BB47=1,BL47*(1+g_appr),0)</f>
        <v/>
      </c>
      <c r="DU47" s="7">
        <f>BP47-DJ47</f>
        <v/>
      </c>
      <c r="DV47" s="7">
        <f>BT47-(DI47-DJ47)</f>
        <v/>
      </c>
      <c r="DW47" s="7">
        <f>CP47+DN47</f>
        <v/>
      </c>
      <c r="DX47" s="7">
        <f>IF(DN47&gt;0,(CP47*CF47+DN47*prestamos_tasaFederalPosgrado)/(CP47+DN47),CF47)</f>
        <v/>
      </c>
      <c r="DY47" s="7">
        <f>IF(DN47&gt;0,0,CQ47)</f>
        <v/>
      </c>
      <c r="DZ47" s="7">
        <f>DM47+DN47</f>
        <v/>
      </c>
      <c r="EA47" s="7">
        <f>CV47+DO47</f>
        <v/>
      </c>
      <c r="EB47" s="7">
        <f>IF(DO47&gt;0,(CV47*CS47+DO47*prestamos_tasaPrivada)/(CV47+DO47),CS47)</f>
        <v/>
      </c>
      <c r="EC47" s="7">
        <f>IF(DO47&gt;0,0,CW47)</f>
        <v/>
      </c>
      <c r="ED47" s="7">
        <f>CX47-DE47+DP47</f>
        <v/>
      </c>
      <c r="EE47" s="7">
        <f>IF(IF(14=0,"",EE46)&lt;&gt;"",EE46,IF(AND(BB47=1,DU47&lt;=0.5,DV47&lt;=0.5,OR(BH47=0,BJ47=1)),A47,""))</f>
        <v/>
      </c>
      <c r="EF47" s="7">
        <f>DU47+DV47+DW47+EA47+ED47+CD47</f>
        <v/>
      </c>
      <c r="EG47" s="7">
        <f>DR47+DS47+DT47-EF47</f>
        <v/>
      </c>
      <c r="EH47" s="7">
        <f>EG47/(1+g_inf)^(A47+1-2026)</f>
        <v/>
      </c>
    </row>
    <row r="48">
      <c r="A48" t="n">
        <v>2042</v>
      </c>
      <c r="B48" t="n">
        <v>15</v>
      </c>
      <c r="C48" s="7">
        <f>(1+g_inf)^(A48-2026)</f>
        <v/>
      </c>
      <c r="D48" s="7">
        <f>SUMPRODUCT($AI$5:$AI$29,$E$5:$E$29*(1+$F$5:$F$29)^(A48-2026)*$G$5:$G$29*$H$5:$H$29*(1-$N$5:$N$29*$O$5:$O$29))*g_salMult+SUMPRODUCT(($B$5:$B$29&gt;=A48)*($B$5:$B$29&lt;A48+1)*$I$5:$I$29)*g_salMult</f>
        <v/>
      </c>
      <c r="E48" s="7">
        <f>SUMPRODUCT($AI$5:$AI$29,$E$5:$E$29*(1+$F$5:$F$29)^(A48-2026)*$G$5:$G$29*$H$5:$H$29*$M$5:$M$29)*g_salMult</f>
        <v/>
      </c>
      <c r="F48" s="7">
        <f>SUMPRODUCT($AI$5:$AI$29,$E$5:$E$29*(1+$F$5:$F$29)^(A48-2026)*$G$5:$G$29*$H$5:$H$29*$N$5:$N$29*$O$5:$O$29)*g_salMult</f>
        <v/>
      </c>
      <c r="G48" s="7">
        <f>SUMPRODUCT($AI$5:$AI$29,$P$5:$P$29*(1+$F$5:$F$29)^(A48-2026))</f>
        <v/>
      </c>
      <c r="H48" s="7">
        <f>SUMPRODUCT($AI$5:$AI$29,$Q$5:$Q$29*(1+$F$5:$F$29)^(A48-2026))+IF(personal_llcActivo=1,personal_llcNeto*(1+personal_llcCrecimiento)^15,0)</f>
        <v/>
      </c>
      <c r="I48" s="7">
        <f>SUMPRODUCT($AI$5:$AI$29,$J$5:$J$29/($C$5:$C$29-$B$5:$B$29+($C$5:$C$29=$B$5:$B$29)))*C48</f>
        <v/>
      </c>
      <c r="J48" s="7">
        <f>SUMPRODUCT($AI$5:$AI$29,$K$5:$K$29)</f>
        <v/>
      </c>
      <c r="K48" s="7">
        <f>SUMPRODUCT($AI$5:$AI$29,$L$5:$L$29)</f>
        <v/>
      </c>
      <c r="L48" s="7">
        <f>SUMPRODUCT($AI$5:$AI$29,$N$5:$N$29)</f>
        <v/>
      </c>
      <c r="M48" s="7">
        <f>IF(SUMPRODUCT($AI$5:$AI$29,$R$5:$R$29)&gt;0,1,0)</f>
        <v/>
      </c>
      <c r="N48" s="7">
        <f>SUMPRODUCT(($AO$5:$AO$24&gt;=A48)*($AO$5:$AO$24&lt;A48+1)*$AP$5:$AP$24)*C48+IF(15=0,IF(sel_loc&lt;&gt;"miami",personal_costoMudanzaInicial,0),0)</f>
        <v/>
      </c>
      <c r="O48" s="7">
        <f>MIN(personal_aporte403bPct*D48,retiro_limite403b*C48)</f>
        <v/>
      </c>
      <c r="P48" s="7">
        <f>MIN(personal_aporte403bPct,personal_match403bPct)*E48</f>
        <v/>
      </c>
      <c r="Q48" s="7">
        <f>IF(G48&gt;0,MAX(0,G48-impuestos_scorpCostoAnual*C48),0)</f>
        <v/>
      </c>
      <c r="R48" s="7">
        <f>Q48*impuestos_scorpSalarioPct/(1+impuestos_ssTasa+impuestos_medicareTasa)</f>
        <v/>
      </c>
      <c r="S48" s="7">
        <f>impuestos_ssTasa*MIN(R48,MAX(0,impuestos_ssTope*C48-D48))+impuestos_medicareTasa*R48</f>
        <v/>
      </c>
      <c r="T48" s="7">
        <f>Q48-R48-S48</f>
        <v/>
      </c>
      <c r="U48" s="7">
        <f>D48+R48</f>
        <v/>
      </c>
      <c r="V48" s="7">
        <f>H48*0.9235</f>
        <v/>
      </c>
      <c r="W48" s="7">
        <f>IF(H48&gt;0,2*impuestos_ssTasa*MIN(V48,MAX(0,impuestos_ssTope*C48-U48))+2*impuestos_medicareTasa*V48,0)</f>
        <v/>
      </c>
      <c r="X48" s="7">
        <f>impuestos_ssTasa*MIN(U48,impuestos_ssTope*C48)+impuestos_medicareTasa*U48+impuestos_medicareAdicional*MAX(0,U48+H48*0.9235-impuestos_medicareUmbral)</f>
        <v/>
      </c>
      <c r="Y48" s="7">
        <f>MAX(0,D48-O48+R48+T48+H48-W48/2)</f>
        <v/>
      </c>
      <c r="Z48" s="7">
        <f>MAX(0,Y48-impuestos_deduccionEstandar*C48)</f>
        <v/>
      </c>
      <c r="AA48" s="7">
        <f>MIN(0.2*MAX(0,T48+H48-W48/2)*MAX(0,MIN(1,1-(Z48-impuestos_qbiUmbral*C48)/(impuestos_qbiRango*C48))),0.2*Z48)</f>
        <v/>
      </c>
      <c r="AB48" s="7">
        <f>MAX(0,Z48-AA48)</f>
        <v/>
      </c>
      <c r="AC48" s="7">
        <f>SUMPRODUCT((AB48&gt;tb_federalBrackets_lo*C48)*(AB48-tb_federalBrackets_lo*C48)*tb_federalBrackets_dr)</f>
        <v/>
      </c>
      <c r="AD48" s="7">
        <f>MAX(0,Y48-impuestos_nyDeduccion*C48)</f>
        <v/>
      </c>
      <c r="AE48" s="7">
        <f>CHOOSE(loc_taxcode,0,impuestos_ohTasa*MAX(0,Y48-impuestos_ohExento*C48)+impuestos_ohMunicipal*U48,SUMPRODUCT((AD48&gt;tb_nyBrackets_lo*C48)*(AD48-tb_nyBrackets_lo*C48)*tb_nyBrackets_dr)+loc_nyc*SUMPRODUCT((AD48&gt;tb_nycBrackets_lo*C48)*(AD48-tb_nycBrackets_lo*C48)*tb_nycBrackets_dr))</f>
        <v/>
      </c>
      <c r="AF48" s="7">
        <f>AC48+AE48+X48+W48</f>
        <v/>
      </c>
      <c r="AG48" s="7">
        <f>D48+F48+R48+T48+H48</f>
        <v/>
      </c>
      <c r="AH48" s="7">
        <f>AG48-AF48-O48</f>
        <v/>
      </c>
      <c r="AI48" s="7">
        <f>D48+F48+G48+H48</f>
        <v/>
      </c>
      <c r="AJ48" s="7">
        <f>loc_gastosVida*C48*g_gastos</f>
        <v/>
      </c>
      <c r="AK48" s="7">
        <f>IF(15=0,personal_liquidoInicial,DR47)</f>
        <v/>
      </c>
      <c r="AL48" s="7">
        <f>IF(15=0,0,BB47)</f>
        <v/>
      </c>
      <c r="AM48" s="7">
        <f>CHOOSE(sel_cfgIdx,loc_precio_duplex,loc_precio_inlaw,loc_precio_dosCasas,loc_precio_casaAdu,loc_precio_multi)</f>
        <v/>
      </c>
      <c r="AN48" s="7">
        <f>AM48*(1+g_appr)^(A48-2026)</f>
        <v/>
      </c>
      <c r="AO48" s="7">
        <f>IF(AND(M48=1,vivienda_prestamoMedico=1),1,0)</f>
        <v/>
      </c>
      <c r="AP48" s="7">
        <f>IF(AO48=1,0.05,vivienda_enganchePct)</f>
        <v/>
      </c>
      <c r="AQ48" s="7">
        <f>AN48*(1-AP48)</f>
        <v/>
      </c>
      <c r="AR48" s="7">
        <f>PMT(g_mortRate/12,vivienda_plazoHipoteca*12,-AQ48)</f>
        <v/>
      </c>
      <c r="AS48" s="7">
        <f>INDEX(cfg_units,sel_cfgIdx)</f>
        <v/>
      </c>
      <c r="AT48" s="7">
        <f>AS48*loc_rentaUnidad*(1+g_inf)^(A48-2026)*(1-vivienda_vacancia)</f>
        <v/>
      </c>
      <c r="AU48" s="7">
        <f>AR48+AN48*loc_impuestoPropPct/12+AM48*loc_seguroPct*(1+vivienda_inflacionSeguro)^(A48-2026)/12+IF(AND(AO48=0,AP48&lt;0.2),AQ48*vivienda_pmiTasa/12,0)</f>
        <v/>
      </c>
      <c r="AV48" s="7">
        <f>AN48*AP48+AN48*vivienda_cierrePct+general_reservaMeses/12*AJ48</f>
        <v/>
      </c>
      <c r="AW48" s="7">
        <f>(IF(15=0,MIN(personal_irsSaldo,personal_irsPagoMensual*12),MIN(CD47,personal_irsPagoMensual*12))+IF(CE48&gt;0,PMT(CF48,MAX(1,prestamos_plazoAnios-CG48),-CE48),0)+IF(CR48&gt;0,PMT(CS48,MAX(1,prestamos_plazoAnios-CT48),-CR48),0))/12</f>
        <v/>
      </c>
      <c r="AX48" s="7">
        <f>IF(OR(sel_cfg="duplex",sel_cfg="multi",sel_cfg="dosCasas"),0.75*personal_aporteFamiliaMensual,0)</f>
        <v/>
      </c>
      <c r="AY48" s="7">
        <f>AU48-0.75*AT48-AX48+AW48</f>
        <v/>
      </c>
      <c r="AZ48" s="7">
        <f>(D48+G48+H48+0.5*F48)/12</f>
        <v/>
      </c>
      <c r="BA48" s="7">
        <f>IF(AND(AL48=0,A48&gt;=vivienda_anioMinCompra,J48&lt;0.5,AI48&gt;0,AK48&gt;=AV48,AY48&lt;=vivienda_dtiMax*AZ48),1,0)</f>
        <v/>
      </c>
      <c r="BB48" s="7">
        <f>MAX(AL48,BA48)</f>
        <v/>
      </c>
      <c r="BC48" s="7">
        <f>IF(BA48=1,A48,IF(15=0,"",BC47))</f>
        <v/>
      </c>
      <c r="BD48" s="7">
        <f>AK48-IF(BA48=1,AN48*AP48+AN48*vivienda_cierrePct,0)</f>
        <v/>
      </c>
      <c r="BE48" s="7">
        <f>IF(BA48=1,AN48,IF(15=0,0,BE47))</f>
        <v/>
      </c>
      <c r="BF48" s="7">
        <f>IF(BA48=1,AR48,IF(15=0,0,BF47))</f>
        <v/>
      </c>
      <c r="BG48" s="7">
        <f>IF(BA48=1,IF(AND(AO48=0,AP48&lt;0.2),1,0),IF(15=0,0,BY47))</f>
        <v/>
      </c>
      <c r="BH48" s="7">
        <f>IF(sel_cfg="casaAdu",1,0)</f>
        <v/>
      </c>
      <c r="BI48" s="7">
        <f>IF(AND(BB48=1,BH48=1,IF(15=0,0,BJ47)=0,A48&gt;=IF(BC48="",9999,BC48)+vivienda_aduRetrasoAnios),1,0)</f>
        <v/>
      </c>
      <c r="BJ48" s="7">
        <f>MAX(IF(15=0,0,BJ47),BI48)</f>
        <v/>
      </c>
      <c r="BK48" s="7">
        <f>IF(BI48=1,PMT((g_mortRate+0.005)/12,180,-loc_precio_aduCosto*C48),IF(15=0,0,BK47))</f>
        <v/>
      </c>
      <c r="BL48" s="7">
        <f>IF(BA48=1,AN48,IF(15=0,0,DT47))+IF(BI48=1,loc_precio_aduCosto*C48,0)</f>
        <v/>
      </c>
      <c r="BM48" s="7">
        <f>IF(BA48=1,AQ48,IF(15=0,0,DU47))</f>
        <v/>
      </c>
      <c r="BN48" s="7">
        <f>IF(BM48&lt;=0,0,FV(g_mortRate/12,12,BF48,-BM48))</f>
        <v/>
      </c>
      <c r="BO48" s="7">
        <f>IF(BM48&lt;=0,0,12*BF48+MIN(0,BN48))</f>
        <v/>
      </c>
      <c r="BP48" s="7">
        <f>MAX(0,BN48)</f>
        <v/>
      </c>
      <c r="BQ48" s="7">
        <f>IF(BI48=1,loc_precio_aduCosto*C48,IF(15=0,0,DV47))</f>
        <v/>
      </c>
      <c r="BR48" s="7">
        <f>IF(BQ48&lt;=0,0,FV((g_mortRate+0.005)/12,12,BK48,-BQ48))</f>
        <v/>
      </c>
      <c r="BS48" s="7">
        <f>IF(BQ48&lt;=0,0,12*BK48+MIN(0,BR48))</f>
        <v/>
      </c>
      <c r="BT48" s="7">
        <f>MAX(0,BR48)</f>
        <v/>
      </c>
      <c r="BU48" s="7">
        <f>IF(BB48=1,AM48*loc_seguroPct*(1+vivienda_inflacionSeguro)^(A48-2026)*IF(BJ48=1,1+loc_precio_aduCosto/AM48,1),0)</f>
        <v/>
      </c>
      <c r="BV48" s="7">
        <f>BL48*loc_impuestoPropPct</f>
        <v/>
      </c>
      <c r="BW48" s="7">
        <f>BL48*vivienda_mantenimientoPct</f>
        <v/>
      </c>
      <c r="BX48" s="7">
        <f>IF(AND(BG48=1,BP48&gt;0.8*BE48),BE48*(1-vivienda_enganchePct)*vivienda_pmiTasa,0)</f>
        <v/>
      </c>
      <c r="BY48" s="7">
        <f>IF(AND(BG48=1,BP48&gt;0.8*BE48),1,0)</f>
        <v/>
      </c>
      <c r="BZ48" s="7">
        <f>IF(BB48=1,AS48*loc_rentaUnidad*12*C48*(1-vivienda_vacancia)*(1-vivienda_gestionPct),0)</f>
        <v/>
      </c>
      <c r="CA48" s="7">
        <f>IF(BB48=1,BO48+BS48+BU48+BV48+BW48+BX48,loc_rentaMensual*12*C48)</f>
        <v/>
      </c>
      <c r="CB48" s="7">
        <f>IF(BB48=1,personal_aporteFamiliaMensual*12,0)</f>
        <v/>
      </c>
      <c r="CC48" s="7">
        <f>MIN(IF(15=0,personal_irsSaldo,CD47),personal_irsPagoMensual*12)</f>
        <v/>
      </c>
      <c r="CD48" s="7">
        <f>IF(15=0,personal_irsSaldo,CD47)-CC48</f>
        <v/>
      </c>
      <c r="CE48" s="7">
        <f>IF(15=0,IF(personal_deudaEsFederal=1,personal_deudaEstudiantil,0),DW47)</f>
        <v/>
      </c>
      <c r="CF48" s="7">
        <f>IF(15=0,personal_tasaDeudaEstudiantil,DX47)</f>
        <v/>
      </c>
      <c r="CG48" s="7">
        <f>IF(15=0,0,DY47)</f>
        <v/>
      </c>
      <c r="CH48" s="7">
        <f>IF(J48&gt;=0.5,1,0)</f>
        <v/>
      </c>
      <c r="CI48" s="7">
        <f>IF(AND(CH48=0,prestamos_pslfActivo=1,K48&gt;=0.5,CE48&gt;0),1,0)</f>
        <v/>
      </c>
      <c r="CJ48" s="7">
        <f>CE48*CF48</f>
        <v/>
      </c>
      <c r="CK48" s="7">
        <f>MAX(prestamos_rapPagoMinimoAnual,IF(Y48&lt;10000,0,MIN(0.1,INT(Y48/10000)/100))*Y48)</f>
        <v/>
      </c>
      <c r="CL48" s="7">
        <f>IF(CE48&lt;=0,0,IF(CH48=1,0,IF(CI48=1,MIN(CE48+CJ48,CK48),PMT(CF48,MAX(1,prestamos_plazoAnios-CG48),-CE48))))</f>
        <v/>
      </c>
      <c r="CM48" s="7">
        <f>IF(CE48&lt;=0,0,IF(CH48=1,CE48+CJ48,IF(CI48=1,MAX(0,CE48-MAX(CL48-CJ48,MIN(600,CL48))),MAX(0,CE48*(1+CF48)-CL48))))</f>
        <v/>
      </c>
      <c r="CN48" s="7">
        <f>IF(15=0,0,CN47)+IF(CI48=1,12*MIN(1,K48),0)</f>
        <v/>
      </c>
      <c r="CO48" s="7">
        <f>IF(AND(CI48=1,CN48&gt;=prestamos_pslfPagos,CM48&gt;0),CM48,0)</f>
        <v/>
      </c>
      <c r="CP48" s="7">
        <f>CM48-CO48</f>
        <v/>
      </c>
      <c r="CQ48" s="7">
        <f>IF(AND(CE48&gt;0,CH48=0,CI48=0),CG48+1,CG48)</f>
        <v/>
      </c>
      <c r="CR48" s="7">
        <f>IF(15=0,IF(personal_deudaEsFederal=1,0,personal_deudaEstudiantil),EA47)</f>
        <v/>
      </c>
      <c r="CS48" s="7">
        <f>IF(15=0,IF(personal_deudaEsFederal=1,prestamos_tasaPrivada,personal_tasaDeudaEstudiantil),EB47)</f>
        <v/>
      </c>
      <c r="CT48" s="7">
        <f>IF(15=0,0,EC47)</f>
        <v/>
      </c>
      <c r="CU48" s="7">
        <f>IF(OR(CR48&lt;=0,CH48=1),0,PMT(CS48,MAX(1,prestamos_plazoAnios-CT48),-CR48))</f>
        <v/>
      </c>
      <c r="CV48" s="7">
        <f>IF(CR48&lt;=0,0,IF(CH48=1,CR48*(1+CS48),MAX(0,CR48*(1+CS48)-CU48)))</f>
        <v/>
      </c>
      <c r="CW48" s="7">
        <f>IF(AND(CR48&gt;0,CH48=0),CT48+1,CT48)</f>
        <v/>
      </c>
      <c r="CX48" s="7">
        <f>IF(15=0,0,ED47)*(1+general_tasaDeudaConsumo)</f>
        <v/>
      </c>
      <c r="CY48" s="7">
        <f>L48*12*tiempos_travelGastoExtraMes*C48</f>
        <v/>
      </c>
      <c r="CZ48" s="7">
        <f>AJ48+CY48+CA48+CC48+CL48+CU48+I48+N48-BZ48-CB48</f>
        <v/>
      </c>
      <c r="DA48" s="7">
        <f>AH48-CZ48</f>
        <v/>
      </c>
      <c r="DB48" s="7">
        <f>IF(15=0,0,DB47)+DA48</f>
        <v/>
      </c>
      <c r="DC48" s="7">
        <f>AN48*vivienda_enganchePct+AN48*vivienda_cierrePct+general_reservaMeses/12*AJ48</f>
        <v/>
      </c>
      <c r="DD48" s="7">
        <f>IF(BB48=1,g_ret,IF(BD48&gt;0,MIN(1,DC48/BD48),1)*g_cash+(1-IF(BD48&gt;0,MIN(1,DC48/BD48),1))*g_ret)</f>
        <v/>
      </c>
      <c r="DE48" s="7">
        <f>IF(DA48&gt;=0,MIN(CX48,DA48),0)</f>
        <v/>
      </c>
      <c r="DF48" s="7">
        <f>IF(DA48&gt;=0,(1-general_tasaAhorro)*(DA48-DE48),0)</f>
        <v/>
      </c>
      <c r="DG48" s="7">
        <f>IF(DA48&gt;=0,DA48-DE48-DF48,0)</f>
        <v/>
      </c>
      <c r="DH48" s="7">
        <f>MIN(personal_rothAnual,DG48)</f>
        <v/>
      </c>
      <c r="DI48" s="7">
        <f>IF(AND(DA48&gt;=0,BB48=1,BP48+BT48&gt;0),MIN(vivienda_prepagoPct*(DG48-DH48),BP48+BT48),0)</f>
        <v/>
      </c>
      <c r="DJ48" s="7">
        <f>MIN(DI48,BP48)</f>
        <v/>
      </c>
      <c r="DK48" s="7">
        <f>IF(DA48&lt;0,MIN(MAX(0,BD48),-DA48),0)</f>
        <v/>
      </c>
      <c r="DL48" s="7">
        <f>IF(DA48&lt;0,-DA48-DK48,0)</f>
        <v/>
      </c>
      <c r="DM48" s="7">
        <f>IF(15=0,0,DZ47)</f>
        <v/>
      </c>
      <c r="DN48" s="7">
        <f>IF(AND(DL48&gt;0,J48&gt;0),MIN(DL48,MIN(prestamos_topeAnualPosgrado*MIN(1,J48),MAX(0,prestamos_topeTotalPosgrado-DM48))),0)</f>
        <v/>
      </c>
      <c r="DO48" s="7">
        <f>IF(AND(DL48&gt;0,J48&gt;0),DL48-DN48,0)</f>
        <v/>
      </c>
      <c r="DP48" s="7">
        <f>IF(AND(DL48&gt;0,J48&lt;=0),DL48,0)</f>
        <v/>
      </c>
      <c r="DQ48" s="7">
        <f>IF(DA48&gt;=0,DG48-DH48-DI48,-DK48)</f>
        <v/>
      </c>
      <c r="DR48" s="7">
        <f>BD48*(1+DD48)+DQ48*(1+DD48/2)</f>
        <v/>
      </c>
      <c r="DS48" s="7">
        <f>IF(15=0,personal_retiroInicial,DS47)*(1+g_ret)+(O48+P48+DH48)*(1+g_ret/2)</f>
        <v/>
      </c>
      <c r="DT48" s="7">
        <f>IF(BB48=1,BL48*(1+g_appr),0)</f>
        <v/>
      </c>
      <c r="DU48" s="7">
        <f>BP48-DJ48</f>
        <v/>
      </c>
      <c r="DV48" s="7">
        <f>BT48-(DI48-DJ48)</f>
        <v/>
      </c>
      <c r="DW48" s="7">
        <f>CP48+DN48</f>
        <v/>
      </c>
      <c r="DX48" s="7">
        <f>IF(DN48&gt;0,(CP48*CF48+DN48*prestamos_tasaFederalPosgrado)/(CP48+DN48),CF48)</f>
        <v/>
      </c>
      <c r="DY48" s="7">
        <f>IF(DN48&gt;0,0,CQ48)</f>
        <v/>
      </c>
      <c r="DZ48" s="7">
        <f>DM48+DN48</f>
        <v/>
      </c>
      <c r="EA48" s="7">
        <f>CV48+DO48</f>
        <v/>
      </c>
      <c r="EB48" s="7">
        <f>IF(DO48&gt;0,(CV48*CS48+DO48*prestamos_tasaPrivada)/(CV48+DO48),CS48)</f>
        <v/>
      </c>
      <c r="EC48" s="7">
        <f>IF(DO48&gt;0,0,CW48)</f>
        <v/>
      </c>
      <c r="ED48" s="7">
        <f>CX48-DE48+DP48</f>
        <v/>
      </c>
      <c r="EE48" s="7">
        <f>IF(IF(15=0,"",EE47)&lt;&gt;"",EE47,IF(AND(BB48=1,DU48&lt;=0.5,DV48&lt;=0.5,OR(BH48=0,BJ48=1)),A48,""))</f>
        <v/>
      </c>
      <c r="EF48" s="7">
        <f>DU48+DV48+DW48+EA48+ED48+CD48</f>
        <v/>
      </c>
      <c r="EG48" s="7">
        <f>DR48+DS48+DT48-EF48</f>
        <v/>
      </c>
      <c r="EH48" s="7">
        <f>EG48/(1+g_inf)^(A48+1-2026)</f>
        <v/>
      </c>
    </row>
    <row r="49">
      <c r="A49" t="n">
        <v>2043</v>
      </c>
      <c r="B49" t="n">
        <v>16</v>
      </c>
      <c r="C49" s="7">
        <f>(1+g_inf)^(A49-2026)</f>
        <v/>
      </c>
      <c r="D49" s="7">
        <f>SUMPRODUCT($AJ$5:$AJ$29,$E$5:$E$29*(1+$F$5:$F$29)^(A49-2026)*$G$5:$G$29*$H$5:$H$29*(1-$N$5:$N$29*$O$5:$O$29))*g_salMult+SUMPRODUCT(($B$5:$B$29&gt;=A49)*($B$5:$B$29&lt;A49+1)*$I$5:$I$29)*g_salMult</f>
        <v/>
      </c>
      <c r="E49" s="7">
        <f>SUMPRODUCT($AJ$5:$AJ$29,$E$5:$E$29*(1+$F$5:$F$29)^(A49-2026)*$G$5:$G$29*$H$5:$H$29*$M$5:$M$29)*g_salMult</f>
        <v/>
      </c>
      <c r="F49" s="7">
        <f>SUMPRODUCT($AJ$5:$AJ$29,$E$5:$E$29*(1+$F$5:$F$29)^(A49-2026)*$G$5:$G$29*$H$5:$H$29*$N$5:$N$29*$O$5:$O$29)*g_salMult</f>
        <v/>
      </c>
      <c r="G49" s="7">
        <f>SUMPRODUCT($AJ$5:$AJ$29,$P$5:$P$29*(1+$F$5:$F$29)^(A49-2026))</f>
        <v/>
      </c>
      <c r="H49" s="7">
        <f>SUMPRODUCT($AJ$5:$AJ$29,$Q$5:$Q$29*(1+$F$5:$F$29)^(A49-2026))+IF(personal_llcActivo=1,personal_llcNeto*(1+personal_llcCrecimiento)^16,0)</f>
        <v/>
      </c>
      <c r="I49" s="7">
        <f>SUMPRODUCT($AJ$5:$AJ$29,$J$5:$J$29/($C$5:$C$29-$B$5:$B$29+($C$5:$C$29=$B$5:$B$29)))*C49</f>
        <v/>
      </c>
      <c r="J49" s="7">
        <f>SUMPRODUCT($AJ$5:$AJ$29,$K$5:$K$29)</f>
        <v/>
      </c>
      <c r="K49" s="7">
        <f>SUMPRODUCT($AJ$5:$AJ$29,$L$5:$L$29)</f>
        <v/>
      </c>
      <c r="L49" s="7">
        <f>SUMPRODUCT($AJ$5:$AJ$29,$N$5:$N$29)</f>
        <v/>
      </c>
      <c r="M49" s="7">
        <f>IF(SUMPRODUCT($AJ$5:$AJ$29,$R$5:$R$29)&gt;0,1,0)</f>
        <v/>
      </c>
      <c r="N49" s="7">
        <f>SUMPRODUCT(($AO$5:$AO$24&gt;=A49)*($AO$5:$AO$24&lt;A49+1)*$AP$5:$AP$24)*C49+IF(16=0,IF(sel_loc&lt;&gt;"miami",personal_costoMudanzaInicial,0),0)</f>
        <v/>
      </c>
      <c r="O49" s="7">
        <f>MIN(personal_aporte403bPct*D49,retiro_limite403b*C49)</f>
        <v/>
      </c>
      <c r="P49" s="7">
        <f>MIN(personal_aporte403bPct,personal_match403bPct)*E49</f>
        <v/>
      </c>
      <c r="Q49" s="7">
        <f>IF(G49&gt;0,MAX(0,G49-impuestos_scorpCostoAnual*C49),0)</f>
        <v/>
      </c>
      <c r="R49" s="7">
        <f>Q49*impuestos_scorpSalarioPct/(1+impuestos_ssTasa+impuestos_medicareTasa)</f>
        <v/>
      </c>
      <c r="S49" s="7">
        <f>impuestos_ssTasa*MIN(R49,MAX(0,impuestos_ssTope*C49-D49))+impuestos_medicareTasa*R49</f>
        <v/>
      </c>
      <c r="T49" s="7">
        <f>Q49-R49-S49</f>
        <v/>
      </c>
      <c r="U49" s="7">
        <f>D49+R49</f>
        <v/>
      </c>
      <c r="V49" s="7">
        <f>H49*0.9235</f>
        <v/>
      </c>
      <c r="W49" s="7">
        <f>IF(H49&gt;0,2*impuestos_ssTasa*MIN(V49,MAX(0,impuestos_ssTope*C49-U49))+2*impuestos_medicareTasa*V49,0)</f>
        <v/>
      </c>
      <c r="X49" s="7">
        <f>impuestos_ssTasa*MIN(U49,impuestos_ssTope*C49)+impuestos_medicareTasa*U49+impuestos_medicareAdicional*MAX(0,U49+H49*0.9235-impuestos_medicareUmbral)</f>
        <v/>
      </c>
      <c r="Y49" s="7">
        <f>MAX(0,D49-O49+R49+T49+H49-W49/2)</f>
        <v/>
      </c>
      <c r="Z49" s="7">
        <f>MAX(0,Y49-impuestos_deduccionEstandar*C49)</f>
        <v/>
      </c>
      <c r="AA49" s="7">
        <f>MIN(0.2*MAX(0,T49+H49-W49/2)*MAX(0,MIN(1,1-(Z49-impuestos_qbiUmbral*C49)/(impuestos_qbiRango*C49))),0.2*Z49)</f>
        <v/>
      </c>
      <c r="AB49" s="7">
        <f>MAX(0,Z49-AA49)</f>
        <v/>
      </c>
      <c r="AC49" s="7">
        <f>SUMPRODUCT((AB49&gt;tb_federalBrackets_lo*C49)*(AB49-tb_federalBrackets_lo*C49)*tb_federalBrackets_dr)</f>
        <v/>
      </c>
      <c r="AD49" s="7">
        <f>MAX(0,Y49-impuestos_nyDeduccion*C49)</f>
        <v/>
      </c>
      <c r="AE49" s="7">
        <f>CHOOSE(loc_taxcode,0,impuestos_ohTasa*MAX(0,Y49-impuestos_ohExento*C49)+impuestos_ohMunicipal*U49,SUMPRODUCT((AD49&gt;tb_nyBrackets_lo*C49)*(AD49-tb_nyBrackets_lo*C49)*tb_nyBrackets_dr)+loc_nyc*SUMPRODUCT((AD49&gt;tb_nycBrackets_lo*C49)*(AD49-tb_nycBrackets_lo*C49)*tb_nycBrackets_dr))</f>
        <v/>
      </c>
      <c r="AF49" s="7">
        <f>AC49+AE49+X49+W49</f>
        <v/>
      </c>
      <c r="AG49" s="7">
        <f>D49+F49+R49+T49+H49</f>
        <v/>
      </c>
      <c r="AH49" s="7">
        <f>AG49-AF49-O49</f>
        <v/>
      </c>
      <c r="AI49" s="7">
        <f>D49+F49+G49+H49</f>
        <v/>
      </c>
      <c r="AJ49" s="7">
        <f>loc_gastosVida*C49*g_gastos</f>
        <v/>
      </c>
      <c r="AK49" s="7">
        <f>IF(16=0,personal_liquidoInicial,DR48)</f>
        <v/>
      </c>
      <c r="AL49" s="7">
        <f>IF(16=0,0,BB48)</f>
        <v/>
      </c>
      <c r="AM49" s="7">
        <f>CHOOSE(sel_cfgIdx,loc_precio_duplex,loc_precio_inlaw,loc_precio_dosCasas,loc_precio_casaAdu,loc_precio_multi)</f>
        <v/>
      </c>
      <c r="AN49" s="7">
        <f>AM49*(1+g_appr)^(A49-2026)</f>
        <v/>
      </c>
      <c r="AO49" s="7">
        <f>IF(AND(M49=1,vivienda_prestamoMedico=1),1,0)</f>
        <v/>
      </c>
      <c r="AP49" s="7">
        <f>IF(AO49=1,0.05,vivienda_enganchePct)</f>
        <v/>
      </c>
      <c r="AQ49" s="7">
        <f>AN49*(1-AP49)</f>
        <v/>
      </c>
      <c r="AR49" s="7">
        <f>PMT(g_mortRate/12,vivienda_plazoHipoteca*12,-AQ49)</f>
        <v/>
      </c>
      <c r="AS49" s="7">
        <f>INDEX(cfg_units,sel_cfgIdx)</f>
        <v/>
      </c>
      <c r="AT49" s="7">
        <f>AS49*loc_rentaUnidad*(1+g_inf)^(A49-2026)*(1-vivienda_vacancia)</f>
        <v/>
      </c>
      <c r="AU49" s="7">
        <f>AR49+AN49*loc_impuestoPropPct/12+AM49*loc_seguroPct*(1+vivienda_inflacionSeguro)^(A49-2026)/12+IF(AND(AO49=0,AP49&lt;0.2),AQ49*vivienda_pmiTasa/12,0)</f>
        <v/>
      </c>
      <c r="AV49" s="7">
        <f>AN49*AP49+AN49*vivienda_cierrePct+general_reservaMeses/12*AJ49</f>
        <v/>
      </c>
      <c r="AW49" s="7">
        <f>(IF(16=0,MIN(personal_irsSaldo,personal_irsPagoMensual*12),MIN(CD48,personal_irsPagoMensual*12))+IF(CE49&gt;0,PMT(CF49,MAX(1,prestamos_plazoAnios-CG49),-CE49),0)+IF(CR49&gt;0,PMT(CS49,MAX(1,prestamos_plazoAnios-CT49),-CR49),0))/12</f>
        <v/>
      </c>
      <c r="AX49" s="7">
        <f>IF(OR(sel_cfg="duplex",sel_cfg="multi",sel_cfg="dosCasas"),0.75*personal_aporteFamiliaMensual,0)</f>
        <v/>
      </c>
      <c r="AY49" s="7">
        <f>AU49-0.75*AT49-AX49+AW49</f>
        <v/>
      </c>
      <c r="AZ49" s="7">
        <f>(D49+G49+H49+0.5*F49)/12</f>
        <v/>
      </c>
      <c r="BA49" s="7">
        <f>IF(AND(AL49=0,A49&gt;=vivienda_anioMinCompra,J49&lt;0.5,AI49&gt;0,AK49&gt;=AV49,AY49&lt;=vivienda_dtiMax*AZ49),1,0)</f>
        <v/>
      </c>
      <c r="BB49" s="7">
        <f>MAX(AL49,BA49)</f>
        <v/>
      </c>
      <c r="BC49" s="7">
        <f>IF(BA49=1,A49,IF(16=0,"",BC48))</f>
        <v/>
      </c>
      <c r="BD49" s="7">
        <f>AK49-IF(BA49=1,AN49*AP49+AN49*vivienda_cierrePct,0)</f>
        <v/>
      </c>
      <c r="BE49" s="7">
        <f>IF(BA49=1,AN49,IF(16=0,0,BE48))</f>
        <v/>
      </c>
      <c r="BF49" s="7">
        <f>IF(BA49=1,AR49,IF(16=0,0,BF48))</f>
        <v/>
      </c>
      <c r="BG49" s="7">
        <f>IF(BA49=1,IF(AND(AO49=0,AP49&lt;0.2),1,0),IF(16=0,0,BY48))</f>
        <v/>
      </c>
      <c r="BH49" s="7">
        <f>IF(sel_cfg="casaAdu",1,0)</f>
        <v/>
      </c>
      <c r="BI49" s="7">
        <f>IF(AND(BB49=1,BH49=1,IF(16=0,0,BJ48)=0,A49&gt;=IF(BC49="",9999,BC49)+vivienda_aduRetrasoAnios),1,0)</f>
        <v/>
      </c>
      <c r="BJ49" s="7">
        <f>MAX(IF(16=0,0,BJ48),BI49)</f>
        <v/>
      </c>
      <c r="BK49" s="7">
        <f>IF(BI49=1,PMT((g_mortRate+0.005)/12,180,-loc_precio_aduCosto*C49),IF(16=0,0,BK48))</f>
        <v/>
      </c>
      <c r="BL49" s="7">
        <f>IF(BA49=1,AN49,IF(16=0,0,DT48))+IF(BI49=1,loc_precio_aduCosto*C49,0)</f>
        <v/>
      </c>
      <c r="BM49" s="7">
        <f>IF(BA49=1,AQ49,IF(16=0,0,DU48))</f>
        <v/>
      </c>
      <c r="BN49" s="7">
        <f>IF(BM49&lt;=0,0,FV(g_mortRate/12,12,BF49,-BM49))</f>
        <v/>
      </c>
      <c r="BO49" s="7">
        <f>IF(BM49&lt;=0,0,12*BF49+MIN(0,BN49))</f>
        <v/>
      </c>
      <c r="BP49" s="7">
        <f>MAX(0,BN49)</f>
        <v/>
      </c>
      <c r="BQ49" s="7">
        <f>IF(BI49=1,loc_precio_aduCosto*C49,IF(16=0,0,DV48))</f>
        <v/>
      </c>
      <c r="BR49" s="7">
        <f>IF(BQ49&lt;=0,0,FV((g_mortRate+0.005)/12,12,BK49,-BQ49))</f>
        <v/>
      </c>
      <c r="BS49" s="7">
        <f>IF(BQ49&lt;=0,0,12*BK49+MIN(0,BR49))</f>
        <v/>
      </c>
      <c r="BT49" s="7">
        <f>MAX(0,BR49)</f>
        <v/>
      </c>
      <c r="BU49" s="7">
        <f>IF(BB49=1,AM49*loc_seguroPct*(1+vivienda_inflacionSeguro)^(A49-2026)*IF(BJ49=1,1+loc_precio_aduCosto/AM49,1),0)</f>
        <v/>
      </c>
      <c r="BV49" s="7">
        <f>BL49*loc_impuestoPropPct</f>
        <v/>
      </c>
      <c r="BW49" s="7">
        <f>BL49*vivienda_mantenimientoPct</f>
        <v/>
      </c>
      <c r="BX49" s="7">
        <f>IF(AND(BG49=1,BP49&gt;0.8*BE49),BE49*(1-vivienda_enganchePct)*vivienda_pmiTasa,0)</f>
        <v/>
      </c>
      <c r="BY49" s="7">
        <f>IF(AND(BG49=1,BP49&gt;0.8*BE49),1,0)</f>
        <v/>
      </c>
      <c r="BZ49" s="7">
        <f>IF(BB49=1,AS49*loc_rentaUnidad*12*C49*(1-vivienda_vacancia)*(1-vivienda_gestionPct),0)</f>
        <v/>
      </c>
      <c r="CA49" s="7">
        <f>IF(BB49=1,BO49+BS49+BU49+BV49+BW49+BX49,loc_rentaMensual*12*C49)</f>
        <v/>
      </c>
      <c r="CB49" s="7">
        <f>IF(BB49=1,personal_aporteFamiliaMensual*12,0)</f>
        <v/>
      </c>
      <c r="CC49" s="7">
        <f>MIN(IF(16=0,personal_irsSaldo,CD48),personal_irsPagoMensual*12)</f>
        <v/>
      </c>
      <c r="CD49" s="7">
        <f>IF(16=0,personal_irsSaldo,CD48)-CC49</f>
        <v/>
      </c>
      <c r="CE49" s="7">
        <f>IF(16=0,IF(personal_deudaEsFederal=1,personal_deudaEstudiantil,0),DW48)</f>
        <v/>
      </c>
      <c r="CF49" s="7">
        <f>IF(16=0,personal_tasaDeudaEstudiantil,DX48)</f>
        <v/>
      </c>
      <c r="CG49" s="7">
        <f>IF(16=0,0,DY48)</f>
        <v/>
      </c>
      <c r="CH49" s="7">
        <f>IF(J49&gt;=0.5,1,0)</f>
        <v/>
      </c>
      <c r="CI49" s="7">
        <f>IF(AND(CH49=0,prestamos_pslfActivo=1,K49&gt;=0.5,CE49&gt;0),1,0)</f>
        <v/>
      </c>
      <c r="CJ49" s="7">
        <f>CE49*CF49</f>
        <v/>
      </c>
      <c r="CK49" s="7">
        <f>MAX(prestamos_rapPagoMinimoAnual,IF(Y49&lt;10000,0,MIN(0.1,INT(Y49/10000)/100))*Y49)</f>
        <v/>
      </c>
      <c r="CL49" s="7">
        <f>IF(CE49&lt;=0,0,IF(CH49=1,0,IF(CI49=1,MIN(CE49+CJ49,CK49),PMT(CF49,MAX(1,prestamos_plazoAnios-CG49),-CE49))))</f>
        <v/>
      </c>
      <c r="CM49" s="7">
        <f>IF(CE49&lt;=0,0,IF(CH49=1,CE49+CJ49,IF(CI49=1,MAX(0,CE49-MAX(CL49-CJ49,MIN(600,CL49))),MAX(0,CE49*(1+CF49)-CL49))))</f>
        <v/>
      </c>
      <c r="CN49" s="7">
        <f>IF(16=0,0,CN48)+IF(CI49=1,12*MIN(1,K49),0)</f>
        <v/>
      </c>
      <c r="CO49" s="7">
        <f>IF(AND(CI49=1,CN49&gt;=prestamos_pslfPagos,CM49&gt;0),CM49,0)</f>
        <v/>
      </c>
      <c r="CP49" s="7">
        <f>CM49-CO49</f>
        <v/>
      </c>
      <c r="CQ49" s="7">
        <f>IF(AND(CE49&gt;0,CH49=0,CI49=0),CG49+1,CG49)</f>
        <v/>
      </c>
      <c r="CR49" s="7">
        <f>IF(16=0,IF(personal_deudaEsFederal=1,0,personal_deudaEstudiantil),EA48)</f>
        <v/>
      </c>
      <c r="CS49" s="7">
        <f>IF(16=0,IF(personal_deudaEsFederal=1,prestamos_tasaPrivada,personal_tasaDeudaEstudiantil),EB48)</f>
        <v/>
      </c>
      <c r="CT49" s="7">
        <f>IF(16=0,0,EC48)</f>
        <v/>
      </c>
      <c r="CU49" s="7">
        <f>IF(OR(CR49&lt;=0,CH49=1),0,PMT(CS49,MAX(1,prestamos_plazoAnios-CT49),-CR49))</f>
        <v/>
      </c>
      <c r="CV49" s="7">
        <f>IF(CR49&lt;=0,0,IF(CH49=1,CR49*(1+CS49),MAX(0,CR49*(1+CS49)-CU49)))</f>
        <v/>
      </c>
      <c r="CW49" s="7">
        <f>IF(AND(CR49&gt;0,CH49=0),CT49+1,CT49)</f>
        <v/>
      </c>
      <c r="CX49" s="7">
        <f>IF(16=0,0,ED48)*(1+general_tasaDeudaConsumo)</f>
        <v/>
      </c>
      <c r="CY49" s="7">
        <f>L49*12*tiempos_travelGastoExtraMes*C49</f>
        <v/>
      </c>
      <c r="CZ49" s="7">
        <f>AJ49+CY49+CA49+CC49+CL49+CU49+I49+N49-BZ49-CB49</f>
        <v/>
      </c>
      <c r="DA49" s="7">
        <f>AH49-CZ49</f>
        <v/>
      </c>
      <c r="DB49" s="7">
        <f>IF(16=0,0,DB48)+DA49</f>
        <v/>
      </c>
      <c r="DC49" s="7">
        <f>AN49*vivienda_enganchePct+AN49*vivienda_cierrePct+general_reservaMeses/12*AJ49</f>
        <v/>
      </c>
      <c r="DD49" s="7">
        <f>IF(BB49=1,g_ret,IF(BD49&gt;0,MIN(1,DC49/BD49),1)*g_cash+(1-IF(BD49&gt;0,MIN(1,DC49/BD49),1))*g_ret)</f>
        <v/>
      </c>
      <c r="DE49" s="7">
        <f>IF(DA49&gt;=0,MIN(CX49,DA49),0)</f>
        <v/>
      </c>
      <c r="DF49" s="7">
        <f>IF(DA49&gt;=0,(1-general_tasaAhorro)*(DA49-DE49),0)</f>
        <v/>
      </c>
      <c r="DG49" s="7">
        <f>IF(DA49&gt;=0,DA49-DE49-DF49,0)</f>
        <v/>
      </c>
      <c r="DH49" s="7">
        <f>MIN(personal_rothAnual,DG49)</f>
        <v/>
      </c>
      <c r="DI49" s="7">
        <f>IF(AND(DA49&gt;=0,BB49=1,BP49+BT49&gt;0),MIN(vivienda_prepagoPct*(DG49-DH49),BP49+BT49),0)</f>
        <v/>
      </c>
      <c r="DJ49" s="7">
        <f>MIN(DI49,BP49)</f>
        <v/>
      </c>
      <c r="DK49" s="7">
        <f>IF(DA49&lt;0,MIN(MAX(0,BD49),-DA49),0)</f>
        <v/>
      </c>
      <c r="DL49" s="7">
        <f>IF(DA49&lt;0,-DA49-DK49,0)</f>
        <v/>
      </c>
      <c r="DM49" s="7">
        <f>IF(16=0,0,DZ48)</f>
        <v/>
      </c>
      <c r="DN49" s="7">
        <f>IF(AND(DL49&gt;0,J49&gt;0),MIN(DL49,MIN(prestamos_topeAnualPosgrado*MIN(1,J49),MAX(0,prestamos_topeTotalPosgrado-DM49))),0)</f>
        <v/>
      </c>
      <c r="DO49" s="7">
        <f>IF(AND(DL49&gt;0,J49&gt;0),DL49-DN49,0)</f>
        <v/>
      </c>
      <c r="DP49" s="7">
        <f>IF(AND(DL49&gt;0,J49&lt;=0),DL49,0)</f>
        <v/>
      </c>
      <c r="DQ49" s="7">
        <f>IF(DA49&gt;=0,DG49-DH49-DI49,-DK49)</f>
        <v/>
      </c>
      <c r="DR49" s="7">
        <f>BD49*(1+DD49)+DQ49*(1+DD49/2)</f>
        <v/>
      </c>
      <c r="DS49" s="7">
        <f>IF(16=0,personal_retiroInicial,DS48)*(1+g_ret)+(O49+P49+DH49)*(1+g_ret/2)</f>
        <v/>
      </c>
      <c r="DT49" s="7">
        <f>IF(BB49=1,BL49*(1+g_appr),0)</f>
        <v/>
      </c>
      <c r="DU49" s="7">
        <f>BP49-DJ49</f>
        <v/>
      </c>
      <c r="DV49" s="7">
        <f>BT49-(DI49-DJ49)</f>
        <v/>
      </c>
      <c r="DW49" s="7">
        <f>CP49+DN49</f>
        <v/>
      </c>
      <c r="DX49" s="7">
        <f>IF(DN49&gt;0,(CP49*CF49+DN49*prestamos_tasaFederalPosgrado)/(CP49+DN49),CF49)</f>
        <v/>
      </c>
      <c r="DY49" s="7">
        <f>IF(DN49&gt;0,0,CQ49)</f>
        <v/>
      </c>
      <c r="DZ49" s="7">
        <f>DM49+DN49</f>
        <v/>
      </c>
      <c r="EA49" s="7">
        <f>CV49+DO49</f>
        <v/>
      </c>
      <c r="EB49" s="7">
        <f>IF(DO49&gt;0,(CV49*CS49+DO49*prestamos_tasaPrivada)/(CV49+DO49),CS49)</f>
        <v/>
      </c>
      <c r="EC49" s="7">
        <f>IF(DO49&gt;0,0,CW49)</f>
        <v/>
      </c>
      <c r="ED49" s="7">
        <f>CX49-DE49+DP49</f>
        <v/>
      </c>
      <c r="EE49" s="7">
        <f>IF(IF(16=0,"",EE48)&lt;&gt;"",EE48,IF(AND(BB49=1,DU49&lt;=0.5,DV49&lt;=0.5,OR(BH49=0,BJ49=1)),A49,""))</f>
        <v/>
      </c>
      <c r="EF49" s="7">
        <f>DU49+DV49+DW49+EA49+ED49+CD49</f>
        <v/>
      </c>
      <c r="EG49" s="7">
        <f>DR49+DS49+DT49-EF49</f>
        <v/>
      </c>
      <c r="EH49" s="7">
        <f>EG49/(1+g_inf)^(A49+1-2026)</f>
        <v/>
      </c>
    </row>
    <row r="50">
      <c r="A50" t="n">
        <v>2044</v>
      </c>
      <c r="B50" t="n">
        <v>17</v>
      </c>
      <c r="C50" s="7">
        <f>(1+g_inf)^(A50-2026)</f>
        <v/>
      </c>
      <c r="D50" s="7">
        <f>SUMPRODUCT($AK$5:$AK$29,$E$5:$E$29*(1+$F$5:$F$29)^(A50-2026)*$G$5:$G$29*$H$5:$H$29*(1-$N$5:$N$29*$O$5:$O$29))*g_salMult+SUMPRODUCT(($B$5:$B$29&gt;=A50)*($B$5:$B$29&lt;A50+1)*$I$5:$I$29)*g_salMult</f>
        <v/>
      </c>
      <c r="E50" s="7">
        <f>SUMPRODUCT($AK$5:$AK$29,$E$5:$E$29*(1+$F$5:$F$29)^(A50-2026)*$G$5:$G$29*$H$5:$H$29*$M$5:$M$29)*g_salMult</f>
        <v/>
      </c>
      <c r="F50" s="7">
        <f>SUMPRODUCT($AK$5:$AK$29,$E$5:$E$29*(1+$F$5:$F$29)^(A50-2026)*$G$5:$G$29*$H$5:$H$29*$N$5:$N$29*$O$5:$O$29)*g_salMult</f>
        <v/>
      </c>
      <c r="G50" s="7">
        <f>SUMPRODUCT($AK$5:$AK$29,$P$5:$P$29*(1+$F$5:$F$29)^(A50-2026))</f>
        <v/>
      </c>
      <c r="H50" s="7">
        <f>SUMPRODUCT($AK$5:$AK$29,$Q$5:$Q$29*(1+$F$5:$F$29)^(A50-2026))+IF(personal_llcActivo=1,personal_llcNeto*(1+personal_llcCrecimiento)^17,0)</f>
        <v/>
      </c>
      <c r="I50" s="7">
        <f>SUMPRODUCT($AK$5:$AK$29,$J$5:$J$29/($C$5:$C$29-$B$5:$B$29+($C$5:$C$29=$B$5:$B$29)))*C50</f>
        <v/>
      </c>
      <c r="J50" s="7">
        <f>SUMPRODUCT($AK$5:$AK$29,$K$5:$K$29)</f>
        <v/>
      </c>
      <c r="K50" s="7">
        <f>SUMPRODUCT($AK$5:$AK$29,$L$5:$L$29)</f>
        <v/>
      </c>
      <c r="L50" s="7">
        <f>SUMPRODUCT($AK$5:$AK$29,$N$5:$N$29)</f>
        <v/>
      </c>
      <c r="M50" s="7">
        <f>IF(SUMPRODUCT($AK$5:$AK$29,$R$5:$R$29)&gt;0,1,0)</f>
        <v/>
      </c>
      <c r="N50" s="7">
        <f>SUMPRODUCT(($AO$5:$AO$24&gt;=A50)*($AO$5:$AO$24&lt;A50+1)*$AP$5:$AP$24)*C50+IF(17=0,IF(sel_loc&lt;&gt;"miami",personal_costoMudanzaInicial,0),0)</f>
        <v/>
      </c>
      <c r="O50" s="7">
        <f>MIN(personal_aporte403bPct*D50,retiro_limite403b*C50)</f>
        <v/>
      </c>
      <c r="P50" s="7">
        <f>MIN(personal_aporte403bPct,personal_match403bPct)*E50</f>
        <v/>
      </c>
      <c r="Q50" s="7">
        <f>IF(G50&gt;0,MAX(0,G50-impuestos_scorpCostoAnual*C50),0)</f>
        <v/>
      </c>
      <c r="R50" s="7">
        <f>Q50*impuestos_scorpSalarioPct/(1+impuestos_ssTasa+impuestos_medicareTasa)</f>
        <v/>
      </c>
      <c r="S50" s="7">
        <f>impuestos_ssTasa*MIN(R50,MAX(0,impuestos_ssTope*C50-D50))+impuestos_medicareTasa*R50</f>
        <v/>
      </c>
      <c r="T50" s="7">
        <f>Q50-R50-S50</f>
        <v/>
      </c>
      <c r="U50" s="7">
        <f>D50+R50</f>
        <v/>
      </c>
      <c r="V50" s="7">
        <f>H50*0.9235</f>
        <v/>
      </c>
      <c r="W50" s="7">
        <f>IF(H50&gt;0,2*impuestos_ssTasa*MIN(V50,MAX(0,impuestos_ssTope*C50-U50))+2*impuestos_medicareTasa*V50,0)</f>
        <v/>
      </c>
      <c r="X50" s="7">
        <f>impuestos_ssTasa*MIN(U50,impuestos_ssTope*C50)+impuestos_medicareTasa*U50+impuestos_medicareAdicional*MAX(0,U50+H50*0.9235-impuestos_medicareUmbral)</f>
        <v/>
      </c>
      <c r="Y50" s="7">
        <f>MAX(0,D50-O50+R50+T50+H50-W50/2)</f>
        <v/>
      </c>
      <c r="Z50" s="7">
        <f>MAX(0,Y50-impuestos_deduccionEstandar*C50)</f>
        <v/>
      </c>
      <c r="AA50" s="7">
        <f>MIN(0.2*MAX(0,T50+H50-W50/2)*MAX(0,MIN(1,1-(Z50-impuestos_qbiUmbral*C50)/(impuestos_qbiRango*C50))),0.2*Z50)</f>
        <v/>
      </c>
      <c r="AB50" s="7">
        <f>MAX(0,Z50-AA50)</f>
        <v/>
      </c>
      <c r="AC50" s="7">
        <f>SUMPRODUCT((AB50&gt;tb_federalBrackets_lo*C50)*(AB50-tb_federalBrackets_lo*C50)*tb_federalBrackets_dr)</f>
        <v/>
      </c>
      <c r="AD50" s="7">
        <f>MAX(0,Y50-impuestos_nyDeduccion*C50)</f>
        <v/>
      </c>
      <c r="AE50" s="7">
        <f>CHOOSE(loc_taxcode,0,impuestos_ohTasa*MAX(0,Y50-impuestos_ohExento*C50)+impuestos_ohMunicipal*U50,SUMPRODUCT((AD50&gt;tb_nyBrackets_lo*C50)*(AD50-tb_nyBrackets_lo*C50)*tb_nyBrackets_dr)+loc_nyc*SUMPRODUCT((AD50&gt;tb_nycBrackets_lo*C50)*(AD50-tb_nycBrackets_lo*C50)*tb_nycBrackets_dr))</f>
        <v/>
      </c>
      <c r="AF50" s="7">
        <f>AC50+AE50+X50+W50</f>
        <v/>
      </c>
      <c r="AG50" s="7">
        <f>D50+F50+R50+T50+H50</f>
        <v/>
      </c>
      <c r="AH50" s="7">
        <f>AG50-AF50-O50</f>
        <v/>
      </c>
      <c r="AI50" s="7">
        <f>D50+F50+G50+H50</f>
        <v/>
      </c>
      <c r="AJ50" s="7">
        <f>loc_gastosVida*C50*g_gastos</f>
        <v/>
      </c>
      <c r="AK50" s="7">
        <f>IF(17=0,personal_liquidoInicial,DR49)</f>
        <v/>
      </c>
      <c r="AL50" s="7">
        <f>IF(17=0,0,BB49)</f>
        <v/>
      </c>
      <c r="AM50" s="7">
        <f>CHOOSE(sel_cfgIdx,loc_precio_duplex,loc_precio_inlaw,loc_precio_dosCasas,loc_precio_casaAdu,loc_precio_multi)</f>
        <v/>
      </c>
      <c r="AN50" s="7">
        <f>AM50*(1+g_appr)^(A50-2026)</f>
        <v/>
      </c>
      <c r="AO50" s="7">
        <f>IF(AND(M50=1,vivienda_prestamoMedico=1),1,0)</f>
        <v/>
      </c>
      <c r="AP50" s="7">
        <f>IF(AO50=1,0.05,vivienda_enganchePct)</f>
        <v/>
      </c>
      <c r="AQ50" s="7">
        <f>AN50*(1-AP50)</f>
        <v/>
      </c>
      <c r="AR50" s="7">
        <f>PMT(g_mortRate/12,vivienda_plazoHipoteca*12,-AQ50)</f>
        <v/>
      </c>
      <c r="AS50" s="7">
        <f>INDEX(cfg_units,sel_cfgIdx)</f>
        <v/>
      </c>
      <c r="AT50" s="7">
        <f>AS50*loc_rentaUnidad*(1+g_inf)^(A50-2026)*(1-vivienda_vacancia)</f>
        <v/>
      </c>
      <c r="AU50" s="7">
        <f>AR50+AN50*loc_impuestoPropPct/12+AM50*loc_seguroPct*(1+vivienda_inflacionSeguro)^(A50-2026)/12+IF(AND(AO50=0,AP50&lt;0.2),AQ50*vivienda_pmiTasa/12,0)</f>
        <v/>
      </c>
      <c r="AV50" s="7">
        <f>AN50*AP50+AN50*vivienda_cierrePct+general_reservaMeses/12*AJ50</f>
        <v/>
      </c>
      <c r="AW50" s="7">
        <f>(IF(17=0,MIN(personal_irsSaldo,personal_irsPagoMensual*12),MIN(CD49,personal_irsPagoMensual*12))+IF(CE50&gt;0,PMT(CF50,MAX(1,prestamos_plazoAnios-CG50),-CE50),0)+IF(CR50&gt;0,PMT(CS50,MAX(1,prestamos_plazoAnios-CT50),-CR50),0))/12</f>
        <v/>
      </c>
      <c r="AX50" s="7">
        <f>IF(OR(sel_cfg="duplex",sel_cfg="multi",sel_cfg="dosCasas"),0.75*personal_aporteFamiliaMensual,0)</f>
        <v/>
      </c>
      <c r="AY50" s="7">
        <f>AU50-0.75*AT50-AX50+AW50</f>
        <v/>
      </c>
      <c r="AZ50" s="7">
        <f>(D50+G50+H50+0.5*F50)/12</f>
        <v/>
      </c>
      <c r="BA50" s="7">
        <f>IF(AND(AL50=0,A50&gt;=vivienda_anioMinCompra,J50&lt;0.5,AI50&gt;0,AK50&gt;=AV50,AY50&lt;=vivienda_dtiMax*AZ50),1,0)</f>
        <v/>
      </c>
      <c r="BB50" s="7">
        <f>MAX(AL50,BA50)</f>
        <v/>
      </c>
      <c r="BC50" s="7">
        <f>IF(BA50=1,A50,IF(17=0,"",BC49))</f>
        <v/>
      </c>
      <c r="BD50" s="7">
        <f>AK50-IF(BA50=1,AN50*AP50+AN50*vivienda_cierrePct,0)</f>
        <v/>
      </c>
      <c r="BE50" s="7">
        <f>IF(BA50=1,AN50,IF(17=0,0,BE49))</f>
        <v/>
      </c>
      <c r="BF50" s="7">
        <f>IF(BA50=1,AR50,IF(17=0,0,BF49))</f>
        <v/>
      </c>
      <c r="BG50" s="7">
        <f>IF(BA50=1,IF(AND(AO50=0,AP50&lt;0.2),1,0),IF(17=0,0,BY49))</f>
        <v/>
      </c>
      <c r="BH50" s="7">
        <f>IF(sel_cfg="casaAdu",1,0)</f>
        <v/>
      </c>
      <c r="BI50" s="7">
        <f>IF(AND(BB50=1,BH50=1,IF(17=0,0,BJ49)=0,A50&gt;=IF(BC50="",9999,BC50)+vivienda_aduRetrasoAnios),1,0)</f>
        <v/>
      </c>
      <c r="BJ50" s="7">
        <f>MAX(IF(17=0,0,BJ49),BI50)</f>
        <v/>
      </c>
      <c r="BK50" s="7">
        <f>IF(BI50=1,PMT((g_mortRate+0.005)/12,180,-loc_precio_aduCosto*C50),IF(17=0,0,BK49))</f>
        <v/>
      </c>
      <c r="BL50" s="7">
        <f>IF(BA50=1,AN50,IF(17=0,0,DT49))+IF(BI50=1,loc_precio_aduCosto*C50,0)</f>
        <v/>
      </c>
      <c r="BM50" s="7">
        <f>IF(BA50=1,AQ50,IF(17=0,0,DU49))</f>
        <v/>
      </c>
      <c r="BN50" s="7">
        <f>IF(BM50&lt;=0,0,FV(g_mortRate/12,12,BF50,-BM50))</f>
        <v/>
      </c>
      <c r="BO50" s="7">
        <f>IF(BM50&lt;=0,0,12*BF50+MIN(0,BN50))</f>
        <v/>
      </c>
      <c r="BP50" s="7">
        <f>MAX(0,BN50)</f>
        <v/>
      </c>
      <c r="BQ50" s="7">
        <f>IF(BI50=1,loc_precio_aduCosto*C50,IF(17=0,0,DV49))</f>
        <v/>
      </c>
      <c r="BR50" s="7">
        <f>IF(BQ50&lt;=0,0,FV((g_mortRate+0.005)/12,12,BK50,-BQ50))</f>
        <v/>
      </c>
      <c r="BS50" s="7">
        <f>IF(BQ50&lt;=0,0,12*BK50+MIN(0,BR50))</f>
        <v/>
      </c>
      <c r="BT50" s="7">
        <f>MAX(0,BR50)</f>
        <v/>
      </c>
      <c r="BU50" s="7">
        <f>IF(BB50=1,AM50*loc_seguroPct*(1+vivienda_inflacionSeguro)^(A50-2026)*IF(BJ50=1,1+loc_precio_aduCosto/AM50,1),0)</f>
        <v/>
      </c>
      <c r="BV50" s="7">
        <f>BL50*loc_impuestoPropPct</f>
        <v/>
      </c>
      <c r="BW50" s="7">
        <f>BL50*vivienda_mantenimientoPct</f>
        <v/>
      </c>
      <c r="BX50" s="7">
        <f>IF(AND(BG50=1,BP50&gt;0.8*BE50),BE50*(1-vivienda_enganchePct)*vivienda_pmiTasa,0)</f>
        <v/>
      </c>
      <c r="BY50" s="7">
        <f>IF(AND(BG50=1,BP50&gt;0.8*BE50),1,0)</f>
        <v/>
      </c>
      <c r="BZ50" s="7">
        <f>IF(BB50=1,AS50*loc_rentaUnidad*12*C50*(1-vivienda_vacancia)*(1-vivienda_gestionPct),0)</f>
        <v/>
      </c>
      <c r="CA50" s="7">
        <f>IF(BB50=1,BO50+BS50+BU50+BV50+BW50+BX50,loc_rentaMensual*12*C50)</f>
        <v/>
      </c>
      <c r="CB50" s="7">
        <f>IF(BB50=1,personal_aporteFamiliaMensual*12,0)</f>
        <v/>
      </c>
      <c r="CC50" s="7">
        <f>MIN(IF(17=0,personal_irsSaldo,CD49),personal_irsPagoMensual*12)</f>
        <v/>
      </c>
      <c r="CD50" s="7">
        <f>IF(17=0,personal_irsSaldo,CD49)-CC50</f>
        <v/>
      </c>
      <c r="CE50" s="7">
        <f>IF(17=0,IF(personal_deudaEsFederal=1,personal_deudaEstudiantil,0),DW49)</f>
        <v/>
      </c>
      <c r="CF50" s="7">
        <f>IF(17=0,personal_tasaDeudaEstudiantil,DX49)</f>
        <v/>
      </c>
      <c r="CG50" s="7">
        <f>IF(17=0,0,DY49)</f>
        <v/>
      </c>
      <c r="CH50" s="7">
        <f>IF(J50&gt;=0.5,1,0)</f>
        <v/>
      </c>
      <c r="CI50" s="7">
        <f>IF(AND(CH50=0,prestamos_pslfActivo=1,K50&gt;=0.5,CE50&gt;0),1,0)</f>
        <v/>
      </c>
      <c r="CJ50" s="7">
        <f>CE50*CF50</f>
        <v/>
      </c>
      <c r="CK50" s="7">
        <f>MAX(prestamos_rapPagoMinimoAnual,IF(Y50&lt;10000,0,MIN(0.1,INT(Y50/10000)/100))*Y50)</f>
        <v/>
      </c>
      <c r="CL50" s="7">
        <f>IF(CE50&lt;=0,0,IF(CH50=1,0,IF(CI50=1,MIN(CE50+CJ50,CK50),PMT(CF50,MAX(1,prestamos_plazoAnios-CG50),-CE50))))</f>
        <v/>
      </c>
      <c r="CM50" s="7">
        <f>IF(CE50&lt;=0,0,IF(CH50=1,CE50+CJ50,IF(CI50=1,MAX(0,CE50-MAX(CL50-CJ50,MIN(600,CL50))),MAX(0,CE50*(1+CF50)-CL50))))</f>
        <v/>
      </c>
      <c r="CN50" s="7">
        <f>IF(17=0,0,CN49)+IF(CI50=1,12*MIN(1,K50),0)</f>
        <v/>
      </c>
      <c r="CO50" s="7">
        <f>IF(AND(CI50=1,CN50&gt;=prestamos_pslfPagos,CM50&gt;0),CM50,0)</f>
        <v/>
      </c>
      <c r="CP50" s="7">
        <f>CM50-CO50</f>
        <v/>
      </c>
      <c r="CQ50" s="7">
        <f>IF(AND(CE50&gt;0,CH50=0,CI50=0),CG50+1,CG50)</f>
        <v/>
      </c>
      <c r="CR50" s="7">
        <f>IF(17=0,IF(personal_deudaEsFederal=1,0,personal_deudaEstudiantil),EA49)</f>
        <v/>
      </c>
      <c r="CS50" s="7">
        <f>IF(17=0,IF(personal_deudaEsFederal=1,prestamos_tasaPrivada,personal_tasaDeudaEstudiantil),EB49)</f>
        <v/>
      </c>
      <c r="CT50" s="7">
        <f>IF(17=0,0,EC49)</f>
        <v/>
      </c>
      <c r="CU50" s="7">
        <f>IF(OR(CR50&lt;=0,CH50=1),0,PMT(CS50,MAX(1,prestamos_plazoAnios-CT50),-CR50))</f>
        <v/>
      </c>
      <c r="CV50" s="7">
        <f>IF(CR50&lt;=0,0,IF(CH50=1,CR50*(1+CS50),MAX(0,CR50*(1+CS50)-CU50)))</f>
        <v/>
      </c>
      <c r="CW50" s="7">
        <f>IF(AND(CR50&gt;0,CH50=0),CT50+1,CT50)</f>
        <v/>
      </c>
      <c r="CX50" s="7">
        <f>IF(17=0,0,ED49)*(1+general_tasaDeudaConsumo)</f>
        <v/>
      </c>
      <c r="CY50" s="7">
        <f>L50*12*tiempos_travelGastoExtraMes*C50</f>
        <v/>
      </c>
      <c r="CZ50" s="7">
        <f>AJ50+CY50+CA50+CC50+CL50+CU50+I50+N50-BZ50-CB50</f>
        <v/>
      </c>
      <c r="DA50" s="7">
        <f>AH50-CZ50</f>
        <v/>
      </c>
      <c r="DB50" s="7">
        <f>IF(17=0,0,DB49)+DA50</f>
        <v/>
      </c>
      <c r="DC50" s="7">
        <f>AN50*vivienda_enganchePct+AN50*vivienda_cierrePct+general_reservaMeses/12*AJ50</f>
        <v/>
      </c>
      <c r="DD50" s="7">
        <f>IF(BB50=1,g_ret,IF(BD50&gt;0,MIN(1,DC50/BD50),1)*g_cash+(1-IF(BD50&gt;0,MIN(1,DC50/BD50),1))*g_ret)</f>
        <v/>
      </c>
      <c r="DE50" s="7">
        <f>IF(DA50&gt;=0,MIN(CX50,DA50),0)</f>
        <v/>
      </c>
      <c r="DF50" s="7">
        <f>IF(DA50&gt;=0,(1-general_tasaAhorro)*(DA50-DE50),0)</f>
        <v/>
      </c>
      <c r="DG50" s="7">
        <f>IF(DA50&gt;=0,DA50-DE50-DF50,0)</f>
        <v/>
      </c>
      <c r="DH50" s="7">
        <f>MIN(personal_rothAnual,DG50)</f>
        <v/>
      </c>
      <c r="DI50" s="7">
        <f>IF(AND(DA50&gt;=0,BB50=1,BP50+BT50&gt;0),MIN(vivienda_prepagoPct*(DG50-DH50),BP50+BT50),0)</f>
        <v/>
      </c>
      <c r="DJ50" s="7">
        <f>MIN(DI50,BP50)</f>
        <v/>
      </c>
      <c r="DK50" s="7">
        <f>IF(DA50&lt;0,MIN(MAX(0,BD50),-DA50),0)</f>
        <v/>
      </c>
      <c r="DL50" s="7">
        <f>IF(DA50&lt;0,-DA50-DK50,0)</f>
        <v/>
      </c>
      <c r="DM50" s="7">
        <f>IF(17=0,0,DZ49)</f>
        <v/>
      </c>
      <c r="DN50" s="7">
        <f>IF(AND(DL50&gt;0,J50&gt;0),MIN(DL50,MIN(prestamos_topeAnualPosgrado*MIN(1,J50),MAX(0,prestamos_topeTotalPosgrado-DM50))),0)</f>
        <v/>
      </c>
      <c r="DO50" s="7">
        <f>IF(AND(DL50&gt;0,J50&gt;0),DL50-DN50,0)</f>
        <v/>
      </c>
      <c r="DP50" s="7">
        <f>IF(AND(DL50&gt;0,J50&lt;=0),DL50,0)</f>
        <v/>
      </c>
      <c r="DQ50" s="7">
        <f>IF(DA50&gt;=0,DG50-DH50-DI50,-DK50)</f>
        <v/>
      </c>
      <c r="DR50" s="7">
        <f>BD50*(1+DD50)+DQ50*(1+DD50/2)</f>
        <v/>
      </c>
      <c r="DS50" s="7">
        <f>IF(17=0,personal_retiroInicial,DS49)*(1+g_ret)+(O50+P50+DH50)*(1+g_ret/2)</f>
        <v/>
      </c>
      <c r="DT50" s="7">
        <f>IF(BB50=1,BL50*(1+g_appr),0)</f>
        <v/>
      </c>
      <c r="DU50" s="7">
        <f>BP50-DJ50</f>
        <v/>
      </c>
      <c r="DV50" s="7">
        <f>BT50-(DI50-DJ50)</f>
        <v/>
      </c>
      <c r="DW50" s="7">
        <f>CP50+DN50</f>
        <v/>
      </c>
      <c r="DX50" s="7">
        <f>IF(DN50&gt;0,(CP50*CF50+DN50*prestamos_tasaFederalPosgrado)/(CP50+DN50),CF50)</f>
        <v/>
      </c>
      <c r="DY50" s="7">
        <f>IF(DN50&gt;0,0,CQ50)</f>
        <v/>
      </c>
      <c r="DZ50" s="7">
        <f>DM50+DN50</f>
        <v/>
      </c>
      <c r="EA50" s="7">
        <f>CV50+DO50</f>
        <v/>
      </c>
      <c r="EB50" s="7">
        <f>IF(DO50&gt;0,(CV50*CS50+DO50*prestamos_tasaPrivada)/(CV50+DO50),CS50)</f>
        <v/>
      </c>
      <c r="EC50" s="7">
        <f>IF(DO50&gt;0,0,CW50)</f>
        <v/>
      </c>
      <c r="ED50" s="7">
        <f>CX50-DE50+DP50</f>
        <v/>
      </c>
      <c r="EE50" s="7">
        <f>IF(IF(17=0,"",EE49)&lt;&gt;"",EE49,IF(AND(BB50=1,DU50&lt;=0.5,DV50&lt;=0.5,OR(BH50=0,BJ50=1)),A50,""))</f>
        <v/>
      </c>
      <c r="EF50" s="7">
        <f>DU50+DV50+DW50+EA50+ED50+CD50</f>
        <v/>
      </c>
      <c r="EG50" s="7">
        <f>DR50+DS50+DT50-EF50</f>
        <v/>
      </c>
      <c r="EH50" s="7">
        <f>EG50/(1+g_inf)^(A50+1-2026)</f>
        <v/>
      </c>
    </row>
    <row r="51">
      <c r="A51" t="n">
        <v>2045</v>
      </c>
      <c r="B51" t="n">
        <v>18</v>
      </c>
      <c r="C51" s="7">
        <f>(1+g_inf)^(A51-2026)</f>
        <v/>
      </c>
      <c r="D51" s="7">
        <f>SUMPRODUCT($AL$5:$AL$29,$E$5:$E$29*(1+$F$5:$F$29)^(A51-2026)*$G$5:$G$29*$H$5:$H$29*(1-$N$5:$N$29*$O$5:$O$29))*g_salMult+SUMPRODUCT(($B$5:$B$29&gt;=A51)*($B$5:$B$29&lt;A51+1)*$I$5:$I$29)*g_salMult</f>
        <v/>
      </c>
      <c r="E51" s="7">
        <f>SUMPRODUCT($AL$5:$AL$29,$E$5:$E$29*(1+$F$5:$F$29)^(A51-2026)*$G$5:$G$29*$H$5:$H$29*$M$5:$M$29)*g_salMult</f>
        <v/>
      </c>
      <c r="F51" s="7">
        <f>SUMPRODUCT($AL$5:$AL$29,$E$5:$E$29*(1+$F$5:$F$29)^(A51-2026)*$G$5:$G$29*$H$5:$H$29*$N$5:$N$29*$O$5:$O$29)*g_salMult</f>
        <v/>
      </c>
      <c r="G51" s="7">
        <f>SUMPRODUCT($AL$5:$AL$29,$P$5:$P$29*(1+$F$5:$F$29)^(A51-2026))</f>
        <v/>
      </c>
      <c r="H51" s="7">
        <f>SUMPRODUCT($AL$5:$AL$29,$Q$5:$Q$29*(1+$F$5:$F$29)^(A51-2026))+IF(personal_llcActivo=1,personal_llcNeto*(1+personal_llcCrecimiento)^18,0)</f>
        <v/>
      </c>
      <c r="I51" s="7">
        <f>SUMPRODUCT($AL$5:$AL$29,$J$5:$J$29/($C$5:$C$29-$B$5:$B$29+($C$5:$C$29=$B$5:$B$29)))*C51</f>
        <v/>
      </c>
      <c r="J51" s="7">
        <f>SUMPRODUCT($AL$5:$AL$29,$K$5:$K$29)</f>
        <v/>
      </c>
      <c r="K51" s="7">
        <f>SUMPRODUCT($AL$5:$AL$29,$L$5:$L$29)</f>
        <v/>
      </c>
      <c r="L51" s="7">
        <f>SUMPRODUCT($AL$5:$AL$29,$N$5:$N$29)</f>
        <v/>
      </c>
      <c r="M51" s="7">
        <f>IF(SUMPRODUCT($AL$5:$AL$29,$R$5:$R$29)&gt;0,1,0)</f>
        <v/>
      </c>
      <c r="N51" s="7">
        <f>SUMPRODUCT(($AO$5:$AO$24&gt;=A51)*($AO$5:$AO$24&lt;A51+1)*$AP$5:$AP$24)*C51+IF(18=0,IF(sel_loc&lt;&gt;"miami",personal_costoMudanzaInicial,0),0)</f>
        <v/>
      </c>
      <c r="O51" s="7">
        <f>MIN(personal_aporte403bPct*D51,retiro_limite403b*C51)</f>
        <v/>
      </c>
      <c r="P51" s="7">
        <f>MIN(personal_aporte403bPct,personal_match403bPct)*E51</f>
        <v/>
      </c>
      <c r="Q51" s="7">
        <f>IF(G51&gt;0,MAX(0,G51-impuestos_scorpCostoAnual*C51),0)</f>
        <v/>
      </c>
      <c r="R51" s="7">
        <f>Q51*impuestos_scorpSalarioPct/(1+impuestos_ssTasa+impuestos_medicareTasa)</f>
        <v/>
      </c>
      <c r="S51" s="7">
        <f>impuestos_ssTasa*MIN(R51,MAX(0,impuestos_ssTope*C51-D51))+impuestos_medicareTasa*R51</f>
        <v/>
      </c>
      <c r="T51" s="7">
        <f>Q51-R51-S51</f>
        <v/>
      </c>
      <c r="U51" s="7">
        <f>D51+R51</f>
        <v/>
      </c>
      <c r="V51" s="7">
        <f>H51*0.9235</f>
        <v/>
      </c>
      <c r="W51" s="7">
        <f>IF(H51&gt;0,2*impuestos_ssTasa*MIN(V51,MAX(0,impuestos_ssTope*C51-U51))+2*impuestos_medicareTasa*V51,0)</f>
        <v/>
      </c>
      <c r="X51" s="7">
        <f>impuestos_ssTasa*MIN(U51,impuestos_ssTope*C51)+impuestos_medicareTasa*U51+impuestos_medicareAdicional*MAX(0,U51+H51*0.9235-impuestos_medicareUmbral)</f>
        <v/>
      </c>
      <c r="Y51" s="7">
        <f>MAX(0,D51-O51+R51+T51+H51-W51/2)</f>
        <v/>
      </c>
      <c r="Z51" s="7">
        <f>MAX(0,Y51-impuestos_deduccionEstandar*C51)</f>
        <v/>
      </c>
      <c r="AA51" s="7">
        <f>MIN(0.2*MAX(0,T51+H51-W51/2)*MAX(0,MIN(1,1-(Z51-impuestos_qbiUmbral*C51)/(impuestos_qbiRango*C51))),0.2*Z51)</f>
        <v/>
      </c>
      <c r="AB51" s="7">
        <f>MAX(0,Z51-AA51)</f>
        <v/>
      </c>
      <c r="AC51" s="7">
        <f>SUMPRODUCT((AB51&gt;tb_federalBrackets_lo*C51)*(AB51-tb_federalBrackets_lo*C51)*tb_federalBrackets_dr)</f>
        <v/>
      </c>
      <c r="AD51" s="7">
        <f>MAX(0,Y51-impuestos_nyDeduccion*C51)</f>
        <v/>
      </c>
      <c r="AE51" s="7">
        <f>CHOOSE(loc_taxcode,0,impuestos_ohTasa*MAX(0,Y51-impuestos_ohExento*C51)+impuestos_ohMunicipal*U51,SUMPRODUCT((AD51&gt;tb_nyBrackets_lo*C51)*(AD51-tb_nyBrackets_lo*C51)*tb_nyBrackets_dr)+loc_nyc*SUMPRODUCT((AD51&gt;tb_nycBrackets_lo*C51)*(AD51-tb_nycBrackets_lo*C51)*tb_nycBrackets_dr))</f>
        <v/>
      </c>
      <c r="AF51" s="7">
        <f>AC51+AE51+X51+W51</f>
        <v/>
      </c>
      <c r="AG51" s="7">
        <f>D51+F51+R51+T51+H51</f>
        <v/>
      </c>
      <c r="AH51" s="7">
        <f>AG51-AF51-O51</f>
        <v/>
      </c>
      <c r="AI51" s="7">
        <f>D51+F51+G51+H51</f>
        <v/>
      </c>
      <c r="AJ51" s="7">
        <f>loc_gastosVida*C51*g_gastos</f>
        <v/>
      </c>
      <c r="AK51" s="7">
        <f>IF(18=0,personal_liquidoInicial,DR50)</f>
        <v/>
      </c>
      <c r="AL51" s="7">
        <f>IF(18=0,0,BB50)</f>
        <v/>
      </c>
      <c r="AM51" s="7">
        <f>CHOOSE(sel_cfgIdx,loc_precio_duplex,loc_precio_inlaw,loc_precio_dosCasas,loc_precio_casaAdu,loc_precio_multi)</f>
        <v/>
      </c>
      <c r="AN51" s="7">
        <f>AM51*(1+g_appr)^(A51-2026)</f>
        <v/>
      </c>
      <c r="AO51" s="7">
        <f>IF(AND(M51=1,vivienda_prestamoMedico=1),1,0)</f>
        <v/>
      </c>
      <c r="AP51" s="7">
        <f>IF(AO51=1,0.05,vivienda_enganchePct)</f>
        <v/>
      </c>
      <c r="AQ51" s="7">
        <f>AN51*(1-AP51)</f>
        <v/>
      </c>
      <c r="AR51" s="7">
        <f>PMT(g_mortRate/12,vivienda_plazoHipoteca*12,-AQ51)</f>
        <v/>
      </c>
      <c r="AS51" s="7">
        <f>INDEX(cfg_units,sel_cfgIdx)</f>
        <v/>
      </c>
      <c r="AT51" s="7">
        <f>AS51*loc_rentaUnidad*(1+g_inf)^(A51-2026)*(1-vivienda_vacancia)</f>
        <v/>
      </c>
      <c r="AU51" s="7">
        <f>AR51+AN51*loc_impuestoPropPct/12+AM51*loc_seguroPct*(1+vivienda_inflacionSeguro)^(A51-2026)/12+IF(AND(AO51=0,AP51&lt;0.2),AQ51*vivienda_pmiTasa/12,0)</f>
        <v/>
      </c>
      <c r="AV51" s="7">
        <f>AN51*AP51+AN51*vivienda_cierrePct+general_reservaMeses/12*AJ51</f>
        <v/>
      </c>
      <c r="AW51" s="7">
        <f>(IF(18=0,MIN(personal_irsSaldo,personal_irsPagoMensual*12),MIN(CD50,personal_irsPagoMensual*12))+IF(CE51&gt;0,PMT(CF51,MAX(1,prestamos_plazoAnios-CG51),-CE51),0)+IF(CR51&gt;0,PMT(CS51,MAX(1,prestamos_plazoAnios-CT51),-CR51),0))/12</f>
        <v/>
      </c>
      <c r="AX51" s="7">
        <f>IF(OR(sel_cfg="duplex",sel_cfg="multi",sel_cfg="dosCasas"),0.75*personal_aporteFamiliaMensual,0)</f>
        <v/>
      </c>
      <c r="AY51" s="7">
        <f>AU51-0.75*AT51-AX51+AW51</f>
        <v/>
      </c>
      <c r="AZ51" s="7">
        <f>(D51+G51+H51+0.5*F51)/12</f>
        <v/>
      </c>
      <c r="BA51" s="7">
        <f>IF(AND(AL51=0,A51&gt;=vivienda_anioMinCompra,J51&lt;0.5,AI51&gt;0,AK51&gt;=AV51,AY51&lt;=vivienda_dtiMax*AZ51),1,0)</f>
        <v/>
      </c>
      <c r="BB51" s="7">
        <f>MAX(AL51,BA51)</f>
        <v/>
      </c>
      <c r="BC51" s="7">
        <f>IF(BA51=1,A51,IF(18=0,"",BC50))</f>
        <v/>
      </c>
      <c r="BD51" s="7">
        <f>AK51-IF(BA51=1,AN51*AP51+AN51*vivienda_cierrePct,0)</f>
        <v/>
      </c>
      <c r="BE51" s="7">
        <f>IF(BA51=1,AN51,IF(18=0,0,BE50))</f>
        <v/>
      </c>
      <c r="BF51" s="7">
        <f>IF(BA51=1,AR51,IF(18=0,0,BF50))</f>
        <v/>
      </c>
      <c r="BG51" s="7">
        <f>IF(BA51=1,IF(AND(AO51=0,AP51&lt;0.2),1,0),IF(18=0,0,BY50))</f>
        <v/>
      </c>
      <c r="BH51" s="7">
        <f>IF(sel_cfg="casaAdu",1,0)</f>
        <v/>
      </c>
      <c r="BI51" s="7">
        <f>IF(AND(BB51=1,BH51=1,IF(18=0,0,BJ50)=0,A51&gt;=IF(BC51="",9999,BC51)+vivienda_aduRetrasoAnios),1,0)</f>
        <v/>
      </c>
      <c r="BJ51" s="7">
        <f>MAX(IF(18=0,0,BJ50),BI51)</f>
        <v/>
      </c>
      <c r="BK51" s="7">
        <f>IF(BI51=1,PMT((g_mortRate+0.005)/12,180,-loc_precio_aduCosto*C51),IF(18=0,0,BK50))</f>
        <v/>
      </c>
      <c r="BL51" s="7">
        <f>IF(BA51=1,AN51,IF(18=0,0,DT50))+IF(BI51=1,loc_precio_aduCosto*C51,0)</f>
        <v/>
      </c>
      <c r="BM51" s="7">
        <f>IF(BA51=1,AQ51,IF(18=0,0,DU50))</f>
        <v/>
      </c>
      <c r="BN51" s="7">
        <f>IF(BM51&lt;=0,0,FV(g_mortRate/12,12,BF51,-BM51))</f>
        <v/>
      </c>
      <c r="BO51" s="7">
        <f>IF(BM51&lt;=0,0,12*BF51+MIN(0,BN51))</f>
        <v/>
      </c>
      <c r="BP51" s="7">
        <f>MAX(0,BN51)</f>
        <v/>
      </c>
      <c r="BQ51" s="7">
        <f>IF(BI51=1,loc_precio_aduCosto*C51,IF(18=0,0,DV50))</f>
        <v/>
      </c>
      <c r="BR51" s="7">
        <f>IF(BQ51&lt;=0,0,FV((g_mortRate+0.005)/12,12,BK51,-BQ51))</f>
        <v/>
      </c>
      <c r="BS51" s="7">
        <f>IF(BQ51&lt;=0,0,12*BK51+MIN(0,BR51))</f>
        <v/>
      </c>
      <c r="BT51" s="7">
        <f>MAX(0,BR51)</f>
        <v/>
      </c>
      <c r="BU51" s="7">
        <f>IF(BB51=1,AM51*loc_seguroPct*(1+vivienda_inflacionSeguro)^(A51-2026)*IF(BJ51=1,1+loc_precio_aduCosto/AM51,1),0)</f>
        <v/>
      </c>
      <c r="BV51" s="7">
        <f>BL51*loc_impuestoPropPct</f>
        <v/>
      </c>
      <c r="BW51" s="7">
        <f>BL51*vivienda_mantenimientoPct</f>
        <v/>
      </c>
      <c r="BX51" s="7">
        <f>IF(AND(BG51=1,BP51&gt;0.8*BE51),BE51*(1-vivienda_enganchePct)*vivienda_pmiTasa,0)</f>
        <v/>
      </c>
      <c r="BY51" s="7">
        <f>IF(AND(BG51=1,BP51&gt;0.8*BE51),1,0)</f>
        <v/>
      </c>
      <c r="BZ51" s="7">
        <f>IF(BB51=1,AS51*loc_rentaUnidad*12*C51*(1-vivienda_vacancia)*(1-vivienda_gestionPct),0)</f>
        <v/>
      </c>
      <c r="CA51" s="7">
        <f>IF(BB51=1,BO51+BS51+BU51+BV51+BW51+BX51,loc_rentaMensual*12*C51)</f>
        <v/>
      </c>
      <c r="CB51" s="7">
        <f>IF(BB51=1,personal_aporteFamiliaMensual*12,0)</f>
        <v/>
      </c>
      <c r="CC51" s="7">
        <f>MIN(IF(18=0,personal_irsSaldo,CD50),personal_irsPagoMensual*12)</f>
        <v/>
      </c>
      <c r="CD51" s="7">
        <f>IF(18=0,personal_irsSaldo,CD50)-CC51</f>
        <v/>
      </c>
      <c r="CE51" s="7">
        <f>IF(18=0,IF(personal_deudaEsFederal=1,personal_deudaEstudiantil,0),DW50)</f>
        <v/>
      </c>
      <c r="CF51" s="7">
        <f>IF(18=0,personal_tasaDeudaEstudiantil,DX50)</f>
        <v/>
      </c>
      <c r="CG51" s="7">
        <f>IF(18=0,0,DY50)</f>
        <v/>
      </c>
      <c r="CH51" s="7">
        <f>IF(J51&gt;=0.5,1,0)</f>
        <v/>
      </c>
      <c r="CI51" s="7">
        <f>IF(AND(CH51=0,prestamos_pslfActivo=1,K51&gt;=0.5,CE51&gt;0),1,0)</f>
        <v/>
      </c>
      <c r="CJ51" s="7">
        <f>CE51*CF51</f>
        <v/>
      </c>
      <c r="CK51" s="7">
        <f>MAX(prestamos_rapPagoMinimoAnual,IF(Y51&lt;10000,0,MIN(0.1,INT(Y51/10000)/100))*Y51)</f>
        <v/>
      </c>
      <c r="CL51" s="7">
        <f>IF(CE51&lt;=0,0,IF(CH51=1,0,IF(CI51=1,MIN(CE51+CJ51,CK51),PMT(CF51,MAX(1,prestamos_plazoAnios-CG51),-CE51))))</f>
        <v/>
      </c>
      <c r="CM51" s="7">
        <f>IF(CE51&lt;=0,0,IF(CH51=1,CE51+CJ51,IF(CI51=1,MAX(0,CE51-MAX(CL51-CJ51,MIN(600,CL51))),MAX(0,CE51*(1+CF51)-CL51))))</f>
        <v/>
      </c>
      <c r="CN51" s="7">
        <f>IF(18=0,0,CN50)+IF(CI51=1,12*MIN(1,K51),0)</f>
        <v/>
      </c>
      <c r="CO51" s="7">
        <f>IF(AND(CI51=1,CN51&gt;=prestamos_pslfPagos,CM51&gt;0),CM51,0)</f>
        <v/>
      </c>
      <c r="CP51" s="7">
        <f>CM51-CO51</f>
        <v/>
      </c>
      <c r="CQ51" s="7">
        <f>IF(AND(CE51&gt;0,CH51=0,CI51=0),CG51+1,CG51)</f>
        <v/>
      </c>
      <c r="CR51" s="7">
        <f>IF(18=0,IF(personal_deudaEsFederal=1,0,personal_deudaEstudiantil),EA50)</f>
        <v/>
      </c>
      <c r="CS51" s="7">
        <f>IF(18=0,IF(personal_deudaEsFederal=1,prestamos_tasaPrivada,personal_tasaDeudaEstudiantil),EB50)</f>
        <v/>
      </c>
      <c r="CT51" s="7">
        <f>IF(18=0,0,EC50)</f>
        <v/>
      </c>
      <c r="CU51" s="7">
        <f>IF(OR(CR51&lt;=0,CH51=1),0,PMT(CS51,MAX(1,prestamos_plazoAnios-CT51),-CR51))</f>
        <v/>
      </c>
      <c r="CV51" s="7">
        <f>IF(CR51&lt;=0,0,IF(CH51=1,CR51*(1+CS51),MAX(0,CR51*(1+CS51)-CU51)))</f>
        <v/>
      </c>
      <c r="CW51" s="7">
        <f>IF(AND(CR51&gt;0,CH51=0),CT51+1,CT51)</f>
        <v/>
      </c>
      <c r="CX51" s="7">
        <f>IF(18=0,0,ED50)*(1+general_tasaDeudaConsumo)</f>
        <v/>
      </c>
      <c r="CY51" s="7">
        <f>L51*12*tiempos_travelGastoExtraMes*C51</f>
        <v/>
      </c>
      <c r="CZ51" s="7">
        <f>AJ51+CY51+CA51+CC51+CL51+CU51+I51+N51-BZ51-CB51</f>
        <v/>
      </c>
      <c r="DA51" s="7">
        <f>AH51-CZ51</f>
        <v/>
      </c>
      <c r="DB51" s="7">
        <f>IF(18=0,0,DB50)+DA51</f>
        <v/>
      </c>
      <c r="DC51" s="7">
        <f>AN51*vivienda_enganchePct+AN51*vivienda_cierrePct+general_reservaMeses/12*AJ51</f>
        <v/>
      </c>
      <c r="DD51" s="7">
        <f>IF(BB51=1,g_ret,IF(BD51&gt;0,MIN(1,DC51/BD51),1)*g_cash+(1-IF(BD51&gt;0,MIN(1,DC51/BD51),1))*g_ret)</f>
        <v/>
      </c>
      <c r="DE51" s="7">
        <f>IF(DA51&gt;=0,MIN(CX51,DA51),0)</f>
        <v/>
      </c>
      <c r="DF51" s="7">
        <f>IF(DA51&gt;=0,(1-general_tasaAhorro)*(DA51-DE51),0)</f>
        <v/>
      </c>
      <c r="DG51" s="7">
        <f>IF(DA51&gt;=0,DA51-DE51-DF51,0)</f>
        <v/>
      </c>
      <c r="DH51" s="7">
        <f>MIN(personal_rothAnual,DG51)</f>
        <v/>
      </c>
      <c r="DI51" s="7">
        <f>IF(AND(DA51&gt;=0,BB51=1,BP51+BT51&gt;0),MIN(vivienda_prepagoPct*(DG51-DH51),BP51+BT51),0)</f>
        <v/>
      </c>
      <c r="DJ51" s="7">
        <f>MIN(DI51,BP51)</f>
        <v/>
      </c>
      <c r="DK51" s="7">
        <f>IF(DA51&lt;0,MIN(MAX(0,BD51),-DA51),0)</f>
        <v/>
      </c>
      <c r="DL51" s="7">
        <f>IF(DA51&lt;0,-DA51-DK51,0)</f>
        <v/>
      </c>
      <c r="DM51" s="7">
        <f>IF(18=0,0,DZ50)</f>
        <v/>
      </c>
      <c r="DN51" s="7">
        <f>IF(AND(DL51&gt;0,J51&gt;0),MIN(DL51,MIN(prestamos_topeAnualPosgrado*MIN(1,J51),MAX(0,prestamos_topeTotalPosgrado-DM51))),0)</f>
        <v/>
      </c>
      <c r="DO51" s="7">
        <f>IF(AND(DL51&gt;0,J51&gt;0),DL51-DN51,0)</f>
        <v/>
      </c>
      <c r="DP51" s="7">
        <f>IF(AND(DL51&gt;0,J51&lt;=0),DL51,0)</f>
        <v/>
      </c>
      <c r="DQ51" s="7">
        <f>IF(DA51&gt;=0,DG51-DH51-DI51,-DK51)</f>
        <v/>
      </c>
      <c r="DR51" s="7">
        <f>BD51*(1+DD51)+DQ51*(1+DD51/2)</f>
        <v/>
      </c>
      <c r="DS51" s="7">
        <f>IF(18=0,personal_retiroInicial,DS50)*(1+g_ret)+(O51+P51+DH51)*(1+g_ret/2)</f>
        <v/>
      </c>
      <c r="DT51" s="7">
        <f>IF(BB51=1,BL51*(1+g_appr),0)</f>
        <v/>
      </c>
      <c r="DU51" s="7">
        <f>BP51-DJ51</f>
        <v/>
      </c>
      <c r="DV51" s="7">
        <f>BT51-(DI51-DJ51)</f>
        <v/>
      </c>
      <c r="DW51" s="7">
        <f>CP51+DN51</f>
        <v/>
      </c>
      <c r="DX51" s="7">
        <f>IF(DN51&gt;0,(CP51*CF51+DN51*prestamos_tasaFederalPosgrado)/(CP51+DN51),CF51)</f>
        <v/>
      </c>
      <c r="DY51" s="7">
        <f>IF(DN51&gt;0,0,CQ51)</f>
        <v/>
      </c>
      <c r="DZ51" s="7">
        <f>DM51+DN51</f>
        <v/>
      </c>
      <c r="EA51" s="7">
        <f>CV51+DO51</f>
        <v/>
      </c>
      <c r="EB51" s="7">
        <f>IF(DO51&gt;0,(CV51*CS51+DO51*prestamos_tasaPrivada)/(CV51+DO51),CS51)</f>
        <v/>
      </c>
      <c r="EC51" s="7">
        <f>IF(DO51&gt;0,0,CW51)</f>
        <v/>
      </c>
      <c r="ED51" s="7">
        <f>CX51-DE51+DP51</f>
        <v/>
      </c>
      <c r="EE51" s="7">
        <f>IF(IF(18=0,"",EE50)&lt;&gt;"",EE50,IF(AND(BB51=1,DU51&lt;=0.5,DV51&lt;=0.5,OR(BH51=0,BJ51=1)),A51,""))</f>
        <v/>
      </c>
      <c r="EF51" s="7">
        <f>DU51+DV51+DW51+EA51+ED51+CD51</f>
        <v/>
      </c>
      <c r="EG51" s="7">
        <f>DR51+DS51+DT51-EF51</f>
        <v/>
      </c>
      <c r="EH51" s="7">
        <f>EG51/(1+g_inf)^(A51+1-2026)</f>
        <v/>
      </c>
    </row>
    <row r="52">
      <c r="A52" t="n">
        <v>2046</v>
      </c>
      <c r="B52" t="n">
        <v>19</v>
      </c>
      <c r="C52" s="7">
        <f>(1+g_inf)^(A52-2026)</f>
        <v/>
      </c>
      <c r="D52" s="7">
        <f>SUMPRODUCT($AM$5:$AM$29,$E$5:$E$29*(1+$F$5:$F$29)^(A52-2026)*$G$5:$G$29*$H$5:$H$29*(1-$N$5:$N$29*$O$5:$O$29))*g_salMult+SUMPRODUCT(($B$5:$B$29&gt;=A52)*($B$5:$B$29&lt;A52+1)*$I$5:$I$29)*g_salMult</f>
        <v/>
      </c>
      <c r="E52" s="7">
        <f>SUMPRODUCT($AM$5:$AM$29,$E$5:$E$29*(1+$F$5:$F$29)^(A52-2026)*$G$5:$G$29*$H$5:$H$29*$M$5:$M$29)*g_salMult</f>
        <v/>
      </c>
      <c r="F52" s="7">
        <f>SUMPRODUCT($AM$5:$AM$29,$E$5:$E$29*(1+$F$5:$F$29)^(A52-2026)*$G$5:$G$29*$H$5:$H$29*$N$5:$N$29*$O$5:$O$29)*g_salMult</f>
        <v/>
      </c>
      <c r="G52" s="7">
        <f>SUMPRODUCT($AM$5:$AM$29,$P$5:$P$29*(1+$F$5:$F$29)^(A52-2026))</f>
        <v/>
      </c>
      <c r="H52" s="7">
        <f>SUMPRODUCT($AM$5:$AM$29,$Q$5:$Q$29*(1+$F$5:$F$29)^(A52-2026))+IF(personal_llcActivo=1,personal_llcNeto*(1+personal_llcCrecimiento)^19,0)</f>
        <v/>
      </c>
      <c r="I52" s="7">
        <f>SUMPRODUCT($AM$5:$AM$29,$J$5:$J$29/($C$5:$C$29-$B$5:$B$29+($C$5:$C$29=$B$5:$B$29)))*C52</f>
        <v/>
      </c>
      <c r="J52" s="7">
        <f>SUMPRODUCT($AM$5:$AM$29,$K$5:$K$29)</f>
        <v/>
      </c>
      <c r="K52" s="7">
        <f>SUMPRODUCT($AM$5:$AM$29,$L$5:$L$29)</f>
        <v/>
      </c>
      <c r="L52" s="7">
        <f>SUMPRODUCT($AM$5:$AM$29,$N$5:$N$29)</f>
        <v/>
      </c>
      <c r="M52" s="7">
        <f>IF(SUMPRODUCT($AM$5:$AM$29,$R$5:$R$29)&gt;0,1,0)</f>
        <v/>
      </c>
      <c r="N52" s="7">
        <f>SUMPRODUCT(($AO$5:$AO$24&gt;=A52)*($AO$5:$AO$24&lt;A52+1)*$AP$5:$AP$24)*C52+IF(19=0,IF(sel_loc&lt;&gt;"miami",personal_costoMudanzaInicial,0),0)</f>
        <v/>
      </c>
      <c r="O52" s="7">
        <f>MIN(personal_aporte403bPct*D52,retiro_limite403b*C52)</f>
        <v/>
      </c>
      <c r="P52" s="7">
        <f>MIN(personal_aporte403bPct,personal_match403bPct)*E52</f>
        <v/>
      </c>
      <c r="Q52" s="7">
        <f>IF(G52&gt;0,MAX(0,G52-impuestos_scorpCostoAnual*C52),0)</f>
        <v/>
      </c>
      <c r="R52" s="7">
        <f>Q52*impuestos_scorpSalarioPct/(1+impuestos_ssTasa+impuestos_medicareTasa)</f>
        <v/>
      </c>
      <c r="S52" s="7">
        <f>impuestos_ssTasa*MIN(R52,MAX(0,impuestos_ssTope*C52-D52))+impuestos_medicareTasa*R52</f>
        <v/>
      </c>
      <c r="T52" s="7">
        <f>Q52-R52-S52</f>
        <v/>
      </c>
      <c r="U52" s="7">
        <f>D52+R52</f>
        <v/>
      </c>
      <c r="V52" s="7">
        <f>H52*0.9235</f>
        <v/>
      </c>
      <c r="W52" s="7">
        <f>IF(H52&gt;0,2*impuestos_ssTasa*MIN(V52,MAX(0,impuestos_ssTope*C52-U52))+2*impuestos_medicareTasa*V52,0)</f>
        <v/>
      </c>
      <c r="X52" s="7">
        <f>impuestos_ssTasa*MIN(U52,impuestos_ssTope*C52)+impuestos_medicareTasa*U52+impuestos_medicareAdicional*MAX(0,U52+H52*0.9235-impuestos_medicareUmbral)</f>
        <v/>
      </c>
      <c r="Y52" s="7">
        <f>MAX(0,D52-O52+R52+T52+H52-W52/2)</f>
        <v/>
      </c>
      <c r="Z52" s="7">
        <f>MAX(0,Y52-impuestos_deduccionEstandar*C52)</f>
        <v/>
      </c>
      <c r="AA52" s="7">
        <f>MIN(0.2*MAX(0,T52+H52-W52/2)*MAX(0,MIN(1,1-(Z52-impuestos_qbiUmbral*C52)/(impuestos_qbiRango*C52))),0.2*Z52)</f>
        <v/>
      </c>
      <c r="AB52" s="7">
        <f>MAX(0,Z52-AA52)</f>
        <v/>
      </c>
      <c r="AC52" s="7">
        <f>SUMPRODUCT((AB52&gt;tb_federalBrackets_lo*C52)*(AB52-tb_federalBrackets_lo*C52)*tb_federalBrackets_dr)</f>
        <v/>
      </c>
      <c r="AD52" s="7">
        <f>MAX(0,Y52-impuestos_nyDeduccion*C52)</f>
        <v/>
      </c>
      <c r="AE52" s="7">
        <f>CHOOSE(loc_taxcode,0,impuestos_ohTasa*MAX(0,Y52-impuestos_ohExento*C52)+impuestos_ohMunicipal*U52,SUMPRODUCT((AD52&gt;tb_nyBrackets_lo*C52)*(AD52-tb_nyBrackets_lo*C52)*tb_nyBrackets_dr)+loc_nyc*SUMPRODUCT((AD52&gt;tb_nycBrackets_lo*C52)*(AD52-tb_nycBrackets_lo*C52)*tb_nycBrackets_dr))</f>
        <v/>
      </c>
      <c r="AF52" s="7">
        <f>AC52+AE52+X52+W52</f>
        <v/>
      </c>
      <c r="AG52" s="7">
        <f>D52+F52+R52+T52+H52</f>
        <v/>
      </c>
      <c r="AH52" s="7">
        <f>AG52-AF52-O52</f>
        <v/>
      </c>
      <c r="AI52" s="7">
        <f>D52+F52+G52+H52</f>
        <v/>
      </c>
      <c r="AJ52" s="7">
        <f>loc_gastosVida*C52*g_gastos</f>
        <v/>
      </c>
      <c r="AK52" s="7">
        <f>IF(19=0,personal_liquidoInicial,DR51)</f>
        <v/>
      </c>
      <c r="AL52" s="7">
        <f>IF(19=0,0,BB51)</f>
        <v/>
      </c>
      <c r="AM52" s="7">
        <f>CHOOSE(sel_cfgIdx,loc_precio_duplex,loc_precio_inlaw,loc_precio_dosCasas,loc_precio_casaAdu,loc_precio_multi)</f>
        <v/>
      </c>
      <c r="AN52" s="7">
        <f>AM52*(1+g_appr)^(A52-2026)</f>
        <v/>
      </c>
      <c r="AO52" s="7">
        <f>IF(AND(M52=1,vivienda_prestamoMedico=1),1,0)</f>
        <v/>
      </c>
      <c r="AP52" s="7">
        <f>IF(AO52=1,0.05,vivienda_enganchePct)</f>
        <v/>
      </c>
      <c r="AQ52" s="7">
        <f>AN52*(1-AP52)</f>
        <v/>
      </c>
      <c r="AR52" s="7">
        <f>PMT(g_mortRate/12,vivienda_plazoHipoteca*12,-AQ52)</f>
        <v/>
      </c>
      <c r="AS52" s="7">
        <f>INDEX(cfg_units,sel_cfgIdx)</f>
        <v/>
      </c>
      <c r="AT52" s="7">
        <f>AS52*loc_rentaUnidad*(1+g_inf)^(A52-2026)*(1-vivienda_vacancia)</f>
        <v/>
      </c>
      <c r="AU52" s="7">
        <f>AR52+AN52*loc_impuestoPropPct/12+AM52*loc_seguroPct*(1+vivienda_inflacionSeguro)^(A52-2026)/12+IF(AND(AO52=0,AP52&lt;0.2),AQ52*vivienda_pmiTasa/12,0)</f>
        <v/>
      </c>
      <c r="AV52" s="7">
        <f>AN52*AP52+AN52*vivienda_cierrePct+general_reservaMeses/12*AJ52</f>
        <v/>
      </c>
      <c r="AW52" s="7">
        <f>(IF(19=0,MIN(personal_irsSaldo,personal_irsPagoMensual*12),MIN(CD51,personal_irsPagoMensual*12))+IF(CE52&gt;0,PMT(CF52,MAX(1,prestamos_plazoAnios-CG52),-CE52),0)+IF(CR52&gt;0,PMT(CS52,MAX(1,prestamos_plazoAnios-CT52),-CR52),0))/12</f>
        <v/>
      </c>
      <c r="AX52" s="7">
        <f>IF(OR(sel_cfg="duplex",sel_cfg="multi",sel_cfg="dosCasas"),0.75*personal_aporteFamiliaMensual,0)</f>
        <v/>
      </c>
      <c r="AY52" s="7">
        <f>AU52-0.75*AT52-AX52+AW52</f>
        <v/>
      </c>
      <c r="AZ52" s="7">
        <f>(D52+G52+H52+0.5*F52)/12</f>
        <v/>
      </c>
      <c r="BA52" s="7">
        <f>IF(AND(AL52=0,A52&gt;=vivienda_anioMinCompra,J52&lt;0.5,AI52&gt;0,AK52&gt;=AV52,AY52&lt;=vivienda_dtiMax*AZ52),1,0)</f>
        <v/>
      </c>
      <c r="BB52" s="7">
        <f>MAX(AL52,BA52)</f>
        <v/>
      </c>
      <c r="BC52" s="7">
        <f>IF(BA52=1,A52,IF(19=0,"",BC51))</f>
        <v/>
      </c>
      <c r="BD52" s="7">
        <f>AK52-IF(BA52=1,AN52*AP52+AN52*vivienda_cierrePct,0)</f>
        <v/>
      </c>
      <c r="BE52" s="7">
        <f>IF(BA52=1,AN52,IF(19=0,0,BE51))</f>
        <v/>
      </c>
      <c r="BF52" s="7">
        <f>IF(BA52=1,AR52,IF(19=0,0,BF51))</f>
        <v/>
      </c>
      <c r="BG52" s="7">
        <f>IF(BA52=1,IF(AND(AO52=0,AP52&lt;0.2),1,0),IF(19=0,0,BY51))</f>
        <v/>
      </c>
      <c r="BH52" s="7">
        <f>IF(sel_cfg="casaAdu",1,0)</f>
        <v/>
      </c>
      <c r="BI52" s="7">
        <f>IF(AND(BB52=1,BH52=1,IF(19=0,0,BJ51)=0,A52&gt;=IF(BC52="",9999,BC52)+vivienda_aduRetrasoAnios),1,0)</f>
        <v/>
      </c>
      <c r="BJ52" s="7">
        <f>MAX(IF(19=0,0,BJ51),BI52)</f>
        <v/>
      </c>
      <c r="BK52" s="7">
        <f>IF(BI52=1,PMT((g_mortRate+0.005)/12,180,-loc_precio_aduCosto*C52),IF(19=0,0,BK51))</f>
        <v/>
      </c>
      <c r="BL52" s="7">
        <f>IF(BA52=1,AN52,IF(19=0,0,DT51))+IF(BI52=1,loc_precio_aduCosto*C52,0)</f>
        <v/>
      </c>
      <c r="BM52" s="7">
        <f>IF(BA52=1,AQ52,IF(19=0,0,DU51))</f>
        <v/>
      </c>
      <c r="BN52" s="7">
        <f>IF(BM52&lt;=0,0,FV(g_mortRate/12,12,BF52,-BM52))</f>
        <v/>
      </c>
      <c r="BO52" s="7">
        <f>IF(BM52&lt;=0,0,12*BF52+MIN(0,BN52))</f>
        <v/>
      </c>
      <c r="BP52" s="7">
        <f>MAX(0,BN52)</f>
        <v/>
      </c>
      <c r="BQ52" s="7">
        <f>IF(BI52=1,loc_precio_aduCosto*C52,IF(19=0,0,DV51))</f>
        <v/>
      </c>
      <c r="BR52" s="7">
        <f>IF(BQ52&lt;=0,0,FV((g_mortRate+0.005)/12,12,BK52,-BQ52))</f>
        <v/>
      </c>
      <c r="BS52" s="7">
        <f>IF(BQ52&lt;=0,0,12*BK52+MIN(0,BR52))</f>
        <v/>
      </c>
      <c r="BT52" s="7">
        <f>MAX(0,BR52)</f>
        <v/>
      </c>
      <c r="BU52" s="7">
        <f>IF(BB52=1,AM52*loc_seguroPct*(1+vivienda_inflacionSeguro)^(A52-2026)*IF(BJ52=1,1+loc_precio_aduCosto/AM52,1),0)</f>
        <v/>
      </c>
      <c r="BV52" s="7">
        <f>BL52*loc_impuestoPropPct</f>
        <v/>
      </c>
      <c r="BW52" s="7">
        <f>BL52*vivienda_mantenimientoPct</f>
        <v/>
      </c>
      <c r="BX52" s="7">
        <f>IF(AND(BG52=1,BP52&gt;0.8*BE52),BE52*(1-vivienda_enganchePct)*vivienda_pmiTasa,0)</f>
        <v/>
      </c>
      <c r="BY52" s="7">
        <f>IF(AND(BG52=1,BP52&gt;0.8*BE52),1,0)</f>
        <v/>
      </c>
      <c r="BZ52" s="7">
        <f>IF(BB52=1,AS52*loc_rentaUnidad*12*C52*(1-vivienda_vacancia)*(1-vivienda_gestionPct),0)</f>
        <v/>
      </c>
      <c r="CA52" s="7">
        <f>IF(BB52=1,BO52+BS52+BU52+BV52+BW52+BX52,loc_rentaMensual*12*C52)</f>
        <v/>
      </c>
      <c r="CB52" s="7">
        <f>IF(BB52=1,personal_aporteFamiliaMensual*12,0)</f>
        <v/>
      </c>
      <c r="CC52" s="7">
        <f>MIN(IF(19=0,personal_irsSaldo,CD51),personal_irsPagoMensual*12)</f>
        <v/>
      </c>
      <c r="CD52" s="7">
        <f>IF(19=0,personal_irsSaldo,CD51)-CC52</f>
        <v/>
      </c>
      <c r="CE52" s="7">
        <f>IF(19=0,IF(personal_deudaEsFederal=1,personal_deudaEstudiantil,0),DW51)</f>
        <v/>
      </c>
      <c r="CF52" s="7">
        <f>IF(19=0,personal_tasaDeudaEstudiantil,DX51)</f>
        <v/>
      </c>
      <c r="CG52" s="7">
        <f>IF(19=0,0,DY51)</f>
        <v/>
      </c>
      <c r="CH52" s="7">
        <f>IF(J52&gt;=0.5,1,0)</f>
        <v/>
      </c>
      <c r="CI52" s="7">
        <f>IF(AND(CH52=0,prestamos_pslfActivo=1,K52&gt;=0.5,CE52&gt;0),1,0)</f>
        <v/>
      </c>
      <c r="CJ52" s="7">
        <f>CE52*CF52</f>
        <v/>
      </c>
      <c r="CK52" s="7">
        <f>MAX(prestamos_rapPagoMinimoAnual,IF(Y52&lt;10000,0,MIN(0.1,INT(Y52/10000)/100))*Y52)</f>
        <v/>
      </c>
      <c r="CL52" s="7">
        <f>IF(CE52&lt;=0,0,IF(CH52=1,0,IF(CI52=1,MIN(CE52+CJ52,CK52),PMT(CF52,MAX(1,prestamos_plazoAnios-CG52),-CE52))))</f>
        <v/>
      </c>
      <c r="CM52" s="7">
        <f>IF(CE52&lt;=0,0,IF(CH52=1,CE52+CJ52,IF(CI52=1,MAX(0,CE52-MAX(CL52-CJ52,MIN(600,CL52))),MAX(0,CE52*(1+CF52)-CL52))))</f>
        <v/>
      </c>
      <c r="CN52" s="7">
        <f>IF(19=0,0,CN51)+IF(CI52=1,12*MIN(1,K52),0)</f>
        <v/>
      </c>
      <c r="CO52" s="7">
        <f>IF(AND(CI52=1,CN52&gt;=prestamos_pslfPagos,CM52&gt;0),CM52,0)</f>
        <v/>
      </c>
      <c r="CP52" s="7">
        <f>CM52-CO52</f>
        <v/>
      </c>
      <c r="CQ52" s="7">
        <f>IF(AND(CE52&gt;0,CH52=0,CI52=0),CG52+1,CG52)</f>
        <v/>
      </c>
      <c r="CR52" s="7">
        <f>IF(19=0,IF(personal_deudaEsFederal=1,0,personal_deudaEstudiantil),EA51)</f>
        <v/>
      </c>
      <c r="CS52" s="7">
        <f>IF(19=0,IF(personal_deudaEsFederal=1,prestamos_tasaPrivada,personal_tasaDeudaEstudiantil),EB51)</f>
        <v/>
      </c>
      <c r="CT52" s="7">
        <f>IF(19=0,0,EC51)</f>
        <v/>
      </c>
      <c r="CU52" s="7">
        <f>IF(OR(CR52&lt;=0,CH52=1),0,PMT(CS52,MAX(1,prestamos_plazoAnios-CT52),-CR52))</f>
        <v/>
      </c>
      <c r="CV52" s="7">
        <f>IF(CR52&lt;=0,0,IF(CH52=1,CR52*(1+CS52),MAX(0,CR52*(1+CS52)-CU52)))</f>
        <v/>
      </c>
      <c r="CW52" s="7">
        <f>IF(AND(CR52&gt;0,CH52=0),CT52+1,CT52)</f>
        <v/>
      </c>
      <c r="CX52" s="7">
        <f>IF(19=0,0,ED51)*(1+general_tasaDeudaConsumo)</f>
        <v/>
      </c>
      <c r="CY52" s="7">
        <f>L52*12*tiempos_travelGastoExtraMes*C52</f>
        <v/>
      </c>
      <c r="CZ52" s="7">
        <f>AJ52+CY52+CA52+CC52+CL52+CU52+I52+N52-BZ52-CB52</f>
        <v/>
      </c>
      <c r="DA52" s="7">
        <f>AH52-CZ52</f>
        <v/>
      </c>
      <c r="DB52" s="7">
        <f>IF(19=0,0,DB51)+DA52</f>
        <v/>
      </c>
      <c r="DC52" s="7">
        <f>AN52*vivienda_enganchePct+AN52*vivienda_cierrePct+general_reservaMeses/12*AJ52</f>
        <v/>
      </c>
      <c r="DD52" s="7">
        <f>IF(BB52=1,g_ret,IF(BD52&gt;0,MIN(1,DC52/BD52),1)*g_cash+(1-IF(BD52&gt;0,MIN(1,DC52/BD52),1))*g_ret)</f>
        <v/>
      </c>
      <c r="DE52" s="7">
        <f>IF(DA52&gt;=0,MIN(CX52,DA52),0)</f>
        <v/>
      </c>
      <c r="DF52" s="7">
        <f>IF(DA52&gt;=0,(1-general_tasaAhorro)*(DA52-DE52),0)</f>
        <v/>
      </c>
      <c r="DG52" s="7">
        <f>IF(DA52&gt;=0,DA52-DE52-DF52,0)</f>
        <v/>
      </c>
      <c r="DH52" s="7">
        <f>MIN(personal_rothAnual,DG52)</f>
        <v/>
      </c>
      <c r="DI52" s="7">
        <f>IF(AND(DA52&gt;=0,BB52=1,BP52+BT52&gt;0),MIN(vivienda_prepagoPct*(DG52-DH52),BP52+BT52),0)</f>
        <v/>
      </c>
      <c r="DJ52" s="7">
        <f>MIN(DI52,BP52)</f>
        <v/>
      </c>
      <c r="DK52" s="7">
        <f>IF(DA52&lt;0,MIN(MAX(0,BD52),-DA52),0)</f>
        <v/>
      </c>
      <c r="DL52" s="7">
        <f>IF(DA52&lt;0,-DA52-DK52,0)</f>
        <v/>
      </c>
      <c r="DM52" s="7">
        <f>IF(19=0,0,DZ51)</f>
        <v/>
      </c>
      <c r="DN52" s="7">
        <f>IF(AND(DL52&gt;0,J52&gt;0),MIN(DL52,MIN(prestamos_topeAnualPosgrado*MIN(1,J52),MAX(0,prestamos_topeTotalPosgrado-DM52))),0)</f>
        <v/>
      </c>
      <c r="DO52" s="7">
        <f>IF(AND(DL52&gt;0,J52&gt;0),DL52-DN52,0)</f>
        <v/>
      </c>
      <c r="DP52" s="7">
        <f>IF(AND(DL52&gt;0,J52&lt;=0),DL52,0)</f>
        <v/>
      </c>
      <c r="DQ52" s="7">
        <f>IF(DA52&gt;=0,DG52-DH52-DI52,-DK52)</f>
        <v/>
      </c>
      <c r="DR52" s="7">
        <f>BD52*(1+DD52)+DQ52*(1+DD52/2)</f>
        <v/>
      </c>
      <c r="DS52" s="7">
        <f>IF(19=0,personal_retiroInicial,DS51)*(1+g_ret)+(O52+P52+DH52)*(1+g_ret/2)</f>
        <v/>
      </c>
      <c r="DT52" s="7">
        <f>IF(BB52=1,BL52*(1+g_appr),0)</f>
        <v/>
      </c>
      <c r="DU52" s="7">
        <f>BP52-DJ52</f>
        <v/>
      </c>
      <c r="DV52" s="7">
        <f>BT52-(DI52-DJ52)</f>
        <v/>
      </c>
      <c r="DW52" s="7">
        <f>CP52+DN52</f>
        <v/>
      </c>
      <c r="DX52" s="7">
        <f>IF(DN52&gt;0,(CP52*CF52+DN52*prestamos_tasaFederalPosgrado)/(CP52+DN52),CF52)</f>
        <v/>
      </c>
      <c r="DY52" s="7">
        <f>IF(DN52&gt;0,0,CQ52)</f>
        <v/>
      </c>
      <c r="DZ52" s="7">
        <f>DM52+DN52</f>
        <v/>
      </c>
      <c r="EA52" s="7">
        <f>CV52+DO52</f>
        <v/>
      </c>
      <c r="EB52" s="7">
        <f>IF(DO52&gt;0,(CV52*CS52+DO52*prestamos_tasaPrivada)/(CV52+DO52),CS52)</f>
        <v/>
      </c>
      <c r="EC52" s="7">
        <f>IF(DO52&gt;0,0,CW52)</f>
        <v/>
      </c>
      <c r="ED52" s="7">
        <f>CX52-DE52+DP52</f>
        <v/>
      </c>
      <c r="EE52" s="7">
        <f>IF(IF(19=0,"",EE51)&lt;&gt;"",EE51,IF(AND(BB52=1,DU52&lt;=0.5,DV52&lt;=0.5,OR(BH52=0,BJ52=1)),A52,""))</f>
        <v/>
      </c>
      <c r="EF52" s="7">
        <f>DU52+DV52+DW52+EA52+ED52+CD52</f>
        <v/>
      </c>
      <c r="EG52" s="7">
        <f>DR52+DS52+DT52-EF52</f>
        <v/>
      </c>
      <c r="EH52" s="7">
        <f>EG52/(1+g_inf)^(A52+1-2026)</f>
        <v/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EH52"/>
  <sheetViews>
    <sheetView workbookViewId="0">
      <pane xSplit="1" ySplit="32" topLeftCell="B3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0" customWidth="1" min="1" max="1"/>
  </cols>
  <sheetData>
    <row r="1">
      <c r="A1" s="1" t="inlineStr">
        <is>
          <t>A8b · NP psiquiátrico (PMHNP)</t>
        </is>
      </c>
    </row>
    <row r="2">
      <c r="A2" s="2" t="inlineStr">
        <is>
          <t>Etapas (celdas azules editables; fechas decimales: 2027.67 = sep-2027). Traslape por año en columnas T→AM. Hitos con costo en AN→AP.</t>
        </is>
      </c>
    </row>
    <row r="4">
      <c r="A4" s="5" t="inlineStr">
        <is>
          <t>Etapa</t>
        </is>
      </c>
      <c r="B4" s="5" t="inlineStr">
        <is>
          <t>Inicio</t>
        </is>
      </c>
      <c r="C4" s="5" t="inlineStr">
        <is>
          <t>Fin</t>
        </is>
      </c>
      <c r="D4" s="5" t="inlineStr">
        <is>
          <t>Rol</t>
        </is>
      </c>
      <c r="E4" s="5" t="inlineStr">
        <is>
          <t>Salario base FT 2026 ($)</t>
        </is>
      </c>
      <c r="F4" s="5" t="inlineStr">
        <is>
          <t>Aumento anual</t>
        </is>
      </c>
      <c r="G4" s="5" t="inlineStr">
        <is>
          <t>Horas (FTE)</t>
        </is>
      </c>
      <c r="H4" s="5" t="inlineStr">
        <is>
          <t>Multiplicador</t>
        </is>
      </c>
      <c r="I4" s="5" t="inlineStr">
        <is>
          <t>Bono al inicio</t>
        </is>
      </c>
      <c r="J4" s="5" t="inlineStr">
        <is>
          <t>Matrícula total (2026$)</t>
        </is>
      </c>
      <c r="K4" s="5" t="inlineStr">
        <is>
          <t>Estudio (1/0)</t>
        </is>
      </c>
      <c r="L4" s="5" t="inlineStr">
        <is>
          <t>PSLF (1/0)</t>
        </is>
      </c>
      <c r="M4" s="5" t="inlineStr">
        <is>
          <t>Match 403b (1/0)</t>
        </is>
      </c>
      <c r="N4" s="5" t="inlineStr">
        <is>
          <t>Travel (1/0)</t>
        </is>
      </c>
      <c r="O4" s="5" t="inlineStr">
        <is>
          <t>% stipend libre</t>
        </is>
      </c>
      <c r="P4" s="5" t="inlineStr">
        <is>
          <t>S-corp anual base</t>
        </is>
      </c>
      <c r="Q4" s="5" t="inlineStr">
        <is>
          <t>Autoempleo anual base</t>
        </is>
      </c>
      <c r="R4" s="5" t="inlineStr">
        <is>
          <t>Attending (1/0)</t>
        </is>
      </c>
      <c r="T4" s="8" t="n">
        <v>2027</v>
      </c>
      <c r="U4" s="8" t="n">
        <v>2028</v>
      </c>
      <c r="V4" s="8" t="n">
        <v>2029</v>
      </c>
      <c r="W4" s="8" t="n">
        <v>2030</v>
      </c>
      <c r="X4" s="8" t="n">
        <v>2031</v>
      </c>
      <c r="Y4" s="8" t="n">
        <v>2032</v>
      </c>
      <c r="Z4" s="8" t="n">
        <v>2033</v>
      </c>
      <c r="AA4" s="8" t="n">
        <v>2034</v>
      </c>
      <c r="AB4" s="8" t="n">
        <v>2035</v>
      </c>
      <c r="AC4" s="8" t="n">
        <v>2036</v>
      </c>
      <c r="AD4" s="8" t="n">
        <v>2037</v>
      </c>
      <c r="AE4" s="8" t="n">
        <v>2038</v>
      </c>
      <c r="AF4" s="8" t="n">
        <v>2039</v>
      </c>
      <c r="AG4" s="8" t="n">
        <v>2040</v>
      </c>
      <c r="AH4" s="8" t="n">
        <v>2041</v>
      </c>
      <c r="AI4" s="8" t="n">
        <v>2042</v>
      </c>
      <c r="AJ4" s="8" t="n">
        <v>2043</v>
      </c>
      <c r="AK4" s="8" t="n">
        <v>2044</v>
      </c>
      <c r="AL4" s="8" t="n">
        <v>2045</v>
      </c>
      <c r="AM4" s="8" t="n">
        <v>2046</v>
      </c>
      <c r="AN4" s="5" t="inlineStr">
        <is>
          <t>Hito</t>
        </is>
      </c>
      <c r="AO4" s="5" t="inlineStr">
        <is>
          <t>Fecha</t>
        </is>
      </c>
      <c r="AP4" s="5" t="inlineStr">
        <is>
          <t>Costo (2026$)</t>
        </is>
      </c>
    </row>
    <row r="5">
      <c r="A5" t="inlineStr">
        <is>
          <t>Case manager RN (cursando BSN)</t>
        </is>
      </c>
      <c r="B5" s="3" t="n">
        <v>2027</v>
      </c>
      <c r="C5" s="3" t="n">
        <v>2027.5</v>
      </c>
      <c r="D5" t="inlineStr">
        <is>
          <t>cm</t>
        </is>
      </c>
      <c r="E5">
        <f>personal_tarifaHora*2080*loc_factorRN/ubic_miami_factorRN</f>
        <v/>
      </c>
      <c r="F5">
        <f>roles_cm_aumento</f>
        <v/>
      </c>
      <c r="G5">
        <f>personal_horasSemana/40</f>
        <v/>
      </c>
      <c r="H5" s="3" t="n">
        <v>1</v>
      </c>
      <c r="I5" s="3" t="n">
        <v>0</v>
      </c>
      <c r="J5" s="3" t="n">
        <v>0</v>
      </c>
      <c r="K5" s="3" t="n">
        <v>0</v>
      </c>
      <c r="L5" s="3" t="n">
        <v>1</v>
      </c>
      <c r="M5" s="3" t="n">
        <v>1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T5">
        <f>MAX(0,MIN($C5,T$4+1)-MAX($B5,T$4))</f>
        <v/>
      </c>
      <c r="U5">
        <f>MAX(0,MIN($C5,U$4+1)-MAX($B5,U$4))</f>
        <v/>
      </c>
      <c r="V5">
        <f>MAX(0,MIN($C5,V$4+1)-MAX($B5,V$4))</f>
        <v/>
      </c>
      <c r="W5">
        <f>MAX(0,MIN($C5,W$4+1)-MAX($B5,W$4))</f>
        <v/>
      </c>
      <c r="X5">
        <f>MAX(0,MIN($C5,X$4+1)-MAX($B5,X$4))</f>
        <v/>
      </c>
      <c r="Y5">
        <f>MAX(0,MIN($C5,Y$4+1)-MAX($B5,Y$4))</f>
        <v/>
      </c>
      <c r="Z5">
        <f>MAX(0,MIN($C5,Z$4+1)-MAX($B5,Z$4))</f>
        <v/>
      </c>
      <c r="AA5">
        <f>MAX(0,MIN($C5,AA$4+1)-MAX($B5,AA$4))</f>
        <v/>
      </c>
      <c r="AB5">
        <f>MAX(0,MIN($C5,AB$4+1)-MAX($B5,AB$4))</f>
        <v/>
      </c>
      <c r="AC5">
        <f>MAX(0,MIN($C5,AC$4+1)-MAX($B5,AC$4))</f>
        <v/>
      </c>
      <c r="AD5">
        <f>MAX(0,MIN($C5,AD$4+1)-MAX($B5,AD$4))</f>
        <v/>
      </c>
      <c r="AE5">
        <f>MAX(0,MIN($C5,AE$4+1)-MAX($B5,AE$4))</f>
        <v/>
      </c>
      <c r="AF5">
        <f>MAX(0,MIN($C5,AF$4+1)-MAX($B5,AF$4))</f>
        <v/>
      </c>
      <c r="AG5">
        <f>MAX(0,MIN($C5,AG$4+1)-MAX($B5,AG$4))</f>
        <v/>
      </c>
      <c r="AH5">
        <f>MAX(0,MIN($C5,AH$4+1)-MAX($B5,AH$4))</f>
        <v/>
      </c>
      <c r="AI5">
        <f>MAX(0,MIN($C5,AI$4+1)-MAX($B5,AI$4))</f>
        <v/>
      </c>
      <c r="AJ5">
        <f>MAX(0,MIN($C5,AJ$4+1)-MAX($B5,AJ$4))</f>
        <v/>
      </c>
      <c r="AK5">
        <f>MAX(0,MIN($C5,AK$4+1)-MAX($B5,AK$4))</f>
        <v/>
      </c>
      <c r="AL5">
        <f>MAX(0,MIN($C5,AL$4+1)-MAX($B5,AL$4))</f>
        <v/>
      </c>
      <c r="AM5">
        <f>MAX(0,MIN($C5,AM$4+1)-MAX($B5,AM$4))</f>
        <v/>
      </c>
      <c r="AN5" t="inlineStr">
        <is>
          <t>Graduación RN-BSN</t>
        </is>
      </c>
      <c r="AO5" s="3" t="n">
        <v>2027.5</v>
      </c>
      <c r="AP5" s="3" t="n">
        <v>0</v>
      </c>
    </row>
    <row r="6">
      <c r="A6" t="inlineStr">
        <is>
          <t>Case manager RN (BSN)</t>
        </is>
      </c>
      <c r="B6" s="3" t="n">
        <v>2027.5</v>
      </c>
      <c r="C6" s="3" t="n">
        <v>2028</v>
      </c>
      <c r="D6" t="inlineStr">
        <is>
          <t>cm</t>
        </is>
      </c>
      <c r="E6">
        <f>personal_tarifaHora*2080*loc_factorRN/ubic_miami_factorRN</f>
        <v/>
      </c>
      <c r="F6">
        <f>roles_cm_aumento</f>
        <v/>
      </c>
      <c r="G6">
        <f>personal_horasSemana/40</f>
        <v/>
      </c>
      <c r="H6">
        <f>1+personal_bsnAumento</f>
        <v/>
      </c>
      <c r="I6" s="3" t="n">
        <v>0</v>
      </c>
      <c r="J6" s="3" t="n">
        <v>0</v>
      </c>
      <c r="K6" s="3" t="n">
        <v>0</v>
      </c>
      <c r="L6" s="3" t="n">
        <v>1</v>
      </c>
      <c r="M6" s="3" t="n">
        <v>1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  <c r="T6">
        <f>MAX(0,MIN($C6,T$4+1)-MAX($B6,T$4))</f>
        <v/>
      </c>
      <c r="U6">
        <f>MAX(0,MIN($C6,U$4+1)-MAX($B6,U$4))</f>
        <v/>
      </c>
      <c r="V6">
        <f>MAX(0,MIN($C6,V$4+1)-MAX($B6,V$4))</f>
        <v/>
      </c>
      <c r="W6">
        <f>MAX(0,MIN($C6,W$4+1)-MAX($B6,W$4))</f>
        <v/>
      </c>
      <c r="X6">
        <f>MAX(0,MIN($C6,X$4+1)-MAX($B6,X$4))</f>
        <v/>
      </c>
      <c r="Y6">
        <f>MAX(0,MIN($C6,Y$4+1)-MAX($B6,Y$4))</f>
        <v/>
      </c>
      <c r="Z6">
        <f>MAX(0,MIN($C6,Z$4+1)-MAX($B6,Z$4))</f>
        <v/>
      </c>
      <c r="AA6">
        <f>MAX(0,MIN($C6,AA$4+1)-MAX($B6,AA$4))</f>
        <v/>
      </c>
      <c r="AB6">
        <f>MAX(0,MIN($C6,AB$4+1)-MAX($B6,AB$4))</f>
        <v/>
      </c>
      <c r="AC6">
        <f>MAX(0,MIN($C6,AC$4+1)-MAX($B6,AC$4))</f>
        <v/>
      </c>
      <c r="AD6">
        <f>MAX(0,MIN($C6,AD$4+1)-MAX($B6,AD$4))</f>
        <v/>
      </c>
      <c r="AE6">
        <f>MAX(0,MIN($C6,AE$4+1)-MAX($B6,AE$4))</f>
        <v/>
      </c>
      <c r="AF6">
        <f>MAX(0,MIN($C6,AF$4+1)-MAX($B6,AF$4))</f>
        <v/>
      </c>
      <c r="AG6">
        <f>MAX(0,MIN($C6,AG$4+1)-MAX($B6,AG$4))</f>
        <v/>
      </c>
      <c r="AH6">
        <f>MAX(0,MIN($C6,AH$4+1)-MAX($B6,AH$4))</f>
        <v/>
      </c>
      <c r="AI6">
        <f>MAX(0,MIN($C6,AI$4+1)-MAX($B6,AI$4))</f>
        <v/>
      </c>
      <c r="AJ6">
        <f>MAX(0,MIN($C6,AJ$4+1)-MAX($B6,AJ$4))</f>
        <v/>
      </c>
      <c r="AK6">
        <f>MAX(0,MIN($C6,AK$4+1)-MAX($B6,AK$4))</f>
        <v/>
      </c>
      <c r="AL6">
        <f>MAX(0,MIN($C6,AL$4+1)-MAX($B6,AL$4))</f>
        <v/>
      </c>
      <c r="AM6">
        <f>MAX(0,MIN($C6,AM$4+1)-MAX($B6,AM$4))</f>
        <v/>
      </c>
      <c r="AN6" t="inlineStr">
        <is>
          <t>Matrícula restante BSN</t>
        </is>
      </c>
      <c r="AO6" s="3" t="n">
        <v>2027</v>
      </c>
      <c r="AP6" s="3">
        <f>personal_bsnCostoRestante</f>
        <v/>
      </c>
    </row>
    <row r="7">
      <c r="A7" t="inlineStr">
        <is>
          <t>Case manager + MSN-NP part-time</t>
        </is>
      </c>
      <c r="B7" s="3" t="n">
        <v>2028</v>
      </c>
      <c r="C7" s="3" t="n">
        <v>2031</v>
      </c>
      <c r="D7" t="inlineStr">
        <is>
          <t>cm</t>
        </is>
      </c>
      <c r="E7">
        <f>personal_tarifaHora*2080*loc_factorRN/ubic_miami_factorRN</f>
        <v/>
      </c>
      <c r="F7">
        <f>roles_cm_aumento</f>
        <v/>
      </c>
      <c r="G7">
        <f>tiempos_npHorasTrabajo</f>
        <v/>
      </c>
      <c r="H7">
        <f>1+personal_bsnAumento</f>
        <v/>
      </c>
      <c r="I7" s="3" t="n">
        <v>0</v>
      </c>
      <c r="J7">
        <f>tiempos_npMatricula</f>
        <v/>
      </c>
      <c r="K7" s="3" t="n">
        <v>1</v>
      </c>
      <c r="L7" s="3" t="n">
        <v>1</v>
      </c>
      <c r="M7" s="3" t="n">
        <v>1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T7">
        <f>MAX(0,MIN($C7,T$4+1)-MAX($B7,T$4))</f>
        <v/>
      </c>
      <c r="U7">
        <f>MAX(0,MIN($C7,U$4+1)-MAX($B7,U$4))</f>
        <v/>
      </c>
      <c r="V7">
        <f>MAX(0,MIN($C7,V$4+1)-MAX($B7,V$4))</f>
        <v/>
      </c>
      <c r="W7">
        <f>MAX(0,MIN($C7,W$4+1)-MAX($B7,W$4))</f>
        <v/>
      </c>
      <c r="X7">
        <f>MAX(0,MIN($C7,X$4+1)-MAX($B7,X$4))</f>
        <v/>
      </c>
      <c r="Y7">
        <f>MAX(0,MIN($C7,Y$4+1)-MAX($B7,Y$4))</f>
        <v/>
      </c>
      <c r="Z7">
        <f>MAX(0,MIN($C7,Z$4+1)-MAX($B7,Z$4))</f>
        <v/>
      </c>
      <c r="AA7">
        <f>MAX(0,MIN($C7,AA$4+1)-MAX($B7,AA$4))</f>
        <v/>
      </c>
      <c r="AB7">
        <f>MAX(0,MIN($C7,AB$4+1)-MAX($B7,AB$4))</f>
        <v/>
      </c>
      <c r="AC7">
        <f>MAX(0,MIN($C7,AC$4+1)-MAX($B7,AC$4))</f>
        <v/>
      </c>
      <c r="AD7">
        <f>MAX(0,MIN($C7,AD$4+1)-MAX($B7,AD$4))</f>
        <v/>
      </c>
      <c r="AE7">
        <f>MAX(0,MIN($C7,AE$4+1)-MAX($B7,AE$4))</f>
        <v/>
      </c>
      <c r="AF7">
        <f>MAX(0,MIN($C7,AF$4+1)-MAX($B7,AF$4))</f>
        <v/>
      </c>
      <c r="AG7">
        <f>MAX(0,MIN($C7,AG$4+1)-MAX($B7,AG$4))</f>
        <v/>
      </c>
      <c r="AH7">
        <f>MAX(0,MIN($C7,AH$4+1)-MAX($B7,AH$4))</f>
        <v/>
      </c>
      <c r="AI7">
        <f>MAX(0,MIN($C7,AI$4+1)-MAX($B7,AI$4))</f>
        <v/>
      </c>
      <c r="AJ7">
        <f>MAX(0,MIN($C7,AJ$4+1)-MAX($B7,AJ$4))</f>
        <v/>
      </c>
      <c r="AK7">
        <f>MAX(0,MIN($C7,AK$4+1)-MAX($B7,AK$4))</f>
        <v/>
      </c>
      <c r="AL7">
        <f>MAX(0,MIN($C7,AL$4+1)-MAX($B7,AL$4))</f>
        <v/>
      </c>
      <c r="AM7">
        <f>MAX(0,MIN($C7,AM$4+1)-MAX($B7,AM$4))</f>
        <v/>
      </c>
      <c r="AN7" t="inlineStr">
        <is>
          <t>Inicia MSN-NP</t>
        </is>
      </c>
      <c r="AO7" s="3" t="n">
        <v>2028</v>
      </c>
      <c r="AP7" s="3" t="n">
        <v>0</v>
      </c>
    </row>
    <row r="8">
      <c r="A8" t="inlineStr">
        <is>
          <t>PMHNP (año 1)</t>
        </is>
      </c>
      <c r="B8" s="3" t="n">
        <v>2031</v>
      </c>
      <c r="C8" s="3" t="n">
        <v>2032</v>
      </c>
      <c r="D8" t="inlineStr">
        <is>
          <t>pmhnp</t>
        </is>
      </c>
      <c r="E8">
        <f>roles_pmhnp_base*loc_factorRN</f>
        <v/>
      </c>
      <c r="F8">
        <f>roles_pmhnp_aumento</f>
        <v/>
      </c>
      <c r="G8" s="3" t="n">
        <v>1</v>
      </c>
      <c r="H8" s="3" t="n">
        <v>0.92</v>
      </c>
      <c r="I8" s="3" t="n">
        <v>0</v>
      </c>
      <c r="J8" s="3" t="n">
        <v>0</v>
      </c>
      <c r="K8" s="3" t="n">
        <v>0</v>
      </c>
      <c r="L8" s="3" t="n">
        <v>1</v>
      </c>
      <c r="M8" s="3" t="n">
        <v>1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T8">
        <f>MAX(0,MIN($C8,T$4+1)-MAX($B8,T$4))</f>
        <v/>
      </c>
      <c r="U8">
        <f>MAX(0,MIN($C8,U$4+1)-MAX($B8,U$4))</f>
        <v/>
      </c>
      <c r="V8">
        <f>MAX(0,MIN($C8,V$4+1)-MAX($B8,V$4))</f>
        <v/>
      </c>
      <c r="W8">
        <f>MAX(0,MIN($C8,W$4+1)-MAX($B8,W$4))</f>
        <v/>
      </c>
      <c r="X8">
        <f>MAX(0,MIN($C8,X$4+1)-MAX($B8,X$4))</f>
        <v/>
      </c>
      <c r="Y8">
        <f>MAX(0,MIN($C8,Y$4+1)-MAX($B8,Y$4))</f>
        <v/>
      </c>
      <c r="Z8">
        <f>MAX(0,MIN($C8,Z$4+1)-MAX($B8,Z$4))</f>
        <v/>
      </c>
      <c r="AA8">
        <f>MAX(0,MIN($C8,AA$4+1)-MAX($B8,AA$4))</f>
        <v/>
      </c>
      <c r="AB8">
        <f>MAX(0,MIN($C8,AB$4+1)-MAX($B8,AB$4))</f>
        <v/>
      </c>
      <c r="AC8">
        <f>MAX(0,MIN($C8,AC$4+1)-MAX($B8,AC$4))</f>
        <v/>
      </c>
      <c r="AD8">
        <f>MAX(0,MIN($C8,AD$4+1)-MAX($B8,AD$4))</f>
        <v/>
      </c>
      <c r="AE8">
        <f>MAX(0,MIN($C8,AE$4+1)-MAX($B8,AE$4))</f>
        <v/>
      </c>
      <c r="AF8">
        <f>MAX(0,MIN($C8,AF$4+1)-MAX($B8,AF$4))</f>
        <v/>
      </c>
      <c r="AG8">
        <f>MAX(0,MIN($C8,AG$4+1)-MAX($B8,AG$4))</f>
        <v/>
      </c>
      <c r="AH8">
        <f>MAX(0,MIN($C8,AH$4+1)-MAX($B8,AH$4))</f>
        <v/>
      </c>
      <c r="AI8">
        <f>MAX(0,MIN($C8,AI$4+1)-MAX($B8,AI$4))</f>
        <v/>
      </c>
      <c r="AJ8">
        <f>MAX(0,MIN($C8,AJ$4+1)-MAX($B8,AJ$4))</f>
        <v/>
      </c>
      <c r="AK8">
        <f>MAX(0,MIN($C8,AK$4+1)-MAX($B8,AK$4))</f>
        <v/>
      </c>
      <c r="AL8">
        <f>MAX(0,MIN($C8,AL$4+1)-MAX($B8,AL$4))</f>
        <v/>
      </c>
      <c r="AM8">
        <f>MAX(0,MIN($C8,AM$4+1)-MAX($B8,AM$4))</f>
        <v/>
      </c>
      <c r="AN8" t="inlineStr">
        <is>
          <t>Certificación NP (AANP/ANCC)</t>
        </is>
      </c>
      <c r="AO8" s="3" t="n">
        <v>2031</v>
      </c>
      <c r="AP8" s="3" t="n">
        <v>500</v>
      </c>
    </row>
    <row r="9">
      <c r="A9" t="inlineStr">
        <is>
          <t>PMHNP</t>
        </is>
      </c>
      <c r="B9" s="3" t="n">
        <v>2032</v>
      </c>
      <c r="C9" s="3" t="n">
        <v>2048</v>
      </c>
      <c r="D9" t="inlineStr">
        <is>
          <t>pmhnp</t>
        </is>
      </c>
      <c r="E9">
        <f>roles_pmhnp_base*loc_factorRN</f>
        <v/>
      </c>
      <c r="F9">
        <f>roles_pmhnp_aumento</f>
        <v/>
      </c>
      <c r="G9" s="3" t="n">
        <v>1</v>
      </c>
      <c r="H9" s="3" t="n">
        <v>1</v>
      </c>
      <c r="I9" s="3" t="n">
        <v>0</v>
      </c>
      <c r="J9" s="3" t="n">
        <v>0</v>
      </c>
      <c r="K9" s="3" t="n">
        <v>0</v>
      </c>
      <c r="L9" s="3" t="n">
        <v>1</v>
      </c>
      <c r="M9" s="3" t="n">
        <v>1</v>
      </c>
      <c r="N9" s="3" t="n">
        <v>0</v>
      </c>
      <c r="O9" s="3" t="n">
        <v>0</v>
      </c>
      <c r="P9" s="3" t="n">
        <v>0</v>
      </c>
      <c r="Q9" s="3" t="n">
        <v>0</v>
      </c>
      <c r="R9" s="3" t="n">
        <v>0</v>
      </c>
      <c r="T9">
        <f>MAX(0,MIN($C9,T$4+1)-MAX($B9,T$4))</f>
        <v/>
      </c>
      <c r="U9">
        <f>MAX(0,MIN($C9,U$4+1)-MAX($B9,U$4))</f>
        <v/>
      </c>
      <c r="V9">
        <f>MAX(0,MIN($C9,V$4+1)-MAX($B9,V$4))</f>
        <v/>
      </c>
      <c r="W9">
        <f>MAX(0,MIN($C9,W$4+1)-MAX($B9,W$4))</f>
        <v/>
      </c>
      <c r="X9">
        <f>MAX(0,MIN($C9,X$4+1)-MAX($B9,X$4))</f>
        <v/>
      </c>
      <c r="Y9">
        <f>MAX(0,MIN($C9,Y$4+1)-MAX($B9,Y$4))</f>
        <v/>
      </c>
      <c r="Z9">
        <f>MAX(0,MIN($C9,Z$4+1)-MAX($B9,Z$4))</f>
        <v/>
      </c>
      <c r="AA9">
        <f>MAX(0,MIN($C9,AA$4+1)-MAX($B9,AA$4))</f>
        <v/>
      </c>
      <c r="AB9">
        <f>MAX(0,MIN($C9,AB$4+1)-MAX($B9,AB$4))</f>
        <v/>
      </c>
      <c r="AC9">
        <f>MAX(0,MIN($C9,AC$4+1)-MAX($B9,AC$4))</f>
        <v/>
      </c>
      <c r="AD9">
        <f>MAX(0,MIN($C9,AD$4+1)-MAX($B9,AD$4))</f>
        <v/>
      </c>
      <c r="AE9">
        <f>MAX(0,MIN($C9,AE$4+1)-MAX($B9,AE$4))</f>
        <v/>
      </c>
      <c r="AF9">
        <f>MAX(0,MIN($C9,AF$4+1)-MAX($B9,AF$4))</f>
        <v/>
      </c>
      <c r="AG9">
        <f>MAX(0,MIN($C9,AG$4+1)-MAX($B9,AG$4))</f>
        <v/>
      </c>
      <c r="AH9">
        <f>MAX(0,MIN($C9,AH$4+1)-MAX($B9,AH$4))</f>
        <v/>
      </c>
      <c r="AI9">
        <f>MAX(0,MIN($C9,AI$4+1)-MAX($B9,AI$4))</f>
        <v/>
      </c>
      <c r="AJ9">
        <f>MAX(0,MIN($C9,AJ$4+1)-MAX($B9,AJ$4))</f>
        <v/>
      </c>
      <c r="AK9">
        <f>MAX(0,MIN($C9,AK$4+1)-MAX($B9,AK$4))</f>
        <v/>
      </c>
      <c r="AL9">
        <f>MAX(0,MIN($C9,AL$4+1)-MAX($B9,AL$4))</f>
        <v/>
      </c>
      <c r="AM9">
        <f>MAX(0,MIN($C9,AM$4+1)-MAX($B9,AM$4))</f>
        <v/>
      </c>
      <c r="AO9" t="n">
        <v>0</v>
      </c>
      <c r="AP9" t="n">
        <v>0</v>
      </c>
    </row>
    <row r="10">
      <c r="A10" t="inlineStr"/>
      <c r="B10" s="3" t="n">
        <v>0</v>
      </c>
      <c r="C10" s="3" t="n">
        <v>0</v>
      </c>
      <c r="D10" t="inlineStr"/>
      <c r="E10" t="n">
        <v>0</v>
      </c>
      <c r="F10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T10">
        <f>MAX(0,MIN($C10,T$4+1)-MAX($B10,T$4))</f>
        <v/>
      </c>
      <c r="U10">
        <f>MAX(0,MIN($C10,U$4+1)-MAX($B10,U$4))</f>
        <v/>
      </c>
      <c r="V10">
        <f>MAX(0,MIN($C10,V$4+1)-MAX($B10,V$4))</f>
        <v/>
      </c>
      <c r="W10">
        <f>MAX(0,MIN($C10,W$4+1)-MAX($B10,W$4))</f>
        <v/>
      </c>
      <c r="X10">
        <f>MAX(0,MIN($C10,X$4+1)-MAX($B10,X$4))</f>
        <v/>
      </c>
      <c r="Y10">
        <f>MAX(0,MIN($C10,Y$4+1)-MAX($B10,Y$4))</f>
        <v/>
      </c>
      <c r="Z10">
        <f>MAX(0,MIN($C10,Z$4+1)-MAX($B10,Z$4))</f>
        <v/>
      </c>
      <c r="AA10">
        <f>MAX(0,MIN($C10,AA$4+1)-MAX($B10,AA$4))</f>
        <v/>
      </c>
      <c r="AB10">
        <f>MAX(0,MIN($C10,AB$4+1)-MAX($B10,AB$4))</f>
        <v/>
      </c>
      <c r="AC10">
        <f>MAX(0,MIN($C10,AC$4+1)-MAX($B10,AC$4))</f>
        <v/>
      </c>
      <c r="AD10">
        <f>MAX(0,MIN($C10,AD$4+1)-MAX($B10,AD$4))</f>
        <v/>
      </c>
      <c r="AE10">
        <f>MAX(0,MIN($C10,AE$4+1)-MAX($B10,AE$4))</f>
        <v/>
      </c>
      <c r="AF10">
        <f>MAX(0,MIN($C10,AF$4+1)-MAX($B10,AF$4))</f>
        <v/>
      </c>
      <c r="AG10">
        <f>MAX(0,MIN($C10,AG$4+1)-MAX($B10,AG$4))</f>
        <v/>
      </c>
      <c r="AH10">
        <f>MAX(0,MIN($C10,AH$4+1)-MAX($B10,AH$4))</f>
        <v/>
      </c>
      <c r="AI10">
        <f>MAX(0,MIN($C10,AI$4+1)-MAX($B10,AI$4))</f>
        <v/>
      </c>
      <c r="AJ10">
        <f>MAX(0,MIN($C10,AJ$4+1)-MAX($B10,AJ$4))</f>
        <v/>
      </c>
      <c r="AK10">
        <f>MAX(0,MIN($C10,AK$4+1)-MAX($B10,AK$4))</f>
        <v/>
      </c>
      <c r="AL10">
        <f>MAX(0,MIN($C10,AL$4+1)-MAX($B10,AL$4))</f>
        <v/>
      </c>
      <c r="AM10">
        <f>MAX(0,MIN($C10,AM$4+1)-MAX($B10,AM$4))</f>
        <v/>
      </c>
      <c r="AO10" t="n">
        <v>0</v>
      </c>
      <c r="AP10" t="n">
        <v>0</v>
      </c>
    </row>
    <row r="11">
      <c r="A11" t="inlineStr"/>
      <c r="B11" s="3" t="n">
        <v>0</v>
      </c>
      <c r="C11" s="3" t="n">
        <v>0</v>
      </c>
      <c r="D11" t="inlineStr"/>
      <c r="E11" t="n">
        <v>0</v>
      </c>
      <c r="F11" t="n">
        <v>0</v>
      </c>
      <c r="G11" s="3" t="n">
        <v>0</v>
      </c>
      <c r="H11" s="3" t="n">
        <v>0</v>
      </c>
      <c r="I11" s="3" t="n">
        <v>0</v>
      </c>
      <c r="J11" s="3" t="n">
        <v>0</v>
      </c>
      <c r="K11" s="3" t="n">
        <v>0</v>
      </c>
      <c r="L11" s="3" t="n">
        <v>0</v>
      </c>
      <c r="M11" s="3" t="n">
        <v>0</v>
      </c>
      <c r="N11" s="3" t="n">
        <v>0</v>
      </c>
      <c r="O11" s="3" t="n">
        <v>0</v>
      </c>
      <c r="P11" s="3" t="n">
        <v>0</v>
      </c>
      <c r="Q11" s="3" t="n">
        <v>0</v>
      </c>
      <c r="R11" s="3" t="n">
        <v>0</v>
      </c>
      <c r="T11">
        <f>MAX(0,MIN($C11,T$4+1)-MAX($B11,T$4))</f>
        <v/>
      </c>
      <c r="U11">
        <f>MAX(0,MIN($C11,U$4+1)-MAX($B11,U$4))</f>
        <v/>
      </c>
      <c r="V11">
        <f>MAX(0,MIN($C11,V$4+1)-MAX($B11,V$4))</f>
        <v/>
      </c>
      <c r="W11">
        <f>MAX(0,MIN($C11,W$4+1)-MAX($B11,W$4))</f>
        <v/>
      </c>
      <c r="X11">
        <f>MAX(0,MIN($C11,X$4+1)-MAX($B11,X$4))</f>
        <v/>
      </c>
      <c r="Y11">
        <f>MAX(0,MIN($C11,Y$4+1)-MAX($B11,Y$4))</f>
        <v/>
      </c>
      <c r="Z11">
        <f>MAX(0,MIN($C11,Z$4+1)-MAX($B11,Z$4))</f>
        <v/>
      </c>
      <c r="AA11">
        <f>MAX(0,MIN($C11,AA$4+1)-MAX($B11,AA$4))</f>
        <v/>
      </c>
      <c r="AB11">
        <f>MAX(0,MIN($C11,AB$4+1)-MAX($B11,AB$4))</f>
        <v/>
      </c>
      <c r="AC11">
        <f>MAX(0,MIN($C11,AC$4+1)-MAX($B11,AC$4))</f>
        <v/>
      </c>
      <c r="AD11">
        <f>MAX(0,MIN($C11,AD$4+1)-MAX($B11,AD$4))</f>
        <v/>
      </c>
      <c r="AE11">
        <f>MAX(0,MIN($C11,AE$4+1)-MAX($B11,AE$4))</f>
        <v/>
      </c>
      <c r="AF11">
        <f>MAX(0,MIN($C11,AF$4+1)-MAX($B11,AF$4))</f>
        <v/>
      </c>
      <c r="AG11">
        <f>MAX(0,MIN($C11,AG$4+1)-MAX($B11,AG$4))</f>
        <v/>
      </c>
      <c r="AH11">
        <f>MAX(0,MIN($C11,AH$4+1)-MAX($B11,AH$4))</f>
        <v/>
      </c>
      <c r="AI11">
        <f>MAX(0,MIN($C11,AI$4+1)-MAX($B11,AI$4))</f>
        <v/>
      </c>
      <c r="AJ11">
        <f>MAX(0,MIN($C11,AJ$4+1)-MAX($B11,AJ$4))</f>
        <v/>
      </c>
      <c r="AK11">
        <f>MAX(0,MIN($C11,AK$4+1)-MAX($B11,AK$4))</f>
        <v/>
      </c>
      <c r="AL11">
        <f>MAX(0,MIN($C11,AL$4+1)-MAX($B11,AL$4))</f>
        <v/>
      </c>
      <c r="AM11">
        <f>MAX(0,MIN($C11,AM$4+1)-MAX($B11,AM$4))</f>
        <v/>
      </c>
      <c r="AO11" t="n">
        <v>0</v>
      </c>
      <c r="AP11" t="n">
        <v>0</v>
      </c>
    </row>
    <row r="12">
      <c r="A12" t="inlineStr"/>
      <c r="B12" s="3" t="n">
        <v>0</v>
      </c>
      <c r="C12" s="3" t="n">
        <v>0</v>
      </c>
      <c r="D12" t="inlineStr"/>
      <c r="E12" t="n">
        <v>0</v>
      </c>
      <c r="F12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T12">
        <f>MAX(0,MIN($C12,T$4+1)-MAX($B12,T$4))</f>
        <v/>
      </c>
      <c r="U12">
        <f>MAX(0,MIN($C12,U$4+1)-MAX($B12,U$4))</f>
        <v/>
      </c>
      <c r="V12">
        <f>MAX(0,MIN($C12,V$4+1)-MAX($B12,V$4))</f>
        <v/>
      </c>
      <c r="W12">
        <f>MAX(0,MIN($C12,W$4+1)-MAX($B12,W$4))</f>
        <v/>
      </c>
      <c r="X12">
        <f>MAX(0,MIN($C12,X$4+1)-MAX($B12,X$4))</f>
        <v/>
      </c>
      <c r="Y12">
        <f>MAX(0,MIN($C12,Y$4+1)-MAX($B12,Y$4))</f>
        <v/>
      </c>
      <c r="Z12">
        <f>MAX(0,MIN($C12,Z$4+1)-MAX($B12,Z$4))</f>
        <v/>
      </c>
      <c r="AA12">
        <f>MAX(0,MIN($C12,AA$4+1)-MAX($B12,AA$4))</f>
        <v/>
      </c>
      <c r="AB12">
        <f>MAX(0,MIN($C12,AB$4+1)-MAX($B12,AB$4))</f>
        <v/>
      </c>
      <c r="AC12">
        <f>MAX(0,MIN($C12,AC$4+1)-MAX($B12,AC$4))</f>
        <v/>
      </c>
      <c r="AD12">
        <f>MAX(0,MIN($C12,AD$4+1)-MAX($B12,AD$4))</f>
        <v/>
      </c>
      <c r="AE12">
        <f>MAX(0,MIN($C12,AE$4+1)-MAX($B12,AE$4))</f>
        <v/>
      </c>
      <c r="AF12">
        <f>MAX(0,MIN($C12,AF$4+1)-MAX($B12,AF$4))</f>
        <v/>
      </c>
      <c r="AG12">
        <f>MAX(0,MIN($C12,AG$4+1)-MAX($B12,AG$4))</f>
        <v/>
      </c>
      <c r="AH12">
        <f>MAX(0,MIN($C12,AH$4+1)-MAX($B12,AH$4))</f>
        <v/>
      </c>
      <c r="AI12">
        <f>MAX(0,MIN($C12,AI$4+1)-MAX($B12,AI$4))</f>
        <v/>
      </c>
      <c r="AJ12">
        <f>MAX(0,MIN($C12,AJ$4+1)-MAX($B12,AJ$4))</f>
        <v/>
      </c>
      <c r="AK12">
        <f>MAX(0,MIN($C12,AK$4+1)-MAX($B12,AK$4))</f>
        <v/>
      </c>
      <c r="AL12">
        <f>MAX(0,MIN($C12,AL$4+1)-MAX($B12,AL$4))</f>
        <v/>
      </c>
      <c r="AM12">
        <f>MAX(0,MIN($C12,AM$4+1)-MAX($B12,AM$4))</f>
        <v/>
      </c>
      <c r="AO12" t="n">
        <v>0</v>
      </c>
      <c r="AP12" t="n">
        <v>0</v>
      </c>
    </row>
    <row r="13">
      <c r="A13" t="inlineStr"/>
      <c r="B13" s="3" t="n">
        <v>0</v>
      </c>
      <c r="C13" s="3" t="n">
        <v>0</v>
      </c>
      <c r="D13" t="inlineStr"/>
      <c r="E13" t="n">
        <v>0</v>
      </c>
      <c r="F1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T13">
        <f>MAX(0,MIN($C13,T$4+1)-MAX($B13,T$4))</f>
        <v/>
      </c>
      <c r="U13">
        <f>MAX(0,MIN($C13,U$4+1)-MAX($B13,U$4))</f>
        <v/>
      </c>
      <c r="V13">
        <f>MAX(0,MIN($C13,V$4+1)-MAX($B13,V$4))</f>
        <v/>
      </c>
      <c r="W13">
        <f>MAX(0,MIN($C13,W$4+1)-MAX($B13,W$4))</f>
        <v/>
      </c>
      <c r="X13">
        <f>MAX(0,MIN($C13,X$4+1)-MAX($B13,X$4))</f>
        <v/>
      </c>
      <c r="Y13">
        <f>MAX(0,MIN($C13,Y$4+1)-MAX($B13,Y$4))</f>
        <v/>
      </c>
      <c r="Z13">
        <f>MAX(0,MIN($C13,Z$4+1)-MAX($B13,Z$4))</f>
        <v/>
      </c>
      <c r="AA13">
        <f>MAX(0,MIN($C13,AA$4+1)-MAX($B13,AA$4))</f>
        <v/>
      </c>
      <c r="AB13">
        <f>MAX(0,MIN($C13,AB$4+1)-MAX($B13,AB$4))</f>
        <v/>
      </c>
      <c r="AC13">
        <f>MAX(0,MIN($C13,AC$4+1)-MAX($B13,AC$4))</f>
        <v/>
      </c>
      <c r="AD13">
        <f>MAX(0,MIN($C13,AD$4+1)-MAX($B13,AD$4))</f>
        <v/>
      </c>
      <c r="AE13">
        <f>MAX(0,MIN($C13,AE$4+1)-MAX($B13,AE$4))</f>
        <v/>
      </c>
      <c r="AF13">
        <f>MAX(0,MIN($C13,AF$4+1)-MAX($B13,AF$4))</f>
        <v/>
      </c>
      <c r="AG13">
        <f>MAX(0,MIN($C13,AG$4+1)-MAX($B13,AG$4))</f>
        <v/>
      </c>
      <c r="AH13">
        <f>MAX(0,MIN($C13,AH$4+1)-MAX($B13,AH$4))</f>
        <v/>
      </c>
      <c r="AI13">
        <f>MAX(0,MIN($C13,AI$4+1)-MAX($B13,AI$4))</f>
        <v/>
      </c>
      <c r="AJ13">
        <f>MAX(0,MIN($C13,AJ$4+1)-MAX($B13,AJ$4))</f>
        <v/>
      </c>
      <c r="AK13">
        <f>MAX(0,MIN($C13,AK$4+1)-MAX($B13,AK$4))</f>
        <v/>
      </c>
      <c r="AL13">
        <f>MAX(0,MIN($C13,AL$4+1)-MAX($B13,AL$4))</f>
        <v/>
      </c>
      <c r="AM13">
        <f>MAX(0,MIN($C13,AM$4+1)-MAX($B13,AM$4))</f>
        <v/>
      </c>
      <c r="AO13" t="n">
        <v>0</v>
      </c>
      <c r="AP13" t="n">
        <v>0</v>
      </c>
    </row>
    <row r="14">
      <c r="A14" t="inlineStr"/>
      <c r="B14" s="3" t="n">
        <v>0</v>
      </c>
      <c r="C14" s="3" t="n">
        <v>0</v>
      </c>
      <c r="D14" t="inlineStr"/>
      <c r="E14" t="n">
        <v>0</v>
      </c>
      <c r="F14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T14">
        <f>MAX(0,MIN($C14,T$4+1)-MAX($B14,T$4))</f>
        <v/>
      </c>
      <c r="U14">
        <f>MAX(0,MIN($C14,U$4+1)-MAX($B14,U$4))</f>
        <v/>
      </c>
      <c r="V14">
        <f>MAX(0,MIN($C14,V$4+1)-MAX($B14,V$4))</f>
        <v/>
      </c>
      <c r="W14">
        <f>MAX(0,MIN($C14,W$4+1)-MAX($B14,W$4))</f>
        <v/>
      </c>
      <c r="X14">
        <f>MAX(0,MIN($C14,X$4+1)-MAX($B14,X$4))</f>
        <v/>
      </c>
      <c r="Y14">
        <f>MAX(0,MIN($C14,Y$4+1)-MAX($B14,Y$4))</f>
        <v/>
      </c>
      <c r="Z14">
        <f>MAX(0,MIN($C14,Z$4+1)-MAX($B14,Z$4))</f>
        <v/>
      </c>
      <c r="AA14">
        <f>MAX(0,MIN($C14,AA$4+1)-MAX($B14,AA$4))</f>
        <v/>
      </c>
      <c r="AB14">
        <f>MAX(0,MIN($C14,AB$4+1)-MAX($B14,AB$4))</f>
        <v/>
      </c>
      <c r="AC14">
        <f>MAX(0,MIN($C14,AC$4+1)-MAX($B14,AC$4))</f>
        <v/>
      </c>
      <c r="AD14">
        <f>MAX(0,MIN($C14,AD$4+1)-MAX($B14,AD$4))</f>
        <v/>
      </c>
      <c r="AE14">
        <f>MAX(0,MIN($C14,AE$4+1)-MAX($B14,AE$4))</f>
        <v/>
      </c>
      <c r="AF14">
        <f>MAX(0,MIN($C14,AF$4+1)-MAX($B14,AF$4))</f>
        <v/>
      </c>
      <c r="AG14">
        <f>MAX(0,MIN($C14,AG$4+1)-MAX($B14,AG$4))</f>
        <v/>
      </c>
      <c r="AH14">
        <f>MAX(0,MIN($C14,AH$4+1)-MAX($B14,AH$4))</f>
        <v/>
      </c>
      <c r="AI14">
        <f>MAX(0,MIN($C14,AI$4+1)-MAX($B14,AI$4))</f>
        <v/>
      </c>
      <c r="AJ14">
        <f>MAX(0,MIN($C14,AJ$4+1)-MAX($B14,AJ$4))</f>
        <v/>
      </c>
      <c r="AK14">
        <f>MAX(0,MIN($C14,AK$4+1)-MAX($B14,AK$4))</f>
        <v/>
      </c>
      <c r="AL14">
        <f>MAX(0,MIN($C14,AL$4+1)-MAX($B14,AL$4))</f>
        <v/>
      </c>
      <c r="AM14">
        <f>MAX(0,MIN($C14,AM$4+1)-MAX($B14,AM$4))</f>
        <v/>
      </c>
      <c r="AO14" t="n">
        <v>0</v>
      </c>
      <c r="AP14" t="n">
        <v>0</v>
      </c>
    </row>
    <row r="15">
      <c r="A15" t="inlineStr"/>
      <c r="B15" s="3" t="n">
        <v>0</v>
      </c>
      <c r="C15" s="3" t="n">
        <v>0</v>
      </c>
      <c r="D15" t="inlineStr"/>
      <c r="E15" t="n">
        <v>0</v>
      </c>
      <c r="F15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T15">
        <f>MAX(0,MIN($C15,T$4+1)-MAX($B15,T$4))</f>
        <v/>
      </c>
      <c r="U15">
        <f>MAX(0,MIN($C15,U$4+1)-MAX($B15,U$4))</f>
        <v/>
      </c>
      <c r="V15">
        <f>MAX(0,MIN($C15,V$4+1)-MAX($B15,V$4))</f>
        <v/>
      </c>
      <c r="W15">
        <f>MAX(0,MIN($C15,W$4+1)-MAX($B15,W$4))</f>
        <v/>
      </c>
      <c r="X15">
        <f>MAX(0,MIN($C15,X$4+1)-MAX($B15,X$4))</f>
        <v/>
      </c>
      <c r="Y15">
        <f>MAX(0,MIN($C15,Y$4+1)-MAX($B15,Y$4))</f>
        <v/>
      </c>
      <c r="Z15">
        <f>MAX(0,MIN($C15,Z$4+1)-MAX($B15,Z$4))</f>
        <v/>
      </c>
      <c r="AA15">
        <f>MAX(0,MIN($C15,AA$4+1)-MAX($B15,AA$4))</f>
        <v/>
      </c>
      <c r="AB15">
        <f>MAX(0,MIN($C15,AB$4+1)-MAX($B15,AB$4))</f>
        <v/>
      </c>
      <c r="AC15">
        <f>MAX(0,MIN($C15,AC$4+1)-MAX($B15,AC$4))</f>
        <v/>
      </c>
      <c r="AD15">
        <f>MAX(0,MIN($C15,AD$4+1)-MAX($B15,AD$4))</f>
        <v/>
      </c>
      <c r="AE15">
        <f>MAX(0,MIN($C15,AE$4+1)-MAX($B15,AE$4))</f>
        <v/>
      </c>
      <c r="AF15">
        <f>MAX(0,MIN($C15,AF$4+1)-MAX($B15,AF$4))</f>
        <v/>
      </c>
      <c r="AG15">
        <f>MAX(0,MIN($C15,AG$4+1)-MAX($B15,AG$4))</f>
        <v/>
      </c>
      <c r="AH15">
        <f>MAX(0,MIN($C15,AH$4+1)-MAX($B15,AH$4))</f>
        <v/>
      </c>
      <c r="AI15">
        <f>MAX(0,MIN($C15,AI$4+1)-MAX($B15,AI$4))</f>
        <v/>
      </c>
      <c r="AJ15">
        <f>MAX(0,MIN($C15,AJ$4+1)-MAX($B15,AJ$4))</f>
        <v/>
      </c>
      <c r="AK15">
        <f>MAX(0,MIN($C15,AK$4+1)-MAX($B15,AK$4))</f>
        <v/>
      </c>
      <c r="AL15">
        <f>MAX(0,MIN($C15,AL$4+1)-MAX($B15,AL$4))</f>
        <v/>
      </c>
      <c r="AM15">
        <f>MAX(0,MIN($C15,AM$4+1)-MAX($B15,AM$4))</f>
        <v/>
      </c>
      <c r="AO15" t="n">
        <v>0</v>
      </c>
      <c r="AP15" t="n">
        <v>0</v>
      </c>
    </row>
    <row r="16">
      <c r="A16" t="inlineStr"/>
      <c r="B16" s="3" t="n">
        <v>0</v>
      </c>
      <c r="C16" s="3" t="n">
        <v>0</v>
      </c>
      <c r="D16" t="inlineStr"/>
      <c r="E16" t="n">
        <v>0</v>
      </c>
      <c r="F16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0</v>
      </c>
      <c r="T16">
        <f>MAX(0,MIN($C16,T$4+1)-MAX($B16,T$4))</f>
        <v/>
      </c>
      <c r="U16">
        <f>MAX(0,MIN($C16,U$4+1)-MAX($B16,U$4))</f>
        <v/>
      </c>
      <c r="V16">
        <f>MAX(0,MIN($C16,V$4+1)-MAX($B16,V$4))</f>
        <v/>
      </c>
      <c r="W16">
        <f>MAX(0,MIN($C16,W$4+1)-MAX($B16,W$4))</f>
        <v/>
      </c>
      <c r="X16">
        <f>MAX(0,MIN($C16,X$4+1)-MAX($B16,X$4))</f>
        <v/>
      </c>
      <c r="Y16">
        <f>MAX(0,MIN($C16,Y$4+1)-MAX($B16,Y$4))</f>
        <v/>
      </c>
      <c r="Z16">
        <f>MAX(0,MIN($C16,Z$4+1)-MAX($B16,Z$4))</f>
        <v/>
      </c>
      <c r="AA16">
        <f>MAX(0,MIN($C16,AA$4+1)-MAX($B16,AA$4))</f>
        <v/>
      </c>
      <c r="AB16">
        <f>MAX(0,MIN($C16,AB$4+1)-MAX($B16,AB$4))</f>
        <v/>
      </c>
      <c r="AC16">
        <f>MAX(0,MIN($C16,AC$4+1)-MAX($B16,AC$4))</f>
        <v/>
      </c>
      <c r="AD16">
        <f>MAX(0,MIN($C16,AD$4+1)-MAX($B16,AD$4))</f>
        <v/>
      </c>
      <c r="AE16">
        <f>MAX(0,MIN($C16,AE$4+1)-MAX($B16,AE$4))</f>
        <v/>
      </c>
      <c r="AF16">
        <f>MAX(0,MIN($C16,AF$4+1)-MAX($B16,AF$4))</f>
        <v/>
      </c>
      <c r="AG16">
        <f>MAX(0,MIN($C16,AG$4+1)-MAX($B16,AG$4))</f>
        <v/>
      </c>
      <c r="AH16">
        <f>MAX(0,MIN($C16,AH$4+1)-MAX($B16,AH$4))</f>
        <v/>
      </c>
      <c r="AI16">
        <f>MAX(0,MIN($C16,AI$4+1)-MAX($B16,AI$4))</f>
        <v/>
      </c>
      <c r="AJ16">
        <f>MAX(0,MIN($C16,AJ$4+1)-MAX($B16,AJ$4))</f>
        <v/>
      </c>
      <c r="AK16">
        <f>MAX(0,MIN($C16,AK$4+1)-MAX($B16,AK$4))</f>
        <v/>
      </c>
      <c r="AL16">
        <f>MAX(0,MIN($C16,AL$4+1)-MAX($B16,AL$4))</f>
        <v/>
      </c>
      <c r="AM16">
        <f>MAX(0,MIN($C16,AM$4+1)-MAX($B16,AM$4))</f>
        <v/>
      </c>
      <c r="AO16" t="n">
        <v>0</v>
      </c>
      <c r="AP16" t="n">
        <v>0</v>
      </c>
    </row>
    <row r="17">
      <c r="A17" t="inlineStr"/>
      <c r="B17" s="3" t="n">
        <v>0</v>
      </c>
      <c r="C17" s="3" t="n">
        <v>0</v>
      </c>
      <c r="D17" t="inlineStr"/>
      <c r="E17" t="n">
        <v>0</v>
      </c>
      <c r="F17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T17">
        <f>MAX(0,MIN($C17,T$4+1)-MAX($B17,T$4))</f>
        <v/>
      </c>
      <c r="U17">
        <f>MAX(0,MIN($C17,U$4+1)-MAX($B17,U$4))</f>
        <v/>
      </c>
      <c r="V17">
        <f>MAX(0,MIN($C17,V$4+1)-MAX($B17,V$4))</f>
        <v/>
      </c>
      <c r="W17">
        <f>MAX(0,MIN($C17,W$4+1)-MAX($B17,W$4))</f>
        <v/>
      </c>
      <c r="X17">
        <f>MAX(0,MIN($C17,X$4+1)-MAX($B17,X$4))</f>
        <v/>
      </c>
      <c r="Y17">
        <f>MAX(0,MIN($C17,Y$4+1)-MAX($B17,Y$4))</f>
        <v/>
      </c>
      <c r="Z17">
        <f>MAX(0,MIN($C17,Z$4+1)-MAX($B17,Z$4))</f>
        <v/>
      </c>
      <c r="AA17">
        <f>MAX(0,MIN($C17,AA$4+1)-MAX($B17,AA$4))</f>
        <v/>
      </c>
      <c r="AB17">
        <f>MAX(0,MIN($C17,AB$4+1)-MAX($B17,AB$4))</f>
        <v/>
      </c>
      <c r="AC17">
        <f>MAX(0,MIN($C17,AC$4+1)-MAX($B17,AC$4))</f>
        <v/>
      </c>
      <c r="AD17">
        <f>MAX(0,MIN($C17,AD$4+1)-MAX($B17,AD$4))</f>
        <v/>
      </c>
      <c r="AE17">
        <f>MAX(0,MIN($C17,AE$4+1)-MAX($B17,AE$4))</f>
        <v/>
      </c>
      <c r="AF17">
        <f>MAX(0,MIN($C17,AF$4+1)-MAX($B17,AF$4))</f>
        <v/>
      </c>
      <c r="AG17">
        <f>MAX(0,MIN($C17,AG$4+1)-MAX($B17,AG$4))</f>
        <v/>
      </c>
      <c r="AH17">
        <f>MAX(0,MIN($C17,AH$4+1)-MAX($B17,AH$4))</f>
        <v/>
      </c>
      <c r="AI17">
        <f>MAX(0,MIN($C17,AI$4+1)-MAX($B17,AI$4))</f>
        <v/>
      </c>
      <c r="AJ17">
        <f>MAX(0,MIN($C17,AJ$4+1)-MAX($B17,AJ$4))</f>
        <v/>
      </c>
      <c r="AK17">
        <f>MAX(0,MIN($C17,AK$4+1)-MAX($B17,AK$4))</f>
        <v/>
      </c>
      <c r="AL17">
        <f>MAX(0,MIN($C17,AL$4+1)-MAX($B17,AL$4))</f>
        <v/>
      </c>
      <c r="AM17">
        <f>MAX(0,MIN($C17,AM$4+1)-MAX($B17,AM$4))</f>
        <v/>
      </c>
      <c r="AO17" t="n">
        <v>0</v>
      </c>
      <c r="AP17" t="n">
        <v>0</v>
      </c>
    </row>
    <row r="18">
      <c r="A18" t="inlineStr"/>
      <c r="B18" s="3" t="n">
        <v>0</v>
      </c>
      <c r="C18" s="3" t="n">
        <v>0</v>
      </c>
      <c r="D18" t="inlineStr"/>
      <c r="E18" t="n">
        <v>0</v>
      </c>
      <c r="F18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T18">
        <f>MAX(0,MIN($C18,T$4+1)-MAX($B18,T$4))</f>
        <v/>
      </c>
      <c r="U18">
        <f>MAX(0,MIN($C18,U$4+1)-MAX($B18,U$4))</f>
        <v/>
      </c>
      <c r="V18">
        <f>MAX(0,MIN($C18,V$4+1)-MAX($B18,V$4))</f>
        <v/>
      </c>
      <c r="W18">
        <f>MAX(0,MIN($C18,W$4+1)-MAX($B18,W$4))</f>
        <v/>
      </c>
      <c r="X18">
        <f>MAX(0,MIN($C18,X$4+1)-MAX($B18,X$4))</f>
        <v/>
      </c>
      <c r="Y18">
        <f>MAX(0,MIN($C18,Y$4+1)-MAX($B18,Y$4))</f>
        <v/>
      </c>
      <c r="Z18">
        <f>MAX(0,MIN($C18,Z$4+1)-MAX($B18,Z$4))</f>
        <v/>
      </c>
      <c r="AA18">
        <f>MAX(0,MIN($C18,AA$4+1)-MAX($B18,AA$4))</f>
        <v/>
      </c>
      <c r="AB18">
        <f>MAX(0,MIN($C18,AB$4+1)-MAX($B18,AB$4))</f>
        <v/>
      </c>
      <c r="AC18">
        <f>MAX(0,MIN($C18,AC$4+1)-MAX($B18,AC$4))</f>
        <v/>
      </c>
      <c r="AD18">
        <f>MAX(0,MIN($C18,AD$4+1)-MAX($B18,AD$4))</f>
        <v/>
      </c>
      <c r="AE18">
        <f>MAX(0,MIN($C18,AE$4+1)-MAX($B18,AE$4))</f>
        <v/>
      </c>
      <c r="AF18">
        <f>MAX(0,MIN($C18,AF$4+1)-MAX($B18,AF$4))</f>
        <v/>
      </c>
      <c r="AG18">
        <f>MAX(0,MIN($C18,AG$4+1)-MAX($B18,AG$4))</f>
        <v/>
      </c>
      <c r="AH18">
        <f>MAX(0,MIN($C18,AH$4+1)-MAX($B18,AH$4))</f>
        <v/>
      </c>
      <c r="AI18">
        <f>MAX(0,MIN($C18,AI$4+1)-MAX($B18,AI$4))</f>
        <v/>
      </c>
      <c r="AJ18">
        <f>MAX(0,MIN($C18,AJ$4+1)-MAX($B18,AJ$4))</f>
        <v/>
      </c>
      <c r="AK18">
        <f>MAX(0,MIN($C18,AK$4+1)-MAX($B18,AK$4))</f>
        <v/>
      </c>
      <c r="AL18">
        <f>MAX(0,MIN($C18,AL$4+1)-MAX($B18,AL$4))</f>
        <v/>
      </c>
      <c r="AM18">
        <f>MAX(0,MIN($C18,AM$4+1)-MAX($B18,AM$4))</f>
        <v/>
      </c>
      <c r="AO18" t="n">
        <v>0</v>
      </c>
      <c r="AP18" t="n">
        <v>0</v>
      </c>
    </row>
    <row r="19">
      <c r="A19" t="inlineStr"/>
      <c r="B19" s="3" t="n">
        <v>0</v>
      </c>
      <c r="C19" s="3" t="n">
        <v>0</v>
      </c>
      <c r="D19" t="inlineStr"/>
      <c r="E19" t="n">
        <v>0</v>
      </c>
      <c r="F19" t="n">
        <v>0</v>
      </c>
      <c r="G19" s="3" t="n">
        <v>0</v>
      </c>
      <c r="H19" s="3" t="n">
        <v>0</v>
      </c>
      <c r="I19" s="3" t="n">
        <v>0</v>
      </c>
      <c r="J19" s="3" t="n">
        <v>0</v>
      </c>
      <c r="K19" s="3" t="n">
        <v>0</v>
      </c>
      <c r="L19" s="3" t="n">
        <v>0</v>
      </c>
      <c r="M19" s="3" t="n">
        <v>0</v>
      </c>
      <c r="N19" s="3" t="n">
        <v>0</v>
      </c>
      <c r="O19" s="3" t="n">
        <v>0</v>
      </c>
      <c r="P19" s="3" t="n">
        <v>0</v>
      </c>
      <c r="Q19" s="3" t="n">
        <v>0</v>
      </c>
      <c r="R19" s="3" t="n">
        <v>0</v>
      </c>
      <c r="T19">
        <f>MAX(0,MIN($C19,T$4+1)-MAX($B19,T$4))</f>
        <v/>
      </c>
      <c r="U19">
        <f>MAX(0,MIN($C19,U$4+1)-MAX($B19,U$4))</f>
        <v/>
      </c>
      <c r="V19">
        <f>MAX(0,MIN($C19,V$4+1)-MAX($B19,V$4))</f>
        <v/>
      </c>
      <c r="W19">
        <f>MAX(0,MIN($C19,W$4+1)-MAX($B19,W$4))</f>
        <v/>
      </c>
      <c r="X19">
        <f>MAX(0,MIN($C19,X$4+1)-MAX($B19,X$4))</f>
        <v/>
      </c>
      <c r="Y19">
        <f>MAX(0,MIN($C19,Y$4+1)-MAX($B19,Y$4))</f>
        <v/>
      </c>
      <c r="Z19">
        <f>MAX(0,MIN($C19,Z$4+1)-MAX($B19,Z$4))</f>
        <v/>
      </c>
      <c r="AA19">
        <f>MAX(0,MIN($C19,AA$4+1)-MAX($B19,AA$4))</f>
        <v/>
      </c>
      <c r="AB19">
        <f>MAX(0,MIN($C19,AB$4+1)-MAX($B19,AB$4))</f>
        <v/>
      </c>
      <c r="AC19">
        <f>MAX(0,MIN($C19,AC$4+1)-MAX($B19,AC$4))</f>
        <v/>
      </c>
      <c r="AD19">
        <f>MAX(0,MIN($C19,AD$4+1)-MAX($B19,AD$4))</f>
        <v/>
      </c>
      <c r="AE19">
        <f>MAX(0,MIN($C19,AE$4+1)-MAX($B19,AE$4))</f>
        <v/>
      </c>
      <c r="AF19">
        <f>MAX(0,MIN($C19,AF$4+1)-MAX($B19,AF$4))</f>
        <v/>
      </c>
      <c r="AG19">
        <f>MAX(0,MIN($C19,AG$4+1)-MAX($B19,AG$4))</f>
        <v/>
      </c>
      <c r="AH19">
        <f>MAX(0,MIN($C19,AH$4+1)-MAX($B19,AH$4))</f>
        <v/>
      </c>
      <c r="AI19">
        <f>MAX(0,MIN($C19,AI$4+1)-MAX($B19,AI$4))</f>
        <v/>
      </c>
      <c r="AJ19">
        <f>MAX(0,MIN($C19,AJ$4+1)-MAX($B19,AJ$4))</f>
        <v/>
      </c>
      <c r="AK19">
        <f>MAX(0,MIN($C19,AK$4+1)-MAX($B19,AK$4))</f>
        <v/>
      </c>
      <c r="AL19">
        <f>MAX(0,MIN($C19,AL$4+1)-MAX($B19,AL$4))</f>
        <v/>
      </c>
      <c r="AM19">
        <f>MAX(0,MIN($C19,AM$4+1)-MAX($B19,AM$4))</f>
        <v/>
      </c>
      <c r="AO19" t="n">
        <v>0</v>
      </c>
      <c r="AP19" t="n">
        <v>0</v>
      </c>
    </row>
    <row r="20">
      <c r="A20" t="inlineStr"/>
      <c r="B20" s="3" t="n">
        <v>0</v>
      </c>
      <c r="C20" s="3" t="n">
        <v>0</v>
      </c>
      <c r="D20" t="inlineStr"/>
      <c r="E20" t="n">
        <v>0</v>
      </c>
      <c r="F20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T20">
        <f>MAX(0,MIN($C20,T$4+1)-MAX($B20,T$4))</f>
        <v/>
      </c>
      <c r="U20">
        <f>MAX(0,MIN($C20,U$4+1)-MAX($B20,U$4))</f>
        <v/>
      </c>
      <c r="V20">
        <f>MAX(0,MIN($C20,V$4+1)-MAX($B20,V$4))</f>
        <v/>
      </c>
      <c r="W20">
        <f>MAX(0,MIN($C20,W$4+1)-MAX($B20,W$4))</f>
        <v/>
      </c>
      <c r="X20">
        <f>MAX(0,MIN($C20,X$4+1)-MAX($B20,X$4))</f>
        <v/>
      </c>
      <c r="Y20">
        <f>MAX(0,MIN($C20,Y$4+1)-MAX($B20,Y$4))</f>
        <v/>
      </c>
      <c r="Z20">
        <f>MAX(0,MIN($C20,Z$4+1)-MAX($B20,Z$4))</f>
        <v/>
      </c>
      <c r="AA20">
        <f>MAX(0,MIN($C20,AA$4+1)-MAX($B20,AA$4))</f>
        <v/>
      </c>
      <c r="AB20">
        <f>MAX(0,MIN($C20,AB$4+1)-MAX($B20,AB$4))</f>
        <v/>
      </c>
      <c r="AC20">
        <f>MAX(0,MIN($C20,AC$4+1)-MAX($B20,AC$4))</f>
        <v/>
      </c>
      <c r="AD20">
        <f>MAX(0,MIN($C20,AD$4+1)-MAX($B20,AD$4))</f>
        <v/>
      </c>
      <c r="AE20">
        <f>MAX(0,MIN($C20,AE$4+1)-MAX($B20,AE$4))</f>
        <v/>
      </c>
      <c r="AF20">
        <f>MAX(0,MIN($C20,AF$4+1)-MAX($B20,AF$4))</f>
        <v/>
      </c>
      <c r="AG20">
        <f>MAX(0,MIN($C20,AG$4+1)-MAX($B20,AG$4))</f>
        <v/>
      </c>
      <c r="AH20">
        <f>MAX(0,MIN($C20,AH$4+1)-MAX($B20,AH$4))</f>
        <v/>
      </c>
      <c r="AI20">
        <f>MAX(0,MIN($C20,AI$4+1)-MAX($B20,AI$4))</f>
        <v/>
      </c>
      <c r="AJ20">
        <f>MAX(0,MIN($C20,AJ$4+1)-MAX($B20,AJ$4))</f>
        <v/>
      </c>
      <c r="AK20">
        <f>MAX(0,MIN($C20,AK$4+1)-MAX($B20,AK$4))</f>
        <v/>
      </c>
      <c r="AL20">
        <f>MAX(0,MIN($C20,AL$4+1)-MAX($B20,AL$4))</f>
        <v/>
      </c>
      <c r="AM20">
        <f>MAX(0,MIN($C20,AM$4+1)-MAX($B20,AM$4))</f>
        <v/>
      </c>
      <c r="AO20" t="n">
        <v>0</v>
      </c>
      <c r="AP20" t="n">
        <v>0</v>
      </c>
    </row>
    <row r="21">
      <c r="A21" t="inlineStr"/>
      <c r="B21" s="3" t="n">
        <v>0</v>
      </c>
      <c r="C21" s="3" t="n">
        <v>0</v>
      </c>
      <c r="D21" t="inlineStr"/>
      <c r="E21" t="n">
        <v>0</v>
      </c>
      <c r="F21" t="n">
        <v>0</v>
      </c>
      <c r="G21" s="3" t="n">
        <v>0</v>
      </c>
      <c r="H21" s="3" t="n">
        <v>0</v>
      </c>
      <c r="I21" s="3" t="n">
        <v>0</v>
      </c>
      <c r="J21" s="3" t="n">
        <v>0</v>
      </c>
      <c r="K21" s="3" t="n">
        <v>0</v>
      </c>
      <c r="L21" s="3" t="n">
        <v>0</v>
      </c>
      <c r="M21" s="3" t="n">
        <v>0</v>
      </c>
      <c r="N21" s="3" t="n">
        <v>0</v>
      </c>
      <c r="O21" s="3" t="n">
        <v>0</v>
      </c>
      <c r="P21" s="3" t="n">
        <v>0</v>
      </c>
      <c r="Q21" s="3" t="n">
        <v>0</v>
      </c>
      <c r="R21" s="3" t="n">
        <v>0</v>
      </c>
      <c r="T21">
        <f>MAX(0,MIN($C21,T$4+1)-MAX($B21,T$4))</f>
        <v/>
      </c>
      <c r="U21">
        <f>MAX(0,MIN($C21,U$4+1)-MAX($B21,U$4))</f>
        <v/>
      </c>
      <c r="V21">
        <f>MAX(0,MIN($C21,V$4+1)-MAX($B21,V$4))</f>
        <v/>
      </c>
      <c r="W21">
        <f>MAX(0,MIN($C21,W$4+1)-MAX($B21,W$4))</f>
        <v/>
      </c>
      <c r="X21">
        <f>MAX(0,MIN($C21,X$4+1)-MAX($B21,X$4))</f>
        <v/>
      </c>
      <c r="Y21">
        <f>MAX(0,MIN($C21,Y$4+1)-MAX($B21,Y$4))</f>
        <v/>
      </c>
      <c r="Z21">
        <f>MAX(0,MIN($C21,Z$4+1)-MAX($B21,Z$4))</f>
        <v/>
      </c>
      <c r="AA21">
        <f>MAX(0,MIN($C21,AA$4+1)-MAX($B21,AA$4))</f>
        <v/>
      </c>
      <c r="AB21">
        <f>MAX(0,MIN($C21,AB$4+1)-MAX($B21,AB$4))</f>
        <v/>
      </c>
      <c r="AC21">
        <f>MAX(0,MIN($C21,AC$4+1)-MAX($B21,AC$4))</f>
        <v/>
      </c>
      <c r="AD21">
        <f>MAX(0,MIN($C21,AD$4+1)-MAX($B21,AD$4))</f>
        <v/>
      </c>
      <c r="AE21">
        <f>MAX(0,MIN($C21,AE$4+1)-MAX($B21,AE$4))</f>
        <v/>
      </c>
      <c r="AF21">
        <f>MAX(0,MIN($C21,AF$4+1)-MAX($B21,AF$4))</f>
        <v/>
      </c>
      <c r="AG21">
        <f>MAX(0,MIN($C21,AG$4+1)-MAX($B21,AG$4))</f>
        <v/>
      </c>
      <c r="AH21">
        <f>MAX(0,MIN($C21,AH$4+1)-MAX($B21,AH$4))</f>
        <v/>
      </c>
      <c r="AI21">
        <f>MAX(0,MIN($C21,AI$4+1)-MAX($B21,AI$4))</f>
        <v/>
      </c>
      <c r="AJ21">
        <f>MAX(0,MIN($C21,AJ$4+1)-MAX($B21,AJ$4))</f>
        <v/>
      </c>
      <c r="AK21">
        <f>MAX(0,MIN($C21,AK$4+1)-MAX($B21,AK$4))</f>
        <v/>
      </c>
      <c r="AL21">
        <f>MAX(0,MIN($C21,AL$4+1)-MAX($B21,AL$4))</f>
        <v/>
      </c>
      <c r="AM21">
        <f>MAX(0,MIN($C21,AM$4+1)-MAX($B21,AM$4))</f>
        <v/>
      </c>
      <c r="AO21" t="n">
        <v>0</v>
      </c>
      <c r="AP21" t="n">
        <v>0</v>
      </c>
    </row>
    <row r="22">
      <c r="A22" t="inlineStr"/>
      <c r="B22" s="3" t="n">
        <v>0</v>
      </c>
      <c r="C22" s="3" t="n">
        <v>0</v>
      </c>
      <c r="D22" t="inlineStr"/>
      <c r="E22" t="n">
        <v>0</v>
      </c>
      <c r="F22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T22">
        <f>MAX(0,MIN($C22,T$4+1)-MAX($B22,T$4))</f>
        <v/>
      </c>
      <c r="U22">
        <f>MAX(0,MIN($C22,U$4+1)-MAX($B22,U$4))</f>
        <v/>
      </c>
      <c r="V22">
        <f>MAX(0,MIN($C22,V$4+1)-MAX($B22,V$4))</f>
        <v/>
      </c>
      <c r="W22">
        <f>MAX(0,MIN($C22,W$4+1)-MAX($B22,W$4))</f>
        <v/>
      </c>
      <c r="X22">
        <f>MAX(0,MIN($C22,X$4+1)-MAX($B22,X$4))</f>
        <v/>
      </c>
      <c r="Y22">
        <f>MAX(0,MIN($C22,Y$4+1)-MAX($B22,Y$4))</f>
        <v/>
      </c>
      <c r="Z22">
        <f>MAX(0,MIN($C22,Z$4+1)-MAX($B22,Z$4))</f>
        <v/>
      </c>
      <c r="AA22">
        <f>MAX(0,MIN($C22,AA$4+1)-MAX($B22,AA$4))</f>
        <v/>
      </c>
      <c r="AB22">
        <f>MAX(0,MIN($C22,AB$4+1)-MAX($B22,AB$4))</f>
        <v/>
      </c>
      <c r="AC22">
        <f>MAX(0,MIN($C22,AC$4+1)-MAX($B22,AC$4))</f>
        <v/>
      </c>
      <c r="AD22">
        <f>MAX(0,MIN($C22,AD$4+1)-MAX($B22,AD$4))</f>
        <v/>
      </c>
      <c r="AE22">
        <f>MAX(0,MIN($C22,AE$4+1)-MAX($B22,AE$4))</f>
        <v/>
      </c>
      <c r="AF22">
        <f>MAX(0,MIN($C22,AF$4+1)-MAX($B22,AF$4))</f>
        <v/>
      </c>
      <c r="AG22">
        <f>MAX(0,MIN($C22,AG$4+1)-MAX($B22,AG$4))</f>
        <v/>
      </c>
      <c r="AH22">
        <f>MAX(0,MIN($C22,AH$4+1)-MAX($B22,AH$4))</f>
        <v/>
      </c>
      <c r="AI22">
        <f>MAX(0,MIN($C22,AI$4+1)-MAX($B22,AI$4))</f>
        <v/>
      </c>
      <c r="AJ22">
        <f>MAX(0,MIN($C22,AJ$4+1)-MAX($B22,AJ$4))</f>
        <v/>
      </c>
      <c r="AK22">
        <f>MAX(0,MIN($C22,AK$4+1)-MAX($B22,AK$4))</f>
        <v/>
      </c>
      <c r="AL22">
        <f>MAX(0,MIN($C22,AL$4+1)-MAX($B22,AL$4))</f>
        <v/>
      </c>
      <c r="AM22">
        <f>MAX(0,MIN($C22,AM$4+1)-MAX($B22,AM$4))</f>
        <v/>
      </c>
      <c r="AO22" t="n">
        <v>0</v>
      </c>
      <c r="AP22" t="n">
        <v>0</v>
      </c>
    </row>
    <row r="23">
      <c r="A23" t="inlineStr"/>
      <c r="B23" s="3" t="n">
        <v>0</v>
      </c>
      <c r="C23" s="3" t="n">
        <v>0</v>
      </c>
      <c r="D23" t="inlineStr"/>
      <c r="E23" t="n">
        <v>0</v>
      </c>
      <c r="F2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T23">
        <f>MAX(0,MIN($C23,T$4+1)-MAX($B23,T$4))</f>
        <v/>
      </c>
      <c r="U23">
        <f>MAX(0,MIN($C23,U$4+1)-MAX($B23,U$4))</f>
        <v/>
      </c>
      <c r="V23">
        <f>MAX(0,MIN($C23,V$4+1)-MAX($B23,V$4))</f>
        <v/>
      </c>
      <c r="W23">
        <f>MAX(0,MIN($C23,W$4+1)-MAX($B23,W$4))</f>
        <v/>
      </c>
      <c r="X23">
        <f>MAX(0,MIN($C23,X$4+1)-MAX($B23,X$4))</f>
        <v/>
      </c>
      <c r="Y23">
        <f>MAX(0,MIN($C23,Y$4+1)-MAX($B23,Y$4))</f>
        <v/>
      </c>
      <c r="Z23">
        <f>MAX(0,MIN($C23,Z$4+1)-MAX($B23,Z$4))</f>
        <v/>
      </c>
      <c r="AA23">
        <f>MAX(0,MIN($C23,AA$4+1)-MAX($B23,AA$4))</f>
        <v/>
      </c>
      <c r="AB23">
        <f>MAX(0,MIN($C23,AB$4+1)-MAX($B23,AB$4))</f>
        <v/>
      </c>
      <c r="AC23">
        <f>MAX(0,MIN($C23,AC$4+1)-MAX($B23,AC$4))</f>
        <v/>
      </c>
      <c r="AD23">
        <f>MAX(0,MIN($C23,AD$4+1)-MAX($B23,AD$4))</f>
        <v/>
      </c>
      <c r="AE23">
        <f>MAX(0,MIN($C23,AE$4+1)-MAX($B23,AE$4))</f>
        <v/>
      </c>
      <c r="AF23">
        <f>MAX(0,MIN($C23,AF$4+1)-MAX($B23,AF$4))</f>
        <v/>
      </c>
      <c r="AG23">
        <f>MAX(0,MIN($C23,AG$4+1)-MAX($B23,AG$4))</f>
        <v/>
      </c>
      <c r="AH23">
        <f>MAX(0,MIN($C23,AH$4+1)-MAX($B23,AH$4))</f>
        <v/>
      </c>
      <c r="AI23">
        <f>MAX(0,MIN($C23,AI$4+1)-MAX($B23,AI$4))</f>
        <v/>
      </c>
      <c r="AJ23">
        <f>MAX(0,MIN($C23,AJ$4+1)-MAX($B23,AJ$4))</f>
        <v/>
      </c>
      <c r="AK23">
        <f>MAX(0,MIN($C23,AK$4+1)-MAX($B23,AK$4))</f>
        <v/>
      </c>
      <c r="AL23">
        <f>MAX(0,MIN($C23,AL$4+1)-MAX($B23,AL$4))</f>
        <v/>
      </c>
      <c r="AM23">
        <f>MAX(0,MIN($C23,AM$4+1)-MAX($B23,AM$4))</f>
        <v/>
      </c>
      <c r="AO23" t="n">
        <v>0</v>
      </c>
      <c r="AP23" t="n">
        <v>0</v>
      </c>
    </row>
    <row r="24">
      <c r="A24" t="inlineStr"/>
      <c r="B24" s="3" t="n">
        <v>0</v>
      </c>
      <c r="C24" s="3" t="n">
        <v>0</v>
      </c>
      <c r="D24" t="inlineStr"/>
      <c r="E24" t="n">
        <v>0</v>
      </c>
      <c r="F24" t="n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  <c r="P24" s="3" t="n">
        <v>0</v>
      </c>
      <c r="Q24" s="3" t="n">
        <v>0</v>
      </c>
      <c r="R24" s="3" t="n">
        <v>0</v>
      </c>
      <c r="T24">
        <f>MAX(0,MIN($C24,T$4+1)-MAX($B24,T$4))</f>
        <v/>
      </c>
      <c r="U24">
        <f>MAX(0,MIN($C24,U$4+1)-MAX($B24,U$4))</f>
        <v/>
      </c>
      <c r="V24">
        <f>MAX(0,MIN($C24,V$4+1)-MAX($B24,V$4))</f>
        <v/>
      </c>
      <c r="W24">
        <f>MAX(0,MIN($C24,W$4+1)-MAX($B24,W$4))</f>
        <v/>
      </c>
      <c r="X24">
        <f>MAX(0,MIN($C24,X$4+1)-MAX($B24,X$4))</f>
        <v/>
      </c>
      <c r="Y24">
        <f>MAX(0,MIN($C24,Y$4+1)-MAX($B24,Y$4))</f>
        <v/>
      </c>
      <c r="Z24">
        <f>MAX(0,MIN($C24,Z$4+1)-MAX($B24,Z$4))</f>
        <v/>
      </c>
      <c r="AA24">
        <f>MAX(0,MIN($C24,AA$4+1)-MAX($B24,AA$4))</f>
        <v/>
      </c>
      <c r="AB24">
        <f>MAX(0,MIN($C24,AB$4+1)-MAX($B24,AB$4))</f>
        <v/>
      </c>
      <c r="AC24">
        <f>MAX(0,MIN($C24,AC$4+1)-MAX($B24,AC$4))</f>
        <v/>
      </c>
      <c r="AD24">
        <f>MAX(0,MIN($C24,AD$4+1)-MAX($B24,AD$4))</f>
        <v/>
      </c>
      <c r="AE24">
        <f>MAX(0,MIN($C24,AE$4+1)-MAX($B24,AE$4))</f>
        <v/>
      </c>
      <c r="AF24">
        <f>MAX(0,MIN($C24,AF$4+1)-MAX($B24,AF$4))</f>
        <v/>
      </c>
      <c r="AG24">
        <f>MAX(0,MIN($C24,AG$4+1)-MAX($B24,AG$4))</f>
        <v/>
      </c>
      <c r="AH24">
        <f>MAX(0,MIN($C24,AH$4+1)-MAX($B24,AH$4))</f>
        <v/>
      </c>
      <c r="AI24">
        <f>MAX(0,MIN($C24,AI$4+1)-MAX($B24,AI$4))</f>
        <v/>
      </c>
      <c r="AJ24">
        <f>MAX(0,MIN($C24,AJ$4+1)-MAX($B24,AJ$4))</f>
        <v/>
      </c>
      <c r="AK24">
        <f>MAX(0,MIN($C24,AK$4+1)-MAX($B24,AK$4))</f>
        <v/>
      </c>
      <c r="AL24">
        <f>MAX(0,MIN($C24,AL$4+1)-MAX($B24,AL$4))</f>
        <v/>
      </c>
      <c r="AM24">
        <f>MAX(0,MIN($C24,AM$4+1)-MAX($B24,AM$4))</f>
        <v/>
      </c>
      <c r="AO24" t="n">
        <v>0</v>
      </c>
      <c r="AP24" t="n">
        <v>0</v>
      </c>
    </row>
    <row r="25">
      <c r="A25" t="inlineStr"/>
      <c r="B25" s="3" t="n">
        <v>0</v>
      </c>
      <c r="C25" s="3" t="n">
        <v>0</v>
      </c>
      <c r="D25" t="inlineStr"/>
      <c r="E25" t="n">
        <v>0</v>
      </c>
      <c r="F25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T25">
        <f>MAX(0,MIN($C25,T$4+1)-MAX($B25,T$4))</f>
        <v/>
      </c>
      <c r="U25">
        <f>MAX(0,MIN($C25,U$4+1)-MAX($B25,U$4))</f>
        <v/>
      </c>
      <c r="V25">
        <f>MAX(0,MIN($C25,V$4+1)-MAX($B25,V$4))</f>
        <v/>
      </c>
      <c r="W25">
        <f>MAX(0,MIN($C25,W$4+1)-MAX($B25,W$4))</f>
        <v/>
      </c>
      <c r="X25">
        <f>MAX(0,MIN($C25,X$4+1)-MAX($B25,X$4))</f>
        <v/>
      </c>
      <c r="Y25">
        <f>MAX(0,MIN($C25,Y$4+1)-MAX($B25,Y$4))</f>
        <v/>
      </c>
      <c r="Z25">
        <f>MAX(0,MIN($C25,Z$4+1)-MAX($B25,Z$4))</f>
        <v/>
      </c>
      <c r="AA25">
        <f>MAX(0,MIN($C25,AA$4+1)-MAX($B25,AA$4))</f>
        <v/>
      </c>
      <c r="AB25">
        <f>MAX(0,MIN($C25,AB$4+1)-MAX($B25,AB$4))</f>
        <v/>
      </c>
      <c r="AC25">
        <f>MAX(0,MIN($C25,AC$4+1)-MAX($B25,AC$4))</f>
        <v/>
      </c>
      <c r="AD25">
        <f>MAX(0,MIN($C25,AD$4+1)-MAX($B25,AD$4))</f>
        <v/>
      </c>
      <c r="AE25">
        <f>MAX(0,MIN($C25,AE$4+1)-MAX($B25,AE$4))</f>
        <v/>
      </c>
      <c r="AF25">
        <f>MAX(0,MIN($C25,AF$4+1)-MAX($B25,AF$4))</f>
        <v/>
      </c>
      <c r="AG25">
        <f>MAX(0,MIN($C25,AG$4+1)-MAX($B25,AG$4))</f>
        <v/>
      </c>
      <c r="AH25">
        <f>MAX(0,MIN($C25,AH$4+1)-MAX($B25,AH$4))</f>
        <v/>
      </c>
      <c r="AI25">
        <f>MAX(0,MIN($C25,AI$4+1)-MAX($B25,AI$4))</f>
        <v/>
      </c>
      <c r="AJ25">
        <f>MAX(0,MIN($C25,AJ$4+1)-MAX($B25,AJ$4))</f>
        <v/>
      </c>
      <c r="AK25">
        <f>MAX(0,MIN($C25,AK$4+1)-MAX($B25,AK$4))</f>
        <v/>
      </c>
      <c r="AL25">
        <f>MAX(0,MIN($C25,AL$4+1)-MAX($B25,AL$4))</f>
        <v/>
      </c>
      <c r="AM25">
        <f>MAX(0,MIN($C25,AM$4+1)-MAX($B25,AM$4))</f>
        <v/>
      </c>
    </row>
    <row r="26">
      <c r="A26" t="inlineStr"/>
      <c r="B26" s="3" t="n">
        <v>0</v>
      </c>
      <c r="C26" s="3" t="n">
        <v>0</v>
      </c>
      <c r="D26" t="inlineStr"/>
      <c r="E26" t="n">
        <v>0</v>
      </c>
      <c r="F26" t="n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  <c r="T26">
        <f>MAX(0,MIN($C26,T$4+1)-MAX($B26,T$4))</f>
        <v/>
      </c>
      <c r="U26">
        <f>MAX(0,MIN($C26,U$4+1)-MAX($B26,U$4))</f>
        <v/>
      </c>
      <c r="V26">
        <f>MAX(0,MIN($C26,V$4+1)-MAX($B26,V$4))</f>
        <v/>
      </c>
      <c r="W26">
        <f>MAX(0,MIN($C26,W$4+1)-MAX($B26,W$4))</f>
        <v/>
      </c>
      <c r="X26">
        <f>MAX(0,MIN($C26,X$4+1)-MAX($B26,X$4))</f>
        <v/>
      </c>
      <c r="Y26">
        <f>MAX(0,MIN($C26,Y$4+1)-MAX($B26,Y$4))</f>
        <v/>
      </c>
      <c r="Z26">
        <f>MAX(0,MIN($C26,Z$4+1)-MAX($B26,Z$4))</f>
        <v/>
      </c>
      <c r="AA26">
        <f>MAX(0,MIN($C26,AA$4+1)-MAX($B26,AA$4))</f>
        <v/>
      </c>
      <c r="AB26">
        <f>MAX(0,MIN($C26,AB$4+1)-MAX($B26,AB$4))</f>
        <v/>
      </c>
      <c r="AC26">
        <f>MAX(0,MIN($C26,AC$4+1)-MAX($B26,AC$4))</f>
        <v/>
      </c>
      <c r="AD26">
        <f>MAX(0,MIN($C26,AD$4+1)-MAX($B26,AD$4))</f>
        <v/>
      </c>
      <c r="AE26">
        <f>MAX(0,MIN($C26,AE$4+1)-MAX($B26,AE$4))</f>
        <v/>
      </c>
      <c r="AF26">
        <f>MAX(0,MIN($C26,AF$4+1)-MAX($B26,AF$4))</f>
        <v/>
      </c>
      <c r="AG26">
        <f>MAX(0,MIN($C26,AG$4+1)-MAX($B26,AG$4))</f>
        <v/>
      </c>
      <c r="AH26">
        <f>MAX(0,MIN($C26,AH$4+1)-MAX($B26,AH$4))</f>
        <v/>
      </c>
      <c r="AI26">
        <f>MAX(0,MIN($C26,AI$4+1)-MAX($B26,AI$4))</f>
        <v/>
      </c>
      <c r="AJ26">
        <f>MAX(0,MIN($C26,AJ$4+1)-MAX($B26,AJ$4))</f>
        <v/>
      </c>
      <c r="AK26">
        <f>MAX(0,MIN($C26,AK$4+1)-MAX($B26,AK$4))</f>
        <v/>
      </c>
      <c r="AL26">
        <f>MAX(0,MIN($C26,AL$4+1)-MAX($B26,AL$4))</f>
        <v/>
      </c>
      <c r="AM26">
        <f>MAX(0,MIN($C26,AM$4+1)-MAX($B26,AM$4))</f>
        <v/>
      </c>
    </row>
    <row r="27">
      <c r="A27" t="inlineStr"/>
      <c r="B27" s="3" t="n">
        <v>0</v>
      </c>
      <c r="C27" s="3" t="n">
        <v>0</v>
      </c>
      <c r="D27" t="inlineStr"/>
      <c r="E27" t="n">
        <v>0</v>
      </c>
      <c r="F27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T27">
        <f>MAX(0,MIN($C27,T$4+1)-MAX($B27,T$4))</f>
        <v/>
      </c>
      <c r="U27">
        <f>MAX(0,MIN($C27,U$4+1)-MAX($B27,U$4))</f>
        <v/>
      </c>
      <c r="V27">
        <f>MAX(0,MIN($C27,V$4+1)-MAX($B27,V$4))</f>
        <v/>
      </c>
      <c r="W27">
        <f>MAX(0,MIN($C27,W$4+1)-MAX($B27,W$4))</f>
        <v/>
      </c>
      <c r="X27">
        <f>MAX(0,MIN($C27,X$4+1)-MAX($B27,X$4))</f>
        <v/>
      </c>
      <c r="Y27">
        <f>MAX(0,MIN($C27,Y$4+1)-MAX($B27,Y$4))</f>
        <v/>
      </c>
      <c r="Z27">
        <f>MAX(0,MIN($C27,Z$4+1)-MAX($B27,Z$4))</f>
        <v/>
      </c>
      <c r="AA27">
        <f>MAX(0,MIN($C27,AA$4+1)-MAX($B27,AA$4))</f>
        <v/>
      </c>
      <c r="AB27">
        <f>MAX(0,MIN($C27,AB$4+1)-MAX($B27,AB$4))</f>
        <v/>
      </c>
      <c r="AC27">
        <f>MAX(0,MIN($C27,AC$4+1)-MAX($B27,AC$4))</f>
        <v/>
      </c>
      <c r="AD27">
        <f>MAX(0,MIN($C27,AD$4+1)-MAX($B27,AD$4))</f>
        <v/>
      </c>
      <c r="AE27">
        <f>MAX(0,MIN($C27,AE$4+1)-MAX($B27,AE$4))</f>
        <v/>
      </c>
      <c r="AF27">
        <f>MAX(0,MIN($C27,AF$4+1)-MAX($B27,AF$4))</f>
        <v/>
      </c>
      <c r="AG27">
        <f>MAX(0,MIN($C27,AG$4+1)-MAX($B27,AG$4))</f>
        <v/>
      </c>
      <c r="AH27">
        <f>MAX(0,MIN($C27,AH$4+1)-MAX($B27,AH$4))</f>
        <v/>
      </c>
      <c r="AI27">
        <f>MAX(0,MIN($C27,AI$4+1)-MAX($B27,AI$4))</f>
        <v/>
      </c>
      <c r="AJ27">
        <f>MAX(0,MIN($C27,AJ$4+1)-MAX($B27,AJ$4))</f>
        <v/>
      </c>
      <c r="AK27">
        <f>MAX(0,MIN($C27,AK$4+1)-MAX($B27,AK$4))</f>
        <v/>
      </c>
      <c r="AL27">
        <f>MAX(0,MIN($C27,AL$4+1)-MAX($B27,AL$4))</f>
        <v/>
      </c>
      <c r="AM27">
        <f>MAX(0,MIN($C27,AM$4+1)-MAX($B27,AM$4))</f>
        <v/>
      </c>
    </row>
    <row r="28">
      <c r="A28" t="inlineStr"/>
      <c r="B28" s="3" t="n">
        <v>0</v>
      </c>
      <c r="C28" s="3" t="n">
        <v>0</v>
      </c>
      <c r="D28" t="inlineStr"/>
      <c r="E28" t="n">
        <v>0</v>
      </c>
      <c r="F28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T28">
        <f>MAX(0,MIN($C28,T$4+1)-MAX($B28,T$4))</f>
        <v/>
      </c>
      <c r="U28">
        <f>MAX(0,MIN($C28,U$4+1)-MAX($B28,U$4))</f>
        <v/>
      </c>
      <c r="V28">
        <f>MAX(0,MIN($C28,V$4+1)-MAX($B28,V$4))</f>
        <v/>
      </c>
      <c r="W28">
        <f>MAX(0,MIN($C28,W$4+1)-MAX($B28,W$4))</f>
        <v/>
      </c>
      <c r="X28">
        <f>MAX(0,MIN($C28,X$4+1)-MAX($B28,X$4))</f>
        <v/>
      </c>
      <c r="Y28">
        <f>MAX(0,MIN($C28,Y$4+1)-MAX($B28,Y$4))</f>
        <v/>
      </c>
      <c r="Z28">
        <f>MAX(0,MIN($C28,Z$4+1)-MAX($B28,Z$4))</f>
        <v/>
      </c>
      <c r="AA28">
        <f>MAX(0,MIN($C28,AA$4+1)-MAX($B28,AA$4))</f>
        <v/>
      </c>
      <c r="AB28">
        <f>MAX(0,MIN($C28,AB$4+1)-MAX($B28,AB$4))</f>
        <v/>
      </c>
      <c r="AC28">
        <f>MAX(0,MIN($C28,AC$4+1)-MAX($B28,AC$4))</f>
        <v/>
      </c>
      <c r="AD28">
        <f>MAX(0,MIN($C28,AD$4+1)-MAX($B28,AD$4))</f>
        <v/>
      </c>
      <c r="AE28">
        <f>MAX(0,MIN($C28,AE$4+1)-MAX($B28,AE$4))</f>
        <v/>
      </c>
      <c r="AF28">
        <f>MAX(0,MIN($C28,AF$4+1)-MAX($B28,AF$4))</f>
        <v/>
      </c>
      <c r="AG28">
        <f>MAX(0,MIN($C28,AG$4+1)-MAX($B28,AG$4))</f>
        <v/>
      </c>
      <c r="AH28">
        <f>MAX(0,MIN($C28,AH$4+1)-MAX($B28,AH$4))</f>
        <v/>
      </c>
      <c r="AI28">
        <f>MAX(0,MIN($C28,AI$4+1)-MAX($B28,AI$4))</f>
        <v/>
      </c>
      <c r="AJ28">
        <f>MAX(0,MIN($C28,AJ$4+1)-MAX($B28,AJ$4))</f>
        <v/>
      </c>
      <c r="AK28">
        <f>MAX(0,MIN($C28,AK$4+1)-MAX($B28,AK$4))</f>
        <v/>
      </c>
      <c r="AL28">
        <f>MAX(0,MIN($C28,AL$4+1)-MAX($B28,AL$4))</f>
        <v/>
      </c>
      <c r="AM28">
        <f>MAX(0,MIN($C28,AM$4+1)-MAX($B28,AM$4))</f>
        <v/>
      </c>
    </row>
    <row r="29">
      <c r="A29" t="inlineStr"/>
      <c r="B29" s="3" t="n">
        <v>0</v>
      </c>
      <c r="C29" s="3" t="n">
        <v>0</v>
      </c>
      <c r="D29" t="inlineStr"/>
      <c r="E29" t="n">
        <v>0</v>
      </c>
      <c r="F29" t="n">
        <v>0</v>
      </c>
      <c r="G29" s="3" t="n">
        <v>0</v>
      </c>
      <c r="H29" s="3" t="n">
        <v>0</v>
      </c>
      <c r="I29" s="3" t="n">
        <v>0</v>
      </c>
      <c r="J29" s="3" t="n">
        <v>0</v>
      </c>
      <c r="K29" s="3" t="n">
        <v>0</v>
      </c>
      <c r="L29" s="3" t="n">
        <v>0</v>
      </c>
      <c r="M29" s="3" t="n">
        <v>0</v>
      </c>
      <c r="N29" s="3" t="n">
        <v>0</v>
      </c>
      <c r="O29" s="3" t="n">
        <v>0</v>
      </c>
      <c r="P29" s="3" t="n">
        <v>0</v>
      </c>
      <c r="Q29" s="3" t="n">
        <v>0</v>
      </c>
      <c r="R29" s="3" t="n">
        <v>0</v>
      </c>
      <c r="T29">
        <f>MAX(0,MIN($C29,T$4+1)-MAX($B29,T$4))</f>
        <v/>
      </c>
      <c r="U29">
        <f>MAX(0,MIN($C29,U$4+1)-MAX($B29,U$4))</f>
        <v/>
      </c>
      <c r="V29">
        <f>MAX(0,MIN($C29,V$4+1)-MAX($B29,V$4))</f>
        <v/>
      </c>
      <c r="W29">
        <f>MAX(0,MIN($C29,W$4+1)-MAX($B29,W$4))</f>
        <v/>
      </c>
      <c r="X29">
        <f>MAX(0,MIN($C29,X$4+1)-MAX($B29,X$4))</f>
        <v/>
      </c>
      <c r="Y29">
        <f>MAX(0,MIN($C29,Y$4+1)-MAX($B29,Y$4))</f>
        <v/>
      </c>
      <c r="Z29">
        <f>MAX(0,MIN($C29,Z$4+1)-MAX($B29,Z$4))</f>
        <v/>
      </c>
      <c r="AA29">
        <f>MAX(0,MIN($C29,AA$4+1)-MAX($B29,AA$4))</f>
        <v/>
      </c>
      <c r="AB29">
        <f>MAX(0,MIN($C29,AB$4+1)-MAX($B29,AB$4))</f>
        <v/>
      </c>
      <c r="AC29">
        <f>MAX(0,MIN($C29,AC$4+1)-MAX($B29,AC$4))</f>
        <v/>
      </c>
      <c r="AD29">
        <f>MAX(0,MIN($C29,AD$4+1)-MAX($B29,AD$4))</f>
        <v/>
      </c>
      <c r="AE29">
        <f>MAX(0,MIN($C29,AE$4+1)-MAX($B29,AE$4))</f>
        <v/>
      </c>
      <c r="AF29">
        <f>MAX(0,MIN($C29,AF$4+1)-MAX($B29,AF$4))</f>
        <v/>
      </c>
      <c r="AG29">
        <f>MAX(0,MIN($C29,AG$4+1)-MAX($B29,AG$4))</f>
        <v/>
      </c>
      <c r="AH29">
        <f>MAX(0,MIN($C29,AH$4+1)-MAX($B29,AH$4))</f>
        <v/>
      </c>
      <c r="AI29">
        <f>MAX(0,MIN($C29,AI$4+1)-MAX($B29,AI$4))</f>
        <v/>
      </c>
      <c r="AJ29">
        <f>MAX(0,MIN($C29,AJ$4+1)-MAX($B29,AJ$4))</f>
        <v/>
      </c>
      <c r="AK29">
        <f>MAX(0,MIN($C29,AK$4+1)-MAX($B29,AK$4))</f>
        <v/>
      </c>
      <c r="AL29">
        <f>MAX(0,MIN($C29,AL$4+1)-MAX($B29,AL$4))</f>
        <v/>
      </c>
      <c r="AM29">
        <f>MAX(0,MIN($C29,AM$4+1)-MAX($B29,AM$4))</f>
        <v/>
      </c>
    </row>
    <row r="31">
      <c r="A31" s="1" t="inlineStr">
        <is>
          <t>Simulación anual (todas las celdas son fórmulas)</t>
        </is>
      </c>
    </row>
    <row r="32">
      <c r="A32" s="5" t="inlineStr">
        <is>
          <t>Año</t>
        </is>
      </c>
      <c r="B32" s="5" t="inlineStr">
        <is>
          <t>k</t>
        </is>
      </c>
      <c r="C32" s="5" t="inlineStr">
        <is>
          <t>Índice inflación</t>
        </is>
      </c>
      <c r="D32" s="5" t="inlineStr">
        <is>
          <t>Salarios W-2</t>
        </is>
      </c>
      <c r="E32" s="5" t="inlineStr">
        <is>
          <t>W-2 con match</t>
        </is>
      </c>
      <c r="F32" s="5" t="inlineStr">
        <is>
          <t>Stipends libres</t>
        </is>
      </c>
      <c r="G32" s="5" t="inlineStr">
        <is>
          <t>Ingreso S-corp</t>
        </is>
      </c>
      <c r="H32" s="5" t="inlineStr">
        <is>
          <t>Autoempleo (LLC/tutoría)</t>
        </is>
      </c>
      <c r="I32" s="5" t="inlineStr">
        <is>
          <t>Matrícula</t>
        </is>
      </c>
      <c r="J32" s="5" t="inlineStr">
        <is>
          <t>Fracción estudio</t>
        </is>
      </c>
      <c r="K32" s="5" t="inlineStr">
        <is>
          <t>Fracción PSLF</t>
        </is>
      </c>
      <c r="L32" s="5" t="inlineStr">
        <is>
          <t>Fracción travel</t>
        </is>
      </c>
      <c r="M32" s="5" t="inlineStr">
        <is>
          <t>Attending</t>
        </is>
      </c>
      <c r="N32" s="5" t="inlineStr">
        <is>
          <t>Hitos (costos)</t>
        </is>
      </c>
      <c r="O32" s="5" t="inlineStr">
        <is>
          <t>Aporte 403b</t>
        </is>
      </c>
      <c r="P32" s="5" t="inlineStr">
        <is>
          <t>Match empleador</t>
        </is>
      </c>
      <c r="Q32" s="5" t="inlineStr">
        <is>
          <t>S-corp neto</t>
        </is>
      </c>
      <c r="R32" s="5" t="inlineStr">
        <is>
          <t>Salario S-corp</t>
        </is>
      </c>
      <c r="S32" s="5" t="inlineStr">
        <is>
          <t>FICA patronal S-corp</t>
        </is>
      </c>
      <c r="T32" s="5" t="inlineStr">
        <is>
          <t>Distribución S-corp</t>
        </is>
      </c>
      <c r="U32" s="5" t="inlineStr">
        <is>
          <t>Salarios totales</t>
        </is>
      </c>
      <c r="V32" s="5" t="inlineStr">
        <is>
          <t>Base autoempleo</t>
        </is>
      </c>
      <c r="W32" s="5" t="inlineStr">
        <is>
          <t>Impuesto autoempleo</t>
        </is>
      </c>
      <c r="X32" s="5" t="inlineStr">
        <is>
          <t>FICA empleado</t>
        </is>
      </c>
      <c r="Y32" s="5" t="inlineStr">
        <is>
          <t>AGI</t>
        </is>
      </c>
      <c r="Z32" s="5" t="inlineStr">
        <is>
          <t>Ingreso gravable antes QBI</t>
        </is>
      </c>
      <c r="AA32" s="5" t="inlineStr">
        <is>
          <t>Deducción QBI</t>
        </is>
      </c>
      <c r="AB32" s="5" t="inlineStr">
        <is>
          <t>Ingreso gravable</t>
        </is>
      </c>
      <c r="AC32" s="5" t="inlineStr">
        <is>
          <t>Impuesto federal</t>
        </is>
      </c>
      <c r="AD32" s="5" t="inlineStr">
        <is>
          <t>Gravable NY</t>
        </is>
      </c>
      <c r="AE32" s="5" t="inlineStr">
        <is>
          <t>Impuesto estatal/local</t>
        </is>
      </c>
      <c r="AF32" s="5" t="inlineStr">
        <is>
          <t>Impuestos totales</t>
        </is>
      </c>
      <c r="AG32" s="5" t="inlineStr">
        <is>
          <t>Ingreso personal bruto en efectivo</t>
        </is>
      </c>
      <c r="AH32" s="5" t="inlineStr">
        <is>
          <t>Efectivo neto (tras impuestos y 403b)</t>
        </is>
      </c>
      <c r="AI32" s="5" t="inlineStr">
        <is>
          <t>Ingreso bruto</t>
        </is>
      </c>
      <c r="AJ32" s="5" t="inlineStr">
        <is>
          <t>Gastos de vida</t>
        </is>
      </c>
      <c r="AK32" s="5" t="inlineStr">
        <is>
          <t>Ahorro líquido inicio</t>
        </is>
      </c>
      <c r="AL32" s="5" t="inlineStr">
        <is>
          <t>Ya era dueño</t>
        </is>
      </c>
      <c r="AM32" s="5" t="inlineStr">
        <is>
          <t>Precio base 2026</t>
        </is>
      </c>
      <c r="AN32" s="5" t="inlineStr">
        <is>
          <t>Precio en el año</t>
        </is>
      </c>
      <c r="AO32" s="5" t="inlineStr">
        <is>
          <t>Physician loan</t>
        </is>
      </c>
      <c r="AP32" s="5" t="inlineStr">
        <is>
          <t>% enganche</t>
        </is>
      </c>
      <c r="AQ32" s="5" t="inlineStr">
        <is>
          <t>Préstamo</t>
        </is>
      </c>
      <c r="AR32" s="5" t="inlineStr">
        <is>
          <t>Cuota P&amp;I mensual</t>
        </is>
      </c>
      <c r="AS32" s="5" t="inlineStr">
        <is>
          <t>Unidades rentadas</t>
        </is>
      </c>
      <c r="AT32" s="5" t="inlineStr">
        <is>
          <t>Renta mensual (cotización)</t>
        </is>
      </c>
      <c r="AU32" s="5" t="inlineStr">
        <is>
          <t>PITI mensual</t>
        </is>
      </c>
      <c r="AV32" s="5" t="inlineStr">
        <is>
          <t>Efectivo requerido</t>
        </is>
      </c>
      <c r="AW32" s="5" t="inlineStr">
        <is>
          <t>Otras deudas mensuales</t>
        </is>
      </c>
      <c r="AX32" s="5" t="inlineStr">
        <is>
          <t>Crédito aporte familiar</t>
        </is>
      </c>
      <c r="AY32" s="5" t="inlineStr">
        <is>
          <t>Carga mensual para DTI</t>
        </is>
      </c>
      <c r="AZ32" s="5" t="inlineStr">
        <is>
          <t>Ingreso mensual para DTI</t>
        </is>
      </c>
      <c r="BA32" s="5" t="inlineStr">
        <is>
          <t>Compra este año</t>
        </is>
      </c>
      <c r="BB32" s="5" t="inlineStr">
        <is>
          <t>Dueño</t>
        </is>
      </c>
      <c r="BC32" s="5" t="inlineStr">
        <is>
          <t>Año de compra</t>
        </is>
      </c>
      <c r="BD32" s="5" t="inlineStr">
        <is>
          <t>Ahorro tras enganche</t>
        </is>
      </c>
      <c r="BE32" s="5" t="inlineStr">
        <is>
          <t>Precio de compra</t>
        </is>
      </c>
      <c r="BF32" s="5" t="inlineStr">
        <is>
          <t>Cuota hipoteca</t>
        </is>
      </c>
      <c r="BG32" s="5" t="inlineStr">
        <is>
          <t>PMI activo (antes)</t>
        </is>
      </c>
      <c r="BH32" s="5" t="inlineStr">
        <is>
          <t>Config. con ADU</t>
        </is>
      </c>
      <c r="BI32" s="5" t="inlineStr">
        <is>
          <t>Construye ADU</t>
        </is>
      </c>
      <c r="BJ32" s="5" t="inlineStr">
        <is>
          <t>ADU construido</t>
        </is>
      </c>
      <c r="BK32" s="5" t="inlineStr">
        <is>
          <t>Cuota ADU</t>
        </is>
      </c>
      <c r="BL32" s="5" t="inlineStr">
        <is>
          <t>Valor vivienda inicio</t>
        </is>
      </c>
      <c r="BM32" s="5" t="inlineStr">
        <is>
          <t>Hipoteca inicio</t>
        </is>
      </c>
      <c r="BN32" s="5" t="inlineStr">
        <is>
          <t>Hipoteca tras 12 pagos</t>
        </is>
      </c>
      <c r="BO32" s="5" t="inlineStr">
        <is>
          <t>Pagado hipoteca</t>
        </is>
      </c>
      <c r="BP32" s="5" t="inlineStr">
        <is>
          <t>Hipoteca tras pagos</t>
        </is>
      </c>
      <c r="BQ32" s="5" t="inlineStr">
        <is>
          <t>ADU inicio</t>
        </is>
      </c>
      <c r="BR32" s="5" t="inlineStr">
        <is>
          <t>ADU tras 12 pagos</t>
        </is>
      </c>
      <c r="BS32" s="5" t="inlineStr">
        <is>
          <t>Pagado ADU</t>
        </is>
      </c>
      <c r="BT32" s="5" t="inlineStr">
        <is>
          <t>ADU tras pagos</t>
        </is>
      </c>
      <c r="BU32" s="5" t="inlineStr">
        <is>
          <t>Seguro</t>
        </is>
      </c>
      <c r="BV32" s="5" t="inlineStr">
        <is>
          <t>Impuesto predial</t>
        </is>
      </c>
      <c r="BW32" s="5" t="inlineStr">
        <is>
          <t>Mantenimiento</t>
        </is>
      </c>
      <c r="BX32" s="5" t="inlineStr">
        <is>
          <t>PMI</t>
        </is>
      </c>
      <c r="BY32" s="5" t="inlineStr">
        <is>
          <t>PMI activo (después)</t>
        </is>
      </c>
      <c r="BZ32" s="5" t="inlineStr">
        <is>
          <t>Renta recibida</t>
        </is>
      </c>
      <c r="CA32" s="5" t="inlineStr">
        <is>
          <t>Costo de vivienda</t>
        </is>
      </c>
      <c r="CB32" s="5" t="inlineStr">
        <is>
          <t>Aporte familiar</t>
        </is>
      </c>
      <c r="CC32" s="5" t="inlineStr">
        <is>
          <t>IRS pagado</t>
        </is>
      </c>
      <c r="CD32" s="5" t="inlineStr">
        <is>
          <t>IRS saldo</t>
        </is>
      </c>
      <c r="CE32" s="5" t="inlineStr">
        <is>
          <t>Federal inicio</t>
        </is>
      </c>
      <c r="CF32" s="5" t="inlineStr">
        <is>
          <t>Tasa federal</t>
        </is>
      </c>
      <c r="CG32" s="5" t="inlineStr">
        <is>
          <t>Años repago fed.</t>
        </is>
      </c>
      <c r="CH32" s="5" t="inlineStr">
        <is>
          <t>En estudios (≥50%)</t>
        </is>
      </c>
      <c r="CI32" s="5" t="inlineStr">
        <is>
          <t>Usa RAP/PSLF</t>
        </is>
      </c>
      <c r="CJ32" s="5" t="inlineStr">
        <is>
          <t>Interés federal</t>
        </is>
      </c>
      <c r="CK32" s="5" t="inlineStr">
        <is>
          <t>Pago RAP</t>
        </is>
      </c>
      <c r="CL32" s="5" t="inlineStr">
        <is>
          <t>Pago federal</t>
        </is>
      </c>
      <c r="CM32" s="5" t="inlineStr">
        <is>
          <t>Federal tras pago</t>
        </is>
      </c>
      <c r="CN32" s="5" t="inlineStr">
        <is>
          <t>Meses PSLF</t>
        </is>
      </c>
      <c r="CO32" s="5" t="inlineStr">
        <is>
          <t>Condonado PSLF</t>
        </is>
      </c>
      <c r="CP32" s="5" t="inlineStr">
        <is>
          <t>Federal tras PSLF</t>
        </is>
      </c>
      <c r="CQ32" s="5" t="inlineStr">
        <is>
          <t>Años repago (tras pago)</t>
        </is>
      </c>
      <c r="CR32" s="5" t="inlineStr">
        <is>
          <t>Privado inicio</t>
        </is>
      </c>
      <c r="CS32" s="5" t="inlineStr">
        <is>
          <t>Tasa privada</t>
        </is>
      </c>
      <c r="CT32" s="5" t="inlineStr">
        <is>
          <t>Años repago priv.</t>
        </is>
      </c>
      <c r="CU32" s="5" t="inlineStr">
        <is>
          <t>Pago privado</t>
        </is>
      </c>
      <c r="CV32" s="5" t="inlineStr">
        <is>
          <t>Privado tras pago</t>
        </is>
      </c>
      <c r="CW32" s="5" t="inlineStr">
        <is>
          <t>Años repago priv. (tras)</t>
        </is>
      </c>
      <c r="CX32" s="5" t="inlineStr">
        <is>
          <t>Consumo tras interés</t>
        </is>
      </c>
      <c r="CY32" s="5" t="inlineStr">
        <is>
          <t>Gasto extra travel</t>
        </is>
      </c>
      <c r="CZ32" s="5" t="inlineStr">
        <is>
          <t>Salidas</t>
        </is>
      </c>
      <c r="DA32" s="5" t="inlineStr">
        <is>
          <t>Excedente (déficit)</t>
        </is>
      </c>
      <c r="DB32" s="5" t="inlineStr">
        <is>
          <t>Flujo acumulado</t>
        </is>
      </c>
      <c r="DC32" s="5" t="inlineStr">
        <is>
          <t>Meta enganche</t>
        </is>
      </c>
      <c r="DD32" s="5" t="inlineStr">
        <is>
          <t>Retorno del ahorro líquido</t>
        </is>
      </c>
      <c r="DE32" s="5" t="inlineStr">
        <is>
          <t>Pago deuda consumo</t>
        </is>
      </c>
      <c r="DF32" s="5" t="inlineStr">
        <is>
          <t>Gasto discrecional</t>
        </is>
      </c>
      <c r="DG32" s="5" t="inlineStr">
        <is>
          <t>Ahorro</t>
        </is>
      </c>
      <c r="DH32" s="5" t="inlineStr">
        <is>
          <t>Roth</t>
        </is>
      </c>
      <c r="DI32" s="5" t="inlineStr">
        <is>
          <t>Prepago</t>
        </is>
      </c>
      <c r="DJ32" s="5" t="inlineStr">
        <is>
          <t>Prepago a hipoteca</t>
        </is>
      </c>
      <c r="DK32" s="5" t="inlineStr">
        <is>
          <t>Retiro del ahorro</t>
        </is>
      </c>
      <c r="DL32" s="5" t="inlineStr">
        <is>
          <t>Déficit por financiar</t>
        </is>
      </c>
      <c r="DM32" s="5" t="inlineStr">
        <is>
          <t>Federal acumulado (antes)</t>
        </is>
      </c>
      <c r="DN32" s="5" t="inlineStr">
        <is>
          <t>Nuevo préstamo federal</t>
        </is>
      </c>
      <c r="DO32" s="5" t="inlineStr">
        <is>
          <t>Nuevo préstamo privado</t>
        </is>
      </c>
      <c r="DP32" s="5" t="inlineStr">
        <is>
          <t>Nueva deuda consumo</t>
        </is>
      </c>
      <c r="DQ32" s="5" t="inlineStr">
        <is>
          <t>Flujo al ahorro líquido</t>
        </is>
      </c>
      <c r="DR32" s="5" t="inlineStr">
        <is>
          <t>Ahorro líquido fin</t>
        </is>
      </c>
      <c r="DS32" s="5" t="inlineStr">
        <is>
          <t>Retiro fin</t>
        </is>
      </c>
      <c r="DT32" s="5" t="inlineStr">
        <is>
          <t>Valor vivienda fin</t>
        </is>
      </c>
      <c r="DU32" s="5" t="inlineStr">
        <is>
          <t>Hipoteca fin</t>
        </is>
      </c>
      <c r="DV32" s="5" t="inlineStr">
        <is>
          <t>ADU fin</t>
        </is>
      </c>
      <c r="DW32" s="5" t="inlineStr">
        <is>
          <t>Federal fin</t>
        </is>
      </c>
      <c r="DX32" s="5" t="inlineStr">
        <is>
          <t>Tasa federal fin</t>
        </is>
      </c>
      <c r="DY32" s="5" t="inlineStr">
        <is>
          <t>Años repago fed. fin</t>
        </is>
      </c>
      <c r="DZ32" s="5" t="inlineStr">
        <is>
          <t>Federal acumulado</t>
        </is>
      </c>
      <c r="EA32" s="5" t="inlineStr">
        <is>
          <t>Privado fin</t>
        </is>
      </c>
      <c r="EB32" s="5" t="inlineStr">
        <is>
          <t>Tasa privada fin</t>
        </is>
      </c>
      <c r="EC32" s="5" t="inlineStr">
        <is>
          <t>Años repago priv. fin</t>
        </is>
      </c>
      <c r="ED32" s="5" t="inlineStr">
        <is>
          <t>Deuda consumo fin</t>
        </is>
      </c>
      <c r="EE32" s="5" t="inlineStr">
        <is>
          <t>Año vivienda pagada</t>
        </is>
      </c>
      <c r="EF32" s="5" t="inlineStr">
        <is>
          <t>Deuda total</t>
        </is>
      </c>
      <c r="EG32" s="9" t="inlineStr">
        <is>
          <t>PATRIMONIO NETO</t>
        </is>
      </c>
      <c r="EH32" s="5" t="inlineStr">
        <is>
          <t>Patrimonio (dólares 2026)</t>
        </is>
      </c>
    </row>
    <row r="33">
      <c r="A33" t="n">
        <v>2027</v>
      </c>
      <c r="B33" t="n">
        <v>0</v>
      </c>
      <c r="C33" s="7">
        <f>(1+g_inf)^(A33-2026)</f>
        <v/>
      </c>
      <c r="D33" s="7">
        <f>SUMPRODUCT($T$5:$T$29,$E$5:$E$29*(1+$F$5:$F$29)^(A33-2026)*$G$5:$G$29*$H$5:$H$29*(1-$N$5:$N$29*$O$5:$O$29))*g_salMult+SUMPRODUCT(($B$5:$B$29&gt;=A33)*($B$5:$B$29&lt;A33+1)*$I$5:$I$29)*g_salMult</f>
        <v/>
      </c>
      <c r="E33" s="7">
        <f>SUMPRODUCT($T$5:$T$29,$E$5:$E$29*(1+$F$5:$F$29)^(A33-2026)*$G$5:$G$29*$H$5:$H$29*$M$5:$M$29)*g_salMult</f>
        <v/>
      </c>
      <c r="F33" s="7">
        <f>SUMPRODUCT($T$5:$T$29,$E$5:$E$29*(1+$F$5:$F$29)^(A33-2026)*$G$5:$G$29*$H$5:$H$29*$N$5:$N$29*$O$5:$O$29)*g_salMult</f>
        <v/>
      </c>
      <c r="G33" s="7">
        <f>SUMPRODUCT($T$5:$T$29,$P$5:$P$29*(1+$F$5:$F$29)^(A33-2026))</f>
        <v/>
      </c>
      <c r="H33" s="7">
        <f>SUMPRODUCT($T$5:$T$29,$Q$5:$Q$29*(1+$F$5:$F$29)^(A33-2026))+IF(personal_llcActivo=1,personal_llcNeto*(1+personal_llcCrecimiento)^0,0)</f>
        <v/>
      </c>
      <c r="I33" s="7">
        <f>SUMPRODUCT($T$5:$T$29,$J$5:$J$29/($C$5:$C$29-$B$5:$B$29+($C$5:$C$29=$B$5:$B$29)))*C33</f>
        <v/>
      </c>
      <c r="J33" s="7">
        <f>SUMPRODUCT($T$5:$T$29,$K$5:$K$29)</f>
        <v/>
      </c>
      <c r="K33" s="7">
        <f>SUMPRODUCT($T$5:$T$29,$L$5:$L$29)</f>
        <v/>
      </c>
      <c r="L33" s="7">
        <f>SUMPRODUCT($T$5:$T$29,$N$5:$N$29)</f>
        <v/>
      </c>
      <c r="M33" s="7">
        <f>IF(SUMPRODUCT($T$5:$T$29,$R$5:$R$29)&gt;0,1,0)</f>
        <v/>
      </c>
      <c r="N33" s="7">
        <f>SUMPRODUCT(($AO$5:$AO$24&gt;=A33)*($AO$5:$AO$24&lt;A33+1)*$AP$5:$AP$24)*C33+IF(0=0,IF(sel_loc&lt;&gt;"miami",personal_costoMudanzaInicial,0),0)</f>
        <v/>
      </c>
      <c r="O33" s="7">
        <f>MIN(personal_aporte403bPct*D33,retiro_limite403b*C33)</f>
        <v/>
      </c>
      <c r="P33" s="7">
        <f>MIN(personal_aporte403bPct,personal_match403bPct)*E33</f>
        <v/>
      </c>
      <c r="Q33" s="7">
        <f>IF(G33&gt;0,MAX(0,G33-impuestos_scorpCostoAnual*C33),0)</f>
        <v/>
      </c>
      <c r="R33" s="7">
        <f>Q33*impuestos_scorpSalarioPct/(1+impuestos_ssTasa+impuestos_medicareTasa)</f>
        <v/>
      </c>
      <c r="S33" s="7">
        <f>impuestos_ssTasa*MIN(R33,MAX(0,impuestos_ssTope*C33-D33))+impuestos_medicareTasa*R33</f>
        <v/>
      </c>
      <c r="T33" s="7">
        <f>Q33-R33-S33</f>
        <v/>
      </c>
      <c r="U33" s="7">
        <f>D33+R33</f>
        <v/>
      </c>
      <c r="V33" s="7">
        <f>H33*0.9235</f>
        <v/>
      </c>
      <c r="W33" s="7">
        <f>IF(H33&gt;0,2*impuestos_ssTasa*MIN(V33,MAX(0,impuestos_ssTope*C33-U33))+2*impuestos_medicareTasa*V33,0)</f>
        <v/>
      </c>
      <c r="X33" s="7">
        <f>impuestos_ssTasa*MIN(U33,impuestos_ssTope*C33)+impuestos_medicareTasa*U33+impuestos_medicareAdicional*MAX(0,U33+H33*0.9235-impuestos_medicareUmbral)</f>
        <v/>
      </c>
      <c r="Y33" s="7">
        <f>MAX(0,D33-O33+R33+T33+H33-W33/2)</f>
        <v/>
      </c>
      <c r="Z33" s="7">
        <f>MAX(0,Y33-impuestos_deduccionEstandar*C33)</f>
        <v/>
      </c>
      <c r="AA33" s="7">
        <f>MIN(0.2*MAX(0,T33+H33-W33/2)*MAX(0,MIN(1,1-(Z33-impuestos_qbiUmbral*C33)/(impuestos_qbiRango*C33))),0.2*Z33)</f>
        <v/>
      </c>
      <c r="AB33" s="7">
        <f>MAX(0,Z33-AA33)</f>
        <v/>
      </c>
      <c r="AC33" s="7">
        <f>SUMPRODUCT((AB33&gt;tb_federalBrackets_lo*C33)*(AB33-tb_federalBrackets_lo*C33)*tb_federalBrackets_dr)</f>
        <v/>
      </c>
      <c r="AD33" s="7">
        <f>MAX(0,Y33-impuestos_nyDeduccion*C33)</f>
        <v/>
      </c>
      <c r="AE33" s="7">
        <f>CHOOSE(loc_taxcode,0,impuestos_ohTasa*MAX(0,Y33-impuestos_ohExento*C33)+impuestos_ohMunicipal*U33,SUMPRODUCT((AD33&gt;tb_nyBrackets_lo*C33)*(AD33-tb_nyBrackets_lo*C33)*tb_nyBrackets_dr)+loc_nyc*SUMPRODUCT((AD33&gt;tb_nycBrackets_lo*C33)*(AD33-tb_nycBrackets_lo*C33)*tb_nycBrackets_dr))</f>
        <v/>
      </c>
      <c r="AF33" s="7">
        <f>AC33+AE33+X33+W33</f>
        <v/>
      </c>
      <c r="AG33" s="7">
        <f>D33+F33+R33+T33+H33</f>
        <v/>
      </c>
      <c r="AH33" s="7">
        <f>AG33-AF33-O33</f>
        <v/>
      </c>
      <c r="AI33" s="7">
        <f>D33+F33+G33+H33</f>
        <v/>
      </c>
      <c r="AJ33" s="7">
        <f>loc_gastosVida*C33*g_gastos</f>
        <v/>
      </c>
      <c r="AK33" s="7">
        <f>IF(0=0,personal_liquidoInicial,DR32)</f>
        <v/>
      </c>
      <c r="AL33" s="7">
        <f>IF(0=0,0,BB32)</f>
        <v/>
      </c>
      <c r="AM33" s="7">
        <f>CHOOSE(sel_cfgIdx,loc_precio_duplex,loc_precio_inlaw,loc_precio_dosCasas,loc_precio_casaAdu,loc_precio_multi)</f>
        <v/>
      </c>
      <c r="AN33" s="7">
        <f>AM33*(1+g_appr)^(A33-2026)</f>
        <v/>
      </c>
      <c r="AO33" s="7">
        <f>IF(AND(M33=1,vivienda_prestamoMedico=1),1,0)</f>
        <v/>
      </c>
      <c r="AP33" s="7">
        <f>IF(AO33=1,0.05,vivienda_enganchePct)</f>
        <v/>
      </c>
      <c r="AQ33" s="7">
        <f>AN33*(1-AP33)</f>
        <v/>
      </c>
      <c r="AR33" s="7">
        <f>PMT(g_mortRate/12,vivienda_plazoHipoteca*12,-AQ33)</f>
        <v/>
      </c>
      <c r="AS33" s="7">
        <f>INDEX(cfg_units,sel_cfgIdx)</f>
        <v/>
      </c>
      <c r="AT33" s="7">
        <f>AS33*loc_rentaUnidad*(1+g_inf)^(A33-2026)*(1-vivienda_vacancia)</f>
        <v/>
      </c>
      <c r="AU33" s="7">
        <f>AR33+AN33*loc_impuestoPropPct/12+AM33*loc_seguroPct*(1+vivienda_inflacionSeguro)^(A33-2026)/12+IF(AND(AO33=0,AP33&lt;0.2),AQ33*vivienda_pmiTasa/12,0)</f>
        <v/>
      </c>
      <c r="AV33" s="7">
        <f>AN33*AP33+AN33*vivienda_cierrePct+general_reservaMeses/12*AJ33</f>
        <v/>
      </c>
      <c r="AW33" s="7">
        <f>(IF(0=0,MIN(personal_irsSaldo,personal_irsPagoMensual*12),MIN(CD32,personal_irsPagoMensual*12))+IF(CE33&gt;0,PMT(CF33,MAX(1,prestamos_plazoAnios-CG33),-CE33),0)+IF(CR33&gt;0,PMT(CS33,MAX(1,prestamos_plazoAnios-CT33),-CR33),0))/12</f>
        <v/>
      </c>
      <c r="AX33" s="7">
        <f>IF(OR(sel_cfg="duplex",sel_cfg="multi",sel_cfg="dosCasas"),0.75*personal_aporteFamiliaMensual,0)</f>
        <v/>
      </c>
      <c r="AY33" s="7">
        <f>AU33-0.75*AT33-AX33+AW33</f>
        <v/>
      </c>
      <c r="AZ33" s="7">
        <f>(D33+G33+H33+0.5*F33)/12</f>
        <v/>
      </c>
      <c r="BA33" s="7">
        <f>IF(AND(AL33=0,A33&gt;=vivienda_anioMinCompra,J33&lt;0.5,AI33&gt;0,AK33&gt;=AV33,AY33&lt;=vivienda_dtiMax*AZ33),1,0)</f>
        <v/>
      </c>
      <c r="BB33" s="7">
        <f>MAX(AL33,BA33)</f>
        <v/>
      </c>
      <c r="BC33" s="7">
        <f>IF(BA33=1,A33,IF(0=0,"",BC32))</f>
        <v/>
      </c>
      <c r="BD33" s="7">
        <f>AK33-IF(BA33=1,AN33*AP33+AN33*vivienda_cierrePct,0)</f>
        <v/>
      </c>
      <c r="BE33" s="7">
        <f>IF(BA33=1,AN33,IF(0=0,0,BE32))</f>
        <v/>
      </c>
      <c r="BF33" s="7">
        <f>IF(BA33=1,AR33,IF(0=0,0,BF32))</f>
        <v/>
      </c>
      <c r="BG33" s="7">
        <f>IF(BA33=1,IF(AND(AO33=0,AP33&lt;0.2),1,0),IF(0=0,0,BY32))</f>
        <v/>
      </c>
      <c r="BH33" s="7">
        <f>IF(sel_cfg="casaAdu",1,0)</f>
        <v/>
      </c>
      <c r="BI33" s="7">
        <f>IF(AND(BB33=1,BH33=1,IF(0=0,0,BJ32)=0,A33&gt;=IF(BC33="",9999,BC33)+vivienda_aduRetrasoAnios),1,0)</f>
        <v/>
      </c>
      <c r="BJ33" s="7">
        <f>MAX(IF(0=0,0,BJ32),BI33)</f>
        <v/>
      </c>
      <c r="BK33" s="7">
        <f>IF(BI33=1,PMT((g_mortRate+0.005)/12,180,-loc_precio_aduCosto*C33),IF(0=0,0,BK32))</f>
        <v/>
      </c>
      <c r="BL33" s="7">
        <f>IF(BA33=1,AN33,IF(0=0,0,DT32))+IF(BI33=1,loc_precio_aduCosto*C33,0)</f>
        <v/>
      </c>
      <c r="BM33" s="7">
        <f>IF(BA33=1,AQ33,IF(0=0,0,DU32))</f>
        <v/>
      </c>
      <c r="BN33" s="7">
        <f>IF(BM33&lt;=0,0,FV(g_mortRate/12,12,BF33,-BM33))</f>
        <v/>
      </c>
      <c r="BO33" s="7">
        <f>IF(BM33&lt;=0,0,12*BF33+MIN(0,BN33))</f>
        <v/>
      </c>
      <c r="BP33" s="7">
        <f>MAX(0,BN33)</f>
        <v/>
      </c>
      <c r="BQ33" s="7">
        <f>IF(BI33=1,loc_precio_aduCosto*C33,IF(0=0,0,DV32))</f>
        <v/>
      </c>
      <c r="BR33" s="7">
        <f>IF(BQ33&lt;=0,0,FV((g_mortRate+0.005)/12,12,BK33,-BQ33))</f>
        <v/>
      </c>
      <c r="BS33" s="7">
        <f>IF(BQ33&lt;=0,0,12*BK33+MIN(0,BR33))</f>
        <v/>
      </c>
      <c r="BT33" s="7">
        <f>MAX(0,BR33)</f>
        <v/>
      </c>
      <c r="BU33" s="7">
        <f>IF(BB33=1,AM33*loc_seguroPct*(1+vivienda_inflacionSeguro)^(A33-2026)*IF(BJ33=1,1+loc_precio_aduCosto/AM33,1),0)</f>
        <v/>
      </c>
      <c r="BV33" s="7">
        <f>BL33*loc_impuestoPropPct</f>
        <v/>
      </c>
      <c r="BW33" s="7">
        <f>BL33*vivienda_mantenimientoPct</f>
        <v/>
      </c>
      <c r="BX33" s="7">
        <f>IF(AND(BG33=1,BP33&gt;0.8*BE33),BE33*(1-vivienda_enganchePct)*vivienda_pmiTasa,0)</f>
        <v/>
      </c>
      <c r="BY33" s="7">
        <f>IF(AND(BG33=1,BP33&gt;0.8*BE33),1,0)</f>
        <v/>
      </c>
      <c r="BZ33" s="7">
        <f>IF(BB33=1,AS33*loc_rentaUnidad*12*C33*(1-vivienda_vacancia)*(1-vivienda_gestionPct),0)</f>
        <v/>
      </c>
      <c r="CA33" s="7">
        <f>IF(BB33=1,BO33+BS33+BU33+BV33+BW33+BX33,loc_rentaMensual*12*C33)</f>
        <v/>
      </c>
      <c r="CB33" s="7">
        <f>IF(BB33=1,personal_aporteFamiliaMensual*12,0)</f>
        <v/>
      </c>
      <c r="CC33" s="7">
        <f>MIN(IF(0=0,personal_irsSaldo,CD32),personal_irsPagoMensual*12)</f>
        <v/>
      </c>
      <c r="CD33" s="7">
        <f>IF(0=0,personal_irsSaldo,CD32)-CC33</f>
        <v/>
      </c>
      <c r="CE33" s="7">
        <f>IF(0=0,IF(personal_deudaEsFederal=1,personal_deudaEstudiantil,0),DW32)</f>
        <v/>
      </c>
      <c r="CF33" s="7">
        <f>IF(0=0,personal_tasaDeudaEstudiantil,DX32)</f>
        <v/>
      </c>
      <c r="CG33" s="7">
        <f>IF(0=0,0,DY32)</f>
        <v/>
      </c>
      <c r="CH33" s="7">
        <f>IF(J33&gt;=0.5,1,0)</f>
        <v/>
      </c>
      <c r="CI33" s="7">
        <f>IF(AND(CH33=0,prestamos_pslfActivo=1,K33&gt;=0.5,CE33&gt;0),1,0)</f>
        <v/>
      </c>
      <c r="CJ33" s="7">
        <f>CE33*CF33</f>
        <v/>
      </c>
      <c r="CK33" s="7">
        <f>MAX(prestamos_rapPagoMinimoAnual,IF(Y33&lt;10000,0,MIN(0.1,INT(Y33/10000)/100))*Y33)</f>
        <v/>
      </c>
      <c r="CL33" s="7">
        <f>IF(CE33&lt;=0,0,IF(CH33=1,0,IF(CI33=1,MIN(CE33+CJ33,CK33),PMT(CF33,MAX(1,prestamos_plazoAnios-CG33),-CE33))))</f>
        <v/>
      </c>
      <c r="CM33" s="7">
        <f>IF(CE33&lt;=0,0,IF(CH33=1,CE33+CJ33,IF(CI33=1,MAX(0,CE33-MAX(CL33-CJ33,MIN(600,CL33))),MAX(0,CE33*(1+CF33)-CL33))))</f>
        <v/>
      </c>
      <c r="CN33" s="7">
        <f>IF(0=0,0,CN32)+IF(CI33=1,12*MIN(1,K33),0)</f>
        <v/>
      </c>
      <c r="CO33" s="7">
        <f>IF(AND(CI33=1,CN33&gt;=prestamos_pslfPagos,CM33&gt;0),CM33,0)</f>
        <v/>
      </c>
      <c r="CP33" s="7">
        <f>CM33-CO33</f>
        <v/>
      </c>
      <c r="CQ33" s="7">
        <f>IF(AND(CE33&gt;0,CH33=0,CI33=0),CG33+1,CG33)</f>
        <v/>
      </c>
      <c r="CR33" s="7">
        <f>IF(0=0,IF(personal_deudaEsFederal=1,0,personal_deudaEstudiantil),EA32)</f>
        <v/>
      </c>
      <c r="CS33" s="7">
        <f>IF(0=0,IF(personal_deudaEsFederal=1,prestamos_tasaPrivada,personal_tasaDeudaEstudiantil),EB32)</f>
        <v/>
      </c>
      <c r="CT33" s="7">
        <f>IF(0=0,0,EC32)</f>
        <v/>
      </c>
      <c r="CU33" s="7">
        <f>IF(OR(CR33&lt;=0,CH33=1),0,PMT(CS33,MAX(1,prestamos_plazoAnios-CT33),-CR33))</f>
        <v/>
      </c>
      <c r="CV33" s="7">
        <f>IF(CR33&lt;=0,0,IF(CH33=1,CR33*(1+CS33),MAX(0,CR33*(1+CS33)-CU33)))</f>
        <v/>
      </c>
      <c r="CW33" s="7">
        <f>IF(AND(CR33&gt;0,CH33=0),CT33+1,CT33)</f>
        <v/>
      </c>
      <c r="CX33" s="7">
        <f>IF(0=0,0,ED32)*(1+general_tasaDeudaConsumo)</f>
        <v/>
      </c>
      <c r="CY33" s="7">
        <f>L33*12*tiempos_travelGastoExtraMes*C33</f>
        <v/>
      </c>
      <c r="CZ33" s="7">
        <f>AJ33+CY33+CA33+CC33+CL33+CU33+I33+N33-BZ33-CB33</f>
        <v/>
      </c>
      <c r="DA33" s="7">
        <f>AH33-CZ33</f>
        <v/>
      </c>
      <c r="DB33" s="7">
        <f>IF(0=0,0,DB32)+DA33</f>
        <v/>
      </c>
      <c r="DC33" s="7">
        <f>AN33*vivienda_enganchePct+AN33*vivienda_cierrePct+general_reservaMeses/12*AJ33</f>
        <v/>
      </c>
      <c r="DD33" s="7">
        <f>IF(BB33=1,g_ret,IF(BD33&gt;0,MIN(1,DC33/BD33),1)*g_cash+(1-IF(BD33&gt;0,MIN(1,DC33/BD33),1))*g_ret)</f>
        <v/>
      </c>
      <c r="DE33" s="7">
        <f>IF(DA33&gt;=0,MIN(CX33,DA33),0)</f>
        <v/>
      </c>
      <c r="DF33" s="7">
        <f>IF(DA33&gt;=0,(1-general_tasaAhorro)*(DA33-DE33),0)</f>
        <v/>
      </c>
      <c r="DG33" s="7">
        <f>IF(DA33&gt;=0,DA33-DE33-DF33,0)</f>
        <v/>
      </c>
      <c r="DH33" s="7">
        <f>MIN(personal_rothAnual,DG33)</f>
        <v/>
      </c>
      <c r="DI33" s="7">
        <f>IF(AND(DA33&gt;=0,BB33=1,BP33+BT33&gt;0),MIN(vivienda_prepagoPct*(DG33-DH33),BP33+BT33),0)</f>
        <v/>
      </c>
      <c r="DJ33" s="7">
        <f>MIN(DI33,BP33)</f>
        <v/>
      </c>
      <c r="DK33" s="7">
        <f>IF(DA33&lt;0,MIN(MAX(0,BD33),-DA33),0)</f>
        <v/>
      </c>
      <c r="DL33" s="7">
        <f>IF(DA33&lt;0,-DA33-DK33,0)</f>
        <v/>
      </c>
      <c r="DM33" s="7">
        <f>IF(0=0,0,DZ32)</f>
        <v/>
      </c>
      <c r="DN33" s="7">
        <f>IF(AND(DL33&gt;0,J33&gt;0),MIN(DL33,MIN(prestamos_topeAnualPosgrado*MIN(1,J33),MAX(0,prestamos_topeTotalPosgrado-DM33))),0)</f>
        <v/>
      </c>
      <c r="DO33" s="7">
        <f>IF(AND(DL33&gt;0,J33&gt;0),DL33-DN33,0)</f>
        <v/>
      </c>
      <c r="DP33" s="7">
        <f>IF(AND(DL33&gt;0,J33&lt;=0),DL33,0)</f>
        <v/>
      </c>
      <c r="DQ33" s="7">
        <f>IF(DA33&gt;=0,DG33-DH33-DI33,-DK33)</f>
        <v/>
      </c>
      <c r="DR33" s="7">
        <f>BD33*(1+DD33)+DQ33*(1+DD33/2)</f>
        <v/>
      </c>
      <c r="DS33" s="7">
        <f>IF(0=0,personal_retiroInicial,DS32)*(1+g_ret)+(O33+P33+DH33)*(1+g_ret/2)</f>
        <v/>
      </c>
      <c r="DT33" s="7">
        <f>IF(BB33=1,BL33*(1+g_appr),0)</f>
        <v/>
      </c>
      <c r="DU33" s="7">
        <f>BP33-DJ33</f>
        <v/>
      </c>
      <c r="DV33" s="7">
        <f>BT33-(DI33-DJ33)</f>
        <v/>
      </c>
      <c r="DW33" s="7">
        <f>CP33+DN33</f>
        <v/>
      </c>
      <c r="DX33" s="7">
        <f>IF(DN33&gt;0,(CP33*CF33+DN33*prestamos_tasaFederalPosgrado)/(CP33+DN33),CF33)</f>
        <v/>
      </c>
      <c r="DY33" s="7">
        <f>IF(DN33&gt;0,0,CQ33)</f>
        <v/>
      </c>
      <c r="DZ33" s="7">
        <f>DM33+DN33</f>
        <v/>
      </c>
      <c r="EA33" s="7">
        <f>CV33+DO33</f>
        <v/>
      </c>
      <c r="EB33" s="7">
        <f>IF(DO33&gt;0,(CV33*CS33+DO33*prestamos_tasaPrivada)/(CV33+DO33),CS33)</f>
        <v/>
      </c>
      <c r="EC33" s="7">
        <f>IF(DO33&gt;0,0,CW33)</f>
        <v/>
      </c>
      <c r="ED33" s="7">
        <f>CX33-DE33+DP33</f>
        <v/>
      </c>
      <c r="EE33" s="7">
        <f>IF(IF(0=0,"",EE32)&lt;&gt;"",EE32,IF(AND(BB33=1,DU33&lt;=0.5,DV33&lt;=0.5,OR(BH33=0,BJ33=1)),A33,""))</f>
        <v/>
      </c>
      <c r="EF33" s="7">
        <f>DU33+DV33+DW33+EA33+ED33+CD33</f>
        <v/>
      </c>
      <c r="EG33" s="7">
        <f>DR33+DS33+DT33-EF33</f>
        <v/>
      </c>
      <c r="EH33" s="7">
        <f>EG33/(1+g_inf)^(A33+1-2026)</f>
        <v/>
      </c>
    </row>
    <row r="34">
      <c r="A34" t="n">
        <v>2028</v>
      </c>
      <c r="B34" t="n">
        <v>1</v>
      </c>
      <c r="C34" s="7">
        <f>(1+g_inf)^(A34-2026)</f>
        <v/>
      </c>
      <c r="D34" s="7">
        <f>SUMPRODUCT($U$5:$U$29,$E$5:$E$29*(1+$F$5:$F$29)^(A34-2026)*$G$5:$G$29*$H$5:$H$29*(1-$N$5:$N$29*$O$5:$O$29))*g_salMult+SUMPRODUCT(($B$5:$B$29&gt;=A34)*($B$5:$B$29&lt;A34+1)*$I$5:$I$29)*g_salMult</f>
        <v/>
      </c>
      <c r="E34" s="7">
        <f>SUMPRODUCT($U$5:$U$29,$E$5:$E$29*(1+$F$5:$F$29)^(A34-2026)*$G$5:$G$29*$H$5:$H$29*$M$5:$M$29)*g_salMult</f>
        <v/>
      </c>
      <c r="F34" s="7">
        <f>SUMPRODUCT($U$5:$U$29,$E$5:$E$29*(1+$F$5:$F$29)^(A34-2026)*$G$5:$G$29*$H$5:$H$29*$N$5:$N$29*$O$5:$O$29)*g_salMult</f>
        <v/>
      </c>
      <c r="G34" s="7">
        <f>SUMPRODUCT($U$5:$U$29,$P$5:$P$29*(1+$F$5:$F$29)^(A34-2026))</f>
        <v/>
      </c>
      <c r="H34" s="7">
        <f>SUMPRODUCT($U$5:$U$29,$Q$5:$Q$29*(1+$F$5:$F$29)^(A34-2026))+IF(personal_llcActivo=1,personal_llcNeto*(1+personal_llcCrecimiento)^1,0)</f>
        <v/>
      </c>
      <c r="I34" s="7">
        <f>SUMPRODUCT($U$5:$U$29,$J$5:$J$29/($C$5:$C$29-$B$5:$B$29+($C$5:$C$29=$B$5:$B$29)))*C34</f>
        <v/>
      </c>
      <c r="J34" s="7">
        <f>SUMPRODUCT($U$5:$U$29,$K$5:$K$29)</f>
        <v/>
      </c>
      <c r="K34" s="7">
        <f>SUMPRODUCT($U$5:$U$29,$L$5:$L$29)</f>
        <v/>
      </c>
      <c r="L34" s="7">
        <f>SUMPRODUCT($U$5:$U$29,$N$5:$N$29)</f>
        <v/>
      </c>
      <c r="M34" s="7">
        <f>IF(SUMPRODUCT($U$5:$U$29,$R$5:$R$29)&gt;0,1,0)</f>
        <v/>
      </c>
      <c r="N34" s="7">
        <f>SUMPRODUCT(($AO$5:$AO$24&gt;=A34)*($AO$5:$AO$24&lt;A34+1)*$AP$5:$AP$24)*C34+IF(1=0,IF(sel_loc&lt;&gt;"miami",personal_costoMudanzaInicial,0),0)</f>
        <v/>
      </c>
      <c r="O34" s="7">
        <f>MIN(personal_aporte403bPct*D34,retiro_limite403b*C34)</f>
        <v/>
      </c>
      <c r="P34" s="7">
        <f>MIN(personal_aporte403bPct,personal_match403bPct)*E34</f>
        <v/>
      </c>
      <c r="Q34" s="7">
        <f>IF(G34&gt;0,MAX(0,G34-impuestos_scorpCostoAnual*C34),0)</f>
        <v/>
      </c>
      <c r="R34" s="7">
        <f>Q34*impuestos_scorpSalarioPct/(1+impuestos_ssTasa+impuestos_medicareTasa)</f>
        <v/>
      </c>
      <c r="S34" s="7">
        <f>impuestos_ssTasa*MIN(R34,MAX(0,impuestos_ssTope*C34-D34))+impuestos_medicareTasa*R34</f>
        <v/>
      </c>
      <c r="T34" s="7">
        <f>Q34-R34-S34</f>
        <v/>
      </c>
      <c r="U34" s="7">
        <f>D34+R34</f>
        <v/>
      </c>
      <c r="V34" s="7">
        <f>H34*0.9235</f>
        <v/>
      </c>
      <c r="W34" s="7">
        <f>IF(H34&gt;0,2*impuestos_ssTasa*MIN(V34,MAX(0,impuestos_ssTope*C34-U34))+2*impuestos_medicareTasa*V34,0)</f>
        <v/>
      </c>
      <c r="X34" s="7">
        <f>impuestos_ssTasa*MIN(U34,impuestos_ssTope*C34)+impuestos_medicareTasa*U34+impuestos_medicareAdicional*MAX(0,U34+H34*0.9235-impuestos_medicareUmbral)</f>
        <v/>
      </c>
      <c r="Y34" s="7">
        <f>MAX(0,D34-O34+R34+T34+H34-W34/2)</f>
        <v/>
      </c>
      <c r="Z34" s="7">
        <f>MAX(0,Y34-impuestos_deduccionEstandar*C34)</f>
        <v/>
      </c>
      <c r="AA34" s="7">
        <f>MIN(0.2*MAX(0,T34+H34-W34/2)*MAX(0,MIN(1,1-(Z34-impuestos_qbiUmbral*C34)/(impuestos_qbiRango*C34))),0.2*Z34)</f>
        <v/>
      </c>
      <c r="AB34" s="7">
        <f>MAX(0,Z34-AA34)</f>
        <v/>
      </c>
      <c r="AC34" s="7">
        <f>SUMPRODUCT((AB34&gt;tb_federalBrackets_lo*C34)*(AB34-tb_federalBrackets_lo*C34)*tb_federalBrackets_dr)</f>
        <v/>
      </c>
      <c r="AD34" s="7">
        <f>MAX(0,Y34-impuestos_nyDeduccion*C34)</f>
        <v/>
      </c>
      <c r="AE34" s="7">
        <f>CHOOSE(loc_taxcode,0,impuestos_ohTasa*MAX(0,Y34-impuestos_ohExento*C34)+impuestos_ohMunicipal*U34,SUMPRODUCT((AD34&gt;tb_nyBrackets_lo*C34)*(AD34-tb_nyBrackets_lo*C34)*tb_nyBrackets_dr)+loc_nyc*SUMPRODUCT((AD34&gt;tb_nycBrackets_lo*C34)*(AD34-tb_nycBrackets_lo*C34)*tb_nycBrackets_dr))</f>
        <v/>
      </c>
      <c r="AF34" s="7">
        <f>AC34+AE34+X34+W34</f>
        <v/>
      </c>
      <c r="AG34" s="7">
        <f>D34+F34+R34+T34+H34</f>
        <v/>
      </c>
      <c r="AH34" s="7">
        <f>AG34-AF34-O34</f>
        <v/>
      </c>
      <c r="AI34" s="7">
        <f>D34+F34+G34+H34</f>
        <v/>
      </c>
      <c r="AJ34" s="7">
        <f>loc_gastosVida*C34*g_gastos</f>
        <v/>
      </c>
      <c r="AK34" s="7">
        <f>IF(1=0,personal_liquidoInicial,DR33)</f>
        <v/>
      </c>
      <c r="AL34" s="7">
        <f>IF(1=0,0,BB33)</f>
        <v/>
      </c>
      <c r="AM34" s="7">
        <f>CHOOSE(sel_cfgIdx,loc_precio_duplex,loc_precio_inlaw,loc_precio_dosCasas,loc_precio_casaAdu,loc_precio_multi)</f>
        <v/>
      </c>
      <c r="AN34" s="7">
        <f>AM34*(1+g_appr)^(A34-2026)</f>
        <v/>
      </c>
      <c r="AO34" s="7">
        <f>IF(AND(M34=1,vivienda_prestamoMedico=1),1,0)</f>
        <v/>
      </c>
      <c r="AP34" s="7">
        <f>IF(AO34=1,0.05,vivienda_enganchePct)</f>
        <v/>
      </c>
      <c r="AQ34" s="7">
        <f>AN34*(1-AP34)</f>
        <v/>
      </c>
      <c r="AR34" s="7">
        <f>PMT(g_mortRate/12,vivienda_plazoHipoteca*12,-AQ34)</f>
        <v/>
      </c>
      <c r="AS34" s="7">
        <f>INDEX(cfg_units,sel_cfgIdx)</f>
        <v/>
      </c>
      <c r="AT34" s="7">
        <f>AS34*loc_rentaUnidad*(1+g_inf)^(A34-2026)*(1-vivienda_vacancia)</f>
        <v/>
      </c>
      <c r="AU34" s="7">
        <f>AR34+AN34*loc_impuestoPropPct/12+AM34*loc_seguroPct*(1+vivienda_inflacionSeguro)^(A34-2026)/12+IF(AND(AO34=0,AP34&lt;0.2),AQ34*vivienda_pmiTasa/12,0)</f>
        <v/>
      </c>
      <c r="AV34" s="7">
        <f>AN34*AP34+AN34*vivienda_cierrePct+general_reservaMeses/12*AJ34</f>
        <v/>
      </c>
      <c r="AW34" s="7">
        <f>(IF(1=0,MIN(personal_irsSaldo,personal_irsPagoMensual*12),MIN(CD33,personal_irsPagoMensual*12))+IF(CE34&gt;0,PMT(CF34,MAX(1,prestamos_plazoAnios-CG34),-CE34),0)+IF(CR34&gt;0,PMT(CS34,MAX(1,prestamos_plazoAnios-CT34),-CR34),0))/12</f>
        <v/>
      </c>
      <c r="AX34" s="7">
        <f>IF(OR(sel_cfg="duplex",sel_cfg="multi",sel_cfg="dosCasas"),0.75*personal_aporteFamiliaMensual,0)</f>
        <v/>
      </c>
      <c r="AY34" s="7">
        <f>AU34-0.75*AT34-AX34+AW34</f>
        <v/>
      </c>
      <c r="AZ34" s="7">
        <f>(D34+G34+H34+0.5*F34)/12</f>
        <v/>
      </c>
      <c r="BA34" s="7">
        <f>IF(AND(AL34=0,A34&gt;=vivienda_anioMinCompra,J34&lt;0.5,AI34&gt;0,AK34&gt;=AV34,AY34&lt;=vivienda_dtiMax*AZ34),1,0)</f>
        <v/>
      </c>
      <c r="BB34" s="7">
        <f>MAX(AL34,BA34)</f>
        <v/>
      </c>
      <c r="BC34" s="7">
        <f>IF(BA34=1,A34,IF(1=0,"",BC33))</f>
        <v/>
      </c>
      <c r="BD34" s="7">
        <f>AK34-IF(BA34=1,AN34*AP34+AN34*vivienda_cierrePct,0)</f>
        <v/>
      </c>
      <c r="BE34" s="7">
        <f>IF(BA34=1,AN34,IF(1=0,0,BE33))</f>
        <v/>
      </c>
      <c r="BF34" s="7">
        <f>IF(BA34=1,AR34,IF(1=0,0,BF33))</f>
        <v/>
      </c>
      <c r="BG34" s="7">
        <f>IF(BA34=1,IF(AND(AO34=0,AP34&lt;0.2),1,0),IF(1=0,0,BY33))</f>
        <v/>
      </c>
      <c r="BH34" s="7">
        <f>IF(sel_cfg="casaAdu",1,0)</f>
        <v/>
      </c>
      <c r="BI34" s="7">
        <f>IF(AND(BB34=1,BH34=1,IF(1=0,0,BJ33)=0,A34&gt;=IF(BC34="",9999,BC34)+vivienda_aduRetrasoAnios),1,0)</f>
        <v/>
      </c>
      <c r="BJ34" s="7">
        <f>MAX(IF(1=0,0,BJ33),BI34)</f>
        <v/>
      </c>
      <c r="BK34" s="7">
        <f>IF(BI34=1,PMT((g_mortRate+0.005)/12,180,-loc_precio_aduCosto*C34),IF(1=0,0,BK33))</f>
        <v/>
      </c>
      <c r="BL34" s="7">
        <f>IF(BA34=1,AN34,IF(1=0,0,DT33))+IF(BI34=1,loc_precio_aduCosto*C34,0)</f>
        <v/>
      </c>
      <c r="BM34" s="7">
        <f>IF(BA34=1,AQ34,IF(1=0,0,DU33))</f>
        <v/>
      </c>
      <c r="BN34" s="7">
        <f>IF(BM34&lt;=0,0,FV(g_mortRate/12,12,BF34,-BM34))</f>
        <v/>
      </c>
      <c r="BO34" s="7">
        <f>IF(BM34&lt;=0,0,12*BF34+MIN(0,BN34))</f>
        <v/>
      </c>
      <c r="BP34" s="7">
        <f>MAX(0,BN34)</f>
        <v/>
      </c>
      <c r="BQ34" s="7">
        <f>IF(BI34=1,loc_precio_aduCosto*C34,IF(1=0,0,DV33))</f>
        <v/>
      </c>
      <c r="BR34" s="7">
        <f>IF(BQ34&lt;=0,0,FV((g_mortRate+0.005)/12,12,BK34,-BQ34))</f>
        <v/>
      </c>
      <c r="BS34" s="7">
        <f>IF(BQ34&lt;=0,0,12*BK34+MIN(0,BR34))</f>
        <v/>
      </c>
      <c r="BT34" s="7">
        <f>MAX(0,BR34)</f>
        <v/>
      </c>
      <c r="BU34" s="7">
        <f>IF(BB34=1,AM34*loc_seguroPct*(1+vivienda_inflacionSeguro)^(A34-2026)*IF(BJ34=1,1+loc_precio_aduCosto/AM34,1),0)</f>
        <v/>
      </c>
      <c r="BV34" s="7">
        <f>BL34*loc_impuestoPropPct</f>
        <v/>
      </c>
      <c r="BW34" s="7">
        <f>BL34*vivienda_mantenimientoPct</f>
        <v/>
      </c>
      <c r="BX34" s="7">
        <f>IF(AND(BG34=1,BP34&gt;0.8*BE34),BE34*(1-vivienda_enganchePct)*vivienda_pmiTasa,0)</f>
        <v/>
      </c>
      <c r="BY34" s="7">
        <f>IF(AND(BG34=1,BP34&gt;0.8*BE34),1,0)</f>
        <v/>
      </c>
      <c r="BZ34" s="7">
        <f>IF(BB34=1,AS34*loc_rentaUnidad*12*C34*(1-vivienda_vacancia)*(1-vivienda_gestionPct),0)</f>
        <v/>
      </c>
      <c r="CA34" s="7">
        <f>IF(BB34=1,BO34+BS34+BU34+BV34+BW34+BX34,loc_rentaMensual*12*C34)</f>
        <v/>
      </c>
      <c r="CB34" s="7">
        <f>IF(BB34=1,personal_aporteFamiliaMensual*12,0)</f>
        <v/>
      </c>
      <c r="CC34" s="7">
        <f>MIN(IF(1=0,personal_irsSaldo,CD33),personal_irsPagoMensual*12)</f>
        <v/>
      </c>
      <c r="CD34" s="7">
        <f>IF(1=0,personal_irsSaldo,CD33)-CC34</f>
        <v/>
      </c>
      <c r="CE34" s="7">
        <f>IF(1=0,IF(personal_deudaEsFederal=1,personal_deudaEstudiantil,0),DW33)</f>
        <v/>
      </c>
      <c r="CF34" s="7">
        <f>IF(1=0,personal_tasaDeudaEstudiantil,DX33)</f>
        <v/>
      </c>
      <c r="CG34" s="7">
        <f>IF(1=0,0,DY33)</f>
        <v/>
      </c>
      <c r="CH34" s="7">
        <f>IF(J34&gt;=0.5,1,0)</f>
        <v/>
      </c>
      <c r="CI34" s="7">
        <f>IF(AND(CH34=0,prestamos_pslfActivo=1,K34&gt;=0.5,CE34&gt;0),1,0)</f>
        <v/>
      </c>
      <c r="CJ34" s="7">
        <f>CE34*CF34</f>
        <v/>
      </c>
      <c r="CK34" s="7">
        <f>MAX(prestamos_rapPagoMinimoAnual,IF(Y34&lt;10000,0,MIN(0.1,INT(Y34/10000)/100))*Y34)</f>
        <v/>
      </c>
      <c r="CL34" s="7">
        <f>IF(CE34&lt;=0,0,IF(CH34=1,0,IF(CI34=1,MIN(CE34+CJ34,CK34),PMT(CF34,MAX(1,prestamos_plazoAnios-CG34),-CE34))))</f>
        <v/>
      </c>
      <c r="CM34" s="7">
        <f>IF(CE34&lt;=0,0,IF(CH34=1,CE34+CJ34,IF(CI34=1,MAX(0,CE34-MAX(CL34-CJ34,MIN(600,CL34))),MAX(0,CE34*(1+CF34)-CL34))))</f>
        <v/>
      </c>
      <c r="CN34" s="7">
        <f>IF(1=0,0,CN33)+IF(CI34=1,12*MIN(1,K34),0)</f>
        <v/>
      </c>
      <c r="CO34" s="7">
        <f>IF(AND(CI34=1,CN34&gt;=prestamos_pslfPagos,CM34&gt;0),CM34,0)</f>
        <v/>
      </c>
      <c r="CP34" s="7">
        <f>CM34-CO34</f>
        <v/>
      </c>
      <c r="CQ34" s="7">
        <f>IF(AND(CE34&gt;0,CH34=0,CI34=0),CG34+1,CG34)</f>
        <v/>
      </c>
      <c r="CR34" s="7">
        <f>IF(1=0,IF(personal_deudaEsFederal=1,0,personal_deudaEstudiantil),EA33)</f>
        <v/>
      </c>
      <c r="CS34" s="7">
        <f>IF(1=0,IF(personal_deudaEsFederal=1,prestamos_tasaPrivada,personal_tasaDeudaEstudiantil),EB33)</f>
        <v/>
      </c>
      <c r="CT34" s="7">
        <f>IF(1=0,0,EC33)</f>
        <v/>
      </c>
      <c r="CU34" s="7">
        <f>IF(OR(CR34&lt;=0,CH34=1),0,PMT(CS34,MAX(1,prestamos_plazoAnios-CT34),-CR34))</f>
        <v/>
      </c>
      <c r="CV34" s="7">
        <f>IF(CR34&lt;=0,0,IF(CH34=1,CR34*(1+CS34),MAX(0,CR34*(1+CS34)-CU34)))</f>
        <v/>
      </c>
      <c r="CW34" s="7">
        <f>IF(AND(CR34&gt;0,CH34=0),CT34+1,CT34)</f>
        <v/>
      </c>
      <c r="CX34" s="7">
        <f>IF(1=0,0,ED33)*(1+general_tasaDeudaConsumo)</f>
        <v/>
      </c>
      <c r="CY34" s="7">
        <f>L34*12*tiempos_travelGastoExtraMes*C34</f>
        <v/>
      </c>
      <c r="CZ34" s="7">
        <f>AJ34+CY34+CA34+CC34+CL34+CU34+I34+N34-BZ34-CB34</f>
        <v/>
      </c>
      <c r="DA34" s="7">
        <f>AH34-CZ34</f>
        <v/>
      </c>
      <c r="DB34" s="7">
        <f>IF(1=0,0,DB33)+DA34</f>
        <v/>
      </c>
      <c r="DC34" s="7">
        <f>AN34*vivienda_enganchePct+AN34*vivienda_cierrePct+general_reservaMeses/12*AJ34</f>
        <v/>
      </c>
      <c r="DD34" s="7">
        <f>IF(BB34=1,g_ret,IF(BD34&gt;0,MIN(1,DC34/BD34),1)*g_cash+(1-IF(BD34&gt;0,MIN(1,DC34/BD34),1))*g_ret)</f>
        <v/>
      </c>
      <c r="DE34" s="7">
        <f>IF(DA34&gt;=0,MIN(CX34,DA34),0)</f>
        <v/>
      </c>
      <c r="DF34" s="7">
        <f>IF(DA34&gt;=0,(1-general_tasaAhorro)*(DA34-DE34),0)</f>
        <v/>
      </c>
      <c r="DG34" s="7">
        <f>IF(DA34&gt;=0,DA34-DE34-DF34,0)</f>
        <v/>
      </c>
      <c r="DH34" s="7">
        <f>MIN(personal_rothAnual,DG34)</f>
        <v/>
      </c>
      <c r="DI34" s="7">
        <f>IF(AND(DA34&gt;=0,BB34=1,BP34+BT34&gt;0),MIN(vivienda_prepagoPct*(DG34-DH34),BP34+BT34),0)</f>
        <v/>
      </c>
      <c r="DJ34" s="7">
        <f>MIN(DI34,BP34)</f>
        <v/>
      </c>
      <c r="DK34" s="7">
        <f>IF(DA34&lt;0,MIN(MAX(0,BD34),-DA34),0)</f>
        <v/>
      </c>
      <c r="DL34" s="7">
        <f>IF(DA34&lt;0,-DA34-DK34,0)</f>
        <v/>
      </c>
      <c r="DM34" s="7">
        <f>IF(1=0,0,DZ33)</f>
        <v/>
      </c>
      <c r="DN34" s="7">
        <f>IF(AND(DL34&gt;0,J34&gt;0),MIN(DL34,MIN(prestamos_topeAnualPosgrado*MIN(1,J34),MAX(0,prestamos_topeTotalPosgrado-DM34))),0)</f>
        <v/>
      </c>
      <c r="DO34" s="7">
        <f>IF(AND(DL34&gt;0,J34&gt;0),DL34-DN34,0)</f>
        <v/>
      </c>
      <c r="DP34" s="7">
        <f>IF(AND(DL34&gt;0,J34&lt;=0),DL34,0)</f>
        <v/>
      </c>
      <c r="DQ34" s="7">
        <f>IF(DA34&gt;=0,DG34-DH34-DI34,-DK34)</f>
        <v/>
      </c>
      <c r="DR34" s="7">
        <f>BD34*(1+DD34)+DQ34*(1+DD34/2)</f>
        <v/>
      </c>
      <c r="DS34" s="7">
        <f>IF(1=0,personal_retiroInicial,DS33)*(1+g_ret)+(O34+P34+DH34)*(1+g_ret/2)</f>
        <v/>
      </c>
      <c r="DT34" s="7">
        <f>IF(BB34=1,BL34*(1+g_appr),0)</f>
        <v/>
      </c>
      <c r="DU34" s="7">
        <f>BP34-DJ34</f>
        <v/>
      </c>
      <c r="DV34" s="7">
        <f>BT34-(DI34-DJ34)</f>
        <v/>
      </c>
      <c r="DW34" s="7">
        <f>CP34+DN34</f>
        <v/>
      </c>
      <c r="DX34" s="7">
        <f>IF(DN34&gt;0,(CP34*CF34+DN34*prestamos_tasaFederalPosgrado)/(CP34+DN34),CF34)</f>
        <v/>
      </c>
      <c r="DY34" s="7">
        <f>IF(DN34&gt;0,0,CQ34)</f>
        <v/>
      </c>
      <c r="DZ34" s="7">
        <f>DM34+DN34</f>
        <v/>
      </c>
      <c r="EA34" s="7">
        <f>CV34+DO34</f>
        <v/>
      </c>
      <c r="EB34" s="7">
        <f>IF(DO34&gt;0,(CV34*CS34+DO34*prestamos_tasaPrivada)/(CV34+DO34),CS34)</f>
        <v/>
      </c>
      <c r="EC34" s="7">
        <f>IF(DO34&gt;0,0,CW34)</f>
        <v/>
      </c>
      <c r="ED34" s="7">
        <f>CX34-DE34+DP34</f>
        <v/>
      </c>
      <c r="EE34" s="7">
        <f>IF(IF(1=0,"",EE33)&lt;&gt;"",EE33,IF(AND(BB34=1,DU34&lt;=0.5,DV34&lt;=0.5,OR(BH34=0,BJ34=1)),A34,""))</f>
        <v/>
      </c>
      <c r="EF34" s="7">
        <f>DU34+DV34+DW34+EA34+ED34+CD34</f>
        <v/>
      </c>
      <c r="EG34" s="7">
        <f>DR34+DS34+DT34-EF34</f>
        <v/>
      </c>
      <c r="EH34" s="7">
        <f>EG34/(1+g_inf)^(A34+1-2026)</f>
        <v/>
      </c>
    </row>
    <row r="35">
      <c r="A35" t="n">
        <v>2029</v>
      </c>
      <c r="B35" t="n">
        <v>2</v>
      </c>
      <c r="C35" s="7">
        <f>(1+g_inf)^(A35-2026)</f>
        <v/>
      </c>
      <c r="D35" s="7">
        <f>SUMPRODUCT($V$5:$V$29,$E$5:$E$29*(1+$F$5:$F$29)^(A35-2026)*$G$5:$G$29*$H$5:$H$29*(1-$N$5:$N$29*$O$5:$O$29))*g_salMult+SUMPRODUCT(($B$5:$B$29&gt;=A35)*($B$5:$B$29&lt;A35+1)*$I$5:$I$29)*g_salMult</f>
        <v/>
      </c>
      <c r="E35" s="7">
        <f>SUMPRODUCT($V$5:$V$29,$E$5:$E$29*(1+$F$5:$F$29)^(A35-2026)*$G$5:$G$29*$H$5:$H$29*$M$5:$M$29)*g_salMult</f>
        <v/>
      </c>
      <c r="F35" s="7">
        <f>SUMPRODUCT($V$5:$V$29,$E$5:$E$29*(1+$F$5:$F$29)^(A35-2026)*$G$5:$G$29*$H$5:$H$29*$N$5:$N$29*$O$5:$O$29)*g_salMult</f>
        <v/>
      </c>
      <c r="G35" s="7">
        <f>SUMPRODUCT($V$5:$V$29,$P$5:$P$29*(1+$F$5:$F$29)^(A35-2026))</f>
        <v/>
      </c>
      <c r="H35" s="7">
        <f>SUMPRODUCT($V$5:$V$29,$Q$5:$Q$29*(1+$F$5:$F$29)^(A35-2026))+IF(personal_llcActivo=1,personal_llcNeto*(1+personal_llcCrecimiento)^2,0)</f>
        <v/>
      </c>
      <c r="I35" s="7">
        <f>SUMPRODUCT($V$5:$V$29,$J$5:$J$29/($C$5:$C$29-$B$5:$B$29+($C$5:$C$29=$B$5:$B$29)))*C35</f>
        <v/>
      </c>
      <c r="J35" s="7">
        <f>SUMPRODUCT($V$5:$V$29,$K$5:$K$29)</f>
        <v/>
      </c>
      <c r="K35" s="7">
        <f>SUMPRODUCT($V$5:$V$29,$L$5:$L$29)</f>
        <v/>
      </c>
      <c r="L35" s="7">
        <f>SUMPRODUCT($V$5:$V$29,$N$5:$N$29)</f>
        <v/>
      </c>
      <c r="M35" s="7">
        <f>IF(SUMPRODUCT($V$5:$V$29,$R$5:$R$29)&gt;0,1,0)</f>
        <v/>
      </c>
      <c r="N35" s="7">
        <f>SUMPRODUCT(($AO$5:$AO$24&gt;=A35)*($AO$5:$AO$24&lt;A35+1)*$AP$5:$AP$24)*C35+IF(2=0,IF(sel_loc&lt;&gt;"miami",personal_costoMudanzaInicial,0),0)</f>
        <v/>
      </c>
      <c r="O35" s="7">
        <f>MIN(personal_aporte403bPct*D35,retiro_limite403b*C35)</f>
        <v/>
      </c>
      <c r="P35" s="7">
        <f>MIN(personal_aporte403bPct,personal_match403bPct)*E35</f>
        <v/>
      </c>
      <c r="Q35" s="7">
        <f>IF(G35&gt;0,MAX(0,G35-impuestos_scorpCostoAnual*C35),0)</f>
        <v/>
      </c>
      <c r="R35" s="7">
        <f>Q35*impuestos_scorpSalarioPct/(1+impuestos_ssTasa+impuestos_medicareTasa)</f>
        <v/>
      </c>
      <c r="S35" s="7">
        <f>impuestos_ssTasa*MIN(R35,MAX(0,impuestos_ssTope*C35-D35))+impuestos_medicareTasa*R35</f>
        <v/>
      </c>
      <c r="T35" s="7">
        <f>Q35-R35-S35</f>
        <v/>
      </c>
      <c r="U35" s="7">
        <f>D35+R35</f>
        <v/>
      </c>
      <c r="V35" s="7">
        <f>H35*0.9235</f>
        <v/>
      </c>
      <c r="W35" s="7">
        <f>IF(H35&gt;0,2*impuestos_ssTasa*MIN(V35,MAX(0,impuestos_ssTope*C35-U35))+2*impuestos_medicareTasa*V35,0)</f>
        <v/>
      </c>
      <c r="X35" s="7">
        <f>impuestos_ssTasa*MIN(U35,impuestos_ssTope*C35)+impuestos_medicareTasa*U35+impuestos_medicareAdicional*MAX(0,U35+H35*0.9235-impuestos_medicareUmbral)</f>
        <v/>
      </c>
      <c r="Y35" s="7">
        <f>MAX(0,D35-O35+R35+T35+H35-W35/2)</f>
        <v/>
      </c>
      <c r="Z35" s="7">
        <f>MAX(0,Y35-impuestos_deduccionEstandar*C35)</f>
        <v/>
      </c>
      <c r="AA35" s="7">
        <f>MIN(0.2*MAX(0,T35+H35-W35/2)*MAX(0,MIN(1,1-(Z35-impuestos_qbiUmbral*C35)/(impuestos_qbiRango*C35))),0.2*Z35)</f>
        <v/>
      </c>
      <c r="AB35" s="7">
        <f>MAX(0,Z35-AA35)</f>
        <v/>
      </c>
      <c r="AC35" s="7">
        <f>SUMPRODUCT((AB35&gt;tb_federalBrackets_lo*C35)*(AB35-tb_federalBrackets_lo*C35)*tb_federalBrackets_dr)</f>
        <v/>
      </c>
      <c r="AD35" s="7">
        <f>MAX(0,Y35-impuestos_nyDeduccion*C35)</f>
        <v/>
      </c>
      <c r="AE35" s="7">
        <f>CHOOSE(loc_taxcode,0,impuestos_ohTasa*MAX(0,Y35-impuestos_ohExento*C35)+impuestos_ohMunicipal*U35,SUMPRODUCT((AD35&gt;tb_nyBrackets_lo*C35)*(AD35-tb_nyBrackets_lo*C35)*tb_nyBrackets_dr)+loc_nyc*SUMPRODUCT((AD35&gt;tb_nycBrackets_lo*C35)*(AD35-tb_nycBrackets_lo*C35)*tb_nycBrackets_dr))</f>
        <v/>
      </c>
      <c r="AF35" s="7">
        <f>AC35+AE35+X35+W35</f>
        <v/>
      </c>
      <c r="AG35" s="7">
        <f>D35+F35+R35+T35+H35</f>
        <v/>
      </c>
      <c r="AH35" s="7">
        <f>AG35-AF35-O35</f>
        <v/>
      </c>
      <c r="AI35" s="7">
        <f>D35+F35+G35+H35</f>
        <v/>
      </c>
      <c r="AJ35" s="7">
        <f>loc_gastosVida*C35*g_gastos</f>
        <v/>
      </c>
      <c r="AK35" s="7">
        <f>IF(2=0,personal_liquidoInicial,DR34)</f>
        <v/>
      </c>
      <c r="AL35" s="7">
        <f>IF(2=0,0,BB34)</f>
        <v/>
      </c>
      <c r="AM35" s="7">
        <f>CHOOSE(sel_cfgIdx,loc_precio_duplex,loc_precio_inlaw,loc_precio_dosCasas,loc_precio_casaAdu,loc_precio_multi)</f>
        <v/>
      </c>
      <c r="AN35" s="7">
        <f>AM35*(1+g_appr)^(A35-2026)</f>
        <v/>
      </c>
      <c r="AO35" s="7">
        <f>IF(AND(M35=1,vivienda_prestamoMedico=1),1,0)</f>
        <v/>
      </c>
      <c r="AP35" s="7">
        <f>IF(AO35=1,0.05,vivienda_enganchePct)</f>
        <v/>
      </c>
      <c r="AQ35" s="7">
        <f>AN35*(1-AP35)</f>
        <v/>
      </c>
      <c r="AR35" s="7">
        <f>PMT(g_mortRate/12,vivienda_plazoHipoteca*12,-AQ35)</f>
        <v/>
      </c>
      <c r="AS35" s="7">
        <f>INDEX(cfg_units,sel_cfgIdx)</f>
        <v/>
      </c>
      <c r="AT35" s="7">
        <f>AS35*loc_rentaUnidad*(1+g_inf)^(A35-2026)*(1-vivienda_vacancia)</f>
        <v/>
      </c>
      <c r="AU35" s="7">
        <f>AR35+AN35*loc_impuestoPropPct/12+AM35*loc_seguroPct*(1+vivienda_inflacionSeguro)^(A35-2026)/12+IF(AND(AO35=0,AP35&lt;0.2),AQ35*vivienda_pmiTasa/12,0)</f>
        <v/>
      </c>
      <c r="AV35" s="7">
        <f>AN35*AP35+AN35*vivienda_cierrePct+general_reservaMeses/12*AJ35</f>
        <v/>
      </c>
      <c r="AW35" s="7">
        <f>(IF(2=0,MIN(personal_irsSaldo,personal_irsPagoMensual*12),MIN(CD34,personal_irsPagoMensual*12))+IF(CE35&gt;0,PMT(CF35,MAX(1,prestamos_plazoAnios-CG35),-CE35),0)+IF(CR35&gt;0,PMT(CS35,MAX(1,prestamos_plazoAnios-CT35),-CR35),0))/12</f>
        <v/>
      </c>
      <c r="AX35" s="7">
        <f>IF(OR(sel_cfg="duplex",sel_cfg="multi",sel_cfg="dosCasas"),0.75*personal_aporteFamiliaMensual,0)</f>
        <v/>
      </c>
      <c r="AY35" s="7">
        <f>AU35-0.75*AT35-AX35+AW35</f>
        <v/>
      </c>
      <c r="AZ35" s="7">
        <f>(D35+G35+H35+0.5*F35)/12</f>
        <v/>
      </c>
      <c r="BA35" s="7">
        <f>IF(AND(AL35=0,A35&gt;=vivienda_anioMinCompra,J35&lt;0.5,AI35&gt;0,AK35&gt;=AV35,AY35&lt;=vivienda_dtiMax*AZ35),1,0)</f>
        <v/>
      </c>
      <c r="BB35" s="7">
        <f>MAX(AL35,BA35)</f>
        <v/>
      </c>
      <c r="BC35" s="7">
        <f>IF(BA35=1,A35,IF(2=0,"",BC34))</f>
        <v/>
      </c>
      <c r="BD35" s="7">
        <f>AK35-IF(BA35=1,AN35*AP35+AN35*vivienda_cierrePct,0)</f>
        <v/>
      </c>
      <c r="BE35" s="7">
        <f>IF(BA35=1,AN35,IF(2=0,0,BE34))</f>
        <v/>
      </c>
      <c r="BF35" s="7">
        <f>IF(BA35=1,AR35,IF(2=0,0,BF34))</f>
        <v/>
      </c>
      <c r="BG35" s="7">
        <f>IF(BA35=1,IF(AND(AO35=0,AP35&lt;0.2),1,0),IF(2=0,0,BY34))</f>
        <v/>
      </c>
      <c r="BH35" s="7">
        <f>IF(sel_cfg="casaAdu",1,0)</f>
        <v/>
      </c>
      <c r="BI35" s="7">
        <f>IF(AND(BB35=1,BH35=1,IF(2=0,0,BJ34)=0,A35&gt;=IF(BC35="",9999,BC35)+vivienda_aduRetrasoAnios),1,0)</f>
        <v/>
      </c>
      <c r="BJ35" s="7">
        <f>MAX(IF(2=0,0,BJ34),BI35)</f>
        <v/>
      </c>
      <c r="BK35" s="7">
        <f>IF(BI35=1,PMT((g_mortRate+0.005)/12,180,-loc_precio_aduCosto*C35),IF(2=0,0,BK34))</f>
        <v/>
      </c>
      <c r="BL35" s="7">
        <f>IF(BA35=1,AN35,IF(2=0,0,DT34))+IF(BI35=1,loc_precio_aduCosto*C35,0)</f>
        <v/>
      </c>
      <c r="BM35" s="7">
        <f>IF(BA35=1,AQ35,IF(2=0,0,DU34))</f>
        <v/>
      </c>
      <c r="BN35" s="7">
        <f>IF(BM35&lt;=0,0,FV(g_mortRate/12,12,BF35,-BM35))</f>
        <v/>
      </c>
      <c r="BO35" s="7">
        <f>IF(BM35&lt;=0,0,12*BF35+MIN(0,BN35))</f>
        <v/>
      </c>
      <c r="BP35" s="7">
        <f>MAX(0,BN35)</f>
        <v/>
      </c>
      <c r="BQ35" s="7">
        <f>IF(BI35=1,loc_precio_aduCosto*C35,IF(2=0,0,DV34))</f>
        <v/>
      </c>
      <c r="BR35" s="7">
        <f>IF(BQ35&lt;=0,0,FV((g_mortRate+0.005)/12,12,BK35,-BQ35))</f>
        <v/>
      </c>
      <c r="BS35" s="7">
        <f>IF(BQ35&lt;=0,0,12*BK35+MIN(0,BR35))</f>
        <v/>
      </c>
      <c r="BT35" s="7">
        <f>MAX(0,BR35)</f>
        <v/>
      </c>
      <c r="BU35" s="7">
        <f>IF(BB35=1,AM35*loc_seguroPct*(1+vivienda_inflacionSeguro)^(A35-2026)*IF(BJ35=1,1+loc_precio_aduCosto/AM35,1),0)</f>
        <v/>
      </c>
      <c r="BV35" s="7">
        <f>BL35*loc_impuestoPropPct</f>
        <v/>
      </c>
      <c r="BW35" s="7">
        <f>BL35*vivienda_mantenimientoPct</f>
        <v/>
      </c>
      <c r="BX35" s="7">
        <f>IF(AND(BG35=1,BP35&gt;0.8*BE35),BE35*(1-vivienda_enganchePct)*vivienda_pmiTasa,0)</f>
        <v/>
      </c>
      <c r="BY35" s="7">
        <f>IF(AND(BG35=1,BP35&gt;0.8*BE35),1,0)</f>
        <v/>
      </c>
      <c r="BZ35" s="7">
        <f>IF(BB35=1,AS35*loc_rentaUnidad*12*C35*(1-vivienda_vacancia)*(1-vivienda_gestionPct),0)</f>
        <v/>
      </c>
      <c r="CA35" s="7">
        <f>IF(BB35=1,BO35+BS35+BU35+BV35+BW35+BX35,loc_rentaMensual*12*C35)</f>
        <v/>
      </c>
      <c r="CB35" s="7">
        <f>IF(BB35=1,personal_aporteFamiliaMensual*12,0)</f>
        <v/>
      </c>
      <c r="CC35" s="7">
        <f>MIN(IF(2=0,personal_irsSaldo,CD34),personal_irsPagoMensual*12)</f>
        <v/>
      </c>
      <c r="CD35" s="7">
        <f>IF(2=0,personal_irsSaldo,CD34)-CC35</f>
        <v/>
      </c>
      <c r="CE35" s="7">
        <f>IF(2=0,IF(personal_deudaEsFederal=1,personal_deudaEstudiantil,0),DW34)</f>
        <v/>
      </c>
      <c r="CF35" s="7">
        <f>IF(2=0,personal_tasaDeudaEstudiantil,DX34)</f>
        <v/>
      </c>
      <c r="CG35" s="7">
        <f>IF(2=0,0,DY34)</f>
        <v/>
      </c>
      <c r="CH35" s="7">
        <f>IF(J35&gt;=0.5,1,0)</f>
        <v/>
      </c>
      <c r="CI35" s="7">
        <f>IF(AND(CH35=0,prestamos_pslfActivo=1,K35&gt;=0.5,CE35&gt;0),1,0)</f>
        <v/>
      </c>
      <c r="CJ35" s="7">
        <f>CE35*CF35</f>
        <v/>
      </c>
      <c r="CK35" s="7">
        <f>MAX(prestamos_rapPagoMinimoAnual,IF(Y35&lt;10000,0,MIN(0.1,INT(Y35/10000)/100))*Y35)</f>
        <v/>
      </c>
      <c r="CL35" s="7">
        <f>IF(CE35&lt;=0,0,IF(CH35=1,0,IF(CI35=1,MIN(CE35+CJ35,CK35),PMT(CF35,MAX(1,prestamos_plazoAnios-CG35),-CE35))))</f>
        <v/>
      </c>
      <c r="CM35" s="7">
        <f>IF(CE35&lt;=0,0,IF(CH35=1,CE35+CJ35,IF(CI35=1,MAX(0,CE35-MAX(CL35-CJ35,MIN(600,CL35))),MAX(0,CE35*(1+CF35)-CL35))))</f>
        <v/>
      </c>
      <c r="CN35" s="7">
        <f>IF(2=0,0,CN34)+IF(CI35=1,12*MIN(1,K35),0)</f>
        <v/>
      </c>
      <c r="CO35" s="7">
        <f>IF(AND(CI35=1,CN35&gt;=prestamos_pslfPagos,CM35&gt;0),CM35,0)</f>
        <v/>
      </c>
      <c r="CP35" s="7">
        <f>CM35-CO35</f>
        <v/>
      </c>
      <c r="CQ35" s="7">
        <f>IF(AND(CE35&gt;0,CH35=0,CI35=0),CG35+1,CG35)</f>
        <v/>
      </c>
      <c r="CR35" s="7">
        <f>IF(2=0,IF(personal_deudaEsFederal=1,0,personal_deudaEstudiantil),EA34)</f>
        <v/>
      </c>
      <c r="CS35" s="7">
        <f>IF(2=0,IF(personal_deudaEsFederal=1,prestamos_tasaPrivada,personal_tasaDeudaEstudiantil),EB34)</f>
        <v/>
      </c>
      <c r="CT35" s="7">
        <f>IF(2=0,0,EC34)</f>
        <v/>
      </c>
      <c r="CU35" s="7">
        <f>IF(OR(CR35&lt;=0,CH35=1),0,PMT(CS35,MAX(1,prestamos_plazoAnios-CT35),-CR35))</f>
        <v/>
      </c>
      <c r="CV35" s="7">
        <f>IF(CR35&lt;=0,0,IF(CH35=1,CR35*(1+CS35),MAX(0,CR35*(1+CS35)-CU35)))</f>
        <v/>
      </c>
      <c r="CW35" s="7">
        <f>IF(AND(CR35&gt;0,CH35=0),CT35+1,CT35)</f>
        <v/>
      </c>
      <c r="CX35" s="7">
        <f>IF(2=0,0,ED34)*(1+general_tasaDeudaConsumo)</f>
        <v/>
      </c>
      <c r="CY35" s="7">
        <f>L35*12*tiempos_travelGastoExtraMes*C35</f>
        <v/>
      </c>
      <c r="CZ35" s="7">
        <f>AJ35+CY35+CA35+CC35+CL35+CU35+I35+N35-BZ35-CB35</f>
        <v/>
      </c>
      <c r="DA35" s="7">
        <f>AH35-CZ35</f>
        <v/>
      </c>
      <c r="DB35" s="7">
        <f>IF(2=0,0,DB34)+DA35</f>
        <v/>
      </c>
      <c r="DC35" s="7">
        <f>AN35*vivienda_enganchePct+AN35*vivienda_cierrePct+general_reservaMeses/12*AJ35</f>
        <v/>
      </c>
      <c r="DD35" s="7">
        <f>IF(BB35=1,g_ret,IF(BD35&gt;0,MIN(1,DC35/BD35),1)*g_cash+(1-IF(BD35&gt;0,MIN(1,DC35/BD35),1))*g_ret)</f>
        <v/>
      </c>
      <c r="DE35" s="7">
        <f>IF(DA35&gt;=0,MIN(CX35,DA35),0)</f>
        <v/>
      </c>
      <c r="DF35" s="7">
        <f>IF(DA35&gt;=0,(1-general_tasaAhorro)*(DA35-DE35),0)</f>
        <v/>
      </c>
      <c r="DG35" s="7">
        <f>IF(DA35&gt;=0,DA35-DE35-DF35,0)</f>
        <v/>
      </c>
      <c r="DH35" s="7">
        <f>MIN(personal_rothAnual,DG35)</f>
        <v/>
      </c>
      <c r="DI35" s="7">
        <f>IF(AND(DA35&gt;=0,BB35=1,BP35+BT35&gt;0),MIN(vivienda_prepagoPct*(DG35-DH35),BP35+BT35),0)</f>
        <v/>
      </c>
      <c r="DJ35" s="7">
        <f>MIN(DI35,BP35)</f>
        <v/>
      </c>
      <c r="DK35" s="7">
        <f>IF(DA35&lt;0,MIN(MAX(0,BD35),-DA35),0)</f>
        <v/>
      </c>
      <c r="DL35" s="7">
        <f>IF(DA35&lt;0,-DA35-DK35,0)</f>
        <v/>
      </c>
      <c r="DM35" s="7">
        <f>IF(2=0,0,DZ34)</f>
        <v/>
      </c>
      <c r="DN35" s="7">
        <f>IF(AND(DL35&gt;0,J35&gt;0),MIN(DL35,MIN(prestamos_topeAnualPosgrado*MIN(1,J35),MAX(0,prestamos_topeTotalPosgrado-DM35))),0)</f>
        <v/>
      </c>
      <c r="DO35" s="7">
        <f>IF(AND(DL35&gt;0,J35&gt;0),DL35-DN35,0)</f>
        <v/>
      </c>
      <c r="DP35" s="7">
        <f>IF(AND(DL35&gt;0,J35&lt;=0),DL35,0)</f>
        <v/>
      </c>
      <c r="DQ35" s="7">
        <f>IF(DA35&gt;=0,DG35-DH35-DI35,-DK35)</f>
        <v/>
      </c>
      <c r="DR35" s="7">
        <f>BD35*(1+DD35)+DQ35*(1+DD35/2)</f>
        <v/>
      </c>
      <c r="DS35" s="7">
        <f>IF(2=0,personal_retiroInicial,DS34)*(1+g_ret)+(O35+P35+DH35)*(1+g_ret/2)</f>
        <v/>
      </c>
      <c r="DT35" s="7">
        <f>IF(BB35=1,BL35*(1+g_appr),0)</f>
        <v/>
      </c>
      <c r="DU35" s="7">
        <f>BP35-DJ35</f>
        <v/>
      </c>
      <c r="DV35" s="7">
        <f>BT35-(DI35-DJ35)</f>
        <v/>
      </c>
      <c r="DW35" s="7">
        <f>CP35+DN35</f>
        <v/>
      </c>
      <c r="DX35" s="7">
        <f>IF(DN35&gt;0,(CP35*CF35+DN35*prestamos_tasaFederalPosgrado)/(CP35+DN35),CF35)</f>
        <v/>
      </c>
      <c r="DY35" s="7">
        <f>IF(DN35&gt;0,0,CQ35)</f>
        <v/>
      </c>
      <c r="DZ35" s="7">
        <f>DM35+DN35</f>
        <v/>
      </c>
      <c r="EA35" s="7">
        <f>CV35+DO35</f>
        <v/>
      </c>
      <c r="EB35" s="7">
        <f>IF(DO35&gt;0,(CV35*CS35+DO35*prestamos_tasaPrivada)/(CV35+DO35),CS35)</f>
        <v/>
      </c>
      <c r="EC35" s="7">
        <f>IF(DO35&gt;0,0,CW35)</f>
        <v/>
      </c>
      <c r="ED35" s="7">
        <f>CX35-DE35+DP35</f>
        <v/>
      </c>
      <c r="EE35" s="7">
        <f>IF(IF(2=0,"",EE34)&lt;&gt;"",EE34,IF(AND(BB35=1,DU35&lt;=0.5,DV35&lt;=0.5,OR(BH35=0,BJ35=1)),A35,""))</f>
        <v/>
      </c>
      <c r="EF35" s="7">
        <f>DU35+DV35+DW35+EA35+ED35+CD35</f>
        <v/>
      </c>
      <c r="EG35" s="7">
        <f>DR35+DS35+DT35-EF35</f>
        <v/>
      </c>
      <c r="EH35" s="7">
        <f>EG35/(1+g_inf)^(A35+1-2026)</f>
        <v/>
      </c>
    </row>
    <row r="36">
      <c r="A36" t="n">
        <v>2030</v>
      </c>
      <c r="B36" t="n">
        <v>3</v>
      </c>
      <c r="C36" s="7">
        <f>(1+g_inf)^(A36-2026)</f>
        <v/>
      </c>
      <c r="D36" s="7">
        <f>SUMPRODUCT($W$5:$W$29,$E$5:$E$29*(1+$F$5:$F$29)^(A36-2026)*$G$5:$G$29*$H$5:$H$29*(1-$N$5:$N$29*$O$5:$O$29))*g_salMult+SUMPRODUCT(($B$5:$B$29&gt;=A36)*($B$5:$B$29&lt;A36+1)*$I$5:$I$29)*g_salMult</f>
        <v/>
      </c>
      <c r="E36" s="7">
        <f>SUMPRODUCT($W$5:$W$29,$E$5:$E$29*(1+$F$5:$F$29)^(A36-2026)*$G$5:$G$29*$H$5:$H$29*$M$5:$M$29)*g_salMult</f>
        <v/>
      </c>
      <c r="F36" s="7">
        <f>SUMPRODUCT($W$5:$W$29,$E$5:$E$29*(1+$F$5:$F$29)^(A36-2026)*$G$5:$G$29*$H$5:$H$29*$N$5:$N$29*$O$5:$O$29)*g_salMult</f>
        <v/>
      </c>
      <c r="G36" s="7">
        <f>SUMPRODUCT($W$5:$W$29,$P$5:$P$29*(1+$F$5:$F$29)^(A36-2026))</f>
        <v/>
      </c>
      <c r="H36" s="7">
        <f>SUMPRODUCT($W$5:$W$29,$Q$5:$Q$29*(1+$F$5:$F$29)^(A36-2026))+IF(personal_llcActivo=1,personal_llcNeto*(1+personal_llcCrecimiento)^3,0)</f>
        <v/>
      </c>
      <c r="I36" s="7">
        <f>SUMPRODUCT($W$5:$W$29,$J$5:$J$29/($C$5:$C$29-$B$5:$B$29+($C$5:$C$29=$B$5:$B$29)))*C36</f>
        <v/>
      </c>
      <c r="J36" s="7">
        <f>SUMPRODUCT($W$5:$W$29,$K$5:$K$29)</f>
        <v/>
      </c>
      <c r="K36" s="7">
        <f>SUMPRODUCT($W$5:$W$29,$L$5:$L$29)</f>
        <v/>
      </c>
      <c r="L36" s="7">
        <f>SUMPRODUCT($W$5:$W$29,$N$5:$N$29)</f>
        <v/>
      </c>
      <c r="M36" s="7">
        <f>IF(SUMPRODUCT($W$5:$W$29,$R$5:$R$29)&gt;0,1,0)</f>
        <v/>
      </c>
      <c r="N36" s="7">
        <f>SUMPRODUCT(($AO$5:$AO$24&gt;=A36)*($AO$5:$AO$24&lt;A36+1)*$AP$5:$AP$24)*C36+IF(3=0,IF(sel_loc&lt;&gt;"miami",personal_costoMudanzaInicial,0),0)</f>
        <v/>
      </c>
      <c r="O36" s="7">
        <f>MIN(personal_aporte403bPct*D36,retiro_limite403b*C36)</f>
        <v/>
      </c>
      <c r="P36" s="7">
        <f>MIN(personal_aporte403bPct,personal_match403bPct)*E36</f>
        <v/>
      </c>
      <c r="Q36" s="7">
        <f>IF(G36&gt;0,MAX(0,G36-impuestos_scorpCostoAnual*C36),0)</f>
        <v/>
      </c>
      <c r="R36" s="7">
        <f>Q36*impuestos_scorpSalarioPct/(1+impuestos_ssTasa+impuestos_medicareTasa)</f>
        <v/>
      </c>
      <c r="S36" s="7">
        <f>impuestos_ssTasa*MIN(R36,MAX(0,impuestos_ssTope*C36-D36))+impuestos_medicareTasa*R36</f>
        <v/>
      </c>
      <c r="T36" s="7">
        <f>Q36-R36-S36</f>
        <v/>
      </c>
      <c r="U36" s="7">
        <f>D36+R36</f>
        <v/>
      </c>
      <c r="V36" s="7">
        <f>H36*0.9235</f>
        <v/>
      </c>
      <c r="W36" s="7">
        <f>IF(H36&gt;0,2*impuestos_ssTasa*MIN(V36,MAX(0,impuestos_ssTope*C36-U36))+2*impuestos_medicareTasa*V36,0)</f>
        <v/>
      </c>
      <c r="X36" s="7">
        <f>impuestos_ssTasa*MIN(U36,impuestos_ssTope*C36)+impuestos_medicareTasa*U36+impuestos_medicareAdicional*MAX(0,U36+H36*0.9235-impuestos_medicareUmbral)</f>
        <v/>
      </c>
      <c r="Y36" s="7">
        <f>MAX(0,D36-O36+R36+T36+H36-W36/2)</f>
        <v/>
      </c>
      <c r="Z36" s="7">
        <f>MAX(0,Y36-impuestos_deduccionEstandar*C36)</f>
        <v/>
      </c>
      <c r="AA36" s="7">
        <f>MIN(0.2*MAX(0,T36+H36-W36/2)*MAX(0,MIN(1,1-(Z36-impuestos_qbiUmbral*C36)/(impuestos_qbiRango*C36))),0.2*Z36)</f>
        <v/>
      </c>
      <c r="AB36" s="7">
        <f>MAX(0,Z36-AA36)</f>
        <v/>
      </c>
      <c r="AC36" s="7">
        <f>SUMPRODUCT((AB36&gt;tb_federalBrackets_lo*C36)*(AB36-tb_federalBrackets_lo*C36)*tb_federalBrackets_dr)</f>
        <v/>
      </c>
      <c r="AD36" s="7">
        <f>MAX(0,Y36-impuestos_nyDeduccion*C36)</f>
        <v/>
      </c>
      <c r="AE36" s="7">
        <f>CHOOSE(loc_taxcode,0,impuestos_ohTasa*MAX(0,Y36-impuestos_ohExento*C36)+impuestos_ohMunicipal*U36,SUMPRODUCT((AD36&gt;tb_nyBrackets_lo*C36)*(AD36-tb_nyBrackets_lo*C36)*tb_nyBrackets_dr)+loc_nyc*SUMPRODUCT((AD36&gt;tb_nycBrackets_lo*C36)*(AD36-tb_nycBrackets_lo*C36)*tb_nycBrackets_dr))</f>
        <v/>
      </c>
      <c r="AF36" s="7">
        <f>AC36+AE36+X36+W36</f>
        <v/>
      </c>
      <c r="AG36" s="7">
        <f>D36+F36+R36+T36+H36</f>
        <v/>
      </c>
      <c r="AH36" s="7">
        <f>AG36-AF36-O36</f>
        <v/>
      </c>
      <c r="AI36" s="7">
        <f>D36+F36+G36+H36</f>
        <v/>
      </c>
      <c r="AJ36" s="7">
        <f>loc_gastosVida*C36*g_gastos</f>
        <v/>
      </c>
      <c r="AK36" s="7">
        <f>IF(3=0,personal_liquidoInicial,DR35)</f>
        <v/>
      </c>
      <c r="AL36" s="7">
        <f>IF(3=0,0,BB35)</f>
        <v/>
      </c>
      <c r="AM36" s="7">
        <f>CHOOSE(sel_cfgIdx,loc_precio_duplex,loc_precio_inlaw,loc_precio_dosCasas,loc_precio_casaAdu,loc_precio_multi)</f>
        <v/>
      </c>
      <c r="AN36" s="7">
        <f>AM36*(1+g_appr)^(A36-2026)</f>
        <v/>
      </c>
      <c r="AO36" s="7">
        <f>IF(AND(M36=1,vivienda_prestamoMedico=1),1,0)</f>
        <v/>
      </c>
      <c r="AP36" s="7">
        <f>IF(AO36=1,0.05,vivienda_enganchePct)</f>
        <v/>
      </c>
      <c r="AQ36" s="7">
        <f>AN36*(1-AP36)</f>
        <v/>
      </c>
      <c r="AR36" s="7">
        <f>PMT(g_mortRate/12,vivienda_plazoHipoteca*12,-AQ36)</f>
        <v/>
      </c>
      <c r="AS36" s="7">
        <f>INDEX(cfg_units,sel_cfgIdx)</f>
        <v/>
      </c>
      <c r="AT36" s="7">
        <f>AS36*loc_rentaUnidad*(1+g_inf)^(A36-2026)*(1-vivienda_vacancia)</f>
        <v/>
      </c>
      <c r="AU36" s="7">
        <f>AR36+AN36*loc_impuestoPropPct/12+AM36*loc_seguroPct*(1+vivienda_inflacionSeguro)^(A36-2026)/12+IF(AND(AO36=0,AP36&lt;0.2),AQ36*vivienda_pmiTasa/12,0)</f>
        <v/>
      </c>
      <c r="AV36" s="7">
        <f>AN36*AP36+AN36*vivienda_cierrePct+general_reservaMeses/12*AJ36</f>
        <v/>
      </c>
      <c r="AW36" s="7">
        <f>(IF(3=0,MIN(personal_irsSaldo,personal_irsPagoMensual*12),MIN(CD35,personal_irsPagoMensual*12))+IF(CE36&gt;0,PMT(CF36,MAX(1,prestamos_plazoAnios-CG36),-CE36),0)+IF(CR36&gt;0,PMT(CS36,MAX(1,prestamos_plazoAnios-CT36),-CR36),0))/12</f>
        <v/>
      </c>
      <c r="AX36" s="7">
        <f>IF(OR(sel_cfg="duplex",sel_cfg="multi",sel_cfg="dosCasas"),0.75*personal_aporteFamiliaMensual,0)</f>
        <v/>
      </c>
      <c r="AY36" s="7">
        <f>AU36-0.75*AT36-AX36+AW36</f>
        <v/>
      </c>
      <c r="AZ36" s="7">
        <f>(D36+G36+H36+0.5*F36)/12</f>
        <v/>
      </c>
      <c r="BA36" s="7">
        <f>IF(AND(AL36=0,A36&gt;=vivienda_anioMinCompra,J36&lt;0.5,AI36&gt;0,AK36&gt;=AV36,AY36&lt;=vivienda_dtiMax*AZ36),1,0)</f>
        <v/>
      </c>
      <c r="BB36" s="7">
        <f>MAX(AL36,BA36)</f>
        <v/>
      </c>
      <c r="BC36" s="7">
        <f>IF(BA36=1,A36,IF(3=0,"",BC35))</f>
        <v/>
      </c>
      <c r="BD36" s="7">
        <f>AK36-IF(BA36=1,AN36*AP36+AN36*vivienda_cierrePct,0)</f>
        <v/>
      </c>
      <c r="BE36" s="7">
        <f>IF(BA36=1,AN36,IF(3=0,0,BE35))</f>
        <v/>
      </c>
      <c r="BF36" s="7">
        <f>IF(BA36=1,AR36,IF(3=0,0,BF35))</f>
        <v/>
      </c>
      <c r="BG36" s="7">
        <f>IF(BA36=1,IF(AND(AO36=0,AP36&lt;0.2),1,0),IF(3=0,0,BY35))</f>
        <v/>
      </c>
      <c r="BH36" s="7">
        <f>IF(sel_cfg="casaAdu",1,0)</f>
        <v/>
      </c>
      <c r="BI36" s="7">
        <f>IF(AND(BB36=1,BH36=1,IF(3=0,0,BJ35)=0,A36&gt;=IF(BC36="",9999,BC36)+vivienda_aduRetrasoAnios),1,0)</f>
        <v/>
      </c>
      <c r="BJ36" s="7">
        <f>MAX(IF(3=0,0,BJ35),BI36)</f>
        <v/>
      </c>
      <c r="BK36" s="7">
        <f>IF(BI36=1,PMT((g_mortRate+0.005)/12,180,-loc_precio_aduCosto*C36),IF(3=0,0,BK35))</f>
        <v/>
      </c>
      <c r="BL36" s="7">
        <f>IF(BA36=1,AN36,IF(3=0,0,DT35))+IF(BI36=1,loc_precio_aduCosto*C36,0)</f>
        <v/>
      </c>
      <c r="BM36" s="7">
        <f>IF(BA36=1,AQ36,IF(3=0,0,DU35))</f>
        <v/>
      </c>
      <c r="BN36" s="7">
        <f>IF(BM36&lt;=0,0,FV(g_mortRate/12,12,BF36,-BM36))</f>
        <v/>
      </c>
      <c r="BO36" s="7">
        <f>IF(BM36&lt;=0,0,12*BF36+MIN(0,BN36))</f>
        <v/>
      </c>
      <c r="BP36" s="7">
        <f>MAX(0,BN36)</f>
        <v/>
      </c>
      <c r="BQ36" s="7">
        <f>IF(BI36=1,loc_precio_aduCosto*C36,IF(3=0,0,DV35))</f>
        <v/>
      </c>
      <c r="BR36" s="7">
        <f>IF(BQ36&lt;=0,0,FV((g_mortRate+0.005)/12,12,BK36,-BQ36))</f>
        <v/>
      </c>
      <c r="BS36" s="7">
        <f>IF(BQ36&lt;=0,0,12*BK36+MIN(0,BR36))</f>
        <v/>
      </c>
      <c r="BT36" s="7">
        <f>MAX(0,BR36)</f>
        <v/>
      </c>
      <c r="BU36" s="7">
        <f>IF(BB36=1,AM36*loc_seguroPct*(1+vivienda_inflacionSeguro)^(A36-2026)*IF(BJ36=1,1+loc_precio_aduCosto/AM36,1),0)</f>
        <v/>
      </c>
      <c r="BV36" s="7">
        <f>BL36*loc_impuestoPropPct</f>
        <v/>
      </c>
      <c r="BW36" s="7">
        <f>BL36*vivienda_mantenimientoPct</f>
        <v/>
      </c>
      <c r="BX36" s="7">
        <f>IF(AND(BG36=1,BP36&gt;0.8*BE36),BE36*(1-vivienda_enganchePct)*vivienda_pmiTasa,0)</f>
        <v/>
      </c>
      <c r="BY36" s="7">
        <f>IF(AND(BG36=1,BP36&gt;0.8*BE36),1,0)</f>
        <v/>
      </c>
      <c r="BZ36" s="7">
        <f>IF(BB36=1,AS36*loc_rentaUnidad*12*C36*(1-vivienda_vacancia)*(1-vivienda_gestionPct),0)</f>
        <v/>
      </c>
      <c r="CA36" s="7">
        <f>IF(BB36=1,BO36+BS36+BU36+BV36+BW36+BX36,loc_rentaMensual*12*C36)</f>
        <v/>
      </c>
      <c r="CB36" s="7">
        <f>IF(BB36=1,personal_aporteFamiliaMensual*12,0)</f>
        <v/>
      </c>
      <c r="CC36" s="7">
        <f>MIN(IF(3=0,personal_irsSaldo,CD35),personal_irsPagoMensual*12)</f>
        <v/>
      </c>
      <c r="CD36" s="7">
        <f>IF(3=0,personal_irsSaldo,CD35)-CC36</f>
        <v/>
      </c>
      <c r="CE36" s="7">
        <f>IF(3=0,IF(personal_deudaEsFederal=1,personal_deudaEstudiantil,0),DW35)</f>
        <v/>
      </c>
      <c r="CF36" s="7">
        <f>IF(3=0,personal_tasaDeudaEstudiantil,DX35)</f>
        <v/>
      </c>
      <c r="CG36" s="7">
        <f>IF(3=0,0,DY35)</f>
        <v/>
      </c>
      <c r="CH36" s="7">
        <f>IF(J36&gt;=0.5,1,0)</f>
        <v/>
      </c>
      <c r="CI36" s="7">
        <f>IF(AND(CH36=0,prestamos_pslfActivo=1,K36&gt;=0.5,CE36&gt;0),1,0)</f>
        <v/>
      </c>
      <c r="CJ36" s="7">
        <f>CE36*CF36</f>
        <v/>
      </c>
      <c r="CK36" s="7">
        <f>MAX(prestamos_rapPagoMinimoAnual,IF(Y36&lt;10000,0,MIN(0.1,INT(Y36/10000)/100))*Y36)</f>
        <v/>
      </c>
      <c r="CL36" s="7">
        <f>IF(CE36&lt;=0,0,IF(CH36=1,0,IF(CI36=1,MIN(CE36+CJ36,CK36),PMT(CF36,MAX(1,prestamos_plazoAnios-CG36),-CE36))))</f>
        <v/>
      </c>
      <c r="CM36" s="7">
        <f>IF(CE36&lt;=0,0,IF(CH36=1,CE36+CJ36,IF(CI36=1,MAX(0,CE36-MAX(CL36-CJ36,MIN(600,CL36))),MAX(0,CE36*(1+CF36)-CL36))))</f>
        <v/>
      </c>
      <c r="CN36" s="7">
        <f>IF(3=0,0,CN35)+IF(CI36=1,12*MIN(1,K36),0)</f>
        <v/>
      </c>
      <c r="CO36" s="7">
        <f>IF(AND(CI36=1,CN36&gt;=prestamos_pslfPagos,CM36&gt;0),CM36,0)</f>
        <v/>
      </c>
      <c r="CP36" s="7">
        <f>CM36-CO36</f>
        <v/>
      </c>
      <c r="CQ36" s="7">
        <f>IF(AND(CE36&gt;0,CH36=0,CI36=0),CG36+1,CG36)</f>
        <v/>
      </c>
      <c r="CR36" s="7">
        <f>IF(3=0,IF(personal_deudaEsFederal=1,0,personal_deudaEstudiantil),EA35)</f>
        <v/>
      </c>
      <c r="CS36" s="7">
        <f>IF(3=0,IF(personal_deudaEsFederal=1,prestamos_tasaPrivada,personal_tasaDeudaEstudiantil),EB35)</f>
        <v/>
      </c>
      <c r="CT36" s="7">
        <f>IF(3=0,0,EC35)</f>
        <v/>
      </c>
      <c r="CU36" s="7">
        <f>IF(OR(CR36&lt;=0,CH36=1),0,PMT(CS36,MAX(1,prestamos_plazoAnios-CT36),-CR36))</f>
        <v/>
      </c>
      <c r="CV36" s="7">
        <f>IF(CR36&lt;=0,0,IF(CH36=1,CR36*(1+CS36),MAX(0,CR36*(1+CS36)-CU36)))</f>
        <v/>
      </c>
      <c r="CW36" s="7">
        <f>IF(AND(CR36&gt;0,CH36=0),CT36+1,CT36)</f>
        <v/>
      </c>
      <c r="CX36" s="7">
        <f>IF(3=0,0,ED35)*(1+general_tasaDeudaConsumo)</f>
        <v/>
      </c>
      <c r="CY36" s="7">
        <f>L36*12*tiempos_travelGastoExtraMes*C36</f>
        <v/>
      </c>
      <c r="CZ36" s="7">
        <f>AJ36+CY36+CA36+CC36+CL36+CU36+I36+N36-BZ36-CB36</f>
        <v/>
      </c>
      <c r="DA36" s="7">
        <f>AH36-CZ36</f>
        <v/>
      </c>
      <c r="DB36" s="7">
        <f>IF(3=0,0,DB35)+DA36</f>
        <v/>
      </c>
      <c r="DC36" s="7">
        <f>AN36*vivienda_enganchePct+AN36*vivienda_cierrePct+general_reservaMeses/12*AJ36</f>
        <v/>
      </c>
      <c r="DD36" s="7">
        <f>IF(BB36=1,g_ret,IF(BD36&gt;0,MIN(1,DC36/BD36),1)*g_cash+(1-IF(BD36&gt;0,MIN(1,DC36/BD36),1))*g_ret)</f>
        <v/>
      </c>
      <c r="DE36" s="7">
        <f>IF(DA36&gt;=0,MIN(CX36,DA36),0)</f>
        <v/>
      </c>
      <c r="DF36" s="7">
        <f>IF(DA36&gt;=0,(1-general_tasaAhorro)*(DA36-DE36),0)</f>
        <v/>
      </c>
      <c r="DG36" s="7">
        <f>IF(DA36&gt;=0,DA36-DE36-DF36,0)</f>
        <v/>
      </c>
      <c r="DH36" s="7">
        <f>MIN(personal_rothAnual,DG36)</f>
        <v/>
      </c>
      <c r="DI36" s="7">
        <f>IF(AND(DA36&gt;=0,BB36=1,BP36+BT36&gt;0),MIN(vivienda_prepagoPct*(DG36-DH36),BP36+BT36),0)</f>
        <v/>
      </c>
      <c r="DJ36" s="7">
        <f>MIN(DI36,BP36)</f>
        <v/>
      </c>
      <c r="DK36" s="7">
        <f>IF(DA36&lt;0,MIN(MAX(0,BD36),-DA36),0)</f>
        <v/>
      </c>
      <c r="DL36" s="7">
        <f>IF(DA36&lt;0,-DA36-DK36,0)</f>
        <v/>
      </c>
      <c r="DM36" s="7">
        <f>IF(3=0,0,DZ35)</f>
        <v/>
      </c>
      <c r="DN36" s="7">
        <f>IF(AND(DL36&gt;0,J36&gt;0),MIN(DL36,MIN(prestamos_topeAnualPosgrado*MIN(1,J36),MAX(0,prestamos_topeTotalPosgrado-DM36))),0)</f>
        <v/>
      </c>
      <c r="DO36" s="7">
        <f>IF(AND(DL36&gt;0,J36&gt;0),DL36-DN36,0)</f>
        <v/>
      </c>
      <c r="DP36" s="7">
        <f>IF(AND(DL36&gt;0,J36&lt;=0),DL36,0)</f>
        <v/>
      </c>
      <c r="DQ36" s="7">
        <f>IF(DA36&gt;=0,DG36-DH36-DI36,-DK36)</f>
        <v/>
      </c>
      <c r="DR36" s="7">
        <f>BD36*(1+DD36)+DQ36*(1+DD36/2)</f>
        <v/>
      </c>
      <c r="DS36" s="7">
        <f>IF(3=0,personal_retiroInicial,DS35)*(1+g_ret)+(O36+P36+DH36)*(1+g_ret/2)</f>
        <v/>
      </c>
      <c r="DT36" s="7">
        <f>IF(BB36=1,BL36*(1+g_appr),0)</f>
        <v/>
      </c>
      <c r="DU36" s="7">
        <f>BP36-DJ36</f>
        <v/>
      </c>
      <c r="DV36" s="7">
        <f>BT36-(DI36-DJ36)</f>
        <v/>
      </c>
      <c r="DW36" s="7">
        <f>CP36+DN36</f>
        <v/>
      </c>
      <c r="DX36" s="7">
        <f>IF(DN36&gt;0,(CP36*CF36+DN36*prestamos_tasaFederalPosgrado)/(CP36+DN36),CF36)</f>
        <v/>
      </c>
      <c r="DY36" s="7">
        <f>IF(DN36&gt;0,0,CQ36)</f>
        <v/>
      </c>
      <c r="DZ36" s="7">
        <f>DM36+DN36</f>
        <v/>
      </c>
      <c r="EA36" s="7">
        <f>CV36+DO36</f>
        <v/>
      </c>
      <c r="EB36" s="7">
        <f>IF(DO36&gt;0,(CV36*CS36+DO36*prestamos_tasaPrivada)/(CV36+DO36),CS36)</f>
        <v/>
      </c>
      <c r="EC36" s="7">
        <f>IF(DO36&gt;0,0,CW36)</f>
        <v/>
      </c>
      <c r="ED36" s="7">
        <f>CX36-DE36+DP36</f>
        <v/>
      </c>
      <c r="EE36" s="7">
        <f>IF(IF(3=0,"",EE35)&lt;&gt;"",EE35,IF(AND(BB36=1,DU36&lt;=0.5,DV36&lt;=0.5,OR(BH36=0,BJ36=1)),A36,""))</f>
        <v/>
      </c>
      <c r="EF36" s="7">
        <f>DU36+DV36+DW36+EA36+ED36+CD36</f>
        <v/>
      </c>
      <c r="EG36" s="7">
        <f>DR36+DS36+DT36-EF36</f>
        <v/>
      </c>
      <c r="EH36" s="7">
        <f>EG36/(1+g_inf)^(A36+1-2026)</f>
        <v/>
      </c>
    </row>
    <row r="37">
      <c r="A37" t="n">
        <v>2031</v>
      </c>
      <c r="B37" t="n">
        <v>4</v>
      </c>
      <c r="C37" s="7">
        <f>(1+g_inf)^(A37-2026)</f>
        <v/>
      </c>
      <c r="D37" s="7">
        <f>SUMPRODUCT($X$5:$X$29,$E$5:$E$29*(1+$F$5:$F$29)^(A37-2026)*$G$5:$G$29*$H$5:$H$29*(1-$N$5:$N$29*$O$5:$O$29))*g_salMult+SUMPRODUCT(($B$5:$B$29&gt;=A37)*($B$5:$B$29&lt;A37+1)*$I$5:$I$29)*g_salMult</f>
        <v/>
      </c>
      <c r="E37" s="7">
        <f>SUMPRODUCT($X$5:$X$29,$E$5:$E$29*(1+$F$5:$F$29)^(A37-2026)*$G$5:$G$29*$H$5:$H$29*$M$5:$M$29)*g_salMult</f>
        <v/>
      </c>
      <c r="F37" s="7">
        <f>SUMPRODUCT($X$5:$X$29,$E$5:$E$29*(1+$F$5:$F$29)^(A37-2026)*$G$5:$G$29*$H$5:$H$29*$N$5:$N$29*$O$5:$O$29)*g_salMult</f>
        <v/>
      </c>
      <c r="G37" s="7">
        <f>SUMPRODUCT($X$5:$X$29,$P$5:$P$29*(1+$F$5:$F$29)^(A37-2026))</f>
        <v/>
      </c>
      <c r="H37" s="7">
        <f>SUMPRODUCT($X$5:$X$29,$Q$5:$Q$29*(1+$F$5:$F$29)^(A37-2026))+IF(personal_llcActivo=1,personal_llcNeto*(1+personal_llcCrecimiento)^4,0)</f>
        <v/>
      </c>
      <c r="I37" s="7">
        <f>SUMPRODUCT($X$5:$X$29,$J$5:$J$29/($C$5:$C$29-$B$5:$B$29+($C$5:$C$29=$B$5:$B$29)))*C37</f>
        <v/>
      </c>
      <c r="J37" s="7">
        <f>SUMPRODUCT($X$5:$X$29,$K$5:$K$29)</f>
        <v/>
      </c>
      <c r="K37" s="7">
        <f>SUMPRODUCT($X$5:$X$29,$L$5:$L$29)</f>
        <v/>
      </c>
      <c r="L37" s="7">
        <f>SUMPRODUCT($X$5:$X$29,$N$5:$N$29)</f>
        <v/>
      </c>
      <c r="M37" s="7">
        <f>IF(SUMPRODUCT($X$5:$X$29,$R$5:$R$29)&gt;0,1,0)</f>
        <v/>
      </c>
      <c r="N37" s="7">
        <f>SUMPRODUCT(($AO$5:$AO$24&gt;=A37)*($AO$5:$AO$24&lt;A37+1)*$AP$5:$AP$24)*C37+IF(4=0,IF(sel_loc&lt;&gt;"miami",personal_costoMudanzaInicial,0),0)</f>
        <v/>
      </c>
      <c r="O37" s="7">
        <f>MIN(personal_aporte403bPct*D37,retiro_limite403b*C37)</f>
        <v/>
      </c>
      <c r="P37" s="7">
        <f>MIN(personal_aporte403bPct,personal_match403bPct)*E37</f>
        <v/>
      </c>
      <c r="Q37" s="7">
        <f>IF(G37&gt;0,MAX(0,G37-impuestos_scorpCostoAnual*C37),0)</f>
        <v/>
      </c>
      <c r="R37" s="7">
        <f>Q37*impuestos_scorpSalarioPct/(1+impuestos_ssTasa+impuestos_medicareTasa)</f>
        <v/>
      </c>
      <c r="S37" s="7">
        <f>impuestos_ssTasa*MIN(R37,MAX(0,impuestos_ssTope*C37-D37))+impuestos_medicareTasa*R37</f>
        <v/>
      </c>
      <c r="T37" s="7">
        <f>Q37-R37-S37</f>
        <v/>
      </c>
      <c r="U37" s="7">
        <f>D37+R37</f>
        <v/>
      </c>
      <c r="V37" s="7">
        <f>H37*0.9235</f>
        <v/>
      </c>
      <c r="W37" s="7">
        <f>IF(H37&gt;0,2*impuestos_ssTasa*MIN(V37,MAX(0,impuestos_ssTope*C37-U37))+2*impuestos_medicareTasa*V37,0)</f>
        <v/>
      </c>
      <c r="X37" s="7">
        <f>impuestos_ssTasa*MIN(U37,impuestos_ssTope*C37)+impuestos_medicareTasa*U37+impuestos_medicareAdicional*MAX(0,U37+H37*0.9235-impuestos_medicareUmbral)</f>
        <v/>
      </c>
      <c r="Y37" s="7">
        <f>MAX(0,D37-O37+R37+T37+H37-W37/2)</f>
        <v/>
      </c>
      <c r="Z37" s="7">
        <f>MAX(0,Y37-impuestos_deduccionEstandar*C37)</f>
        <v/>
      </c>
      <c r="AA37" s="7">
        <f>MIN(0.2*MAX(0,T37+H37-W37/2)*MAX(0,MIN(1,1-(Z37-impuestos_qbiUmbral*C37)/(impuestos_qbiRango*C37))),0.2*Z37)</f>
        <v/>
      </c>
      <c r="AB37" s="7">
        <f>MAX(0,Z37-AA37)</f>
        <v/>
      </c>
      <c r="AC37" s="7">
        <f>SUMPRODUCT((AB37&gt;tb_federalBrackets_lo*C37)*(AB37-tb_federalBrackets_lo*C37)*tb_federalBrackets_dr)</f>
        <v/>
      </c>
      <c r="AD37" s="7">
        <f>MAX(0,Y37-impuestos_nyDeduccion*C37)</f>
        <v/>
      </c>
      <c r="AE37" s="7">
        <f>CHOOSE(loc_taxcode,0,impuestos_ohTasa*MAX(0,Y37-impuestos_ohExento*C37)+impuestos_ohMunicipal*U37,SUMPRODUCT((AD37&gt;tb_nyBrackets_lo*C37)*(AD37-tb_nyBrackets_lo*C37)*tb_nyBrackets_dr)+loc_nyc*SUMPRODUCT((AD37&gt;tb_nycBrackets_lo*C37)*(AD37-tb_nycBrackets_lo*C37)*tb_nycBrackets_dr))</f>
        <v/>
      </c>
      <c r="AF37" s="7">
        <f>AC37+AE37+X37+W37</f>
        <v/>
      </c>
      <c r="AG37" s="7">
        <f>D37+F37+R37+T37+H37</f>
        <v/>
      </c>
      <c r="AH37" s="7">
        <f>AG37-AF37-O37</f>
        <v/>
      </c>
      <c r="AI37" s="7">
        <f>D37+F37+G37+H37</f>
        <v/>
      </c>
      <c r="AJ37" s="7">
        <f>loc_gastosVida*C37*g_gastos</f>
        <v/>
      </c>
      <c r="AK37" s="7">
        <f>IF(4=0,personal_liquidoInicial,DR36)</f>
        <v/>
      </c>
      <c r="AL37" s="7">
        <f>IF(4=0,0,BB36)</f>
        <v/>
      </c>
      <c r="AM37" s="7">
        <f>CHOOSE(sel_cfgIdx,loc_precio_duplex,loc_precio_inlaw,loc_precio_dosCasas,loc_precio_casaAdu,loc_precio_multi)</f>
        <v/>
      </c>
      <c r="AN37" s="7">
        <f>AM37*(1+g_appr)^(A37-2026)</f>
        <v/>
      </c>
      <c r="AO37" s="7">
        <f>IF(AND(M37=1,vivienda_prestamoMedico=1),1,0)</f>
        <v/>
      </c>
      <c r="AP37" s="7">
        <f>IF(AO37=1,0.05,vivienda_enganchePct)</f>
        <v/>
      </c>
      <c r="AQ37" s="7">
        <f>AN37*(1-AP37)</f>
        <v/>
      </c>
      <c r="AR37" s="7">
        <f>PMT(g_mortRate/12,vivienda_plazoHipoteca*12,-AQ37)</f>
        <v/>
      </c>
      <c r="AS37" s="7">
        <f>INDEX(cfg_units,sel_cfgIdx)</f>
        <v/>
      </c>
      <c r="AT37" s="7">
        <f>AS37*loc_rentaUnidad*(1+g_inf)^(A37-2026)*(1-vivienda_vacancia)</f>
        <v/>
      </c>
      <c r="AU37" s="7">
        <f>AR37+AN37*loc_impuestoPropPct/12+AM37*loc_seguroPct*(1+vivienda_inflacionSeguro)^(A37-2026)/12+IF(AND(AO37=0,AP37&lt;0.2),AQ37*vivienda_pmiTasa/12,0)</f>
        <v/>
      </c>
      <c r="AV37" s="7">
        <f>AN37*AP37+AN37*vivienda_cierrePct+general_reservaMeses/12*AJ37</f>
        <v/>
      </c>
      <c r="AW37" s="7">
        <f>(IF(4=0,MIN(personal_irsSaldo,personal_irsPagoMensual*12),MIN(CD36,personal_irsPagoMensual*12))+IF(CE37&gt;0,PMT(CF37,MAX(1,prestamos_plazoAnios-CG37),-CE37),0)+IF(CR37&gt;0,PMT(CS37,MAX(1,prestamos_plazoAnios-CT37),-CR37),0))/12</f>
        <v/>
      </c>
      <c r="AX37" s="7">
        <f>IF(OR(sel_cfg="duplex",sel_cfg="multi",sel_cfg="dosCasas"),0.75*personal_aporteFamiliaMensual,0)</f>
        <v/>
      </c>
      <c r="AY37" s="7">
        <f>AU37-0.75*AT37-AX37+AW37</f>
        <v/>
      </c>
      <c r="AZ37" s="7">
        <f>(D37+G37+H37+0.5*F37)/12</f>
        <v/>
      </c>
      <c r="BA37" s="7">
        <f>IF(AND(AL37=0,A37&gt;=vivienda_anioMinCompra,J37&lt;0.5,AI37&gt;0,AK37&gt;=AV37,AY37&lt;=vivienda_dtiMax*AZ37),1,0)</f>
        <v/>
      </c>
      <c r="BB37" s="7">
        <f>MAX(AL37,BA37)</f>
        <v/>
      </c>
      <c r="BC37" s="7">
        <f>IF(BA37=1,A37,IF(4=0,"",BC36))</f>
        <v/>
      </c>
      <c r="BD37" s="7">
        <f>AK37-IF(BA37=1,AN37*AP37+AN37*vivienda_cierrePct,0)</f>
        <v/>
      </c>
      <c r="BE37" s="7">
        <f>IF(BA37=1,AN37,IF(4=0,0,BE36))</f>
        <v/>
      </c>
      <c r="BF37" s="7">
        <f>IF(BA37=1,AR37,IF(4=0,0,BF36))</f>
        <v/>
      </c>
      <c r="BG37" s="7">
        <f>IF(BA37=1,IF(AND(AO37=0,AP37&lt;0.2),1,0),IF(4=0,0,BY36))</f>
        <v/>
      </c>
      <c r="BH37" s="7">
        <f>IF(sel_cfg="casaAdu",1,0)</f>
        <v/>
      </c>
      <c r="BI37" s="7">
        <f>IF(AND(BB37=1,BH37=1,IF(4=0,0,BJ36)=0,A37&gt;=IF(BC37="",9999,BC37)+vivienda_aduRetrasoAnios),1,0)</f>
        <v/>
      </c>
      <c r="BJ37" s="7">
        <f>MAX(IF(4=0,0,BJ36),BI37)</f>
        <v/>
      </c>
      <c r="BK37" s="7">
        <f>IF(BI37=1,PMT((g_mortRate+0.005)/12,180,-loc_precio_aduCosto*C37),IF(4=0,0,BK36))</f>
        <v/>
      </c>
      <c r="BL37" s="7">
        <f>IF(BA37=1,AN37,IF(4=0,0,DT36))+IF(BI37=1,loc_precio_aduCosto*C37,0)</f>
        <v/>
      </c>
      <c r="BM37" s="7">
        <f>IF(BA37=1,AQ37,IF(4=0,0,DU36))</f>
        <v/>
      </c>
      <c r="BN37" s="7">
        <f>IF(BM37&lt;=0,0,FV(g_mortRate/12,12,BF37,-BM37))</f>
        <v/>
      </c>
      <c r="BO37" s="7">
        <f>IF(BM37&lt;=0,0,12*BF37+MIN(0,BN37))</f>
        <v/>
      </c>
      <c r="BP37" s="7">
        <f>MAX(0,BN37)</f>
        <v/>
      </c>
      <c r="BQ37" s="7">
        <f>IF(BI37=1,loc_precio_aduCosto*C37,IF(4=0,0,DV36))</f>
        <v/>
      </c>
      <c r="BR37" s="7">
        <f>IF(BQ37&lt;=0,0,FV((g_mortRate+0.005)/12,12,BK37,-BQ37))</f>
        <v/>
      </c>
      <c r="BS37" s="7">
        <f>IF(BQ37&lt;=0,0,12*BK37+MIN(0,BR37))</f>
        <v/>
      </c>
      <c r="BT37" s="7">
        <f>MAX(0,BR37)</f>
        <v/>
      </c>
      <c r="BU37" s="7">
        <f>IF(BB37=1,AM37*loc_seguroPct*(1+vivienda_inflacionSeguro)^(A37-2026)*IF(BJ37=1,1+loc_precio_aduCosto/AM37,1),0)</f>
        <v/>
      </c>
      <c r="BV37" s="7">
        <f>BL37*loc_impuestoPropPct</f>
        <v/>
      </c>
      <c r="BW37" s="7">
        <f>BL37*vivienda_mantenimientoPct</f>
        <v/>
      </c>
      <c r="BX37" s="7">
        <f>IF(AND(BG37=1,BP37&gt;0.8*BE37),BE37*(1-vivienda_enganchePct)*vivienda_pmiTasa,0)</f>
        <v/>
      </c>
      <c r="BY37" s="7">
        <f>IF(AND(BG37=1,BP37&gt;0.8*BE37),1,0)</f>
        <v/>
      </c>
      <c r="BZ37" s="7">
        <f>IF(BB37=1,AS37*loc_rentaUnidad*12*C37*(1-vivienda_vacancia)*(1-vivienda_gestionPct),0)</f>
        <v/>
      </c>
      <c r="CA37" s="7">
        <f>IF(BB37=1,BO37+BS37+BU37+BV37+BW37+BX37,loc_rentaMensual*12*C37)</f>
        <v/>
      </c>
      <c r="CB37" s="7">
        <f>IF(BB37=1,personal_aporteFamiliaMensual*12,0)</f>
        <v/>
      </c>
      <c r="CC37" s="7">
        <f>MIN(IF(4=0,personal_irsSaldo,CD36),personal_irsPagoMensual*12)</f>
        <v/>
      </c>
      <c r="CD37" s="7">
        <f>IF(4=0,personal_irsSaldo,CD36)-CC37</f>
        <v/>
      </c>
      <c r="CE37" s="7">
        <f>IF(4=0,IF(personal_deudaEsFederal=1,personal_deudaEstudiantil,0),DW36)</f>
        <v/>
      </c>
      <c r="CF37" s="7">
        <f>IF(4=0,personal_tasaDeudaEstudiantil,DX36)</f>
        <v/>
      </c>
      <c r="CG37" s="7">
        <f>IF(4=0,0,DY36)</f>
        <v/>
      </c>
      <c r="CH37" s="7">
        <f>IF(J37&gt;=0.5,1,0)</f>
        <v/>
      </c>
      <c r="CI37" s="7">
        <f>IF(AND(CH37=0,prestamos_pslfActivo=1,K37&gt;=0.5,CE37&gt;0),1,0)</f>
        <v/>
      </c>
      <c r="CJ37" s="7">
        <f>CE37*CF37</f>
        <v/>
      </c>
      <c r="CK37" s="7">
        <f>MAX(prestamos_rapPagoMinimoAnual,IF(Y37&lt;10000,0,MIN(0.1,INT(Y37/10000)/100))*Y37)</f>
        <v/>
      </c>
      <c r="CL37" s="7">
        <f>IF(CE37&lt;=0,0,IF(CH37=1,0,IF(CI37=1,MIN(CE37+CJ37,CK37),PMT(CF37,MAX(1,prestamos_plazoAnios-CG37),-CE37))))</f>
        <v/>
      </c>
      <c r="CM37" s="7">
        <f>IF(CE37&lt;=0,0,IF(CH37=1,CE37+CJ37,IF(CI37=1,MAX(0,CE37-MAX(CL37-CJ37,MIN(600,CL37))),MAX(0,CE37*(1+CF37)-CL37))))</f>
        <v/>
      </c>
      <c r="CN37" s="7">
        <f>IF(4=0,0,CN36)+IF(CI37=1,12*MIN(1,K37),0)</f>
        <v/>
      </c>
      <c r="CO37" s="7">
        <f>IF(AND(CI37=1,CN37&gt;=prestamos_pslfPagos,CM37&gt;0),CM37,0)</f>
        <v/>
      </c>
      <c r="CP37" s="7">
        <f>CM37-CO37</f>
        <v/>
      </c>
      <c r="CQ37" s="7">
        <f>IF(AND(CE37&gt;0,CH37=0,CI37=0),CG37+1,CG37)</f>
        <v/>
      </c>
      <c r="CR37" s="7">
        <f>IF(4=0,IF(personal_deudaEsFederal=1,0,personal_deudaEstudiantil),EA36)</f>
        <v/>
      </c>
      <c r="CS37" s="7">
        <f>IF(4=0,IF(personal_deudaEsFederal=1,prestamos_tasaPrivada,personal_tasaDeudaEstudiantil),EB36)</f>
        <v/>
      </c>
      <c r="CT37" s="7">
        <f>IF(4=0,0,EC36)</f>
        <v/>
      </c>
      <c r="CU37" s="7">
        <f>IF(OR(CR37&lt;=0,CH37=1),0,PMT(CS37,MAX(1,prestamos_plazoAnios-CT37),-CR37))</f>
        <v/>
      </c>
      <c r="CV37" s="7">
        <f>IF(CR37&lt;=0,0,IF(CH37=1,CR37*(1+CS37),MAX(0,CR37*(1+CS37)-CU37)))</f>
        <v/>
      </c>
      <c r="CW37" s="7">
        <f>IF(AND(CR37&gt;0,CH37=0),CT37+1,CT37)</f>
        <v/>
      </c>
      <c r="CX37" s="7">
        <f>IF(4=0,0,ED36)*(1+general_tasaDeudaConsumo)</f>
        <v/>
      </c>
      <c r="CY37" s="7">
        <f>L37*12*tiempos_travelGastoExtraMes*C37</f>
        <v/>
      </c>
      <c r="CZ37" s="7">
        <f>AJ37+CY37+CA37+CC37+CL37+CU37+I37+N37-BZ37-CB37</f>
        <v/>
      </c>
      <c r="DA37" s="7">
        <f>AH37-CZ37</f>
        <v/>
      </c>
      <c r="DB37" s="7">
        <f>IF(4=0,0,DB36)+DA37</f>
        <v/>
      </c>
      <c r="DC37" s="7">
        <f>AN37*vivienda_enganchePct+AN37*vivienda_cierrePct+general_reservaMeses/12*AJ37</f>
        <v/>
      </c>
      <c r="DD37" s="7">
        <f>IF(BB37=1,g_ret,IF(BD37&gt;0,MIN(1,DC37/BD37),1)*g_cash+(1-IF(BD37&gt;0,MIN(1,DC37/BD37),1))*g_ret)</f>
        <v/>
      </c>
      <c r="DE37" s="7">
        <f>IF(DA37&gt;=0,MIN(CX37,DA37),0)</f>
        <v/>
      </c>
      <c r="DF37" s="7">
        <f>IF(DA37&gt;=0,(1-general_tasaAhorro)*(DA37-DE37),0)</f>
        <v/>
      </c>
      <c r="DG37" s="7">
        <f>IF(DA37&gt;=0,DA37-DE37-DF37,0)</f>
        <v/>
      </c>
      <c r="DH37" s="7">
        <f>MIN(personal_rothAnual,DG37)</f>
        <v/>
      </c>
      <c r="DI37" s="7">
        <f>IF(AND(DA37&gt;=0,BB37=1,BP37+BT37&gt;0),MIN(vivienda_prepagoPct*(DG37-DH37),BP37+BT37),0)</f>
        <v/>
      </c>
      <c r="DJ37" s="7">
        <f>MIN(DI37,BP37)</f>
        <v/>
      </c>
      <c r="DK37" s="7">
        <f>IF(DA37&lt;0,MIN(MAX(0,BD37),-DA37),0)</f>
        <v/>
      </c>
      <c r="DL37" s="7">
        <f>IF(DA37&lt;0,-DA37-DK37,0)</f>
        <v/>
      </c>
      <c r="DM37" s="7">
        <f>IF(4=0,0,DZ36)</f>
        <v/>
      </c>
      <c r="DN37" s="7">
        <f>IF(AND(DL37&gt;0,J37&gt;0),MIN(DL37,MIN(prestamos_topeAnualPosgrado*MIN(1,J37),MAX(0,prestamos_topeTotalPosgrado-DM37))),0)</f>
        <v/>
      </c>
      <c r="DO37" s="7">
        <f>IF(AND(DL37&gt;0,J37&gt;0),DL37-DN37,0)</f>
        <v/>
      </c>
      <c r="DP37" s="7">
        <f>IF(AND(DL37&gt;0,J37&lt;=0),DL37,0)</f>
        <v/>
      </c>
      <c r="DQ37" s="7">
        <f>IF(DA37&gt;=0,DG37-DH37-DI37,-DK37)</f>
        <v/>
      </c>
      <c r="DR37" s="7">
        <f>BD37*(1+DD37)+DQ37*(1+DD37/2)</f>
        <v/>
      </c>
      <c r="DS37" s="7">
        <f>IF(4=0,personal_retiroInicial,DS36)*(1+g_ret)+(O37+P37+DH37)*(1+g_ret/2)</f>
        <v/>
      </c>
      <c r="DT37" s="7">
        <f>IF(BB37=1,BL37*(1+g_appr),0)</f>
        <v/>
      </c>
      <c r="DU37" s="7">
        <f>BP37-DJ37</f>
        <v/>
      </c>
      <c r="DV37" s="7">
        <f>BT37-(DI37-DJ37)</f>
        <v/>
      </c>
      <c r="DW37" s="7">
        <f>CP37+DN37</f>
        <v/>
      </c>
      <c r="DX37" s="7">
        <f>IF(DN37&gt;0,(CP37*CF37+DN37*prestamos_tasaFederalPosgrado)/(CP37+DN37),CF37)</f>
        <v/>
      </c>
      <c r="DY37" s="7">
        <f>IF(DN37&gt;0,0,CQ37)</f>
        <v/>
      </c>
      <c r="DZ37" s="7">
        <f>DM37+DN37</f>
        <v/>
      </c>
      <c r="EA37" s="7">
        <f>CV37+DO37</f>
        <v/>
      </c>
      <c r="EB37" s="7">
        <f>IF(DO37&gt;0,(CV37*CS37+DO37*prestamos_tasaPrivada)/(CV37+DO37),CS37)</f>
        <v/>
      </c>
      <c r="EC37" s="7">
        <f>IF(DO37&gt;0,0,CW37)</f>
        <v/>
      </c>
      <c r="ED37" s="7">
        <f>CX37-DE37+DP37</f>
        <v/>
      </c>
      <c r="EE37" s="7">
        <f>IF(IF(4=0,"",EE36)&lt;&gt;"",EE36,IF(AND(BB37=1,DU37&lt;=0.5,DV37&lt;=0.5,OR(BH37=0,BJ37=1)),A37,""))</f>
        <v/>
      </c>
      <c r="EF37" s="7">
        <f>DU37+DV37+DW37+EA37+ED37+CD37</f>
        <v/>
      </c>
      <c r="EG37" s="7">
        <f>DR37+DS37+DT37-EF37</f>
        <v/>
      </c>
      <c r="EH37" s="7">
        <f>EG37/(1+g_inf)^(A37+1-2026)</f>
        <v/>
      </c>
    </row>
    <row r="38">
      <c r="A38" t="n">
        <v>2032</v>
      </c>
      <c r="B38" t="n">
        <v>5</v>
      </c>
      <c r="C38" s="7">
        <f>(1+g_inf)^(A38-2026)</f>
        <v/>
      </c>
      <c r="D38" s="7">
        <f>SUMPRODUCT($Y$5:$Y$29,$E$5:$E$29*(1+$F$5:$F$29)^(A38-2026)*$G$5:$G$29*$H$5:$H$29*(1-$N$5:$N$29*$O$5:$O$29))*g_salMult+SUMPRODUCT(($B$5:$B$29&gt;=A38)*($B$5:$B$29&lt;A38+1)*$I$5:$I$29)*g_salMult</f>
        <v/>
      </c>
      <c r="E38" s="7">
        <f>SUMPRODUCT($Y$5:$Y$29,$E$5:$E$29*(1+$F$5:$F$29)^(A38-2026)*$G$5:$G$29*$H$5:$H$29*$M$5:$M$29)*g_salMult</f>
        <v/>
      </c>
      <c r="F38" s="7">
        <f>SUMPRODUCT($Y$5:$Y$29,$E$5:$E$29*(1+$F$5:$F$29)^(A38-2026)*$G$5:$G$29*$H$5:$H$29*$N$5:$N$29*$O$5:$O$29)*g_salMult</f>
        <v/>
      </c>
      <c r="G38" s="7">
        <f>SUMPRODUCT($Y$5:$Y$29,$P$5:$P$29*(1+$F$5:$F$29)^(A38-2026))</f>
        <v/>
      </c>
      <c r="H38" s="7">
        <f>SUMPRODUCT($Y$5:$Y$29,$Q$5:$Q$29*(1+$F$5:$F$29)^(A38-2026))+IF(personal_llcActivo=1,personal_llcNeto*(1+personal_llcCrecimiento)^5,0)</f>
        <v/>
      </c>
      <c r="I38" s="7">
        <f>SUMPRODUCT($Y$5:$Y$29,$J$5:$J$29/($C$5:$C$29-$B$5:$B$29+($C$5:$C$29=$B$5:$B$29)))*C38</f>
        <v/>
      </c>
      <c r="J38" s="7">
        <f>SUMPRODUCT($Y$5:$Y$29,$K$5:$K$29)</f>
        <v/>
      </c>
      <c r="K38" s="7">
        <f>SUMPRODUCT($Y$5:$Y$29,$L$5:$L$29)</f>
        <v/>
      </c>
      <c r="L38" s="7">
        <f>SUMPRODUCT($Y$5:$Y$29,$N$5:$N$29)</f>
        <v/>
      </c>
      <c r="M38" s="7">
        <f>IF(SUMPRODUCT($Y$5:$Y$29,$R$5:$R$29)&gt;0,1,0)</f>
        <v/>
      </c>
      <c r="N38" s="7">
        <f>SUMPRODUCT(($AO$5:$AO$24&gt;=A38)*($AO$5:$AO$24&lt;A38+1)*$AP$5:$AP$24)*C38+IF(5=0,IF(sel_loc&lt;&gt;"miami",personal_costoMudanzaInicial,0),0)</f>
        <v/>
      </c>
      <c r="O38" s="7">
        <f>MIN(personal_aporte403bPct*D38,retiro_limite403b*C38)</f>
        <v/>
      </c>
      <c r="P38" s="7">
        <f>MIN(personal_aporte403bPct,personal_match403bPct)*E38</f>
        <v/>
      </c>
      <c r="Q38" s="7">
        <f>IF(G38&gt;0,MAX(0,G38-impuestos_scorpCostoAnual*C38),0)</f>
        <v/>
      </c>
      <c r="R38" s="7">
        <f>Q38*impuestos_scorpSalarioPct/(1+impuestos_ssTasa+impuestos_medicareTasa)</f>
        <v/>
      </c>
      <c r="S38" s="7">
        <f>impuestos_ssTasa*MIN(R38,MAX(0,impuestos_ssTope*C38-D38))+impuestos_medicareTasa*R38</f>
        <v/>
      </c>
      <c r="T38" s="7">
        <f>Q38-R38-S38</f>
        <v/>
      </c>
      <c r="U38" s="7">
        <f>D38+R38</f>
        <v/>
      </c>
      <c r="V38" s="7">
        <f>H38*0.9235</f>
        <v/>
      </c>
      <c r="W38" s="7">
        <f>IF(H38&gt;0,2*impuestos_ssTasa*MIN(V38,MAX(0,impuestos_ssTope*C38-U38))+2*impuestos_medicareTasa*V38,0)</f>
        <v/>
      </c>
      <c r="X38" s="7">
        <f>impuestos_ssTasa*MIN(U38,impuestos_ssTope*C38)+impuestos_medicareTasa*U38+impuestos_medicareAdicional*MAX(0,U38+H38*0.9235-impuestos_medicareUmbral)</f>
        <v/>
      </c>
      <c r="Y38" s="7">
        <f>MAX(0,D38-O38+R38+T38+H38-W38/2)</f>
        <v/>
      </c>
      <c r="Z38" s="7">
        <f>MAX(0,Y38-impuestos_deduccionEstandar*C38)</f>
        <v/>
      </c>
      <c r="AA38" s="7">
        <f>MIN(0.2*MAX(0,T38+H38-W38/2)*MAX(0,MIN(1,1-(Z38-impuestos_qbiUmbral*C38)/(impuestos_qbiRango*C38))),0.2*Z38)</f>
        <v/>
      </c>
      <c r="AB38" s="7">
        <f>MAX(0,Z38-AA38)</f>
        <v/>
      </c>
      <c r="AC38" s="7">
        <f>SUMPRODUCT((AB38&gt;tb_federalBrackets_lo*C38)*(AB38-tb_federalBrackets_lo*C38)*tb_federalBrackets_dr)</f>
        <v/>
      </c>
      <c r="AD38" s="7">
        <f>MAX(0,Y38-impuestos_nyDeduccion*C38)</f>
        <v/>
      </c>
      <c r="AE38" s="7">
        <f>CHOOSE(loc_taxcode,0,impuestos_ohTasa*MAX(0,Y38-impuestos_ohExento*C38)+impuestos_ohMunicipal*U38,SUMPRODUCT((AD38&gt;tb_nyBrackets_lo*C38)*(AD38-tb_nyBrackets_lo*C38)*tb_nyBrackets_dr)+loc_nyc*SUMPRODUCT((AD38&gt;tb_nycBrackets_lo*C38)*(AD38-tb_nycBrackets_lo*C38)*tb_nycBrackets_dr))</f>
        <v/>
      </c>
      <c r="AF38" s="7">
        <f>AC38+AE38+X38+W38</f>
        <v/>
      </c>
      <c r="AG38" s="7">
        <f>D38+F38+R38+T38+H38</f>
        <v/>
      </c>
      <c r="AH38" s="7">
        <f>AG38-AF38-O38</f>
        <v/>
      </c>
      <c r="AI38" s="7">
        <f>D38+F38+G38+H38</f>
        <v/>
      </c>
      <c r="AJ38" s="7">
        <f>loc_gastosVida*C38*g_gastos</f>
        <v/>
      </c>
      <c r="AK38" s="7">
        <f>IF(5=0,personal_liquidoInicial,DR37)</f>
        <v/>
      </c>
      <c r="AL38" s="7">
        <f>IF(5=0,0,BB37)</f>
        <v/>
      </c>
      <c r="AM38" s="7">
        <f>CHOOSE(sel_cfgIdx,loc_precio_duplex,loc_precio_inlaw,loc_precio_dosCasas,loc_precio_casaAdu,loc_precio_multi)</f>
        <v/>
      </c>
      <c r="AN38" s="7">
        <f>AM38*(1+g_appr)^(A38-2026)</f>
        <v/>
      </c>
      <c r="AO38" s="7">
        <f>IF(AND(M38=1,vivienda_prestamoMedico=1),1,0)</f>
        <v/>
      </c>
      <c r="AP38" s="7">
        <f>IF(AO38=1,0.05,vivienda_enganchePct)</f>
        <v/>
      </c>
      <c r="AQ38" s="7">
        <f>AN38*(1-AP38)</f>
        <v/>
      </c>
      <c r="AR38" s="7">
        <f>PMT(g_mortRate/12,vivienda_plazoHipoteca*12,-AQ38)</f>
        <v/>
      </c>
      <c r="AS38" s="7">
        <f>INDEX(cfg_units,sel_cfgIdx)</f>
        <v/>
      </c>
      <c r="AT38" s="7">
        <f>AS38*loc_rentaUnidad*(1+g_inf)^(A38-2026)*(1-vivienda_vacancia)</f>
        <v/>
      </c>
      <c r="AU38" s="7">
        <f>AR38+AN38*loc_impuestoPropPct/12+AM38*loc_seguroPct*(1+vivienda_inflacionSeguro)^(A38-2026)/12+IF(AND(AO38=0,AP38&lt;0.2),AQ38*vivienda_pmiTasa/12,0)</f>
        <v/>
      </c>
      <c r="AV38" s="7">
        <f>AN38*AP38+AN38*vivienda_cierrePct+general_reservaMeses/12*AJ38</f>
        <v/>
      </c>
      <c r="AW38" s="7">
        <f>(IF(5=0,MIN(personal_irsSaldo,personal_irsPagoMensual*12),MIN(CD37,personal_irsPagoMensual*12))+IF(CE38&gt;0,PMT(CF38,MAX(1,prestamos_plazoAnios-CG38),-CE38),0)+IF(CR38&gt;0,PMT(CS38,MAX(1,prestamos_plazoAnios-CT38),-CR38),0))/12</f>
        <v/>
      </c>
      <c r="AX38" s="7">
        <f>IF(OR(sel_cfg="duplex",sel_cfg="multi",sel_cfg="dosCasas"),0.75*personal_aporteFamiliaMensual,0)</f>
        <v/>
      </c>
      <c r="AY38" s="7">
        <f>AU38-0.75*AT38-AX38+AW38</f>
        <v/>
      </c>
      <c r="AZ38" s="7">
        <f>(D38+G38+H38+0.5*F38)/12</f>
        <v/>
      </c>
      <c r="BA38" s="7">
        <f>IF(AND(AL38=0,A38&gt;=vivienda_anioMinCompra,J38&lt;0.5,AI38&gt;0,AK38&gt;=AV38,AY38&lt;=vivienda_dtiMax*AZ38),1,0)</f>
        <v/>
      </c>
      <c r="BB38" s="7">
        <f>MAX(AL38,BA38)</f>
        <v/>
      </c>
      <c r="BC38" s="7">
        <f>IF(BA38=1,A38,IF(5=0,"",BC37))</f>
        <v/>
      </c>
      <c r="BD38" s="7">
        <f>AK38-IF(BA38=1,AN38*AP38+AN38*vivienda_cierrePct,0)</f>
        <v/>
      </c>
      <c r="BE38" s="7">
        <f>IF(BA38=1,AN38,IF(5=0,0,BE37))</f>
        <v/>
      </c>
      <c r="BF38" s="7">
        <f>IF(BA38=1,AR38,IF(5=0,0,BF37))</f>
        <v/>
      </c>
      <c r="BG38" s="7">
        <f>IF(BA38=1,IF(AND(AO38=0,AP38&lt;0.2),1,0),IF(5=0,0,BY37))</f>
        <v/>
      </c>
      <c r="BH38" s="7">
        <f>IF(sel_cfg="casaAdu",1,0)</f>
        <v/>
      </c>
      <c r="BI38" s="7">
        <f>IF(AND(BB38=1,BH38=1,IF(5=0,0,BJ37)=0,A38&gt;=IF(BC38="",9999,BC38)+vivienda_aduRetrasoAnios),1,0)</f>
        <v/>
      </c>
      <c r="BJ38" s="7">
        <f>MAX(IF(5=0,0,BJ37),BI38)</f>
        <v/>
      </c>
      <c r="BK38" s="7">
        <f>IF(BI38=1,PMT((g_mortRate+0.005)/12,180,-loc_precio_aduCosto*C38),IF(5=0,0,BK37))</f>
        <v/>
      </c>
      <c r="BL38" s="7">
        <f>IF(BA38=1,AN38,IF(5=0,0,DT37))+IF(BI38=1,loc_precio_aduCosto*C38,0)</f>
        <v/>
      </c>
      <c r="BM38" s="7">
        <f>IF(BA38=1,AQ38,IF(5=0,0,DU37))</f>
        <v/>
      </c>
      <c r="BN38" s="7">
        <f>IF(BM38&lt;=0,0,FV(g_mortRate/12,12,BF38,-BM38))</f>
        <v/>
      </c>
      <c r="BO38" s="7">
        <f>IF(BM38&lt;=0,0,12*BF38+MIN(0,BN38))</f>
        <v/>
      </c>
      <c r="BP38" s="7">
        <f>MAX(0,BN38)</f>
        <v/>
      </c>
      <c r="BQ38" s="7">
        <f>IF(BI38=1,loc_precio_aduCosto*C38,IF(5=0,0,DV37))</f>
        <v/>
      </c>
      <c r="BR38" s="7">
        <f>IF(BQ38&lt;=0,0,FV((g_mortRate+0.005)/12,12,BK38,-BQ38))</f>
        <v/>
      </c>
      <c r="BS38" s="7">
        <f>IF(BQ38&lt;=0,0,12*BK38+MIN(0,BR38))</f>
        <v/>
      </c>
      <c r="BT38" s="7">
        <f>MAX(0,BR38)</f>
        <v/>
      </c>
      <c r="BU38" s="7">
        <f>IF(BB38=1,AM38*loc_seguroPct*(1+vivienda_inflacionSeguro)^(A38-2026)*IF(BJ38=1,1+loc_precio_aduCosto/AM38,1),0)</f>
        <v/>
      </c>
      <c r="BV38" s="7">
        <f>BL38*loc_impuestoPropPct</f>
        <v/>
      </c>
      <c r="BW38" s="7">
        <f>BL38*vivienda_mantenimientoPct</f>
        <v/>
      </c>
      <c r="BX38" s="7">
        <f>IF(AND(BG38=1,BP38&gt;0.8*BE38),BE38*(1-vivienda_enganchePct)*vivienda_pmiTasa,0)</f>
        <v/>
      </c>
      <c r="BY38" s="7">
        <f>IF(AND(BG38=1,BP38&gt;0.8*BE38),1,0)</f>
        <v/>
      </c>
      <c r="BZ38" s="7">
        <f>IF(BB38=1,AS38*loc_rentaUnidad*12*C38*(1-vivienda_vacancia)*(1-vivienda_gestionPct),0)</f>
        <v/>
      </c>
      <c r="CA38" s="7">
        <f>IF(BB38=1,BO38+BS38+BU38+BV38+BW38+BX38,loc_rentaMensual*12*C38)</f>
        <v/>
      </c>
      <c r="CB38" s="7">
        <f>IF(BB38=1,personal_aporteFamiliaMensual*12,0)</f>
        <v/>
      </c>
      <c r="CC38" s="7">
        <f>MIN(IF(5=0,personal_irsSaldo,CD37),personal_irsPagoMensual*12)</f>
        <v/>
      </c>
      <c r="CD38" s="7">
        <f>IF(5=0,personal_irsSaldo,CD37)-CC38</f>
        <v/>
      </c>
      <c r="CE38" s="7">
        <f>IF(5=0,IF(personal_deudaEsFederal=1,personal_deudaEstudiantil,0),DW37)</f>
        <v/>
      </c>
      <c r="CF38" s="7">
        <f>IF(5=0,personal_tasaDeudaEstudiantil,DX37)</f>
        <v/>
      </c>
      <c r="CG38" s="7">
        <f>IF(5=0,0,DY37)</f>
        <v/>
      </c>
      <c r="CH38" s="7">
        <f>IF(J38&gt;=0.5,1,0)</f>
        <v/>
      </c>
      <c r="CI38" s="7">
        <f>IF(AND(CH38=0,prestamos_pslfActivo=1,K38&gt;=0.5,CE38&gt;0),1,0)</f>
        <v/>
      </c>
      <c r="CJ38" s="7">
        <f>CE38*CF38</f>
        <v/>
      </c>
      <c r="CK38" s="7">
        <f>MAX(prestamos_rapPagoMinimoAnual,IF(Y38&lt;10000,0,MIN(0.1,INT(Y38/10000)/100))*Y38)</f>
        <v/>
      </c>
      <c r="CL38" s="7">
        <f>IF(CE38&lt;=0,0,IF(CH38=1,0,IF(CI38=1,MIN(CE38+CJ38,CK38),PMT(CF38,MAX(1,prestamos_plazoAnios-CG38),-CE38))))</f>
        <v/>
      </c>
      <c r="CM38" s="7">
        <f>IF(CE38&lt;=0,0,IF(CH38=1,CE38+CJ38,IF(CI38=1,MAX(0,CE38-MAX(CL38-CJ38,MIN(600,CL38))),MAX(0,CE38*(1+CF38)-CL38))))</f>
        <v/>
      </c>
      <c r="CN38" s="7">
        <f>IF(5=0,0,CN37)+IF(CI38=1,12*MIN(1,K38),0)</f>
        <v/>
      </c>
      <c r="CO38" s="7">
        <f>IF(AND(CI38=1,CN38&gt;=prestamos_pslfPagos,CM38&gt;0),CM38,0)</f>
        <v/>
      </c>
      <c r="CP38" s="7">
        <f>CM38-CO38</f>
        <v/>
      </c>
      <c r="CQ38" s="7">
        <f>IF(AND(CE38&gt;0,CH38=0,CI38=0),CG38+1,CG38)</f>
        <v/>
      </c>
      <c r="CR38" s="7">
        <f>IF(5=0,IF(personal_deudaEsFederal=1,0,personal_deudaEstudiantil),EA37)</f>
        <v/>
      </c>
      <c r="CS38" s="7">
        <f>IF(5=0,IF(personal_deudaEsFederal=1,prestamos_tasaPrivada,personal_tasaDeudaEstudiantil),EB37)</f>
        <v/>
      </c>
      <c r="CT38" s="7">
        <f>IF(5=0,0,EC37)</f>
        <v/>
      </c>
      <c r="CU38" s="7">
        <f>IF(OR(CR38&lt;=0,CH38=1),0,PMT(CS38,MAX(1,prestamos_plazoAnios-CT38),-CR38))</f>
        <v/>
      </c>
      <c r="CV38" s="7">
        <f>IF(CR38&lt;=0,0,IF(CH38=1,CR38*(1+CS38),MAX(0,CR38*(1+CS38)-CU38)))</f>
        <v/>
      </c>
      <c r="CW38" s="7">
        <f>IF(AND(CR38&gt;0,CH38=0),CT38+1,CT38)</f>
        <v/>
      </c>
      <c r="CX38" s="7">
        <f>IF(5=0,0,ED37)*(1+general_tasaDeudaConsumo)</f>
        <v/>
      </c>
      <c r="CY38" s="7">
        <f>L38*12*tiempos_travelGastoExtraMes*C38</f>
        <v/>
      </c>
      <c r="CZ38" s="7">
        <f>AJ38+CY38+CA38+CC38+CL38+CU38+I38+N38-BZ38-CB38</f>
        <v/>
      </c>
      <c r="DA38" s="7">
        <f>AH38-CZ38</f>
        <v/>
      </c>
      <c r="DB38" s="7">
        <f>IF(5=0,0,DB37)+DA38</f>
        <v/>
      </c>
      <c r="DC38" s="7">
        <f>AN38*vivienda_enganchePct+AN38*vivienda_cierrePct+general_reservaMeses/12*AJ38</f>
        <v/>
      </c>
      <c r="DD38" s="7">
        <f>IF(BB38=1,g_ret,IF(BD38&gt;0,MIN(1,DC38/BD38),1)*g_cash+(1-IF(BD38&gt;0,MIN(1,DC38/BD38),1))*g_ret)</f>
        <v/>
      </c>
      <c r="DE38" s="7">
        <f>IF(DA38&gt;=0,MIN(CX38,DA38),0)</f>
        <v/>
      </c>
      <c r="DF38" s="7">
        <f>IF(DA38&gt;=0,(1-general_tasaAhorro)*(DA38-DE38),0)</f>
        <v/>
      </c>
      <c r="DG38" s="7">
        <f>IF(DA38&gt;=0,DA38-DE38-DF38,0)</f>
        <v/>
      </c>
      <c r="DH38" s="7">
        <f>MIN(personal_rothAnual,DG38)</f>
        <v/>
      </c>
      <c r="DI38" s="7">
        <f>IF(AND(DA38&gt;=0,BB38=1,BP38+BT38&gt;0),MIN(vivienda_prepagoPct*(DG38-DH38),BP38+BT38),0)</f>
        <v/>
      </c>
      <c r="DJ38" s="7">
        <f>MIN(DI38,BP38)</f>
        <v/>
      </c>
      <c r="DK38" s="7">
        <f>IF(DA38&lt;0,MIN(MAX(0,BD38),-DA38),0)</f>
        <v/>
      </c>
      <c r="DL38" s="7">
        <f>IF(DA38&lt;0,-DA38-DK38,0)</f>
        <v/>
      </c>
      <c r="DM38" s="7">
        <f>IF(5=0,0,DZ37)</f>
        <v/>
      </c>
      <c r="DN38" s="7">
        <f>IF(AND(DL38&gt;0,J38&gt;0),MIN(DL38,MIN(prestamos_topeAnualPosgrado*MIN(1,J38),MAX(0,prestamos_topeTotalPosgrado-DM38))),0)</f>
        <v/>
      </c>
      <c r="DO38" s="7">
        <f>IF(AND(DL38&gt;0,J38&gt;0),DL38-DN38,0)</f>
        <v/>
      </c>
      <c r="DP38" s="7">
        <f>IF(AND(DL38&gt;0,J38&lt;=0),DL38,0)</f>
        <v/>
      </c>
      <c r="DQ38" s="7">
        <f>IF(DA38&gt;=0,DG38-DH38-DI38,-DK38)</f>
        <v/>
      </c>
      <c r="DR38" s="7">
        <f>BD38*(1+DD38)+DQ38*(1+DD38/2)</f>
        <v/>
      </c>
      <c r="DS38" s="7">
        <f>IF(5=0,personal_retiroInicial,DS37)*(1+g_ret)+(O38+P38+DH38)*(1+g_ret/2)</f>
        <v/>
      </c>
      <c r="DT38" s="7">
        <f>IF(BB38=1,BL38*(1+g_appr),0)</f>
        <v/>
      </c>
      <c r="DU38" s="7">
        <f>BP38-DJ38</f>
        <v/>
      </c>
      <c r="DV38" s="7">
        <f>BT38-(DI38-DJ38)</f>
        <v/>
      </c>
      <c r="DW38" s="7">
        <f>CP38+DN38</f>
        <v/>
      </c>
      <c r="DX38" s="7">
        <f>IF(DN38&gt;0,(CP38*CF38+DN38*prestamos_tasaFederalPosgrado)/(CP38+DN38),CF38)</f>
        <v/>
      </c>
      <c r="DY38" s="7">
        <f>IF(DN38&gt;0,0,CQ38)</f>
        <v/>
      </c>
      <c r="DZ38" s="7">
        <f>DM38+DN38</f>
        <v/>
      </c>
      <c r="EA38" s="7">
        <f>CV38+DO38</f>
        <v/>
      </c>
      <c r="EB38" s="7">
        <f>IF(DO38&gt;0,(CV38*CS38+DO38*prestamos_tasaPrivada)/(CV38+DO38),CS38)</f>
        <v/>
      </c>
      <c r="EC38" s="7">
        <f>IF(DO38&gt;0,0,CW38)</f>
        <v/>
      </c>
      <c r="ED38" s="7">
        <f>CX38-DE38+DP38</f>
        <v/>
      </c>
      <c r="EE38" s="7">
        <f>IF(IF(5=0,"",EE37)&lt;&gt;"",EE37,IF(AND(BB38=1,DU38&lt;=0.5,DV38&lt;=0.5,OR(BH38=0,BJ38=1)),A38,""))</f>
        <v/>
      </c>
      <c r="EF38" s="7">
        <f>DU38+DV38+DW38+EA38+ED38+CD38</f>
        <v/>
      </c>
      <c r="EG38" s="7">
        <f>DR38+DS38+DT38-EF38</f>
        <v/>
      </c>
      <c r="EH38" s="7">
        <f>EG38/(1+g_inf)^(A38+1-2026)</f>
        <v/>
      </c>
    </row>
    <row r="39">
      <c r="A39" t="n">
        <v>2033</v>
      </c>
      <c r="B39" t="n">
        <v>6</v>
      </c>
      <c r="C39" s="7">
        <f>(1+g_inf)^(A39-2026)</f>
        <v/>
      </c>
      <c r="D39" s="7">
        <f>SUMPRODUCT($Z$5:$Z$29,$E$5:$E$29*(1+$F$5:$F$29)^(A39-2026)*$G$5:$G$29*$H$5:$H$29*(1-$N$5:$N$29*$O$5:$O$29))*g_salMult+SUMPRODUCT(($B$5:$B$29&gt;=A39)*($B$5:$B$29&lt;A39+1)*$I$5:$I$29)*g_salMult</f>
        <v/>
      </c>
      <c r="E39" s="7">
        <f>SUMPRODUCT($Z$5:$Z$29,$E$5:$E$29*(1+$F$5:$F$29)^(A39-2026)*$G$5:$G$29*$H$5:$H$29*$M$5:$M$29)*g_salMult</f>
        <v/>
      </c>
      <c r="F39" s="7">
        <f>SUMPRODUCT($Z$5:$Z$29,$E$5:$E$29*(1+$F$5:$F$29)^(A39-2026)*$G$5:$G$29*$H$5:$H$29*$N$5:$N$29*$O$5:$O$29)*g_salMult</f>
        <v/>
      </c>
      <c r="G39" s="7">
        <f>SUMPRODUCT($Z$5:$Z$29,$P$5:$P$29*(1+$F$5:$F$29)^(A39-2026))</f>
        <v/>
      </c>
      <c r="H39" s="7">
        <f>SUMPRODUCT($Z$5:$Z$29,$Q$5:$Q$29*(1+$F$5:$F$29)^(A39-2026))+IF(personal_llcActivo=1,personal_llcNeto*(1+personal_llcCrecimiento)^6,0)</f>
        <v/>
      </c>
      <c r="I39" s="7">
        <f>SUMPRODUCT($Z$5:$Z$29,$J$5:$J$29/($C$5:$C$29-$B$5:$B$29+($C$5:$C$29=$B$5:$B$29)))*C39</f>
        <v/>
      </c>
      <c r="J39" s="7">
        <f>SUMPRODUCT($Z$5:$Z$29,$K$5:$K$29)</f>
        <v/>
      </c>
      <c r="K39" s="7">
        <f>SUMPRODUCT($Z$5:$Z$29,$L$5:$L$29)</f>
        <v/>
      </c>
      <c r="L39" s="7">
        <f>SUMPRODUCT($Z$5:$Z$29,$N$5:$N$29)</f>
        <v/>
      </c>
      <c r="M39" s="7">
        <f>IF(SUMPRODUCT($Z$5:$Z$29,$R$5:$R$29)&gt;0,1,0)</f>
        <v/>
      </c>
      <c r="N39" s="7">
        <f>SUMPRODUCT(($AO$5:$AO$24&gt;=A39)*($AO$5:$AO$24&lt;A39+1)*$AP$5:$AP$24)*C39+IF(6=0,IF(sel_loc&lt;&gt;"miami",personal_costoMudanzaInicial,0),0)</f>
        <v/>
      </c>
      <c r="O39" s="7">
        <f>MIN(personal_aporte403bPct*D39,retiro_limite403b*C39)</f>
        <v/>
      </c>
      <c r="P39" s="7">
        <f>MIN(personal_aporte403bPct,personal_match403bPct)*E39</f>
        <v/>
      </c>
      <c r="Q39" s="7">
        <f>IF(G39&gt;0,MAX(0,G39-impuestos_scorpCostoAnual*C39),0)</f>
        <v/>
      </c>
      <c r="R39" s="7">
        <f>Q39*impuestos_scorpSalarioPct/(1+impuestos_ssTasa+impuestos_medicareTasa)</f>
        <v/>
      </c>
      <c r="S39" s="7">
        <f>impuestos_ssTasa*MIN(R39,MAX(0,impuestos_ssTope*C39-D39))+impuestos_medicareTasa*R39</f>
        <v/>
      </c>
      <c r="T39" s="7">
        <f>Q39-R39-S39</f>
        <v/>
      </c>
      <c r="U39" s="7">
        <f>D39+R39</f>
        <v/>
      </c>
      <c r="V39" s="7">
        <f>H39*0.9235</f>
        <v/>
      </c>
      <c r="W39" s="7">
        <f>IF(H39&gt;0,2*impuestos_ssTasa*MIN(V39,MAX(0,impuestos_ssTope*C39-U39))+2*impuestos_medicareTasa*V39,0)</f>
        <v/>
      </c>
      <c r="X39" s="7">
        <f>impuestos_ssTasa*MIN(U39,impuestos_ssTope*C39)+impuestos_medicareTasa*U39+impuestos_medicareAdicional*MAX(0,U39+H39*0.9235-impuestos_medicareUmbral)</f>
        <v/>
      </c>
      <c r="Y39" s="7">
        <f>MAX(0,D39-O39+R39+T39+H39-W39/2)</f>
        <v/>
      </c>
      <c r="Z39" s="7">
        <f>MAX(0,Y39-impuestos_deduccionEstandar*C39)</f>
        <v/>
      </c>
      <c r="AA39" s="7">
        <f>MIN(0.2*MAX(0,T39+H39-W39/2)*MAX(0,MIN(1,1-(Z39-impuestos_qbiUmbral*C39)/(impuestos_qbiRango*C39))),0.2*Z39)</f>
        <v/>
      </c>
      <c r="AB39" s="7">
        <f>MAX(0,Z39-AA39)</f>
        <v/>
      </c>
      <c r="AC39" s="7">
        <f>SUMPRODUCT((AB39&gt;tb_federalBrackets_lo*C39)*(AB39-tb_federalBrackets_lo*C39)*tb_federalBrackets_dr)</f>
        <v/>
      </c>
      <c r="AD39" s="7">
        <f>MAX(0,Y39-impuestos_nyDeduccion*C39)</f>
        <v/>
      </c>
      <c r="AE39" s="7">
        <f>CHOOSE(loc_taxcode,0,impuestos_ohTasa*MAX(0,Y39-impuestos_ohExento*C39)+impuestos_ohMunicipal*U39,SUMPRODUCT((AD39&gt;tb_nyBrackets_lo*C39)*(AD39-tb_nyBrackets_lo*C39)*tb_nyBrackets_dr)+loc_nyc*SUMPRODUCT((AD39&gt;tb_nycBrackets_lo*C39)*(AD39-tb_nycBrackets_lo*C39)*tb_nycBrackets_dr))</f>
        <v/>
      </c>
      <c r="AF39" s="7">
        <f>AC39+AE39+X39+W39</f>
        <v/>
      </c>
      <c r="AG39" s="7">
        <f>D39+F39+R39+T39+H39</f>
        <v/>
      </c>
      <c r="AH39" s="7">
        <f>AG39-AF39-O39</f>
        <v/>
      </c>
      <c r="AI39" s="7">
        <f>D39+F39+G39+H39</f>
        <v/>
      </c>
      <c r="AJ39" s="7">
        <f>loc_gastosVida*C39*g_gastos</f>
        <v/>
      </c>
      <c r="AK39" s="7">
        <f>IF(6=0,personal_liquidoInicial,DR38)</f>
        <v/>
      </c>
      <c r="AL39" s="7">
        <f>IF(6=0,0,BB38)</f>
        <v/>
      </c>
      <c r="AM39" s="7">
        <f>CHOOSE(sel_cfgIdx,loc_precio_duplex,loc_precio_inlaw,loc_precio_dosCasas,loc_precio_casaAdu,loc_precio_multi)</f>
        <v/>
      </c>
      <c r="AN39" s="7">
        <f>AM39*(1+g_appr)^(A39-2026)</f>
        <v/>
      </c>
      <c r="AO39" s="7">
        <f>IF(AND(M39=1,vivienda_prestamoMedico=1),1,0)</f>
        <v/>
      </c>
      <c r="AP39" s="7">
        <f>IF(AO39=1,0.05,vivienda_enganchePct)</f>
        <v/>
      </c>
      <c r="AQ39" s="7">
        <f>AN39*(1-AP39)</f>
        <v/>
      </c>
      <c r="AR39" s="7">
        <f>PMT(g_mortRate/12,vivienda_plazoHipoteca*12,-AQ39)</f>
        <v/>
      </c>
      <c r="AS39" s="7">
        <f>INDEX(cfg_units,sel_cfgIdx)</f>
        <v/>
      </c>
      <c r="AT39" s="7">
        <f>AS39*loc_rentaUnidad*(1+g_inf)^(A39-2026)*(1-vivienda_vacancia)</f>
        <v/>
      </c>
      <c r="AU39" s="7">
        <f>AR39+AN39*loc_impuestoPropPct/12+AM39*loc_seguroPct*(1+vivienda_inflacionSeguro)^(A39-2026)/12+IF(AND(AO39=0,AP39&lt;0.2),AQ39*vivienda_pmiTasa/12,0)</f>
        <v/>
      </c>
      <c r="AV39" s="7">
        <f>AN39*AP39+AN39*vivienda_cierrePct+general_reservaMeses/12*AJ39</f>
        <v/>
      </c>
      <c r="AW39" s="7">
        <f>(IF(6=0,MIN(personal_irsSaldo,personal_irsPagoMensual*12),MIN(CD38,personal_irsPagoMensual*12))+IF(CE39&gt;0,PMT(CF39,MAX(1,prestamos_plazoAnios-CG39),-CE39),0)+IF(CR39&gt;0,PMT(CS39,MAX(1,prestamos_plazoAnios-CT39),-CR39),0))/12</f>
        <v/>
      </c>
      <c r="AX39" s="7">
        <f>IF(OR(sel_cfg="duplex",sel_cfg="multi",sel_cfg="dosCasas"),0.75*personal_aporteFamiliaMensual,0)</f>
        <v/>
      </c>
      <c r="AY39" s="7">
        <f>AU39-0.75*AT39-AX39+AW39</f>
        <v/>
      </c>
      <c r="AZ39" s="7">
        <f>(D39+G39+H39+0.5*F39)/12</f>
        <v/>
      </c>
      <c r="BA39" s="7">
        <f>IF(AND(AL39=0,A39&gt;=vivienda_anioMinCompra,J39&lt;0.5,AI39&gt;0,AK39&gt;=AV39,AY39&lt;=vivienda_dtiMax*AZ39),1,0)</f>
        <v/>
      </c>
      <c r="BB39" s="7">
        <f>MAX(AL39,BA39)</f>
        <v/>
      </c>
      <c r="BC39" s="7">
        <f>IF(BA39=1,A39,IF(6=0,"",BC38))</f>
        <v/>
      </c>
      <c r="BD39" s="7">
        <f>AK39-IF(BA39=1,AN39*AP39+AN39*vivienda_cierrePct,0)</f>
        <v/>
      </c>
      <c r="BE39" s="7">
        <f>IF(BA39=1,AN39,IF(6=0,0,BE38))</f>
        <v/>
      </c>
      <c r="BF39" s="7">
        <f>IF(BA39=1,AR39,IF(6=0,0,BF38))</f>
        <v/>
      </c>
      <c r="BG39" s="7">
        <f>IF(BA39=1,IF(AND(AO39=0,AP39&lt;0.2),1,0),IF(6=0,0,BY38))</f>
        <v/>
      </c>
      <c r="BH39" s="7">
        <f>IF(sel_cfg="casaAdu",1,0)</f>
        <v/>
      </c>
      <c r="BI39" s="7">
        <f>IF(AND(BB39=1,BH39=1,IF(6=0,0,BJ38)=0,A39&gt;=IF(BC39="",9999,BC39)+vivienda_aduRetrasoAnios),1,0)</f>
        <v/>
      </c>
      <c r="BJ39" s="7">
        <f>MAX(IF(6=0,0,BJ38),BI39)</f>
        <v/>
      </c>
      <c r="BK39" s="7">
        <f>IF(BI39=1,PMT((g_mortRate+0.005)/12,180,-loc_precio_aduCosto*C39),IF(6=0,0,BK38))</f>
        <v/>
      </c>
      <c r="BL39" s="7">
        <f>IF(BA39=1,AN39,IF(6=0,0,DT38))+IF(BI39=1,loc_precio_aduCosto*C39,0)</f>
        <v/>
      </c>
      <c r="BM39" s="7">
        <f>IF(BA39=1,AQ39,IF(6=0,0,DU38))</f>
        <v/>
      </c>
      <c r="BN39" s="7">
        <f>IF(BM39&lt;=0,0,FV(g_mortRate/12,12,BF39,-BM39))</f>
        <v/>
      </c>
      <c r="BO39" s="7">
        <f>IF(BM39&lt;=0,0,12*BF39+MIN(0,BN39))</f>
        <v/>
      </c>
      <c r="BP39" s="7">
        <f>MAX(0,BN39)</f>
        <v/>
      </c>
      <c r="BQ39" s="7">
        <f>IF(BI39=1,loc_precio_aduCosto*C39,IF(6=0,0,DV38))</f>
        <v/>
      </c>
      <c r="BR39" s="7">
        <f>IF(BQ39&lt;=0,0,FV((g_mortRate+0.005)/12,12,BK39,-BQ39))</f>
        <v/>
      </c>
      <c r="BS39" s="7">
        <f>IF(BQ39&lt;=0,0,12*BK39+MIN(0,BR39))</f>
        <v/>
      </c>
      <c r="BT39" s="7">
        <f>MAX(0,BR39)</f>
        <v/>
      </c>
      <c r="BU39" s="7">
        <f>IF(BB39=1,AM39*loc_seguroPct*(1+vivienda_inflacionSeguro)^(A39-2026)*IF(BJ39=1,1+loc_precio_aduCosto/AM39,1),0)</f>
        <v/>
      </c>
      <c r="BV39" s="7">
        <f>BL39*loc_impuestoPropPct</f>
        <v/>
      </c>
      <c r="BW39" s="7">
        <f>BL39*vivienda_mantenimientoPct</f>
        <v/>
      </c>
      <c r="BX39" s="7">
        <f>IF(AND(BG39=1,BP39&gt;0.8*BE39),BE39*(1-vivienda_enganchePct)*vivienda_pmiTasa,0)</f>
        <v/>
      </c>
      <c r="BY39" s="7">
        <f>IF(AND(BG39=1,BP39&gt;0.8*BE39),1,0)</f>
        <v/>
      </c>
      <c r="BZ39" s="7">
        <f>IF(BB39=1,AS39*loc_rentaUnidad*12*C39*(1-vivienda_vacancia)*(1-vivienda_gestionPct),0)</f>
        <v/>
      </c>
      <c r="CA39" s="7">
        <f>IF(BB39=1,BO39+BS39+BU39+BV39+BW39+BX39,loc_rentaMensual*12*C39)</f>
        <v/>
      </c>
      <c r="CB39" s="7">
        <f>IF(BB39=1,personal_aporteFamiliaMensual*12,0)</f>
        <v/>
      </c>
      <c r="CC39" s="7">
        <f>MIN(IF(6=0,personal_irsSaldo,CD38),personal_irsPagoMensual*12)</f>
        <v/>
      </c>
      <c r="CD39" s="7">
        <f>IF(6=0,personal_irsSaldo,CD38)-CC39</f>
        <v/>
      </c>
      <c r="CE39" s="7">
        <f>IF(6=0,IF(personal_deudaEsFederal=1,personal_deudaEstudiantil,0),DW38)</f>
        <v/>
      </c>
      <c r="CF39" s="7">
        <f>IF(6=0,personal_tasaDeudaEstudiantil,DX38)</f>
        <v/>
      </c>
      <c r="CG39" s="7">
        <f>IF(6=0,0,DY38)</f>
        <v/>
      </c>
      <c r="CH39" s="7">
        <f>IF(J39&gt;=0.5,1,0)</f>
        <v/>
      </c>
      <c r="CI39" s="7">
        <f>IF(AND(CH39=0,prestamos_pslfActivo=1,K39&gt;=0.5,CE39&gt;0),1,0)</f>
        <v/>
      </c>
      <c r="CJ39" s="7">
        <f>CE39*CF39</f>
        <v/>
      </c>
      <c r="CK39" s="7">
        <f>MAX(prestamos_rapPagoMinimoAnual,IF(Y39&lt;10000,0,MIN(0.1,INT(Y39/10000)/100))*Y39)</f>
        <v/>
      </c>
      <c r="CL39" s="7">
        <f>IF(CE39&lt;=0,0,IF(CH39=1,0,IF(CI39=1,MIN(CE39+CJ39,CK39),PMT(CF39,MAX(1,prestamos_plazoAnios-CG39),-CE39))))</f>
        <v/>
      </c>
      <c r="CM39" s="7">
        <f>IF(CE39&lt;=0,0,IF(CH39=1,CE39+CJ39,IF(CI39=1,MAX(0,CE39-MAX(CL39-CJ39,MIN(600,CL39))),MAX(0,CE39*(1+CF39)-CL39))))</f>
        <v/>
      </c>
      <c r="CN39" s="7">
        <f>IF(6=0,0,CN38)+IF(CI39=1,12*MIN(1,K39),0)</f>
        <v/>
      </c>
      <c r="CO39" s="7">
        <f>IF(AND(CI39=1,CN39&gt;=prestamos_pslfPagos,CM39&gt;0),CM39,0)</f>
        <v/>
      </c>
      <c r="CP39" s="7">
        <f>CM39-CO39</f>
        <v/>
      </c>
      <c r="CQ39" s="7">
        <f>IF(AND(CE39&gt;0,CH39=0,CI39=0),CG39+1,CG39)</f>
        <v/>
      </c>
      <c r="CR39" s="7">
        <f>IF(6=0,IF(personal_deudaEsFederal=1,0,personal_deudaEstudiantil),EA38)</f>
        <v/>
      </c>
      <c r="CS39" s="7">
        <f>IF(6=0,IF(personal_deudaEsFederal=1,prestamos_tasaPrivada,personal_tasaDeudaEstudiantil),EB38)</f>
        <v/>
      </c>
      <c r="CT39" s="7">
        <f>IF(6=0,0,EC38)</f>
        <v/>
      </c>
      <c r="CU39" s="7">
        <f>IF(OR(CR39&lt;=0,CH39=1),0,PMT(CS39,MAX(1,prestamos_plazoAnios-CT39),-CR39))</f>
        <v/>
      </c>
      <c r="CV39" s="7">
        <f>IF(CR39&lt;=0,0,IF(CH39=1,CR39*(1+CS39),MAX(0,CR39*(1+CS39)-CU39)))</f>
        <v/>
      </c>
      <c r="CW39" s="7">
        <f>IF(AND(CR39&gt;0,CH39=0),CT39+1,CT39)</f>
        <v/>
      </c>
      <c r="CX39" s="7">
        <f>IF(6=0,0,ED38)*(1+general_tasaDeudaConsumo)</f>
        <v/>
      </c>
      <c r="CY39" s="7">
        <f>L39*12*tiempos_travelGastoExtraMes*C39</f>
        <v/>
      </c>
      <c r="CZ39" s="7">
        <f>AJ39+CY39+CA39+CC39+CL39+CU39+I39+N39-BZ39-CB39</f>
        <v/>
      </c>
      <c r="DA39" s="7">
        <f>AH39-CZ39</f>
        <v/>
      </c>
      <c r="DB39" s="7">
        <f>IF(6=0,0,DB38)+DA39</f>
        <v/>
      </c>
      <c r="DC39" s="7">
        <f>AN39*vivienda_enganchePct+AN39*vivienda_cierrePct+general_reservaMeses/12*AJ39</f>
        <v/>
      </c>
      <c r="DD39" s="7">
        <f>IF(BB39=1,g_ret,IF(BD39&gt;0,MIN(1,DC39/BD39),1)*g_cash+(1-IF(BD39&gt;0,MIN(1,DC39/BD39),1))*g_ret)</f>
        <v/>
      </c>
      <c r="DE39" s="7">
        <f>IF(DA39&gt;=0,MIN(CX39,DA39),0)</f>
        <v/>
      </c>
      <c r="DF39" s="7">
        <f>IF(DA39&gt;=0,(1-general_tasaAhorro)*(DA39-DE39),0)</f>
        <v/>
      </c>
      <c r="DG39" s="7">
        <f>IF(DA39&gt;=0,DA39-DE39-DF39,0)</f>
        <v/>
      </c>
      <c r="DH39" s="7">
        <f>MIN(personal_rothAnual,DG39)</f>
        <v/>
      </c>
      <c r="DI39" s="7">
        <f>IF(AND(DA39&gt;=0,BB39=1,BP39+BT39&gt;0),MIN(vivienda_prepagoPct*(DG39-DH39),BP39+BT39),0)</f>
        <v/>
      </c>
      <c r="DJ39" s="7">
        <f>MIN(DI39,BP39)</f>
        <v/>
      </c>
      <c r="DK39" s="7">
        <f>IF(DA39&lt;0,MIN(MAX(0,BD39),-DA39),0)</f>
        <v/>
      </c>
      <c r="DL39" s="7">
        <f>IF(DA39&lt;0,-DA39-DK39,0)</f>
        <v/>
      </c>
      <c r="DM39" s="7">
        <f>IF(6=0,0,DZ38)</f>
        <v/>
      </c>
      <c r="DN39" s="7">
        <f>IF(AND(DL39&gt;0,J39&gt;0),MIN(DL39,MIN(prestamos_topeAnualPosgrado*MIN(1,J39),MAX(0,prestamos_topeTotalPosgrado-DM39))),0)</f>
        <v/>
      </c>
      <c r="DO39" s="7">
        <f>IF(AND(DL39&gt;0,J39&gt;0),DL39-DN39,0)</f>
        <v/>
      </c>
      <c r="DP39" s="7">
        <f>IF(AND(DL39&gt;0,J39&lt;=0),DL39,0)</f>
        <v/>
      </c>
      <c r="DQ39" s="7">
        <f>IF(DA39&gt;=0,DG39-DH39-DI39,-DK39)</f>
        <v/>
      </c>
      <c r="DR39" s="7">
        <f>BD39*(1+DD39)+DQ39*(1+DD39/2)</f>
        <v/>
      </c>
      <c r="DS39" s="7">
        <f>IF(6=0,personal_retiroInicial,DS38)*(1+g_ret)+(O39+P39+DH39)*(1+g_ret/2)</f>
        <v/>
      </c>
      <c r="DT39" s="7">
        <f>IF(BB39=1,BL39*(1+g_appr),0)</f>
        <v/>
      </c>
      <c r="DU39" s="7">
        <f>BP39-DJ39</f>
        <v/>
      </c>
      <c r="DV39" s="7">
        <f>BT39-(DI39-DJ39)</f>
        <v/>
      </c>
      <c r="DW39" s="7">
        <f>CP39+DN39</f>
        <v/>
      </c>
      <c r="DX39" s="7">
        <f>IF(DN39&gt;0,(CP39*CF39+DN39*prestamos_tasaFederalPosgrado)/(CP39+DN39),CF39)</f>
        <v/>
      </c>
      <c r="DY39" s="7">
        <f>IF(DN39&gt;0,0,CQ39)</f>
        <v/>
      </c>
      <c r="DZ39" s="7">
        <f>DM39+DN39</f>
        <v/>
      </c>
      <c r="EA39" s="7">
        <f>CV39+DO39</f>
        <v/>
      </c>
      <c r="EB39" s="7">
        <f>IF(DO39&gt;0,(CV39*CS39+DO39*prestamos_tasaPrivada)/(CV39+DO39),CS39)</f>
        <v/>
      </c>
      <c r="EC39" s="7">
        <f>IF(DO39&gt;0,0,CW39)</f>
        <v/>
      </c>
      <c r="ED39" s="7">
        <f>CX39-DE39+DP39</f>
        <v/>
      </c>
      <c r="EE39" s="7">
        <f>IF(IF(6=0,"",EE38)&lt;&gt;"",EE38,IF(AND(BB39=1,DU39&lt;=0.5,DV39&lt;=0.5,OR(BH39=0,BJ39=1)),A39,""))</f>
        <v/>
      </c>
      <c r="EF39" s="7">
        <f>DU39+DV39+DW39+EA39+ED39+CD39</f>
        <v/>
      </c>
      <c r="EG39" s="7">
        <f>DR39+DS39+DT39-EF39</f>
        <v/>
      </c>
      <c r="EH39" s="7">
        <f>EG39/(1+g_inf)^(A39+1-2026)</f>
        <v/>
      </c>
    </row>
    <row r="40">
      <c r="A40" t="n">
        <v>2034</v>
      </c>
      <c r="B40" t="n">
        <v>7</v>
      </c>
      <c r="C40" s="7">
        <f>(1+g_inf)^(A40-2026)</f>
        <v/>
      </c>
      <c r="D40" s="7">
        <f>SUMPRODUCT($AA$5:$AA$29,$E$5:$E$29*(1+$F$5:$F$29)^(A40-2026)*$G$5:$G$29*$H$5:$H$29*(1-$N$5:$N$29*$O$5:$O$29))*g_salMult+SUMPRODUCT(($B$5:$B$29&gt;=A40)*($B$5:$B$29&lt;A40+1)*$I$5:$I$29)*g_salMult</f>
        <v/>
      </c>
      <c r="E40" s="7">
        <f>SUMPRODUCT($AA$5:$AA$29,$E$5:$E$29*(1+$F$5:$F$29)^(A40-2026)*$G$5:$G$29*$H$5:$H$29*$M$5:$M$29)*g_salMult</f>
        <v/>
      </c>
      <c r="F40" s="7">
        <f>SUMPRODUCT($AA$5:$AA$29,$E$5:$E$29*(1+$F$5:$F$29)^(A40-2026)*$G$5:$G$29*$H$5:$H$29*$N$5:$N$29*$O$5:$O$29)*g_salMult</f>
        <v/>
      </c>
      <c r="G40" s="7">
        <f>SUMPRODUCT($AA$5:$AA$29,$P$5:$P$29*(1+$F$5:$F$29)^(A40-2026))</f>
        <v/>
      </c>
      <c r="H40" s="7">
        <f>SUMPRODUCT($AA$5:$AA$29,$Q$5:$Q$29*(1+$F$5:$F$29)^(A40-2026))+IF(personal_llcActivo=1,personal_llcNeto*(1+personal_llcCrecimiento)^7,0)</f>
        <v/>
      </c>
      <c r="I40" s="7">
        <f>SUMPRODUCT($AA$5:$AA$29,$J$5:$J$29/($C$5:$C$29-$B$5:$B$29+($C$5:$C$29=$B$5:$B$29)))*C40</f>
        <v/>
      </c>
      <c r="J40" s="7">
        <f>SUMPRODUCT($AA$5:$AA$29,$K$5:$K$29)</f>
        <v/>
      </c>
      <c r="K40" s="7">
        <f>SUMPRODUCT($AA$5:$AA$29,$L$5:$L$29)</f>
        <v/>
      </c>
      <c r="L40" s="7">
        <f>SUMPRODUCT($AA$5:$AA$29,$N$5:$N$29)</f>
        <v/>
      </c>
      <c r="M40" s="7">
        <f>IF(SUMPRODUCT($AA$5:$AA$29,$R$5:$R$29)&gt;0,1,0)</f>
        <v/>
      </c>
      <c r="N40" s="7">
        <f>SUMPRODUCT(($AO$5:$AO$24&gt;=A40)*($AO$5:$AO$24&lt;A40+1)*$AP$5:$AP$24)*C40+IF(7=0,IF(sel_loc&lt;&gt;"miami",personal_costoMudanzaInicial,0),0)</f>
        <v/>
      </c>
      <c r="O40" s="7">
        <f>MIN(personal_aporte403bPct*D40,retiro_limite403b*C40)</f>
        <v/>
      </c>
      <c r="P40" s="7">
        <f>MIN(personal_aporte403bPct,personal_match403bPct)*E40</f>
        <v/>
      </c>
      <c r="Q40" s="7">
        <f>IF(G40&gt;0,MAX(0,G40-impuestos_scorpCostoAnual*C40),0)</f>
        <v/>
      </c>
      <c r="R40" s="7">
        <f>Q40*impuestos_scorpSalarioPct/(1+impuestos_ssTasa+impuestos_medicareTasa)</f>
        <v/>
      </c>
      <c r="S40" s="7">
        <f>impuestos_ssTasa*MIN(R40,MAX(0,impuestos_ssTope*C40-D40))+impuestos_medicareTasa*R40</f>
        <v/>
      </c>
      <c r="T40" s="7">
        <f>Q40-R40-S40</f>
        <v/>
      </c>
      <c r="U40" s="7">
        <f>D40+R40</f>
        <v/>
      </c>
      <c r="V40" s="7">
        <f>H40*0.9235</f>
        <v/>
      </c>
      <c r="W40" s="7">
        <f>IF(H40&gt;0,2*impuestos_ssTasa*MIN(V40,MAX(0,impuestos_ssTope*C40-U40))+2*impuestos_medicareTasa*V40,0)</f>
        <v/>
      </c>
      <c r="X40" s="7">
        <f>impuestos_ssTasa*MIN(U40,impuestos_ssTope*C40)+impuestos_medicareTasa*U40+impuestos_medicareAdicional*MAX(0,U40+H40*0.9235-impuestos_medicareUmbral)</f>
        <v/>
      </c>
      <c r="Y40" s="7">
        <f>MAX(0,D40-O40+R40+T40+H40-W40/2)</f>
        <v/>
      </c>
      <c r="Z40" s="7">
        <f>MAX(0,Y40-impuestos_deduccionEstandar*C40)</f>
        <v/>
      </c>
      <c r="AA40" s="7">
        <f>MIN(0.2*MAX(0,T40+H40-W40/2)*MAX(0,MIN(1,1-(Z40-impuestos_qbiUmbral*C40)/(impuestos_qbiRango*C40))),0.2*Z40)</f>
        <v/>
      </c>
      <c r="AB40" s="7">
        <f>MAX(0,Z40-AA40)</f>
        <v/>
      </c>
      <c r="AC40" s="7">
        <f>SUMPRODUCT((AB40&gt;tb_federalBrackets_lo*C40)*(AB40-tb_federalBrackets_lo*C40)*tb_federalBrackets_dr)</f>
        <v/>
      </c>
      <c r="AD40" s="7">
        <f>MAX(0,Y40-impuestos_nyDeduccion*C40)</f>
        <v/>
      </c>
      <c r="AE40" s="7">
        <f>CHOOSE(loc_taxcode,0,impuestos_ohTasa*MAX(0,Y40-impuestos_ohExento*C40)+impuestos_ohMunicipal*U40,SUMPRODUCT((AD40&gt;tb_nyBrackets_lo*C40)*(AD40-tb_nyBrackets_lo*C40)*tb_nyBrackets_dr)+loc_nyc*SUMPRODUCT((AD40&gt;tb_nycBrackets_lo*C40)*(AD40-tb_nycBrackets_lo*C40)*tb_nycBrackets_dr))</f>
        <v/>
      </c>
      <c r="AF40" s="7">
        <f>AC40+AE40+X40+W40</f>
        <v/>
      </c>
      <c r="AG40" s="7">
        <f>D40+F40+R40+T40+H40</f>
        <v/>
      </c>
      <c r="AH40" s="7">
        <f>AG40-AF40-O40</f>
        <v/>
      </c>
      <c r="AI40" s="7">
        <f>D40+F40+G40+H40</f>
        <v/>
      </c>
      <c r="AJ40" s="7">
        <f>loc_gastosVida*C40*g_gastos</f>
        <v/>
      </c>
      <c r="AK40" s="7">
        <f>IF(7=0,personal_liquidoInicial,DR39)</f>
        <v/>
      </c>
      <c r="AL40" s="7">
        <f>IF(7=0,0,BB39)</f>
        <v/>
      </c>
      <c r="AM40" s="7">
        <f>CHOOSE(sel_cfgIdx,loc_precio_duplex,loc_precio_inlaw,loc_precio_dosCasas,loc_precio_casaAdu,loc_precio_multi)</f>
        <v/>
      </c>
      <c r="AN40" s="7">
        <f>AM40*(1+g_appr)^(A40-2026)</f>
        <v/>
      </c>
      <c r="AO40" s="7">
        <f>IF(AND(M40=1,vivienda_prestamoMedico=1),1,0)</f>
        <v/>
      </c>
      <c r="AP40" s="7">
        <f>IF(AO40=1,0.05,vivienda_enganchePct)</f>
        <v/>
      </c>
      <c r="AQ40" s="7">
        <f>AN40*(1-AP40)</f>
        <v/>
      </c>
      <c r="AR40" s="7">
        <f>PMT(g_mortRate/12,vivienda_plazoHipoteca*12,-AQ40)</f>
        <v/>
      </c>
      <c r="AS40" s="7">
        <f>INDEX(cfg_units,sel_cfgIdx)</f>
        <v/>
      </c>
      <c r="AT40" s="7">
        <f>AS40*loc_rentaUnidad*(1+g_inf)^(A40-2026)*(1-vivienda_vacancia)</f>
        <v/>
      </c>
      <c r="AU40" s="7">
        <f>AR40+AN40*loc_impuestoPropPct/12+AM40*loc_seguroPct*(1+vivienda_inflacionSeguro)^(A40-2026)/12+IF(AND(AO40=0,AP40&lt;0.2),AQ40*vivienda_pmiTasa/12,0)</f>
        <v/>
      </c>
      <c r="AV40" s="7">
        <f>AN40*AP40+AN40*vivienda_cierrePct+general_reservaMeses/12*AJ40</f>
        <v/>
      </c>
      <c r="AW40" s="7">
        <f>(IF(7=0,MIN(personal_irsSaldo,personal_irsPagoMensual*12),MIN(CD39,personal_irsPagoMensual*12))+IF(CE40&gt;0,PMT(CF40,MAX(1,prestamos_plazoAnios-CG40),-CE40),0)+IF(CR40&gt;0,PMT(CS40,MAX(1,prestamos_plazoAnios-CT40),-CR40),0))/12</f>
        <v/>
      </c>
      <c r="AX40" s="7">
        <f>IF(OR(sel_cfg="duplex",sel_cfg="multi",sel_cfg="dosCasas"),0.75*personal_aporteFamiliaMensual,0)</f>
        <v/>
      </c>
      <c r="AY40" s="7">
        <f>AU40-0.75*AT40-AX40+AW40</f>
        <v/>
      </c>
      <c r="AZ40" s="7">
        <f>(D40+G40+H40+0.5*F40)/12</f>
        <v/>
      </c>
      <c r="BA40" s="7">
        <f>IF(AND(AL40=0,A40&gt;=vivienda_anioMinCompra,J40&lt;0.5,AI40&gt;0,AK40&gt;=AV40,AY40&lt;=vivienda_dtiMax*AZ40),1,0)</f>
        <v/>
      </c>
      <c r="BB40" s="7">
        <f>MAX(AL40,BA40)</f>
        <v/>
      </c>
      <c r="BC40" s="7">
        <f>IF(BA40=1,A40,IF(7=0,"",BC39))</f>
        <v/>
      </c>
      <c r="BD40" s="7">
        <f>AK40-IF(BA40=1,AN40*AP40+AN40*vivienda_cierrePct,0)</f>
        <v/>
      </c>
      <c r="BE40" s="7">
        <f>IF(BA40=1,AN40,IF(7=0,0,BE39))</f>
        <v/>
      </c>
      <c r="BF40" s="7">
        <f>IF(BA40=1,AR40,IF(7=0,0,BF39))</f>
        <v/>
      </c>
      <c r="BG40" s="7">
        <f>IF(BA40=1,IF(AND(AO40=0,AP40&lt;0.2),1,0),IF(7=0,0,BY39))</f>
        <v/>
      </c>
      <c r="BH40" s="7">
        <f>IF(sel_cfg="casaAdu",1,0)</f>
        <v/>
      </c>
      <c r="BI40" s="7">
        <f>IF(AND(BB40=1,BH40=1,IF(7=0,0,BJ39)=0,A40&gt;=IF(BC40="",9999,BC40)+vivienda_aduRetrasoAnios),1,0)</f>
        <v/>
      </c>
      <c r="BJ40" s="7">
        <f>MAX(IF(7=0,0,BJ39),BI40)</f>
        <v/>
      </c>
      <c r="BK40" s="7">
        <f>IF(BI40=1,PMT((g_mortRate+0.005)/12,180,-loc_precio_aduCosto*C40),IF(7=0,0,BK39))</f>
        <v/>
      </c>
      <c r="BL40" s="7">
        <f>IF(BA40=1,AN40,IF(7=0,0,DT39))+IF(BI40=1,loc_precio_aduCosto*C40,0)</f>
        <v/>
      </c>
      <c r="BM40" s="7">
        <f>IF(BA40=1,AQ40,IF(7=0,0,DU39))</f>
        <v/>
      </c>
      <c r="BN40" s="7">
        <f>IF(BM40&lt;=0,0,FV(g_mortRate/12,12,BF40,-BM40))</f>
        <v/>
      </c>
      <c r="BO40" s="7">
        <f>IF(BM40&lt;=0,0,12*BF40+MIN(0,BN40))</f>
        <v/>
      </c>
      <c r="BP40" s="7">
        <f>MAX(0,BN40)</f>
        <v/>
      </c>
      <c r="BQ40" s="7">
        <f>IF(BI40=1,loc_precio_aduCosto*C40,IF(7=0,0,DV39))</f>
        <v/>
      </c>
      <c r="BR40" s="7">
        <f>IF(BQ40&lt;=0,0,FV((g_mortRate+0.005)/12,12,BK40,-BQ40))</f>
        <v/>
      </c>
      <c r="BS40" s="7">
        <f>IF(BQ40&lt;=0,0,12*BK40+MIN(0,BR40))</f>
        <v/>
      </c>
      <c r="BT40" s="7">
        <f>MAX(0,BR40)</f>
        <v/>
      </c>
      <c r="BU40" s="7">
        <f>IF(BB40=1,AM40*loc_seguroPct*(1+vivienda_inflacionSeguro)^(A40-2026)*IF(BJ40=1,1+loc_precio_aduCosto/AM40,1),0)</f>
        <v/>
      </c>
      <c r="BV40" s="7">
        <f>BL40*loc_impuestoPropPct</f>
        <v/>
      </c>
      <c r="BW40" s="7">
        <f>BL40*vivienda_mantenimientoPct</f>
        <v/>
      </c>
      <c r="BX40" s="7">
        <f>IF(AND(BG40=1,BP40&gt;0.8*BE40),BE40*(1-vivienda_enganchePct)*vivienda_pmiTasa,0)</f>
        <v/>
      </c>
      <c r="BY40" s="7">
        <f>IF(AND(BG40=1,BP40&gt;0.8*BE40),1,0)</f>
        <v/>
      </c>
      <c r="BZ40" s="7">
        <f>IF(BB40=1,AS40*loc_rentaUnidad*12*C40*(1-vivienda_vacancia)*(1-vivienda_gestionPct),0)</f>
        <v/>
      </c>
      <c r="CA40" s="7">
        <f>IF(BB40=1,BO40+BS40+BU40+BV40+BW40+BX40,loc_rentaMensual*12*C40)</f>
        <v/>
      </c>
      <c r="CB40" s="7">
        <f>IF(BB40=1,personal_aporteFamiliaMensual*12,0)</f>
        <v/>
      </c>
      <c r="CC40" s="7">
        <f>MIN(IF(7=0,personal_irsSaldo,CD39),personal_irsPagoMensual*12)</f>
        <v/>
      </c>
      <c r="CD40" s="7">
        <f>IF(7=0,personal_irsSaldo,CD39)-CC40</f>
        <v/>
      </c>
      <c r="CE40" s="7">
        <f>IF(7=0,IF(personal_deudaEsFederal=1,personal_deudaEstudiantil,0),DW39)</f>
        <v/>
      </c>
      <c r="CF40" s="7">
        <f>IF(7=0,personal_tasaDeudaEstudiantil,DX39)</f>
        <v/>
      </c>
      <c r="CG40" s="7">
        <f>IF(7=0,0,DY39)</f>
        <v/>
      </c>
      <c r="CH40" s="7">
        <f>IF(J40&gt;=0.5,1,0)</f>
        <v/>
      </c>
      <c r="CI40" s="7">
        <f>IF(AND(CH40=0,prestamos_pslfActivo=1,K40&gt;=0.5,CE40&gt;0),1,0)</f>
        <v/>
      </c>
      <c r="CJ40" s="7">
        <f>CE40*CF40</f>
        <v/>
      </c>
      <c r="CK40" s="7">
        <f>MAX(prestamos_rapPagoMinimoAnual,IF(Y40&lt;10000,0,MIN(0.1,INT(Y40/10000)/100))*Y40)</f>
        <v/>
      </c>
      <c r="CL40" s="7">
        <f>IF(CE40&lt;=0,0,IF(CH40=1,0,IF(CI40=1,MIN(CE40+CJ40,CK40),PMT(CF40,MAX(1,prestamos_plazoAnios-CG40),-CE40))))</f>
        <v/>
      </c>
      <c r="CM40" s="7">
        <f>IF(CE40&lt;=0,0,IF(CH40=1,CE40+CJ40,IF(CI40=1,MAX(0,CE40-MAX(CL40-CJ40,MIN(600,CL40))),MAX(0,CE40*(1+CF40)-CL40))))</f>
        <v/>
      </c>
      <c r="CN40" s="7">
        <f>IF(7=0,0,CN39)+IF(CI40=1,12*MIN(1,K40),0)</f>
        <v/>
      </c>
      <c r="CO40" s="7">
        <f>IF(AND(CI40=1,CN40&gt;=prestamos_pslfPagos,CM40&gt;0),CM40,0)</f>
        <v/>
      </c>
      <c r="CP40" s="7">
        <f>CM40-CO40</f>
        <v/>
      </c>
      <c r="CQ40" s="7">
        <f>IF(AND(CE40&gt;0,CH40=0,CI40=0),CG40+1,CG40)</f>
        <v/>
      </c>
      <c r="CR40" s="7">
        <f>IF(7=0,IF(personal_deudaEsFederal=1,0,personal_deudaEstudiantil),EA39)</f>
        <v/>
      </c>
      <c r="CS40" s="7">
        <f>IF(7=0,IF(personal_deudaEsFederal=1,prestamos_tasaPrivada,personal_tasaDeudaEstudiantil),EB39)</f>
        <v/>
      </c>
      <c r="CT40" s="7">
        <f>IF(7=0,0,EC39)</f>
        <v/>
      </c>
      <c r="CU40" s="7">
        <f>IF(OR(CR40&lt;=0,CH40=1),0,PMT(CS40,MAX(1,prestamos_plazoAnios-CT40),-CR40))</f>
        <v/>
      </c>
      <c r="CV40" s="7">
        <f>IF(CR40&lt;=0,0,IF(CH40=1,CR40*(1+CS40),MAX(0,CR40*(1+CS40)-CU40)))</f>
        <v/>
      </c>
      <c r="CW40" s="7">
        <f>IF(AND(CR40&gt;0,CH40=0),CT40+1,CT40)</f>
        <v/>
      </c>
      <c r="CX40" s="7">
        <f>IF(7=0,0,ED39)*(1+general_tasaDeudaConsumo)</f>
        <v/>
      </c>
      <c r="CY40" s="7">
        <f>L40*12*tiempos_travelGastoExtraMes*C40</f>
        <v/>
      </c>
      <c r="CZ40" s="7">
        <f>AJ40+CY40+CA40+CC40+CL40+CU40+I40+N40-BZ40-CB40</f>
        <v/>
      </c>
      <c r="DA40" s="7">
        <f>AH40-CZ40</f>
        <v/>
      </c>
      <c r="DB40" s="7">
        <f>IF(7=0,0,DB39)+DA40</f>
        <v/>
      </c>
      <c r="DC40" s="7">
        <f>AN40*vivienda_enganchePct+AN40*vivienda_cierrePct+general_reservaMeses/12*AJ40</f>
        <v/>
      </c>
      <c r="DD40" s="7">
        <f>IF(BB40=1,g_ret,IF(BD40&gt;0,MIN(1,DC40/BD40),1)*g_cash+(1-IF(BD40&gt;0,MIN(1,DC40/BD40),1))*g_ret)</f>
        <v/>
      </c>
      <c r="DE40" s="7">
        <f>IF(DA40&gt;=0,MIN(CX40,DA40),0)</f>
        <v/>
      </c>
      <c r="DF40" s="7">
        <f>IF(DA40&gt;=0,(1-general_tasaAhorro)*(DA40-DE40),0)</f>
        <v/>
      </c>
      <c r="DG40" s="7">
        <f>IF(DA40&gt;=0,DA40-DE40-DF40,0)</f>
        <v/>
      </c>
      <c r="DH40" s="7">
        <f>MIN(personal_rothAnual,DG40)</f>
        <v/>
      </c>
      <c r="DI40" s="7">
        <f>IF(AND(DA40&gt;=0,BB40=1,BP40+BT40&gt;0),MIN(vivienda_prepagoPct*(DG40-DH40),BP40+BT40),0)</f>
        <v/>
      </c>
      <c r="DJ40" s="7">
        <f>MIN(DI40,BP40)</f>
        <v/>
      </c>
      <c r="DK40" s="7">
        <f>IF(DA40&lt;0,MIN(MAX(0,BD40),-DA40),0)</f>
        <v/>
      </c>
      <c r="DL40" s="7">
        <f>IF(DA40&lt;0,-DA40-DK40,0)</f>
        <v/>
      </c>
      <c r="DM40" s="7">
        <f>IF(7=0,0,DZ39)</f>
        <v/>
      </c>
      <c r="DN40" s="7">
        <f>IF(AND(DL40&gt;0,J40&gt;0),MIN(DL40,MIN(prestamos_topeAnualPosgrado*MIN(1,J40),MAX(0,prestamos_topeTotalPosgrado-DM40))),0)</f>
        <v/>
      </c>
      <c r="DO40" s="7">
        <f>IF(AND(DL40&gt;0,J40&gt;0),DL40-DN40,0)</f>
        <v/>
      </c>
      <c r="DP40" s="7">
        <f>IF(AND(DL40&gt;0,J40&lt;=0),DL40,0)</f>
        <v/>
      </c>
      <c r="DQ40" s="7">
        <f>IF(DA40&gt;=0,DG40-DH40-DI40,-DK40)</f>
        <v/>
      </c>
      <c r="DR40" s="7">
        <f>BD40*(1+DD40)+DQ40*(1+DD40/2)</f>
        <v/>
      </c>
      <c r="DS40" s="7">
        <f>IF(7=0,personal_retiroInicial,DS39)*(1+g_ret)+(O40+P40+DH40)*(1+g_ret/2)</f>
        <v/>
      </c>
      <c r="DT40" s="7">
        <f>IF(BB40=1,BL40*(1+g_appr),0)</f>
        <v/>
      </c>
      <c r="DU40" s="7">
        <f>BP40-DJ40</f>
        <v/>
      </c>
      <c r="DV40" s="7">
        <f>BT40-(DI40-DJ40)</f>
        <v/>
      </c>
      <c r="DW40" s="7">
        <f>CP40+DN40</f>
        <v/>
      </c>
      <c r="DX40" s="7">
        <f>IF(DN40&gt;0,(CP40*CF40+DN40*prestamos_tasaFederalPosgrado)/(CP40+DN40),CF40)</f>
        <v/>
      </c>
      <c r="DY40" s="7">
        <f>IF(DN40&gt;0,0,CQ40)</f>
        <v/>
      </c>
      <c r="DZ40" s="7">
        <f>DM40+DN40</f>
        <v/>
      </c>
      <c r="EA40" s="7">
        <f>CV40+DO40</f>
        <v/>
      </c>
      <c r="EB40" s="7">
        <f>IF(DO40&gt;0,(CV40*CS40+DO40*prestamos_tasaPrivada)/(CV40+DO40),CS40)</f>
        <v/>
      </c>
      <c r="EC40" s="7">
        <f>IF(DO40&gt;0,0,CW40)</f>
        <v/>
      </c>
      <c r="ED40" s="7">
        <f>CX40-DE40+DP40</f>
        <v/>
      </c>
      <c r="EE40" s="7">
        <f>IF(IF(7=0,"",EE39)&lt;&gt;"",EE39,IF(AND(BB40=1,DU40&lt;=0.5,DV40&lt;=0.5,OR(BH40=0,BJ40=1)),A40,""))</f>
        <v/>
      </c>
      <c r="EF40" s="7">
        <f>DU40+DV40+DW40+EA40+ED40+CD40</f>
        <v/>
      </c>
      <c r="EG40" s="7">
        <f>DR40+DS40+DT40-EF40</f>
        <v/>
      </c>
      <c r="EH40" s="7">
        <f>EG40/(1+g_inf)^(A40+1-2026)</f>
        <v/>
      </c>
    </row>
    <row r="41">
      <c r="A41" t="n">
        <v>2035</v>
      </c>
      <c r="B41" t="n">
        <v>8</v>
      </c>
      <c r="C41" s="7">
        <f>(1+g_inf)^(A41-2026)</f>
        <v/>
      </c>
      <c r="D41" s="7">
        <f>SUMPRODUCT($AB$5:$AB$29,$E$5:$E$29*(1+$F$5:$F$29)^(A41-2026)*$G$5:$G$29*$H$5:$H$29*(1-$N$5:$N$29*$O$5:$O$29))*g_salMult+SUMPRODUCT(($B$5:$B$29&gt;=A41)*($B$5:$B$29&lt;A41+1)*$I$5:$I$29)*g_salMult</f>
        <v/>
      </c>
      <c r="E41" s="7">
        <f>SUMPRODUCT($AB$5:$AB$29,$E$5:$E$29*(1+$F$5:$F$29)^(A41-2026)*$G$5:$G$29*$H$5:$H$29*$M$5:$M$29)*g_salMult</f>
        <v/>
      </c>
      <c r="F41" s="7">
        <f>SUMPRODUCT($AB$5:$AB$29,$E$5:$E$29*(1+$F$5:$F$29)^(A41-2026)*$G$5:$G$29*$H$5:$H$29*$N$5:$N$29*$O$5:$O$29)*g_salMult</f>
        <v/>
      </c>
      <c r="G41" s="7">
        <f>SUMPRODUCT($AB$5:$AB$29,$P$5:$P$29*(1+$F$5:$F$29)^(A41-2026))</f>
        <v/>
      </c>
      <c r="H41" s="7">
        <f>SUMPRODUCT($AB$5:$AB$29,$Q$5:$Q$29*(1+$F$5:$F$29)^(A41-2026))+IF(personal_llcActivo=1,personal_llcNeto*(1+personal_llcCrecimiento)^8,0)</f>
        <v/>
      </c>
      <c r="I41" s="7">
        <f>SUMPRODUCT($AB$5:$AB$29,$J$5:$J$29/($C$5:$C$29-$B$5:$B$29+($C$5:$C$29=$B$5:$B$29)))*C41</f>
        <v/>
      </c>
      <c r="J41" s="7">
        <f>SUMPRODUCT($AB$5:$AB$29,$K$5:$K$29)</f>
        <v/>
      </c>
      <c r="K41" s="7">
        <f>SUMPRODUCT($AB$5:$AB$29,$L$5:$L$29)</f>
        <v/>
      </c>
      <c r="L41" s="7">
        <f>SUMPRODUCT($AB$5:$AB$29,$N$5:$N$29)</f>
        <v/>
      </c>
      <c r="M41" s="7">
        <f>IF(SUMPRODUCT($AB$5:$AB$29,$R$5:$R$29)&gt;0,1,0)</f>
        <v/>
      </c>
      <c r="N41" s="7">
        <f>SUMPRODUCT(($AO$5:$AO$24&gt;=A41)*($AO$5:$AO$24&lt;A41+1)*$AP$5:$AP$24)*C41+IF(8=0,IF(sel_loc&lt;&gt;"miami",personal_costoMudanzaInicial,0),0)</f>
        <v/>
      </c>
      <c r="O41" s="7">
        <f>MIN(personal_aporte403bPct*D41,retiro_limite403b*C41)</f>
        <v/>
      </c>
      <c r="P41" s="7">
        <f>MIN(personal_aporte403bPct,personal_match403bPct)*E41</f>
        <v/>
      </c>
      <c r="Q41" s="7">
        <f>IF(G41&gt;0,MAX(0,G41-impuestos_scorpCostoAnual*C41),0)</f>
        <v/>
      </c>
      <c r="R41" s="7">
        <f>Q41*impuestos_scorpSalarioPct/(1+impuestos_ssTasa+impuestos_medicareTasa)</f>
        <v/>
      </c>
      <c r="S41" s="7">
        <f>impuestos_ssTasa*MIN(R41,MAX(0,impuestos_ssTope*C41-D41))+impuestos_medicareTasa*R41</f>
        <v/>
      </c>
      <c r="T41" s="7">
        <f>Q41-R41-S41</f>
        <v/>
      </c>
      <c r="U41" s="7">
        <f>D41+R41</f>
        <v/>
      </c>
      <c r="V41" s="7">
        <f>H41*0.9235</f>
        <v/>
      </c>
      <c r="W41" s="7">
        <f>IF(H41&gt;0,2*impuestos_ssTasa*MIN(V41,MAX(0,impuestos_ssTope*C41-U41))+2*impuestos_medicareTasa*V41,0)</f>
        <v/>
      </c>
      <c r="X41" s="7">
        <f>impuestos_ssTasa*MIN(U41,impuestos_ssTope*C41)+impuestos_medicareTasa*U41+impuestos_medicareAdicional*MAX(0,U41+H41*0.9235-impuestos_medicareUmbral)</f>
        <v/>
      </c>
      <c r="Y41" s="7">
        <f>MAX(0,D41-O41+R41+T41+H41-W41/2)</f>
        <v/>
      </c>
      <c r="Z41" s="7">
        <f>MAX(0,Y41-impuestos_deduccionEstandar*C41)</f>
        <v/>
      </c>
      <c r="AA41" s="7">
        <f>MIN(0.2*MAX(0,T41+H41-W41/2)*MAX(0,MIN(1,1-(Z41-impuestos_qbiUmbral*C41)/(impuestos_qbiRango*C41))),0.2*Z41)</f>
        <v/>
      </c>
      <c r="AB41" s="7">
        <f>MAX(0,Z41-AA41)</f>
        <v/>
      </c>
      <c r="AC41" s="7">
        <f>SUMPRODUCT((AB41&gt;tb_federalBrackets_lo*C41)*(AB41-tb_federalBrackets_lo*C41)*tb_federalBrackets_dr)</f>
        <v/>
      </c>
      <c r="AD41" s="7">
        <f>MAX(0,Y41-impuestos_nyDeduccion*C41)</f>
        <v/>
      </c>
      <c r="AE41" s="7">
        <f>CHOOSE(loc_taxcode,0,impuestos_ohTasa*MAX(0,Y41-impuestos_ohExento*C41)+impuestos_ohMunicipal*U41,SUMPRODUCT((AD41&gt;tb_nyBrackets_lo*C41)*(AD41-tb_nyBrackets_lo*C41)*tb_nyBrackets_dr)+loc_nyc*SUMPRODUCT((AD41&gt;tb_nycBrackets_lo*C41)*(AD41-tb_nycBrackets_lo*C41)*tb_nycBrackets_dr))</f>
        <v/>
      </c>
      <c r="AF41" s="7">
        <f>AC41+AE41+X41+W41</f>
        <v/>
      </c>
      <c r="AG41" s="7">
        <f>D41+F41+R41+T41+H41</f>
        <v/>
      </c>
      <c r="AH41" s="7">
        <f>AG41-AF41-O41</f>
        <v/>
      </c>
      <c r="AI41" s="7">
        <f>D41+F41+G41+H41</f>
        <v/>
      </c>
      <c r="AJ41" s="7">
        <f>loc_gastosVida*C41*g_gastos</f>
        <v/>
      </c>
      <c r="AK41" s="7">
        <f>IF(8=0,personal_liquidoInicial,DR40)</f>
        <v/>
      </c>
      <c r="AL41" s="7">
        <f>IF(8=0,0,BB40)</f>
        <v/>
      </c>
      <c r="AM41" s="7">
        <f>CHOOSE(sel_cfgIdx,loc_precio_duplex,loc_precio_inlaw,loc_precio_dosCasas,loc_precio_casaAdu,loc_precio_multi)</f>
        <v/>
      </c>
      <c r="AN41" s="7">
        <f>AM41*(1+g_appr)^(A41-2026)</f>
        <v/>
      </c>
      <c r="AO41" s="7">
        <f>IF(AND(M41=1,vivienda_prestamoMedico=1),1,0)</f>
        <v/>
      </c>
      <c r="AP41" s="7">
        <f>IF(AO41=1,0.05,vivienda_enganchePct)</f>
        <v/>
      </c>
      <c r="AQ41" s="7">
        <f>AN41*(1-AP41)</f>
        <v/>
      </c>
      <c r="AR41" s="7">
        <f>PMT(g_mortRate/12,vivienda_plazoHipoteca*12,-AQ41)</f>
        <v/>
      </c>
      <c r="AS41" s="7">
        <f>INDEX(cfg_units,sel_cfgIdx)</f>
        <v/>
      </c>
      <c r="AT41" s="7">
        <f>AS41*loc_rentaUnidad*(1+g_inf)^(A41-2026)*(1-vivienda_vacancia)</f>
        <v/>
      </c>
      <c r="AU41" s="7">
        <f>AR41+AN41*loc_impuestoPropPct/12+AM41*loc_seguroPct*(1+vivienda_inflacionSeguro)^(A41-2026)/12+IF(AND(AO41=0,AP41&lt;0.2),AQ41*vivienda_pmiTasa/12,0)</f>
        <v/>
      </c>
      <c r="AV41" s="7">
        <f>AN41*AP41+AN41*vivienda_cierrePct+general_reservaMeses/12*AJ41</f>
        <v/>
      </c>
      <c r="AW41" s="7">
        <f>(IF(8=0,MIN(personal_irsSaldo,personal_irsPagoMensual*12),MIN(CD40,personal_irsPagoMensual*12))+IF(CE41&gt;0,PMT(CF41,MAX(1,prestamos_plazoAnios-CG41),-CE41),0)+IF(CR41&gt;0,PMT(CS41,MAX(1,prestamos_plazoAnios-CT41),-CR41),0))/12</f>
        <v/>
      </c>
      <c r="AX41" s="7">
        <f>IF(OR(sel_cfg="duplex",sel_cfg="multi",sel_cfg="dosCasas"),0.75*personal_aporteFamiliaMensual,0)</f>
        <v/>
      </c>
      <c r="AY41" s="7">
        <f>AU41-0.75*AT41-AX41+AW41</f>
        <v/>
      </c>
      <c r="AZ41" s="7">
        <f>(D41+G41+H41+0.5*F41)/12</f>
        <v/>
      </c>
      <c r="BA41" s="7">
        <f>IF(AND(AL41=0,A41&gt;=vivienda_anioMinCompra,J41&lt;0.5,AI41&gt;0,AK41&gt;=AV41,AY41&lt;=vivienda_dtiMax*AZ41),1,0)</f>
        <v/>
      </c>
      <c r="BB41" s="7">
        <f>MAX(AL41,BA41)</f>
        <v/>
      </c>
      <c r="BC41" s="7">
        <f>IF(BA41=1,A41,IF(8=0,"",BC40))</f>
        <v/>
      </c>
      <c r="BD41" s="7">
        <f>AK41-IF(BA41=1,AN41*AP41+AN41*vivienda_cierrePct,0)</f>
        <v/>
      </c>
      <c r="BE41" s="7">
        <f>IF(BA41=1,AN41,IF(8=0,0,BE40))</f>
        <v/>
      </c>
      <c r="BF41" s="7">
        <f>IF(BA41=1,AR41,IF(8=0,0,BF40))</f>
        <v/>
      </c>
      <c r="BG41" s="7">
        <f>IF(BA41=1,IF(AND(AO41=0,AP41&lt;0.2),1,0),IF(8=0,0,BY40))</f>
        <v/>
      </c>
      <c r="BH41" s="7">
        <f>IF(sel_cfg="casaAdu",1,0)</f>
        <v/>
      </c>
      <c r="BI41" s="7">
        <f>IF(AND(BB41=1,BH41=1,IF(8=0,0,BJ40)=0,A41&gt;=IF(BC41="",9999,BC41)+vivienda_aduRetrasoAnios),1,0)</f>
        <v/>
      </c>
      <c r="BJ41" s="7">
        <f>MAX(IF(8=0,0,BJ40),BI41)</f>
        <v/>
      </c>
      <c r="BK41" s="7">
        <f>IF(BI41=1,PMT((g_mortRate+0.005)/12,180,-loc_precio_aduCosto*C41),IF(8=0,0,BK40))</f>
        <v/>
      </c>
      <c r="BL41" s="7">
        <f>IF(BA41=1,AN41,IF(8=0,0,DT40))+IF(BI41=1,loc_precio_aduCosto*C41,0)</f>
        <v/>
      </c>
      <c r="BM41" s="7">
        <f>IF(BA41=1,AQ41,IF(8=0,0,DU40))</f>
        <v/>
      </c>
      <c r="BN41" s="7">
        <f>IF(BM41&lt;=0,0,FV(g_mortRate/12,12,BF41,-BM41))</f>
        <v/>
      </c>
      <c r="BO41" s="7">
        <f>IF(BM41&lt;=0,0,12*BF41+MIN(0,BN41))</f>
        <v/>
      </c>
      <c r="BP41" s="7">
        <f>MAX(0,BN41)</f>
        <v/>
      </c>
      <c r="BQ41" s="7">
        <f>IF(BI41=1,loc_precio_aduCosto*C41,IF(8=0,0,DV40))</f>
        <v/>
      </c>
      <c r="BR41" s="7">
        <f>IF(BQ41&lt;=0,0,FV((g_mortRate+0.005)/12,12,BK41,-BQ41))</f>
        <v/>
      </c>
      <c r="BS41" s="7">
        <f>IF(BQ41&lt;=0,0,12*BK41+MIN(0,BR41))</f>
        <v/>
      </c>
      <c r="BT41" s="7">
        <f>MAX(0,BR41)</f>
        <v/>
      </c>
      <c r="BU41" s="7">
        <f>IF(BB41=1,AM41*loc_seguroPct*(1+vivienda_inflacionSeguro)^(A41-2026)*IF(BJ41=1,1+loc_precio_aduCosto/AM41,1),0)</f>
        <v/>
      </c>
      <c r="BV41" s="7">
        <f>BL41*loc_impuestoPropPct</f>
        <v/>
      </c>
      <c r="BW41" s="7">
        <f>BL41*vivienda_mantenimientoPct</f>
        <v/>
      </c>
      <c r="BX41" s="7">
        <f>IF(AND(BG41=1,BP41&gt;0.8*BE41),BE41*(1-vivienda_enganchePct)*vivienda_pmiTasa,0)</f>
        <v/>
      </c>
      <c r="BY41" s="7">
        <f>IF(AND(BG41=1,BP41&gt;0.8*BE41),1,0)</f>
        <v/>
      </c>
      <c r="BZ41" s="7">
        <f>IF(BB41=1,AS41*loc_rentaUnidad*12*C41*(1-vivienda_vacancia)*(1-vivienda_gestionPct),0)</f>
        <v/>
      </c>
      <c r="CA41" s="7">
        <f>IF(BB41=1,BO41+BS41+BU41+BV41+BW41+BX41,loc_rentaMensual*12*C41)</f>
        <v/>
      </c>
      <c r="CB41" s="7">
        <f>IF(BB41=1,personal_aporteFamiliaMensual*12,0)</f>
        <v/>
      </c>
      <c r="CC41" s="7">
        <f>MIN(IF(8=0,personal_irsSaldo,CD40),personal_irsPagoMensual*12)</f>
        <v/>
      </c>
      <c r="CD41" s="7">
        <f>IF(8=0,personal_irsSaldo,CD40)-CC41</f>
        <v/>
      </c>
      <c r="CE41" s="7">
        <f>IF(8=0,IF(personal_deudaEsFederal=1,personal_deudaEstudiantil,0),DW40)</f>
        <v/>
      </c>
      <c r="CF41" s="7">
        <f>IF(8=0,personal_tasaDeudaEstudiantil,DX40)</f>
        <v/>
      </c>
      <c r="CG41" s="7">
        <f>IF(8=0,0,DY40)</f>
        <v/>
      </c>
      <c r="CH41" s="7">
        <f>IF(J41&gt;=0.5,1,0)</f>
        <v/>
      </c>
      <c r="CI41" s="7">
        <f>IF(AND(CH41=0,prestamos_pslfActivo=1,K41&gt;=0.5,CE41&gt;0),1,0)</f>
        <v/>
      </c>
      <c r="CJ41" s="7">
        <f>CE41*CF41</f>
        <v/>
      </c>
      <c r="CK41" s="7">
        <f>MAX(prestamos_rapPagoMinimoAnual,IF(Y41&lt;10000,0,MIN(0.1,INT(Y41/10000)/100))*Y41)</f>
        <v/>
      </c>
      <c r="CL41" s="7">
        <f>IF(CE41&lt;=0,0,IF(CH41=1,0,IF(CI41=1,MIN(CE41+CJ41,CK41),PMT(CF41,MAX(1,prestamos_plazoAnios-CG41),-CE41))))</f>
        <v/>
      </c>
      <c r="CM41" s="7">
        <f>IF(CE41&lt;=0,0,IF(CH41=1,CE41+CJ41,IF(CI41=1,MAX(0,CE41-MAX(CL41-CJ41,MIN(600,CL41))),MAX(0,CE41*(1+CF41)-CL41))))</f>
        <v/>
      </c>
      <c r="CN41" s="7">
        <f>IF(8=0,0,CN40)+IF(CI41=1,12*MIN(1,K41),0)</f>
        <v/>
      </c>
      <c r="CO41" s="7">
        <f>IF(AND(CI41=1,CN41&gt;=prestamos_pslfPagos,CM41&gt;0),CM41,0)</f>
        <v/>
      </c>
      <c r="CP41" s="7">
        <f>CM41-CO41</f>
        <v/>
      </c>
      <c r="CQ41" s="7">
        <f>IF(AND(CE41&gt;0,CH41=0,CI41=0),CG41+1,CG41)</f>
        <v/>
      </c>
      <c r="CR41" s="7">
        <f>IF(8=0,IF(personal_deudaEsFederal=1,0,personal_deudaEstudiantil),EA40)</f>
        <v/>
      </c>
      <c r="CS41" s="7">
        <f>IF(8=0,IF(personal_deudaEsFederal=1,prestamos_tasaPrivada,personal_tasaDeudaEstudiantil),EB40)</f>
        <v/>
      </c>
      <c r="CT41" s="7">
        <f>IF(8=0,0,EC40)</f>
        <v/>
      </c>
      <c r="CU41" s="7">
        <f>IF(OR(CR41&lt;=0,CH41=1),0,PMT(CS41,MAX(1,prestamos_plazoAnios-CT41),-CR41))</f>
        <v/>
      </c>
      <c r="CV41" s="7">
        <f>IF(CR41&lt;=0,0,IF(CH41=1,CR41*(1+CS41),MAX(0,CR41*(1+CS41)-CU41)))</f>
        <v/>
      </c>
      <c r="CW41" s="7">
        <f>IF(AND(CR41&gt;0,CH41=0),CT41+1,CT41)</f>
        <v/>
      </c>
      <c r="CX41" s="7">
        <f>IF(8=0,0,ED40)*(1+general_tasaDeudaConsumo)</f>
        <v/>
      </c>
      <c r="CY41" s="7">
        <f>L41*12*tiempos_travelGastoExtraMes*C41</f>
        <v/>
      </c>
      <c r="CZ41" s="7">
        <f>AJ41+CY41+CA41+CC41+CL41+CU41+I41+N41-BZ41-CB41</f>
        <v/>
      </c>
      <c r="DA41" s="7">
        <f>AH41-CZ41</f>
        <v/>
      </c>
      <c r="DB41" s="7">
        <f>IF(8=0,0,DB40)+DA41</f>
        <v/>
      </c>
      <c r="DC41" s="7">
        <f>AN41*vivienda_enganchePct+AN41*vivienda_cierrePct+general_reservaMeses/12*AJ41</f>
        <v/>
      </c>
      <c r="DD41" s="7">
        <f>IF(BB41=1,g_ret,IF(BD41&gt;0,MIN(1,DC41/BD41),1)*g_cash+(1-IF(BD41&gt;0,MIN(1,DC41/BD41),1))*g_ret)</f>
        <v/>
      </c>
      <c r="DE41" s="7">
        <f>IF(DA41&gt;=0,MIN(CX41,DA41),0)</f>
        <v/>
      </c>
      <c r="DF41" s="7">
        <f>IF(DA41&gt;=0,(1-general_tasaAhorro)*(DA41-DE41),0)</f>
        <v/>
      </c>
      <c r="DG41" s="7">
        <f>IF(DA41&gt;=0,DA41-DE41-DF41,0)</f>
        <v/>
      </c>
      <c r="DH41" s="7">
        <f>MIN(personal_rothAnual,DG41)</f>
        <v/>
      </c>
      <c r="DI41" s="7">
        <f>IF(AND(DA41&gt;=0,BB41=1,BP41+BT41&gt;0),MIN(vivienda_prepagoPct*(DG41-DH41),BP41+BT41),0)</f>
        <v/>
      </c>
      <c r="DJ41" s="7">
        <f>MIN(DI41,BP41)</f>
        <v/>
      </c>
      <c r="DK41" s="7">
        <f>IF(DA41&lt;0,MIN(MAX(0,BD41),-DA41),0)</f>
        <v/>
      </c>
      <c r="DL41" s="7">
        <f>IF(DA41&lt;0,-DA41-DK41,0)</f>
        <v/>
      </c>
      <c r="DM41" s="7">
        <f>IF(8=0,0,DZ40)</f>
        <v/>
      </c>
      <c r="DN41" s="7">
        <f>IF(AND(DL41&gt;0,J41&gt;0),MIN(DL41,MIN(prestamos_topeAnualPosgrado*MIN(1,J41),MAX(0,prestamos_topeTotalPosgrado-DM41))),0)</f>
        <v/>
      </c>
      <c r="DO41" s="7">
        <f>IF(AND(DL41&gt;0,J41&gt;0),DL41-DN41,0)</f>
        <v/>
      </c>
      <c r="DP41" s="7">
        <f>IF(AND(DL41&gt;0,J41&lt;=0),DL41,0)</f>
        <v/>
      </c>
      <c r="DQ41" s="7">
        <f>IF(DA41&gt;=0,DG41-DH41-DI41,-DK41)</f>
        <v/>
      </c>
      <c r="DR41" s="7">
        <f>BD41*(1+DD41)+DQ41*(1+DD41/2)</f>
        <v/>
      </c>
      <c r="DS41" s="7">
        <f>IF(8=0,personal_retiroInicial,DS40)*(1+g_ret)+(O41+P41+DH41)*(1+g_ret/2)</f>
        <v/>
      </c>
      <c r="DT41" s="7">
        <f>IF(BB41=1,BL41*(1+g_appr),0)</f>
        <v/>
      </c>
      <c r="DU41" s="7">
        <f>BP41-DJ41</f>
        <v/>
      </c>
      <c r="DV41" s="7">
        <f>BT41-(DI41-DJ41)</f>
        <v/>
      </c>
      <c r="DW41" s="7">
        <f>CP41+DN41</f>
        <v/>
      </c>
      <c r="DX41" s="7">
        <f>IF(DN41&gt;0,(CP41*CF41+DN41*prestamos_tasaFederalPosgrado)/(CP41+DN41),CF41)</f>
        <v/>
      </c>
      <c r="DY41" s="7">
        <f>IF(DN41&gt;0,0,CQ41)</f>
        <v/>
      </c>
      <c r="DZ41" s="7">
        <f>DM41+DN41</f>
        <v/>
      </c>
      <c r="EA41" s="7">
        <f>CV41+DO41</f>
        <v/>
      </c>
      <c r="EB41" s="7">
        <f>IF(DO41&gt;0,(CV41*CS41+DO41*prestamos_tasaPrivada)/(CV41+DO41),CS41)</f>
        <v/>
      </c>
      <c r="EC41" s="7">
        <f>IF(DO41&gt;0,0,CW41)</f>
        <v/>
      </c>
      <c r="ED41" s="7">
        <f>CX41-DE41+DP41</f>
        <v/>
      </c>
      <c r="EE41" s="7">
        <f>IF(IF(8=0,"",EE40)&lt;&gt;"",EE40,IF(AND(BB41=1,DU41&lt;=0.5,DV41&lt;=0.5,OR(BH41=0,BJ41=1)),A41,""))</f>
        <v/>
      </c>
      <c r="EF41" s="7">
        <f>DU41+DV41+DW41+EA41+ED41+CD41</f>
        <v/>
      </c>
      <c r="EG41" s="7">
        <f>DR41+DS41+DT41-EF41</f>
        <v/>
      </c>
      <c r="EH41" s="7">
        <f>EG41/(1+g_inf)^(A41+1-2026)</f>
        <v/>
      </c>
    </row>
    <row r="42">
      <c r="A42" t="n">
        <v>2036</v>
      </c>
      <c r="B42" t="n">
        <v>9</v>
      </c>
      <c r="C42" s="7">
        <f>(1+g_inf)^(A42-2026)</f>
        <v/>
      </c>
      <c r="D42" s="7">
        <f>SUMPRODUCT($AC$5:$AC$29,$E$5:$E$29*(1+$F$5:$F$29)^(A42-2026)*$G$5:$G$29*$H$5:$H$29*(1-$N$5:$N$29*$O$5:$O$29))*g_salMult+SUMPRODUCT(($B$5:$B$29&gt;=A42)*($B$5:$B$29&lt;A42+1)*$I$5:$I$29)*g_salMult</f>
        <v/>
      </c>
      <c r="E42" s="7">
        <f>SUMPRODUCT($AC$5:$AC$29,$E$5:$E$29*(1+$F$5:$F$29)^(A42-2026)*$G$5:$G$29*$H$5:$H$29*$M$5:$M$29)*g_salMult</f>
        <v/>
      </c>
      <c r="F42" s="7">
        <f>SUMPRODUCT($AC$5:$AC$29,$E$5:$E$29*(1+$F$5:$F$29)^(A42-2026)*$G$5:$G$29*$H$5:$H$29*$N$5:$N$29*$O$5:$O$29)*g_salMult</f>
        <v/>
      </c>
      <c r="G42" s="7">
        <f>SUMPRODUCT($AC$5:$AC$29,$P$5:$P$29*(1+$F$5:$F$29)^(A42-2026))</f>
        <v/>
      </c>
      <c r="H42" s="7">
        <f>SUMPRODUCT($AC$5:$AC$29,$Q$5:$Q$29*(1+$F$5:$F$29)^(A42-2026))+IF(personal_llcActivo=1,personal_llcNeto*(1+personal_llcCrecimiento)^9,0)</f>
        <v/>
      </c>
      <c r="I42" s="7">
        <f>SUMPRODUCT($AC$5:$AC$29,$J$5:$J$29/($C$5:$C$29-$B$5:$B$29+($C$5:$C$29=$B$5:$B$29)))*C42</f>
        <v/>
      </c>
      <c r="J42" s="7">
        <f>SUMPRODUCT($AC$5:$AC$29,$K$5:$K$29)</f>
        <v/>
      </c>
      <c r="K42" s="7">
        <f>SUMPRODUCT($AC$5:$AC$29,$L$5:$L$29)</f>
        <v/>
      </c>
      <c r="L42" s="7">
        <f>SUMPRODUCT($AC$5:$AC$29,$N$5:$N$29)</f>
        <v/>
      </c>
      <c r="M42" s="7">
        <f>IF(SUMPRODUCT($AC$5:$AC$29,$R$5:$R$29)&gt;0,1,0)</f>
        <v/>
      </c>
      <c r="N42" s="7">
        <f>SUMPRODUCT(($AO$5:$AO$24&gt;=A42)*($AO$5:$AO$24&lt;A42+1)*$AP$5:$AP$24)*C42+IF(9=0,IF(sel_loc&lt;&gt;"miami",personal_costoMudanzaInicial,0),0)</f>
        <v/>
      </c>
      <c r="O42" s="7">
        <f>MIN(personal_aporte403bPct*D42,retiro_limite403b*C42)</f>
        <v/>
      </c>
      <c r="P42" s="7">
        <f>MIN(personal_aporte403bPct,personal_match403bPct)*E42</f>
        <v/>
      </c>
      <c r="Q42" s="7">
        <f>IF(G42&gt;0,MAX(0,G42-impuestos_scorpCostoAnual*C42),0)</f>
        <v/>
      </c>
      <c r="R42" s="7">
        <f>Q42*impuestos_scorpSalarioPct/(1+impuestos_ssTasa+impuestos_medicareTasa)</f>
        <v/>
      </c>
      <c r="S42" s="7">
        <f>impuestos_ssTasa*MIN(R42,MAX(0,impuestos_ssTope*C42-D42))+impuestos_medicareTasa*R42</f>
        <v/>
      </c>
      <c r="T42" s="7">
        <f>Q42-R42-S42</f>
        <v/>
      </c>
      <c r="U42" s="7">
        <f>D42+R42</f>
        <v/>
      </c>
      <c r="V42" s="7">
        <f>H42*0.9235</f>
        <v/>
      </c>
      <c r="W42" s="7">
        <f>IF(H42&gt;0,2*impuestos_ssTasa*MIN(V42,MAX(0,impuestos_ssTope*C42-U42))+2*impuestos_medicareTasa*V42,0)</f>
        <v/>
      </c>
      <c r="X42" s="7">
        <f>impuestos_ssTasa*MIN(U42,impuestos_ssTope*C42)+impuestos_medicareTasa*U42+impuestos_medicareAdicional*MAX(0,U42+H42*0.9235-impuestos_medicareUmbral)</f>
        <v/>
      </c>
      <c r="Y42" s="7">
        <f>MAX(0,D42-O42+R42+T42+H42-W42/2)</f>
        <v/>
      </c>
      <c r="Z42" s="7">
        <f>MAX(0,Y42-impuestos_deduccionEstandar*C42)</f>
        <v/>
      </c>
      <c r="AA42" s="7">
        <f>MIN(0.2*MAX(0,T42+H42-W42/2)*MAX(0,MIN(1,1-(Z42-impuestos_qbiUmbral*C42)/(impuestos_qbiRango*C42))),0.2*Z42)</f>
        <v/>
      </c>
      <c r="AB42" s="7">
        <f>MAX(0,Z42-AA42)</f>
        <v/>
      </c>
      <c r="AC42" s="7">
        <f>SUMPRODUCT((AB42&gt;tb_federalBrackets_lo*C42)*(AB42-tb_federalBrackets_lo*C42)*tb_federalBrackets_dr)</f>
        <v/>
      </c>
      <c r="AD42" s="7">
        <f>MAX(0,Y42-impuestos_nyDeduccion*C42)</f>
        <v/>
      </c>
      <c r="AE42" s="7">
        <f>CHOOSE(loc_taxcode,0,impuestos_ohTasa*MAX(0,Y42-impuestos_ohExento*C42)+impuestos_ohMunicipal*U42,SUMPRODUCT((AD42&gt;tb_nyBrackets_lo*C42)*(AD42-tb_nyBrackets_lo*C42)*tb_nyBrackets_dr)+loc_nyc*SUMPRODUCT((AD42&gt;tb_nycBrackets_lo*C42)*(AD42-tb_nycBrackets_lo*C42)*tb_nycBrackets_dr))</f>
        <v/>
      </c>
      <c r="AF42" s="7">
        <f>AC42+AE42+X42+W42</f>
        <v/>
      </c>
      <c r="AG42" s="7">
        <f>D42+F42+R42+T42+H42</f>
        <v/>
      </c>
      <c r="AH42" s="7">
        <f>AG42-AF42-O42</f>
        <v/>
      </c>
      <c r="AI42" s="7">
        <f>D42+F42+G42+H42</f>
        <v/>
      </c>
      <c r="AJ42" s="7">
        <f>loc_gastosVida*C42*g_gastos</f>
        <v/>
      </c>
      <c r="AK42" s="7">
        <f>IF(9=0,personal_liquidoInicial,DR41)</f>
        <v/>
      </c>
      <c r="AL42" s="7">
        <f>IF(9=0,0,BB41)</f>
        <v/>
      </c>
      <c r="AM42" s="7">
        <f>CHOOSE(sel_cfgIdx,loc_precio_duplex,loc_precio_inlaw,loc_precio_dosCasas,loc_precio_casaAdu,loc_precio_multi)</f>
        <v/>
      </c>
      <c r="AN42" s="7">
        <f>AM42*(1+g_appr)^(A42-2026)</f>
        <v/>
      </c>
      <c r="AO42" s="7">
        <f>IF(AND(M42=1,vivienda_prestamoMedico=1),1,0)</f>
        <v/>
      </c>
      <c r="AP42" s="7">
        <f>IF(AO42=1,0.05,vivienda_enganchePct)</f>
        <v/>
      </c>
      <c r="AQ42" s="7">
        <f>AN42*(1-AP42)</f>
        <v/>
      </c>
      <c r="AR42" s="7">
        <f>PMT(g_mortRate/12,vivienda_plazoHipoteca*12,-AQ42)</f>
        <v/>
      </c>
      <c r="AS42" s="7">
        <f>INDEX(cfg_units,sel_cfgIdx)</f>
        <v/>
      </c>
      <c r="AT42" s="7">
        <f>AS42*loc_rentaUnidad*(1+g_inf)^(A42-2026)*(1-vivienda_vacancia)</f>
        <v/>
      </c>
      <c r="AU42" s="7">
        <f>AR42+AN42*loc_impuestoPropPct/12+AM42*loc_seguroPct*(1+vivienda_inflacionSeguro)^(A42-2026)/12+IF(AND(AO42=0,AP42&lt;0.2),AQ42*vivienda_pmiTasa/12,0)</f>
        <v/>
      </c>
      <c r="AV42" s="7">
        <f>AN42*AP42+AN42*vivienda_cierrePct+general_reservaMeses/12*AJ42</f>
        <v/>
      </c>
      <c r="AW42" s="7">
        <f>(IF(9=0,MIN(personal_irsSaldo,personal_irsPagoMensual*12),MIN(CD41,personal_irsPagoMensual*12))+IF(CE42&gt;0,PMT(CF42,MAX(1,prestamos_plazoAnios-CG42),-CE42),0)+IF(CR42&gt;0,PMT(CS42,MAX(1,prestamos_plazoAnios-CT42),-CR42),0))/12</f>
        <v/>
      </c>
      <c r="AX42" s="7">
        <f>IF(OR(sel_cfg="duplex",sel_cfg="multi",sel_cfg="dosCasas"),0.75*personal_aporteFamiliaMensual,0)</f>
        <v/>
      </c>
      <c r="AY42" s="7">
        <f>AU42-0.75*AT42-AX42+AW42</f>
        <v/>
      </c>
      <c r="AZ42" s="7">
        <f>(D42+G42+H42+0.5*F42)/12</f>
        <v/>
      </c>
      <c r="BA42" s="7">
        <f>IF(AND(AL42=0,A42&gt;=vivienda_anioMinCompra,J42&lt;0.5,AI42&gt;0,AK42&gt;=AV42,AY42&lt;=vivienda_dtiMax*AZ42),1,0)</f>
        <v/>
      </c>
      <c r="BB42" s="7">
        <f>MAX(AL42,BA42)</f>
        <v/>
      </c>
      <c r="BC42" s="7">
        <f>IF(BA42=1,A42,IF(9=0,"",BC41))</f>
        <v/>
      </c>
      <c r="BD42" s="7">
        <f>AK42-IF(BA42=1,AN42*AP42+AN42*vivienda_cierrePct,0)</f>
        <v/>
      </c>
      <c r="BE42" s="7">
        <f>IF(BA42=1,AN42,IF(9=0,0,BE41))</f>
        <v/>
      </c>
      <c r="BF42" s="7">
        <f>IF(BA42=1,AR42,IF(9=0,0,BF41))</f>
        <v/>
      </c>
      <c r="BG42" s="7">
        <f>IF(BA42=1,IF(AND(AO42=0,AP42&lt;0.2),1,0),IF(9=0,0,BY41))</f>
        <v/>
      </c>
      <c r="BH42" s="7">
        <f>IF(sel_cfg="casaAdu",1,0)</f>
        <v/>
      </c>
      <c r="BI42" s="7">
        <f>IF(AND(BB42=1,BH42=1,IF(9=0,0,BJ41)=0,A42&gt;=IF(BC42="",9999,BC42)+vivienda_aduRetrasoAnios),1,0)</f>
        <v/>
      </c>
      <c r="BJ42" s="7">
        <f>MAX(IF(9=0,0,BJ41),BI42)</f>
        <v/>
      </c>
      <c r="BK42" s="7">
        <f>IF(BI42=1,PMT((g_mortRate+0.005)/12,180,-loc_precio_aduCosto*C42),IF(9=0,0,BK41))</f>
        <v/>
      </c>
      <c r="BL42" s="7">
        <f>IF(BA42=1,AN42,IF(9=0,0,DT41))+IF(BI42=1,loc_precio_aduCosto*C42,0)</f>
        <v/>
      </c>
      <c r="BM42" s="7">
        <f>IF(BA42=1,AQ42,IF(9=0,0,DU41))</f>
        <v/>
      </c>
      <c r="BN42" s="7">
        <f>IF(BM42&lt;=0,0,FV(g_mortRate/12,12,BF42,-BM42))</f>
        <v/>
      </c>
      <c r="BO42" s="7">
        <f>IF(BM42&lt;=0,0,12*BF42+MIN(0,BN42))</f>
        <v/>
      </c>
      <c r="BP42" s="7">
        <f>MAX(0,BN42)</f>
        <v/>
      </c>
      <c r="BQ42" s="7">
        <f>IF(BI42=1,loc_precio_aduCosto*C42,IF(9=0,0,DV41))</f>
        <v/>
      </c>
      <c r="BR42" s="7">
        <f>IF(BQ42&lt;=0,0,FV((g_mortRate+0.005)/12,12,BK42,-BQ42))</f>
        <v/>
      </c>
      <c r="BS42" s="7">
        <f>IF(BQ42&lt;=0,0,12*BK42+MIN(0,BR42))</f>
        <v/>
      </c>
      <c r="BT42" s="7">
        <f>MAX(0,BR42)</f>
        <v/>
      </c>
      <c r="BU42" s="7">
        <f>IF(BB42=1,AM42*loc_seguroPct*(1+vivienda_inflacionSeguro)^(A42-2026)*IF(BJ42=1,1+loc_precio_aduCosto/AM42,1),0)</f>
        <v/>
      </c>
      <c r="BV42" s="7">
        <f>BL42*loc_impuestoPropPct</f>
        <v/>
      </c>
      <c r="BW42" s="7">
        <f>BL42*vivienda_mantenimientoPct</f>
        <v/>
      </c>
      <c r="BX42" s="7">
        <f>IF(AND(BG42=1,BP42&gt;0.8*BE42),BE42*(1-vivienda_enganchePct)*vivienda_pmiTasa,0)</f>
        <v/>
      </c>
      <c r="BY42" s="7">
        <f>IF(AND(BG42=1,BP42&gt;0.8*BE42),1,0)</f>
        <v/>
      </c>
      <c r="BZ42" s="7">
        <f>IF(BB42=1,AS42*loc_rentaUnidad*12*C42*(1-vivienda_vacancia)*(1-vivienda_gestionPct),0)</f>
        <v/>
      </c>
      <c r="CA42" s="7">
        <f>IF(BB42=1,BO42+BS42+BU42+BV42+BW42+BX42,loc_rentaMensual*12*C42)</f>
        <v/>
      </c>
      <c r="CB42" s="7">
        <f>IF(BB42=1,personal_aporteFamiliaMensual*12,0)</f>
        <v/>
      </c>
      <c r="CC42" s="7">
        <f>MIN(IF(9=0,personal_irsSaldo,CD41),personal_irsPagoMensual*12)</f>
        <v/>
      </c>
      <c r="CD42" s="7">
        <f>IF(9=0,personal_irsSaldo,CD41)-CC42</f>
        <v/>
      </c>
      <c r="CE42" s="7">
        <f>IF(9=0,IF(personal_deudaEsFederal=1,personal_deudaEstudiantil,0),DW41)</f>
        <v/>
      </c>
      <c r="CF42" s="7">
        <f>IF(9=0,personal_tasaDeudaEstudiantil,DX41)</f>
        <v/>
      </c>
      <c r="CG42" s="7">
        <f>IF(9=0,0,DY41)</f>
        <v/>
      </c>
      <c r="CH42" s="7">
        <f>IF(J42&gt;=0.5,1,0)</f>
        <v/>
      </c>
      <c r="CI42" s="7">
        <f>IF(AND(CH42=0,prestamos_pslfActivo=1,K42&gt;=0.5,CE42&gt;0),1,0)</f>
        <v/>
      </c>
      <c r="CJ42" s="7">
        <f>CE42*CF42</f>
        <v/>
      </c>
      <c r="CK42" s="7">
        <f>MAX(prestamos_rapPagoMinimoAnual,IF(Y42&lt;10000,0,MIN(0.1,INT(Y42/10000)/100))*Y42)</f>
        <v/>
      </c>
      <c r="CL42" s="7">
        <f>IF(CE42&lt;=0,0,IF(CH42=1,0,IF(CI42=1,MIN(CE42+CJ42,CK42),PMT(CF42,MAX(1,prestamos_plazoAnios-CG42),-CE42))))</f>
        <v/>
      </c>
      <c r="CM42" s="7">
        <f>IF(CE42&lt;=0,0,IF(CH42=1,CE42+CJ42,IF(CI42=1,MAX(0,CE42-MAX(CL42-CJ42,MIN(600,CL42))),MAX(0,CE42*(1+CF42)-CL42))))</f>
        <v/>
      </c>
      <c r="CN42" s="7">
        <f>IF(9=0,0,CN41)+IF(CI42=1,12*MIN(1,K42),0)</f>
        <v/>
      </c>
      <c r="CO42" s="7">
        <f>IF(AND(CI42=1,CN42&gt;=prestamos_pslfPagos,CM42&gt;0),CM42,0)</f>
        <v/>
      </c>
      <c r="CP42" s="7">
        <f>CM42-CO42</f>
        <v/>
      </c>
      <c r="CQ42" s="7">
        <f>IF(AND(CE42&gt;0,CH42=0,CI42=0),CG42+1,CG42)</f>
        <v/>
      </c>
      <c r="CR42" s="7">
        <f>IF(9=0,IF(personal_deudaEsFederal=1,0,personal_deudaEstudiantil),EA41)</f>
        <v/>
      </c>
      <c r="CS42" s="7">
        <f>IF(9=0,IF(personal_deudaEsFederal=1,prestamos_tasaPrivada,personal_tasaDeudaEstudiantil),EB41)</f>
        <v/>
      </c>
      <c r="CT42" s="7">
        <f>IF(9=0,0,EC41)</f>
        <v/>
      </c>
      <c r="CU42" s="7">
        <f>IF(OR(CR42&lt;=0,CH42=1),0,PMT(CS42,MAX(1,prestamos_plazoAnios-CT42),-CR42))</f>
        <v/>
      </c>
      <c r="CV42" s="7">
        <f>IF(CR42&lt;=0,0,IF(CH42=1,CR42*(1+CS42),MAX(0,CR42*(1+CS42)-CU42)))</f>
        <v/>
      </c>
      <c r="CW42" s="7">
        <f>IF(AND(CR42&gt;0,CH42=0),CT42+1,CT42)</f>
        <v/>
      </c>
      <c r="CX42" s="7">
        <f>IF(9=0,0,ED41)*(1+general_tasaDeudaConsumo)</f>
        <v/>
      </c>
      <c r="CY42" s="7">
        <f>L42*12*tiempos_travelGastoExtraMes*C42</f>
        <v/>
      </c>
      <c r="CZ42" s="7">
        <f>AJ42+CY42+CA42+CC42+CL42+CU42+I42+N42-BZ42-CB42</f>
        <v/>
      </c>
      <c r="DA42" s="7">
        <f>AH42-CZ42</f>
        <v/>
      </c>
      <c r="DB42" s="7">
        <f>IF(9=0,0,DB41)+DA42</f>
        <v/>
      </c>
      <c r="DC42" s="7">
        <f>AN42*vivienda_enganchePct+AN42*vivienda_cierrePct+general_reservaMeses/12*AJ42</f>
        <v/>
      </c>
      <c r="DD42" s="7">
        <f>IF(BB42=1,g_ret,IF(BD42&gt;0,MIN(1,DC42/BD42),1)*g_cash+(1-IF(BD42&gt;0,MIN(1,DC42/BD42),1))*g_ret)</f>
        <v/>
      </c>
      <c r="DE42" s="7">
        <f>IF(DA42&gt;=0,MIN(CX42,DA42),0)</f>
        <v/>
      </c>
      <c r="DF42" s="7">
        <f>IF(DA42&gt;=0,(1-general_tasaAhorro)*(DA42-DE42),0)</f>
        <v/>
      </c>
      <c r="DG42" s="7">
        <f>IF(DA42&gt;=0,DA42-DE42-DF42,0)</f>
        <v/>
      </c>
      <c r="DH42" s="7">
        <f>MIN(personal_rothAnual,DG42)</f>
        <v/>
      </c>
      <c r="DI42" s="7">
        <f>IF(AND(DA42&gt;=0,BB42=1,BP42+BT42&gt;0),MIN(vivienda_prepagoPct*(DG42-DH42),BP42+BT42),0)</f>
        <v/>
      </c>
      <c r="DJ42" s="7">
        <f>MIN(DI42,BP42)</f>
        <v/>
      </c>
      <c r="DK42" s="7">
        <f>IF(DA42&lt;0,MIN(MAX(0,BD42),-DA42),0)</f>
        <v/>
      </c>
      <c r="DL42" s="7">
        <f>IF(DA42&lt;0,-DA42-DK42,0)</f>
        <v/>
      </c>
      <c r="DM42" s="7">
        <f>IF(9=0,0,DZ41)</f>
        <v/>
      </c>
      <c r="DN42" s="7">
        <f>IF(AND(DL42&gt;0,J42&gt;0),MIN(DL42,MIN(prestamos_topeAnualPosgrado*MIN(1,J42),MAX(0,prestamos_topeTotalPosgrado-DM42))),0)</f>
        <v/>
      </c>
      <c r="DO42" s="7">
        <f>IF(AND(DL42&gt;0,J42&gt;0),DL42-DN42,0)</f>
        <v/>
      </c>
      <c r="DP42" s="7">
        <f>IF(AND(DL42&gt;0,J42&lt;=0),DL42,0)</f>
        <v/>
      </c>
      <c r="DQ42" s="7">
        <f>IF(DA42&gt;=0,DG42-DH42-DI42,-DK42)</f>
        <v/>
      </c>
      <c r="DR42" s="7">
        <f>BD42*(1+DD42)+DQ42*(1+DD42/2)</f>
        <v/>
      </c>
      <c r="DS42" s="7">
        <f>IF(9=0,personal_retiroInicial,DS41)*(1+g_ret)+(O42+P42+DH42)*(1+g_ret/2)</f>
        <v/>
      </c>
      <c r="DT42" s="7">
        <f>IF(BB42=1,BL42*(1+g_appr),0)</f>
        <v/>
      </c>
      <c r="DU42" s="7">
        <f>BP42-DJ42</f>
        <v/>
      </c>
      <c r="DV42" s="7">
        <f>BT42-(DI42-DJ42)</f>
        <v/>
      </c>
      <c r="DW42" s="7">
        <f>CP42+DN42</f>
        <v/>
      </c>
      <c r="DX42" s="7">
        <f>IF(DN42&gt;0,(CP42*CF42+DN42*prestamos_tasaFederalPosgrado)/(CP42+DN42),CF42)</f>
        <v/>
      </c>
      <c r="DY42" s="7">
        <f>IF(DN42&gt;0,0,CQ42)</f>
        <v/>
      </c>
      <c r="DZ42" s="7">
        <f>DM42+DN42</f>
        <v/>
      </c>
      <c r="EA42" s="7">
        <f>CV42+DO42</f>
        <v/>
      </c>
      <c r="EB42" s="7">
        <f>IF(DO42&gt;0,(CV42*CS42+DO42*prestamos_tasaPrivada)/(CV42+DO42),CS42)</f>
        <v/>
      </c>
      <c r="EC42" s="7">
        <f>IF(DO42&gt;0,0,CW42)</f>
        <v/>
      </c>
      <c r="ED42" s="7">
        <f>CX42-DE42+DP42</f>
        <v/>
      </c>
      <c r="EE42" s="7">
        <f>IF(IF(9=0,"",EE41)&lt;&gt;"",EE41,IF(AND(BB42=1,DU42&lt;=0.5,DV42&lt;=0.5,OR(BH42=0,BJ42=1)),A42,""))</f>
        <v/>
      </c>
      <c r="EF42" s="7">
        <f>DU42+DV42+DW42+EA42+ED42+CD42</f>
        <v/>
      </c>
      <c r="EG42" s="7">
        <f>DR42+DS42+DT42-EF42</f>
        <v/>
      </c>
      <c r="EH42" s="7">
        <f>EG42/(1+g_inf)^(A42+1-2026)</f>
        <v/>
      </c>
    </row>
    <row r="43">
      <c r="A43" t="n">
        <v>2037</v>
      </c>
      <c r="B43" t="n">
        <v>10</v>
      </c>
      <c r="C43" s="7">
        <f>(1+g_inf)^(A43-2026)</f>
        <v/>
      </c>
      <c r="D43" s="7">
        <f>SUMPRODUCT($AD$5:$AD$29,$E$5:$E$29*(1+$F$5:$F$29)^(A43-2026)*$G$5:$G$29*$H$5:$H$29*(1-$N$5:$N$29*$O$5:$O$29))*g_salMult+SUMPRODUCT(($B$5:$B$29&gt;=A43)*($B$5:$B$29&lt;A43+1)*$I$5:$I$29)*g_salMult</f>
        <v/>
      </c>
      <c r="E43" s="7">
        <f>SUMPRODUCT($AD$5:$AD$29,$E$5:$E$29*(1+$F$5:$F$29)^(A43-2026)*$G$5:$G$29*$H$5:$H$29*$M$5:$M$29)*g_salMult</f>
        <v/>
      </c>
      <c r="F43" s="7">
        <f>SUMPRODUCT($AD$5:$AD$29,$E$5:$E$29*(1+$F$5:$F$29)^(A43-2026)*$G$5:$G$29*$H$5:$H$29*$N$5:$N$29*$O$5:$O$29)*g_salMult</f>
        <v/>
      </c>
      <c r="G43" s="7">
        <f>SUMPRODUCT($AD$5:$AD$29,$P$5:$P$29*(1+$F$5:$F$29)^(A43-2026))</f>
        <v/>
      </c>
      <c r="H43" s="7">
        <f>SUMPRODUCT($AD$5:$AD$29,$Q$5:$Q$29*(1+$F$5:$F$29)^(A43-2026))+IF(personal_llcActivo=1,personal_llcNeto*(1+personal_llcCrecimiento)^10,0)</f>
        <v/>
      </c>
      <c r="I43" s="7">
        <f>SUMPRODUCT($AD$5:$AD$29,$J$5:$J$29/($C$5:$C$29-$B$5:$B$29+($C$5:$C$29=$B$5:$B$29)))*C43</f>
        <v/>
      </c>
      <c r="J43" s="7">
        <f>SUMPRODUCT($AD$5:$AD$29,$K$5:$K$29)</f>
        <v/>
      </c>
      <c r="K43" s="7">
        <f>SUMPRODUCT($AD$5:$AD$29,$L$5:$L$29)</f>
        <v/>
      </c>
      <c r="L43" s="7">
        <f>SUMPRODUCT($AD$5:$AD$29,$N$5:$N$29)</f>
        <v/>
      </c>
      <c r="M43" s="7">
        <f>IF(SUMPRODUCT($AD$5:$AD$29,$R$5:$R$29)&gt;0,1,0)</f>
        <v/>
      </c>
      <c r="N43" s="7">
        <f>SUMPRODUCT(($AO$5:$AO$24&gt;=A43)*($AO$5:$AO$24&lt;A43+1)*$AP$5:$AP$24)*C43+IF(10=0,IF(sel_loc&lt;&gt;"miami",personal_costoMudanzaInicial,0),0)</f>
        <v/>
      </c>
      <c r="O43" s="7">
        <f>MIN(personal_aporte403bPct*D43,retiro_limite403b*C43)</f>
        <v/>
      </c>
      <c r="P43" s="7">
        <f>MIN(personal_aporte403bPct,personal_match403bPct)*E43</f>
        <v/>
      </c>
      <c r="Q43" s="7">
        <f>IF(G43&gt;0,MAX(0,G43-impuestos_scorpCostoAnual*C43),0)</f>
        <v/>
      </c>
      <c r="R43" s="7">
        <f>Q43*impuestos_scorpSalarioPct/(1+impuestos_ssTasa+impuestos_medicareTasa)</f>
        <v/>
      </c>
      <c r="S43" s="7">
        <f>impuestos_ssTasa*MIN(R43,MAX(0,impuestos_ssTope*C43-D43))+impuestos_medicareTasa*R43</f>
        <v/>
      </c>
      <c r="T43" s="7">
        <f>Q43-R43-S43</f>
        <v/>
      </c>
      <c r="U43" s="7">
        <f>D43+R43</f>
        <v/>
      </c>
      <c r="V43" s="7">
        <f>H43*0.9235</f>
        <v/>
      </c>
      <c r="W43" s="7">
        <f>IF(H43&gt;0,2*impuestos_ssTasa*MIN(V43,MAX(0,impuestos_ssTope*C43-U43))+2*impuestos_medicareTasa*V43,0)</f>
        <v/>
      </c>
      <c r="X43" s="7">
        <f>impuestos_ssTasa*MIN(U43,impuestos_ssTope*C43)+impuestos_medicareTasa*U43+impuestos_medicareAdicional*MAX(0,U43+H43*0.9235-impuestos_medicareUmbral)</f>
        <v/>
      </c>
      <c r="Y43" s="7">
        <f>MAX(0,D43-O43+R43+T43+H43-W43/2)</f>
        <v/>
      </c>
      <c r="Z43" s="7">
        <f>MAX(0,Y43-impuestos_deduccionEstandar*C43)</f>
        <v/>
      </c>
      <c r="AA43" s="7">
        <f>MIN(0.2*MAX(0,T43+H43-W43/2)*MAX(0,MIN(1,1-(Z43-impuestos_qbiUmbral*C43)/(impuestos_qbiRango*C43))),0.2*Z43)</f>
        <v/>
      </c>
      <c r="AB43" s="7">
        <f>MAX(0,Z43-AA43)</f>
        <v/>
      </c>
      <c r="AC43" s="7">
        <f>SUMPRODUCT((AB43&gt;tb_federalBrackets_lo*C43)*(AB43-tb_federalBrackets_lo*C43)*tb_federalBrackets_dr)</f>
        <v/>
      </c>
      <c r="AD43" s="7">
        <f>MAX(0,Y43-impuestos_nyDeduccion*C43)</f>
        <v/>
      </c>
      <c r="AE43" s="7">
        <f>CHOOSE(loc_taxcode,0,impuestos_ohTasa*MAX(0,Y43-impuestos_ohExento*C43)+impuestos_ohMunicipal*U43,SUMPRODUCT((AD43&gt;tb_nyBrackets_lo*C43)*(AD43-tb_nyBrackets_lo*C43)*tb_nyBrackets_dr)+loc_nyc*SUMPRODUCT((AD43&gt;tb_nycBrackets_lo*C43)*(AD43-tb_nycBrackets_lo*C43)*tb_nycBrackets_dr))</f>
        <v/>
      </c>
      <c r="AF43" s="7">
        <f>AC43+AE43+X43+W43</f>
        <v/>
      </c>
      <c r="AG43" s="7">
        <f>D43+F43+R43+T43+H43</f>
        <v/>
      </c>
      <c r="AH43" s="7">
        <f>AG43-AF43-O43</f>
        <v/>
      </c>
      <c r="AI43" s="7">
        <f>D43+F43+G43+H43</f>
        <v/>
      </c>
      <c r="AJ43" s="7">
        <f>loc_gastosVida*C43*g_gastos</f>
        <v/>
      </c>
      <c r="AK43" s="7">
        <f>IF(10=0,personal_liquidoInicial,DR42)</f>
        <v/>
      </c>
      <c r="AL43" s="7">
        <f>IF(10=0,0,BB42)</f>
        <v/>
      </c>
      <c r="AM43" s="7">
        <f>CHOOSE(sel_cfgIdx,loc_precio_duplex,loc_precio_inlaw,loc_precio_dosCasas,loc_precio_casaAdu,loc_precio_multi)</f>
        <v/>
      </c>
      <c r="AN43" s="7">
        <f>AM43*(1+g_appr)^(A43-2026)</f>
        <v/>
      </c>
      <c r="AO43" s="7">
        <f>IF(AND(M43=1,vivienda_prestamoMedico=1),1,0)</f>
        <v/>
      </c>
      <c r="AP43" s="7">
        <f>IF(AO43=1,0.05,vivienda_enganchePct)</f>
        <v/>
      </c>
      <c r="AQ43" s="7">
        <f>AN43*(1-AP43)</f>
        <v/>
      </c>
      <c r="AR43" s="7">
        <f>PMT(g_mortRate/12,vivienda_plazoHipoteca*12,-AQ43)</f>
        <v/>
      </c>
      <c r="AS43" s="7">
        <f>INDEX(cfg_units,sel_cfgIdx)</f>
        <v/>
      </c>
      <c r="AT43" s="7">
        <f>AS43*loc_rentaUnidad*(1+g_inf)^(A43-2026)*(1-vivienda_vacancia)</f>
        <v/>
      </c>
      <c r="AU43" s="7">
        <f>AR43+AN43*loc_impuestoPropPct/12+AM43*loc_seguroPct*(1+vivienda_inflacionSeguro)^(A43-2026)/12+IF(AND(AO43=0,AP43&lt;0.2),AQ43*vivienda_pmiTasa/12,0)</f>
        <v/>
      </c>
      <c r="AV43" s="7">
        <f>AN43*AP43+AN43*vivienda_cierrePct+general_reservaMeses/12*AJ43</f>
        <v/>
      </c>
      <c r="AW43" s="7">
        <f>(IF(10=0,MIN(personal_irsSaldo,personal_irsPagoMensual*12),MIN(CD42,personal_irsPagoMensual*12))+IF(CE43&gt;0,PMT(CF43,MAX(1,prestamos_plazoAnios-CG43),-CE43),0)+IF(CR43&gt;0,PMT(CS43,MAX(1,prestamos_plazoAnios-CT43),-CR43),0))/12</f>
        <v/>
      </c>
      <c r="AX43" s="7">
        <f>IF(OR(sel_cfg="duplex",sel_cfg="multi",sel_cfg="dosCasas"),0.75*personal_aporteFamiliaMensual,0)</f>
        <v/>
      </c>
      <c r="AY43" s="7">
        <f>AU43-0.75*AT43-AX43+AW43</f>
        <v/>
      </c>
      <c r="AZ43" s="7">
        <f>(D43+G43+H43+0.5*F43)/12</f>
        <v/>
      </c>
      <c r="BA43" s="7">
        <f>IF(AND(AL43=0,A43&gt;=vivienda_anioMinCompra,J43&lt;0.5,AI43&gt;0,AK43&gt;=AV43,AY43&lt;=vivienda_dtiMax*AZ43),1,0)</f>
        <v/>
      </c>
      <c r="BB43" s="7">
        <f>MAX(AL43,BA43)</f>
        <v/>
      </c>
      <c r="BC43" s="7">
        <f>IF(BA43=1,A43,IF(10=0,"",BC42))</f>
        <v/>
      </c>
      <c r="BD43" s="7">
        <f>AK43-IF(BA43=1,AN43*AP43+AN43*vivienda_cierrePct,0)</f>
        <v/>
      </c>
      <c r="BE43" s="7">
        <f>IF(BA43=1,AN43,IF(10=0,0,BE42))</f>
        <v/>
      </c>
      <c r="BF43" s="7">
        <f>IF(BA43=1,AR43,IF(10=0,0,BF42))</f>
        <v/>
      </c>
      <c r="BG43" s="7">
        <f>IF(BA43=1,IF(AND(AO43=0,AP43&lt;0.2),1,0),IF(10=0,0,BY42))</f>
        <v/>
      </c>
      <c r="BH43" s="7">
        <f>IF(sel_cfg="casaAdu",1,0)</f>
        <v/>
      </c>
      <c r="BI43" s="7">
        <f>IF(AND(BB43=1,BH43=1,IF(10=0,0,BJ42)=0,A43&gt;=IF(BC43="",9999,BC43)+vivienda_aduRetrasoAnios),1,0)</f>
        <v/>
      </c>
      <c r="BJ43" s="7">
        <f>MAX(IF(10=0,0,BJ42),BI43)</f>
        <v/>
      </c>
      <c r="BK43" s="7">
        <f>IF(BI43=1,PMT((g_mortRate+0.005)/12,180,-loc_precio_aduCosto*C43),IF(10=0,0,BK42))</f>
        <v/>
      </c>
      <c r="BL43" s="7">
        <f>IF(BA43=1,AN43,IF(10=0,0,DT42))+IF(BI43=1,loc_precio_aduCosto*C43,0)</f>
        <v/>
      </c>
      <c r="BM43" s="7">
        <f>IF(BA43=1,AQ43,IF(10=0,0,DU42))</f>
        <v/>
      </c>
      <c r="BN43" s="7">
        <f>IF(BM43&lt;=0,0,FV(g_mortRate/12,12,BF43,-BM43))</f>
        <v/>
      </c>
      <c r="BO43" s="7">
        <f>IF(BM43&lt;=0,0,12*BF43+MIN(0,BN43))</f>
        <v/>
      </c>
      <c r="BP43" s="7">
        <f>MAX(0,BN43)</f>
        <v/>
      </c>
      <c r="BQ43" s="7">
        <f>IF(BI43=1,loc_precio_aduCosto*C43,IF(10=0,0,DV42))</f>
        <v/>
      </c>
      <c r="BR43" s="7">
        <f>IF(BQ43&lt;=0,0,FV((g_mortRate+0.005)/12,12,BK43,-BQ43))</f>
        <v/>
      </c>
      <c r="BS43" s="7">
        <f>IF(BQ43&lt;=0,0,12*BK43+MIN(0,BR43))</f>
        <v/>
      </c>
      <c r="BT43" s="7">
        <f>MAX(0,BR43)</f>
        <v/>
      </c>
      <c r="BU43" s="7">
        <f>IF(BB43=1,AM43*loc_seguroPct*(1+vivienda_inflacionSeguro)^(A43-2026)*IF(BJ43=1,1+loc_precio_aduCosto/AM43,1),0)</f>
        <v/>
      </c>
      <c r="BV43" s="7">
        <f>BL43*loc_impuestoPropPct</f>
        <v/>
      </c>
      <c r="BW43" s="7">
        <f>BL43*vivienda_mantenimientoPct</f>
        <v/>
      </c>
      <c r="BX43" s="7">
        <f>IF(AND(BG43=1,BP43&gt;0.8*BE43),BE43*(1-vivienda_enganchePct)*vivienda_pmiTasa,0)</f>
        <v/>
      </c>
      <c r="BY43" s="7">
        <f>IF(AND(BG43=1,BP43&gt;0.8*BE43),1,0)</f>
        <v/>
      </c>
      <c r="BZ43" s="7">
        <f>IF(BB43=1,AS43*loc_rentaUnidad*12*C43*(1-vivienda_vacancia)*(1-vivienda_gestionPct),0)</f>
        <v/>
      </c>
      <c r="CA43" s="7">
        <f>IF(BB43=1,BO43+BS43+BU43+BV43+BW43+BX43,loc_rentaMensual*12*C43)</f>
        <v/>
      </c>
      <c r="CB43" s="7">
        <f>IF(BB43=1,personal_aporteFamiliaMensual*12,0)</f>
        <v/>
      </c>
      <c r="CC43" s="7">
        <f>MIN(IF(10=0,personal_irsSaldo,CD42),personal_irsPagoMensual*12)</f>
        <v/>
      </c>
      <c r="CD43" s="7">
        <f>IF(10=0,personal_irsSaldo,CD42)-CC43</f>
        <v/>
      </c>
      <c r="CE43" s="7">
        <f>IF(10=0,IF(personal_deudaEsFederal=1,personal_deudaEstudiantil,0),DW42)</f>
        <v/>
      </c>
      <c r="CF43" s="7">
        <f>IF(10=0,personal_tasaDeudaEstudiantil,DX42)</f>
        <v/>
      </c>
      <c r="CG43" s="7">
        <f>IF(10=0,0,DY42)</f>
        <v/>
      </c>
      <c r="CH43" s="7">
        <f>IF(J43&gt;=0.5,1,0)</f>
        <v/>
      </c>
      <c r="CI43" s="7">
        <f>IF(AND(CH43=0,prestamos_pslfActivo=1,K43&gt;=0.5,CE43&gt;0),1,0)</f>
        <v/>
      </c>
      <c r="CJ43" s="7">
        <f>CE43*CF43</f>
        <v/>
      </c>
      <c r="CK43" s="7">
        <f>MAX(prestamos_rapPagoMinimoAnual,IF(Y43&lt;10000,0,MIN(0.1,INT(Y43/10000)/100))*Y43)</f>
        <v/>
      </c>
      <c r="CL43" s="7">
        <f>IF(CE43&lt;=0,0,IF(CH43=1,0,IF(CI43=1,MIN(CE43+CJ43,CK43),PMT(CF43,MAX(1,prestamos_plazoAnios-CG43),-CE43))))</f>
        <v/>
      </c>
      <c r="CM43" s="7">
        <f>IF(CE43&lt;=0,0,IF(CH43=1,CE43+CJ43,IF(CI43=1,MAX(0,CE43-MAX(CL43-CJ43,MIN(600,CL43))),MAX(0,CE43*(1+CF43)-CL43))))</f>
        <v/>
      </c>
      <c r="CN43" s="7">
        <f>IF(10=0,0,CN42)+IF(CI43=1,12*MIN(1,K43),0)</f>
        <v/>
      </c>
      <c r="CO43" s="7">
        <f>IF(AND(CI43=1,CN43&gt;=prestamos_pslfPagos,CM43&gt;0),CM43,0)</f>
        <v/>
      </c>
      <c r="CP43" s="7">
        <f>CM43-CO43</f>
        <v/>
      </c>
      <c r="CQ43" s="7">
        <f>IF(AND(CE43&gt;0,CH43=0,CI43=0),CG43+1,CG43)</f>
        <v/>
      </c>
      <c r="CR43" s="7">
        <f>IF(10=0,IF(personal_deudaEsFederal=1,0,personal_deudaEstudiantil),EA42)</f>
        <v/>
      </c>
      <c r="CS43" s="7">
        <f>IF(10=0,IF(personal_deudaEsFederal=1,prestamos_tasaPrivada,personal_tasaDeudaEstudiantil),EB42)</f>
        <v/>
      </c>
      <c r="CT43" s="7">
        <f>IF(10=0,0,EC42)</f>
        <v/>
      </c>
      <c r="CU43" s="7">
        <f>IF(OR(CR43&lt;=0,CH43=1),0,PMT(CS43,MAX(1,prestamos_plazoAnios-CT43),-CR43))</f>
        <v/>
      </c>
      <c r="CV43" s="7">
        <f>IF(CR43&lt;=0,0,IF(CH43=1,CR43*(1+CS43),MAX(0,CR43*(1+CS43)-CU43)))</f>
        <v/>
      </c>
      <c r="CW43" s="7">
        <f>IF(AND(CR43&gt;0,CH43=0),CT43+1,CT43)</f>
        <v/>
      </c>
      <c r="CX43" s="7">
        <f>IF(10=0,0,ED42)*(1+general_tasaDeudaConsumo)</f>
        <v/>
      </c>
      <c r="CY43" s="7">
        <f>L43*12*tiempos_travelGastoExtraMes*C43</f>
        <v/>
      </c>
      <c r="CZ43" s="7">
        <f>AJ43+CY43+CA43+CC43+CL43+CU43+I43+N43-BZ43-CB43</f>
        <v/>
      </c>
      <c r="DA43" s="7">
        <f>AH43-CZ43</f>
        <v/>
      </c>
      <c r="DB43" s="7">
        <f>IF(10=0,0,DB42)+DA43</f>
        <v/>
      </c>
      <c r="DC43" s="7">
        <f>AN43*vivienda_enganchePct+AN43*vivienda_cierrePct+general_reservaMeses/12*AJ43</f>
        <v/>
      </c>
      <c r="DD43" s="7">
        <f>IF(BB43=1,g_ret,IF(BD43&gt;0,MIN(1,DC43/BD43),1)*g_cash+(1-IF(BD43&gt;0,MIN(1,DC43/BD43),1))*g_ret)</f>
        <v/>
      </c>
      <c r="DE43" s="7">
        <f>IF(DA43&gt;=0,MIN(CX43,DA43),0)</f>
        <v/>
      </c>
      <c r="DF43" s="7">
        <f>IF(DA43&gt;=0,(1-general_tasaAhorro)*(DA43-DE43),0)</f>
        <v/>
      </c>
      <c r="DG43" s="7">
        <f>IF(DA43&gt;=0,DA43-DE43-DF43,0)</f>
        <v/>
      </c>
      <c r="DH43" s="7">
        <f>MIN(personal_rothAnual,DG43)</f>
        <v/>
      </c>
      <c r="DI43" s="7">
        <f>IF(AND(DA43&gt;=0,BB43=1,BP43+BT43&gt;0),MIN(vivienda_prepagoPct*(DG43-DH43),BP43+BT43),0)</f>
        <v/>
      </c>
      <c r="DJ43" s="7">
        <f>MIN(DI43,BP43)</f>
        <v/>
      </c>
      <c r="DK43" s="7">
        <f>IF(DA43&lt;0,MIN(MAX(0,BD43),-DA43),0)</f>
        <v/>
      </c>
      <c r="DL43" s="7">
        <f>IF(DA43&lt;0,-DA43-DK43,0)</f>
        <v/>
      </c>
      <c r="DM43" s="7">
        <f>IF(10=0,0,DZ42)</f>
        <v/>
      </c>
      <c r="DN43" s="7">
        <f>IF(AND(DL43&gt;0,J43&gt;0),MIN(DL43,MIN(prestamos_topeAnualPosgrado*MIN(1,J43),MAX(0,prestamos_topeTotalPosgrado-DM43))),0)</f>
        <v/>
      </c>
      <c r="DO43" s="7">
        <f>IF(AND(DL43&gt;0,J43&gt;0),DL43-DN43,0)</f>
        <v/>
      </c>
      <c r="DP43" s="7">
        <f>IF(AND(DL43&gt;0,J43&lt;=0),DL43,0)</f>
        <v/>
      </c>
      <c r="DQ43" s="7">
        <f>IF(DA43&gt;=0,DG43-DH43-DI43,-DK43)</f>
        <v/>
      </c>
      <c r="DR43" s="7">
        <f>BD43*(1+DD43)+DQ43*(1+DD43/2)</f>
        <v/>
      </c>
      <c r="DS43" s="7">
        <f>IF(10=0,personal_retiroInicial,DS42)*(1+g_ret)+(O43+P43+DH43)*(1+g_ret/2)</f>
        <v/>
      </c>
      <c r="DT43" s="7">
        <f>IF(BB43=1,BL43*(1+g_appr),0)</f>
        <v/>
      </c>
      <c r="DU43" s="7">
        <f>BP43-DJ43</f>
        <v/>
      </c>
      <c r="DV43" s="7">
        <f>BT43-(DI43-DJ43)</f>
        <v/>
      </c>
      <c r="DW43" s="7">
        <f>CP43+DN43</f>
        <v/>
      </c>
      <c r="DX43" s="7">
        <f>IF(DN43&gt;0,(CP43*CF43+DN43*prestamos_tasaFederalPosgrado)/(CP43+DN43),CF43)</f>
        <v/>
      </c>
      <c r="DY43" s="7">
        <f>IF(DN43&gt;0,0,CQ43)</f>
        <v/>
      </c>
      <c r="DZ43" s="7">
        <f>DM43+DN43</f>
        <v/>
      </c>
      <c r="EA43" s="7">
        <f>CV43+DO43</f>
        <v/>
      </c>
      <c r="EB43" s="7">
        <f>IF(DO43&gt;0,(CV43*CS43+DO43*prestamos_tasaPrivada)/(CV43+DO43),CS43)</f>
        <v/>
      </c>
      <c r="EC43" s="7">
        <f>IF(DO43&gt;0,0,CW43)</f>
        <v/>
      </c>
      <c r="ED43" s="7">
        <f>CX43-DE43+DP43</f>
        <v/>
      </c>
      <c r="EE43" s="7">
        <f>IF(IF(10=0,"",EE42)&lt;&gt;"",EE42,IF(AND(BB43=1,DU43&lt;=0.5,DV43&lt;=0.5,OR(BH43=0,BJ43=1)),A43,""))</f>
        <v/>
      </c>
      <c r="EF43" s="7">
        <f>DU43+DV43+DW43+EA43+ED43+CD43</f>
        <v/>
      </c>
      <c r="EG43" s="7">
        <f>DR43+DS43+DT43-EF43</f>
        <v/>
      </c>
      <c r="EH43" s="7">
        <f>EG43/(1+g_inf)^(A43+1-2026)</f>
        <v/>
      </c>
    </row>
    <row r="44">
      <c r="A44" t="n">
        <v>2038</v>
      </c>
      <c r="B44" t="n">
        <v>11</v>
      </c>
      <c r="C44" s="7">
        <f>(1+g_inf)^(A44-2026)</f>
        <v/>
      </c>
      <c r="D44" s="7">
        <f>SUMPRODUCT($AE$5:$AE$29,$E$5:$E$29*(1+$F$5:$F$29)^(A44-2026)*$G$5:$G$29*$H$5:$H$29*(1-$N$5:$N$29*$O$5:$O$29))*g_salMult+SUMPRODUCT(($B$5:$B$29&gt;=A44)*($B$5:$B$29&lt;A44+1)*$I$5:$I$29)*g_salMult</f>
        <v/>
      </c>
      <c r="E44" s="7">
        <f>SUMPRODUCT($AE$5:$AE$29,$E$5:$E$29*(1+$F$5:$F$29)^(A44-2026)*$G$5:$G$29*$H$5:$H$29*$M$5:$M$29)*g_salMult</f>
        <v/>
      </c>
      <c r="F44" s="7">
        <f>SUMPRODUCT($AE$5:$AE$29,$E$5:$E$29*(1+$F$5:$F$29)^(A44-2026)*$G$5:$G$29*$H$5:$H$29*$N$5:$N$29*$O$5:$O$29)*g_salMult</f>
        <v/>
      </c>
      <c r="G44" s="7">
        <f>SUMPRODUCT($AE$5:$AE$29,$P$5:$P$29*(1+$F$5:$F$29)^(A44-2026))</f>
        <v/>
      </c>
      <c r="H44" s="7">
        <f>SUMPRODUCT($AE$5:$AE$29,$Q$5:$Q$29*(1+$F$5:$F$29)^(A44-2026))+IF(personal_llcActivo=1,personal_llcNeto*(1+personal_llcCrecimiento)^11,0)</f>
        <v/>
      </c>
      <c r="I44" s="7">
        <f>SUMPRODUCT($AE$5:$AE$29,$J$5:$J$29/($C$5:$C$29-$B$5:$B$29+($C$5:$C$29=$B$5:$B$29)))*C44</f>
        <v/>
      </c>
      <c r="J44" s="7">
        <f>SUMPRODUCT($AE$5:$AE$29,$K$5:$K$29)</f>
        <v/>
      </c>
      <c r="K44" s="7">
        <f>SUMPRODUCT($AE$5:$AE$29,$L$5:$L$29)</f>
        <v/>
      </c>
      <c r="L44" s="7">
        <f>SUMPRODUCT($AE$5:$AE$29,$N$5:$N$29)</f>
        <v/>
      </c>
      <c r="M44" s="7">
        <f>IF(SUMPRODUCT($AE$5:$AE$29,$R$5:$R$29)&gt;0,1,0)</f>
        <v/>
      </c>
      <c r="N44" s="7">
        <f>SUMPRODUCT(($AO$5:$AO$24&gt;=A44)*($AO$5:$AO$24&lt;A44+1)*$AP$5:$AP$24)*C44+IF(11=0,IF(sel_loc&lt;&gt;"miami",personal_costoMudanzaInicial,0),0)</f>
        <v/>
      </c>
      <c r="O44" s="7">
        <f>MIN(personal_aporte403bPct*D44,retiro_limite403b*C44)</f>
        <v/>
      </c>
      <c r="P44" s="7">
        <f>MIN(personal_aporte403bPct,personal_match403bPct)*E44</f>
        <v/>
      </c>
      <c r="Q44" s="7">
        <f>IF(G44&gt;0,MAX(0,G44-impuestos_scorpCostoAnual*C44),0)</f>
        <v/>
      </c>
      <c r="R44" s="7">
        <f>Q44*impuestos_scorpSalarioPct/(1+impuestos_ssTasa+impuestos_medicareTasa)</f>
        <v/>
      </c>
      <c r="S44" s="7">
        <f>impuestos_ssTasa*MIN(R44,MAX(0,impuestos_ssTope*C44-D44))+impuestos_medicareTasa*R44</f>
        <v/>
      </c>
      <c r="T44" s="7">
        <f>Q44-R44-S44</f>
        <v/>
      </c>
      <c r="U44" s="7">
        <f>D44+R44</f>
        <v/>
      </c>
      <c r="V44" s="7">
        <f>H44*0.9235</f>
        <v/>
      </c>
      <c r="W44" s="7">
        <f>IF(H44&gt;0,2*impuestos_ssTasa*MIN(V44,MAX(0,impuestos_ssTope*C44-U44))+2*impuestos_medicareTasa*V44,0)</f>
        <v/>
      </c>
      <c r="X44" s="7">
        <f>impuestos_ssTasa*MIN(U44,impuestos_ssTope*C44)+impuestos_medicareTasa*U44+impuestos_medicareAdicional*MAX(0,U44+H44*0.9235-impuestos_medicareUmbral)</f>
        <v/>
      </c>
      <c r="Y44" s="7">
        <f>MAX(0,D44-O44+R44+T44+H44-W44/2)</f>
        <v/>
      </c>
      <c r="Z44" s="7">
        <f>MAX(0,Y44-impuestos_deduccionEstandar*C44)</f>
        <v/>
      </c>
      <c r="AA44" s="7">
        <f>MIN(0.2*MAX(0,T44+H44-W44/2)*MAX(0,MIN(1,1-(Z44-impuestos_qbiUmbral*C44)/(impuestos_qbiRango*C44))),0.2*Z44)</f>
        <v/>
      </c>
      <c r="AB44" s="7">
        <f>MAX(0,Z44-AA44)</f>
        <v/>
      </c>
      <c r="AC44" s="7">
        <f>SUMPRODUCT((AB44&gt;tb_federalBrackets_lo*C44)*(AB44-tb_federalBrackets_lo*C44)*tb_federalBrackets_dr)</f>
        <v/>
      </c>
      <c r="AD44" s="7">
        <f>MAX(0,Y44-impuestos_nyDeduccion*C44)</f>
        <v/>
      </c>
      <c r="AE44" s="7">
        <f>CHOOSE(loc_taxcode,0,impuestos_ohTasa*MAX(0,Y44-impuestos_ohExento*C44)+impuestos_ohMunicipal*U44,SUMPRODUCT((AD44&gt;tb_nyBrackets_lo*C44)*(AD44-tb_nyBrackets_lo*C44)*tb_nyBrackets_dr)+loc_nyc*SUMPRODUCT((AD44&gt;tb_nycBrackets_lo*C44)*(AD44-tb_nycBrackets_lo*C44)*tb_nycBrackets_dr))</f>
        <v/>
      </c>
      <c r="AF44" s="7">
        <f>AC44+AE44+X44+W44</f>
        <v/>
      </c>
      <c r="AG44" s="7">
        <f>D44+F44+R44+T44+H44</f>
        <v/>
      </c>
      <c r="AH44" s="7">
        <f>AG44-AF44-O44</f>
        <v/>
      </c>
      <c r="AI44" s="7">
        <f>D44+F44+G44+H44</f>
        <v/>
      </c>
      <c r="AJ44" s="7">
        <f>loc_gastosVida*C44*g_gastos</f>
        <v/>
      </c>
      <c r="AK44" s="7">
        <f>IF(11=0,personal_liquidoInicial,DR43)</f>
        <v/>
      </c>
      <c r="AL44" s="7">
        <f>IF(11=0,0,BB43)</f>
        <v/>
      </c>
      <c r="AM44" s="7">
        <f>CHOOSE(sel_cfgIdx,loc_precio_duplex,loc_precio_inlaw,loc_precio_dosCasas,loc_precio_casaAdu,loc_precio_multi)</f>
        <v/>
      </c>
      <c r="AN44" s="7">
        <f>AM44*(1+g_appr)^(A44-2026)</f>
        <v/>
      </c>
      <c r="AO44" s="7">
        <f>IF(AND(M44=1,vivienda_prestamoMedico=1),1,0)</f>
        <v/>
      </c>
      <c r="AP44" s="7">
        <f>IF(AO44=1,0.05,vivienda_enganchePct)</f>
        <v/>
      </c>
      <c r="AQ44" s="7">
        <f>AN44*(1-AP44)</f>
        <v/>
      </c>
      <c r="AR44" s="7">
        <f>PMT(g_mortRate/12,vivienda_plazoHipoteca*12,-AQ44)</f>
        <v/>
      </c>
      <c r="AS44" s="7">
        <f>INDEX(cfg_units,sel_cfgIdx)</f>
        <v/>
      </c>
      <c r="AT44" s="7">
        <f>AS44*loc_rentaUnidad*(1+g_inf)^(A44-2026)*(1-vivienda_vacancia)</f>
        <v/>
      </c>
      <c r="AU44" s="7">
        <f>AR44+AN44*loc_impuestoPropPct/12+AM44*loc_seguroPct*(1+vivienda_inflacionSeguro)^(A44-2026)/12+IF(AND(AO44=0,AP44&lt;0.2),AQ44*vivienda_pmiTasa/12,0)</f>
        <v/>
      </c>
      <c r="AV44" s="7">
        <f>AN44*AP44+AN44*vivienda_cierrePct+general_reservaMeses/12*AJ44</f>
        <v/>
      </c>
      <c r="AW44" s="7">
        <f>(IF(11=0,MIN(personal_irsSaldo,personal_irsPagoMensual*12),MIN(CD43,personal_irsPagoMensual*12))+IF(CE44&gt;0,PMT(CF44,MAX(1,prestamos_plazoAnios-CG44),-CE44),0)+IF(CR44&gt;0,PMT(CS44,MAX(1,prestamos_plazoAnios-CT44),-CR44),0))/12</f>
        <v/>
      </c>
      <c r="AX44" s="7">
        <f>IF(OR(sel_cfg="duplex",sel_cfg="multi",sel_cfg="dosCasas"),0.75*personal_aporteFamiliaMensual,0)</f>
        <v/>
      </c>
      <c r="AY44" s="7">
        <f>AU44-0.75*AT44-AX44+AW44</f>
        <v/>
      </c>
      <c r="AZ44" s="7">
        <f>(D44+G44+H44+0.5*F44)/12</f>
        <v/>
      </c>
      <c r="BA44" s="7">
        <f>IF(AND(AL44=0,A44&gt;=vivienda_anioMinCompra,J44&lt;0.5,AI44&gt;0,AK44&gt;=AV44,AY44&lt;=vivienda_dtiMax*AZ44),1,0)</f>
        <v/>
      </c>
      <c r="BB44" s="7">
        <f>MAX(AL44,BA44)</f>
        <v/>
      </c>
      <c r="BC44" s="7">
        <f>IF(BA44=1,A44,IF(11=0,"",BC43))</f>
        <v/>
      </c>
      <c r="BD44" s="7">
        <f>AK44-IF(BA44=1,AN44*AP44+AN44*vivienda_cierrePct,0)</f>
        <v/>
      </c>
      <c r="BE44" s="7">
        <f>IF(BA44=1,AN44,IF(11=0,0,BE43))</f>
        <v/>
      </c>
      <c r="BF44" s="7">
        <f>IF(BA44=1,AR44,IF(11=0,0,BF43))</f>
        <v/>
      </c>
      <c r="BG44" s="7">
        <f>IF(BA44=1,IF(AND(AO44=0,AP44&lt;0.2),1,0),IF(11=0,0,BY43))</f>
        <v/>
      </c>
      <c r="BH44" s="7">
        <f>IF(sel_cfg="casaAdu",1,0)</f>
        <v/>
      </c>
      <c r="BI44" s="7">
        <f>IF(AND(BB44=1,BH44=1,IF(11=0,0,BJ43)=0,A44&gt;=IF(BC44="",9999,BC44)+vivienda_aduRetrasoAnios),1,0)</f>
        <v/>
      </c>
      <c r="BJ44" s="7">
        <f>MAX(IF(11=0,0,BJ43),BI44)</f>
        <v/>
      </c>
      <c r="BK44" s="7">
        <f>IF(BI44=1,PMT((g_mortRate+0.005)/12,180,-loc_precio_aduCosto*C44),IF(11=0,0,BK43))</f>
        <v/>
      </c>
      <c r="BL44" s="7">
        <f>IF(BA44=1,AN44,IF(11=0,0,DT43))+IF(BI44=1,loc_precio_aduCosto*C44,0)</f>
        <v/>
      </c>
      <c r="BM44" s="7">
        <f>IF(BA44=1,AQ44,IF(11=0,0,DU43))</f>
        <v/>
      </c>
      <c r="BN44" s="7">
        <f>IF(BM44&lt;=0,0,FV(g_mortRate/12,12,BF44,-BM44))</f>
        <v/>
      </c>
      <c r="BO44" s="7">
        <f>IF(BM44&lt;=0,0,12*BF44+MIN(0,BN44))</f>
        <v/>
      </c>
      <c r="BP44" s="7">
        <f>MAX(0,BN44)</f>
        <v/>
      </c>
      <c r="BQ44" s="7">
        <f>IF(BI44=1,loc_precio_aduCosto*C44,IF(11=0,0,DV43))</f>
        <v/>
      </c>
      <c r="BR44" s="7">
        <f>IF(BQ44&lt;=0,0,FV((g_mortRate+0.005)/12,12,BK44,-BQ44))</f>
        <v/>
      </c>
      <c r="BS44" s="7">
        <f>IF(BQ44&lt;=0,0,12*BK44+MIN(0,BR44))</f>
        <v/>
      </c>
      <c r="BT44" s="7">
        <f>MAX(0,BR44)</f>
        <v/>
      </c>
      <c r="BU44" s="7">
        <f>IF(BB44=1,AM44*loc_seguroPct*(1+vivienda_inflacionSeguro)^(A44-2026)*IF(BJ44=1,1+loc_precio_aduCosto/AM44,1),0)</f>
        <v/>
      </c>
      <c r="BV44" s="7">
        <f>BL44*loc_impuestoPropPct</f>
        <v/>
      </c>
      <c r="BW44" s="7">
        <f>BL44*vivienda_mantenimientoPct</f>
        <v/>
      </c>
      <c r="BX44" s="7">
        <f>IF(AND(BG44=1,BP44&gt;0.8*BE44),BE44*(1-vivienda_enganchePct)*vivienda_pmiTasa,0)</f>
        <v/>
      </c>
      <c r="BY44" s="7">
        <f>IF(AND(BG44=1,BP44&gt;0.8*BE44),1,0)</f>
        <v/>
      </c>
      <c r="BZ44" s="7">
        <f>IF(BB44=1,AS44*loc_rentaUnidad*12*C44*(1-vivienda_vacancia)*(1-vivienda_gestionPct),0)</f>
        <v/>
      </c>
      <c r="CA44" s="7">
        <f>IF(BB44=1,BO44+BS44+BU44+BV44+BW44+BX44,loc_rentaMensual*12*C44)</f>
        <v/>
      </c>
      <c r="CB44" s="7">
        <f>IF(BB44=1,personal_aporteFamiliaMensual*12,0)</f>
        <v/>
      </c>
      <c r="CC44" s="7">
        <f>MIN(IF(11=0,personal_irsSaldo,CD43),personal_irsPagoMensual*12)</f>
        <v/>
      </c>
      <c r="CD44" s="7">
        <f>IF(11=0,personal_irsSaldo,CD43)-CC44</f>
        <v/>
      </c>
      <c r="CE44" s="7">
        <f>IF(11=0,IF(personal_deudaEsFederal=1,personal_deudaEstudiantil,0),DW43)</f>
        <v/>
      </c>
      <c r="CF44" s="7">
        <f>IF(11=0,personal_tasaDeudaEstudiantil,DX43)</f>
        <v/>
      </c>
      <c r="CG44" s="7">
        <f>IF(11=0,0,DY43)</f>
        <v/>
      </c>
      <c r="CH44" s="7">
        <f>IF(J44&gt;=0.5,1,0)</f>
        <v/>
      </c>
      <c r="CI44" s="7">
        <f>IF(AND(CH44=0,prestamos_pslfActivo=1,K44&gt;=0.5,CE44&gt;0),1,0)</f>
        <v/>
      </c>
      <c r="CJ44" s="7">
        <f>CE44*CF44</f>
        <v/>
      </c>
      <c r="CK44" s="7">
        <f>MAX(prestamos_rapPagoMinimoAnual,IF(Y44&lt;10000,0,MIN(0.1,INT(Y44/10000)/100))*Y44)</f>
        <v/>
      </c>
      <c r="CL44" s="7">
        <f>IF(CE44&lt;=0,0,IF(CH44=1,0,IF(CI44=1,MIN(CE44+CJ44,CK44),PMT(CF44,MAX(1,prestamos_plazoAnios-CG44),-CE44))))</f>
        <v/>
      </c>
      <c r="CM44" s="7">
        <f>IF(CE44&lt;=0,0,IF(CH44=1,CE44+CJ44,IF(CI44=1,MAX(0,CE44-MAX(CL44-CJ44,MIN(600,CL44))),MAX(0,CE44*(1+CF44)-CL44))))</f>
        <v/>
      </c>
      <c r="CN44" s="7">
        <f>IF(11=0,0,CN43)+IF(CI44=1,12*MIN(1,K44),0)</f>
        <v/>
      </c>
      <c r="CO44" s="7">
        <f>IF(AND(CI44=1,CN44&gt;=prestamos_pslfPagos,CM44&gt;0),CM44,0)</f>
        <v/>
      </c>
      <c r="CP44" s="7">
        <f>CM44-CO44</f>
        <v/>
      </c>
      <c r="CQ44" s="7">
        <f>IF(AND(CE44&gt;0,CH44=0,CI44=0),CG44+1,CG44)</f>
        <v/>
      </c>
      <c r="CR44" s="7">
        <f>IF(11=0,IF(personal_deudaEsFederal=1,0,personal_deudaEstudiantil),EA43)</f>
        <v/>
      </c>
      <c r="CS44" s="7">
        <f>IF(11=0,IF(personal_deudaEsFederal=1,prestamos_tasaPrivada,personal_tasaDeudaEstudiantil),EB43)</f>
        <v/>
      </c>
      <c r="CT44" s="7">
        <f>IF(11=0,0,EC43)</f>
        <v/>
      </c>
      <c r="CU44" s="7">
        <f>IF(OR(CR44&lt;=0,CH44=1),0,PMT(CS44,MAX(1,prestamos_plazoAnios-CT44),-CR44))</f>
        <v/>
      </c>
      <c r="CV44" s="7">
        <f>IF(CR44&lt;=0,0,IF(CH44=1,CR44*(1+CS44),MAX(0,CR44*(1+CS44)-CU44)))</f>
        <v/>
      </c>
      <c r="CW44" s="7">
        <f>IF(AND(CR44&gt;0,CH44=0),CT44+1,CT44)</f>
        <v/>
      </c>
      <c r="CX44" s="7">
        <f>IF(11=0,0,ED43)*(1+general_tasaDeudaConsumo)</f>
        <v/>
      </c>
      <c r="CY44" s="7">
        <f>L44*12*tiempos_travelGastoExtraMes*C44</f>
        <v/>
      </c>
      <c r="CZ44" s="7">
        <f>AJ44+CY44+CA44+CC44+CL44+CU44+I44+N44-BZ44-CB44</f>
        <v/>
      </c>
      <c r="DA44" s="7">
        <f>AH44-CZ44</f>
        <v/>
      </c>
      <c r="DB44" s="7">
        <f>IF(11=0,0,DB43)+DA44</f>
        <v/>
      </c>
      <c r="DC44" s="7">
        <f>AN44*vivienda_enganchePct+AN44*vivienda_cierrePct+general_reservaMeses/12*AJ44</f>
        <v/>
      </c>
      <c r="DD44" s="7">
        <f>IF(BB44=1,g_ret,IF(BD44&gt;0,MIN(1,DC44/BD44),1)*g_cash+(1-IF(BD44&gt;0,MIN(1,DC44/BD44),1))*g_ret)</f>
        <v/>
      </c>
      <c r="DE44" s="7">
        <f>IF(DA44&gt;=0,MIN(CX44,DA44),0)</f>
        <v/>
      </c>
      <c r="DF44" s="7">
        <f>IF(DA44&gt;=0,(1-general_tasaAhorro)*(DA44-DE44),0)</f>
        <v/>
      </c>
      <c r="DG44" s="7">
        <f>IF(DA44&gt;=0,DA44-DE44-DF44,0)</f>
        <v/>
      </c>
      <c r="DH44" s="7">
        <f>MIN(personal_rothAnual,DG44)</f>
        <v/>
      </c>
      <c r="DI44" s="7">
        <f>IF(AND(DA44&gt;=0,BB44=1,BP44+BT44&gt;0),MIN(vivienda_prepagoPct*(DG44-DH44),BP44+BT44),0)</f>
        <v/>
      </c>
      <c r="DJ44" s="7">
        <f>MIN(DI44,BP44)</f>
        <v/>
      </c>
      <c r="DK44" s="7">
        <f>IF(DA44&lt;0,MIN(MAX(0,BD44),-DA44),0)</f>
        <v/>
      </c>
      <c r="DL44" s="7">
        <f>IF(DA44&lt;0,-DA44-DK44,0)</f>
        <v/>
      </c>
      <c r="DM44" s="7">
        <f>IF(11=0,0,DZ43)</f>
        <v/>
      </c>
      <c r="DN44" s="7">
        <f>IF(AND(DL44&gt;0,J44&gt;0),MIN(DL44,MIN(prestamos_topeAnualPosgrado*MIN(1,J44),MAX(0,prestamos_topeTotalPosgrado-DM44))),0)</f>
        <v/>
      </c>
      <c r="DO44" s="7">
        <f>IF(AND(DL44&gt;0,J44&gt;0),DL44-DN44,0)</f>
        <v/>
      </c>
      <c r="DP44" s="7">
        <f>IF(AND(DL44&gt;0,J44&lt;=0),DL44,0)</f>
        <v/>
      </c>
      <c r="DQ44" s="7">
        <f>IF(DA44&gt;=0,DG44-DH44-DI44,-DK44)</f>
        <v/>
      </c>
      <c r="DR44" s="7">
        <f>BD44*(1+DD44)+DQ44*(1+DD44/2)</f>
        <v/>
      </c>
      <c r="DS44" s="7">
        <f>IF(11=0,personal_retiroInicial,DS43)*(1+g_ret)+(O44+P44+DH44)*(1+g_ret/2)</f>
        <v/>
      </c>
      <c r="DT44" s="7">
        <f>IF(BB44=1,BL44*(1+g_appr),0)</f>
        <v/>
      </c>
      <c r="DU44" s="7">
        <f>BP44-DJ44</f>
        <v/>
      </c>
      <c r="DV44" s="7">
        <f>BT44-(DI44-DJ44)</f>
        <v/>
      </c>
      <c r="DW44" s="7">
        <f>CP44+DN44</f>
        <v/>
      </c>
      <c r="DX44" s="7">
        <f>IF(DN44&gt;0,(CP44*CF44+DN44*prestamos_tasaFederalPosgrado)/(CP44+DN44),CF44)</f>
        <v/>
      </c>
      <c r="DY44" s="7">
        <f>IF(DN44&gt;0,0,CQ44)</f>
        <v/>
      </c>
      <c r="DZ44" s="7">
        <f>DM44+DN44</f>
        <v/>
      </c>
      <c r="EA44" s="7">
        <f>CV44+DO44</f>
        <v/>
      </c>
      <c r="EB44" s="7">
        <f>IF(DO44&gt;0,(CV44*CS44+DO44*prestamos_tasaPrivada)/(CV44+DO44),CS44)</f>
        <v/>
      </c>
      <c r="EC44" s="7">
        <f>IF(DO44&gt;0,0,CW44)</f>
        <v/>
      </c>
      <c r="ED44" s="7">
        <f>CX44-DE44+DP44</f>
        <v/>
      </c>
      <c r="EE44" s="7">
        <f>IF(IF(11=0,"",EE43)&lt;&gt;"",EE43,IF(AND(BB44=1,DU44&lt;=0.5,DV44&lt;=0.5,OR(BH44=0,BJ44=1)),A44,""))</f>
        <v/>
      </c>
      <c r="EF44" s="7">
        <f>DU44+DV44+DW44+EA44+ED44+CD44</f>
        <v/>
      </c>
      <c r="EG44" s="7">
        <f>DR44+DS44+DT44-EF44</f>
        <v/>
      </c>
      <c r="EH44" s="7">
        <f>EG44/(1+g_inf)^(A44+1-2026)</f>
        <v/>
      </c>
    </row>
    <row r="45">
      <c r="A45" t="n">
        <v>2039</v>
      </c>
      <c r="B45" t="n">
        <v>12</v>
      </c>
      <c r="C45" s="7">
        <f>(1+g_inf)^(A45-2026)</f>
        <v/>
      </c>
      <c r="D45" s="7">
        <f>SUMPRODUCT($AF$5:$AF$29,$E$5:$E$29*(1+$F$5:$F$29)^(A45-2026)*$G$5:$G$29*$H$5:$H$29*(1-$N$5:$N$29*$O$5:$O$29))*g_salMult+SUMPRODUCT(($B$5:$B$29&gt;=A45)*($B$5:$B$29&lt;A45+1)*$I$5:$I$29)*g_salMult</f>
        <v/>
      </c>
      <c r="E45" s="7">
        <f>SUMPRODUCT($AF$5:$AF$29,$E$5:$E$29*(1+$F$5:$F$29)^(A45-2026)*$G$5:$G$29*$H$5:$H$29*$M$5:$M$29)*g_salMult</f>
        <v/>
      </c>
      <c r="F45" s="7">
        <f>SUMPRODUCT($AF$5:$AF$29,$E$5:$E$29*(1+$F$5:$F$29)^(A45-2026)*$G$5:$G$29*$H$5:$H$29*$N$5:$N$29*$O$5:$O$29)*g_salMult</f>
        <v/>
      </c>
      <c r="G45" s="7">
        <f>SUMPRODUCT($AF$5:$AF$29,$P$5:$P$29*(1+$F$5:$F$29)^(A45-2026))</f>
        <v/>
      </c>
      <c r="H45" s="7">
        <f>SUMPRODUCT($AF$5:$AF$29,$Q$5:$Q$29*(1+$F$5:$F$29)^(A45-2026))+IF(personal_llcActivo=1,personal_llcNeto*(1+personal_llcCrecimiento)^12,0)</f>
        <v/>
      </c>
      <c r="I45" s="7">
        <f>SUMPRODUCT($AF$5:$AF$29,$J$5:$J$29/($C$5:$C$29-$B$5:$B$29+($C$5:$C$29=$B$5:$B$29)))*C45</f>
        <v/>
      </c>
      <c r="J45" s="7">
        <f>SUMPRODUCT($AF$5:$AF$29,$K$5:$K$29)</f>
        <v/>
      </c>
      <c r="K45" s="7">
        <f>SUMPRODUCT($AF$5:$AF$29,$L$5:$L$29)</f>
        <v/>
      </c>
      <c r="L45" s="7">
        <f>SUMPRODUCT($AF$5:$AF$29,$N$5:$N$29)</f>
        <v/>
      </c>
      <c r="M45" s="7">
        <f>IF(SUMPRODUCT($AF$5:$AF$29,$R$5:$R$29)&gt;0,1,0)</f>
        <v/>
      </c>
      <c r="N45" s="7">
        <f>SUMPRODUCT(($AO$5:$AO$24&gt;=A45)*($AO$5:$AO$24&lt;A45+1)*$AP$5:$AP$24)*C45+IF(12=0,IF(sel_loc&lt;&gt;"miami",personal_costoMudanzaInicial,0),0)</f>
        <v/>
      </c>
      <c r="O45" s="7">
        <f>MIN(personal_aporte403bPct*D45,retiro_limite403b*C45)</f>
        <v/>
      </c>
      <c r="P45" s="7">
        <f>MIN(personal_aporte403bPct,personal_match403bPct)*E45</f>
        <v/>
      </c>
      <c r="Q45" s="7">
        <f>IF(G45&gt;0,MAX(0,G45-impuestos_scorpCostoAnual*C45),0)</f>
        <v/>
      </c>
      <c r="R45" s="7">
        <f>Q45*impuestos_scorpSalarioPct/(1+impuestos_ssTasa+impuestos_medicareTasa)</f>
        <v/>
      </c>
      <c r="S45" s="7">
        <f>impuestos_ssTasa*MIN(R45,MAX(0,impuestos_ssTope*C45-D45))+impuestos_medicareTasa*R45</f>
        <v/>
      </c>
      <c r="T45" s="7">
        <f>Q45-R45-S45</f>
        <v/>
      </c>
      <c r="U45" s="7">
        <f>D45+R45</f>
        <v/>
      </c>
      <c r="V45" s="7">
        <f>H45*0.9235</f>
        <v/>
      </c>
      <c r="W45" s="7">
        <f>IF(H45&gt;0,2*impuestos_ssTasa*MIN(V45,MAX(0,impuestos_ssTope*C45-U45))+2*impuestos_medicareTasa*V45,0)</f>
        <v/>
      </c>
      <c r="X45" s="7">
        <f>impuestos_ssTasa*MIN(U45,impuestos_ssTope*C45)+impuestos_medicareTasa*U45+impuestos_medicareAdicional*MAX(0,U45+H45*0.9235-impuestos_medicareUmbral)</f>
        <v/>
      </c>
      <c r="Y45" s="7">
        <f>MAX(0,D45-O45+R45+T45+H45-W45/2)</f>
        <v/>
      </c>
      <c r="Z45" s="7">
        <f>MAX(0,Y45-impuestos_deduccionEstandar*C45)</f>
        <v/>
      </c>
      <c r="AA45" s="7">
        <f>MIN(0.2*MAX(0,T45+H45-W45/2)*MAX(0,MIN(1,1-(Z45-impuestos_qbiUmbral*C45)/(impuestos_qbiRango*C45))),0.2*Z45)</f>
        <v/>
      </c>
      <c r="AB45" s="7">
        <f>MAX(0,Z45-AA45)</f>
        <v/>
      </c>
      <c r="AC45" s="7">
        <f>SUMPRODUCT((AB45&gt;tb_federalBrackets_lo*C45)*(AB45-tb_federalBrackets_lo*C45)*tb_federalBrackets_dr)</f>
        <v/>
      </c>
      <c r="AD45" s="7">
        <f>MAX(0,Y45-impuestos_nyDeduccion*C45)</f>
        <v/>
      </c>
      <c r="AE45" s="7">
        <f>CHOOSE(loc_taxcode,0,impuestos_ohTasa*MAX(0,Y45-impuestos_ohExento*C45)+impuestos_ohMunicipal*U45,SUMPRODUCT((AD45&gt;tb_nyBrackets_lo*C45)*(AD45-tb_nyBrackets_lo*C45)*tb_nyBrackets_dr)+loc_nyc*SUMPRODUCT((AD45&gt;tb_nycBrackets_lo*C45)*(AD45-tb_nycBrackets_lo*C45)*tb_nycBrackets_dr))</f>
        <v/>
      </c>
      <c r="AF45" s="7">
        <f>AC45+AE45+X45+W45</f>
        <v/>
      </c>
      <c r="AG45" s="7">
        <f>D45+F45+R45+T45+H45</f>
        <v/>
      </c>
      <c r="AH45" s="7">
        <f>AG45-AF45-O45</f>
        <v/>
      </c>
      <c r="AI45" s="7">
        <f>D45+F45+G45+H45</f>
        <v/>
      </c>
      <c r="AJ45" s="7">
        <f>loc_gastosVida*C45*g_gastos</f>
        <v/>
      </c>
      <c r="AK45" s="7">
        <f>IF(12=0,personal_liquidoInicial,DR44)</f>
        <v/>
      </c>
      <c r="AL45" s="7">
        <f>IF(12=0,0,BB44)</f>
        <v/>
      </c>
      <c r="AM45" s="7">
        <f>CHOOSE(sel_cfgIdx,loc_precio_duplex,loc_precio_inlaw,loc_precio_dosCasas,loc_precio_casaAdu,loc_precio_multi)</f>
        <v/>
      </c>
      <c r="AN45" s="7">
        <f>AM45*(1+g_appr)^(A45-2026)</f>
        <v/>
      </c>
      <c r="AO45" s="7">
        <f>IF(AND(M45=1,vivienda_prestamoMedico=1),1,0)</f>
        <v/>
      </c>
      <c r="AP45" s="7">
        <f>IF(AO45=1,0.05,vivienda_enganchePct)</f>
        <v/>
      </c>
      <c r="AQ45" s="7">
        <f>AN45*(1-AP45)</f>
        <v/>
      </c>
      <c r="AR45" s="7">
        <f>PMT(g_mortRate/12,vivienda_plazoHipoteca*12,-AQ45)</f>
        <v/>
      </c>
      <c r="AS45" s="7">
        <f>INDEX(cfg_units,sel_cfgIdx)</f>
        <v/>
      </c>
      <c r="AT45" s="7">
        <f>AS45*loc_rentaUnidad*(1+g_inf)^(A45-2026)*(1-vivienda_vacancia)</f>
        <v/>
      </c>
      <c r="AU45" s="7">
        <f>AR45+AN45*loc_impuestoPropPct/12+AM45*loc_seguroPct*(1+vivienda_inflacionSeguro)^(A45-2026)/12+IF(AND(AO45=0,AP45&lt;0.2),AQ45*vivienda_pmiTasa/12,0)</f>
        <v/>
      </c>
      <c r="AV45" s="7">
        <f>AN45*AP45+AN45*vivienda_cierrePct+general_reservaMeses/12*AJ45</f>
        <v/>
      </c>
      <c r="AW45" s="7">
        <f>(IF(12=0,MIN(personal_irsSaldo,personal_irsPagoMensual*12),MIN(CD44,personal_irsPagoMensual*12))+IF(CE45&gt;0,PMT(CF45,MAX(1,prestamos_plazoAnios-CG45),-CE45),0)+IF(CR45&gt;0,PMT(CS45,MAX(1,prestamos_plazoAnios-CT45),-CR45),0))/12</f>
        <v/>
      </c>
      <c r="AX45" s="7">
        <f>IF(OR(sel_cfg="duplex",sel_cfg="multi",sel_cfg="dosCasas"),0.75*personal_aporteFamiliaMensual,0)</f>
        <v/>
      </c>
      <c r="AY45" s="7">
        <f>AU45-0.75*AT45-AX45+AW45</f>
        <v/>
      </c>
      <c r="AZ45" s="7">
        <f>(D45+G45+H45+0.5*F45)/12</f>
        <v/>
      </c>
      <c r="BA45" s="7">
        <f>IF(AND(AL45=0,A45&gt;=vivienda_anioMinCompra,J45&lt;0.5,AI45&gt;0,AK45&gt;=AV45,AY45&lt;=vivienda_dtiMax*AZ45),1,0)</f>
        <v/>
      </c>
      <c r="BB45" s="7">
        <f>MAX(AL45,BA45)</f>
        <v/>
      </c>
      <c r="BC45" s="7">
        <f>IF(BA45=1,A45,IF(12=0,"",BC44))</f>
        <v/>
      </c>
      <c r="BD45" s="7">
        <f>AK45-IF(BA45=1,AN45*AP45+AN45*vivienda_cierrePct,0)</f>
        <v/>
      </c>
      <c r="BE45" s="7">
        <f>IF(BA45=1,AN45,IF(12=0,0,BE44))</f>
        <v/>
      </c>
      <c r="BF45" s="7">
        <f>IF(BA45=1,AR45,IF(12=0,0,BF44))</f>
        <v/>
      </c>
      <c r="BG45" s="7">
        <f>IF(BA45=1,IF(AND(AO45=0,AP45&lt;0.2),1,0),IF(12=0,0,BY44))</f>
        <v/>
      </c>
      <c r="BH45" s="7">
        <f>IF(sel_cfg="casaAdu",1,0)</f>
        <v/>
      </c>
      <c r="BI45" s="7">
        <f>IF(AND(BB45=1,BH45=1,IF(12=0,0,BJ44)=0,A45&gt;=IF(BC45="",9999,BC45)+vivienda_aduRetrasoAnios),1,0)</f>
        <v/>
      </c>
      <c r="BJ45" s="7">
        <f>MAX(IF(12=0,0,BJ44),BI45)</f>
        <v/>
      </c>
      <c r="BK45" s="7">
        <f>IF(BI45=1,PMT((g_mortRate+0.005)/12,180,-loc_precio_aduCosto*C45),IF(12=0,0,BK44))</f>
        <v/>
      </c>
      <c r="BL45" s="7">
        <f>IF(BA45=1,AN45,IF(12=0,0,DT44))+IF(BI45=1,loc_precio_aduCosto*C45,0)</f>
        <v/>
      </c>
      <c r="BM45" s="7">
        <f>IF(BA45=1,AQ45,IF(12=0,0,DU44))</f>
        <v/>
      </c>
      <c r="BN45" s="7">
        <f>IF(BM45&lt;=0,0,FV(g_mortRate/12,12,BF45,-BM45))</f>
        <v/>
      </c>
      <c r="BO45" s="7">
        <f>IF(BM45&lt;=0,0,12*BF45+MIN(0,BN45))</f>
        <v/>
      </c>
      <c r="BP45" s="7">
        <f>MAX(0,BN45)</f>
        <v/>
      </c>
      <c r="BQ45" s="7">
        <f>IF(BI45=1,loc_precio_aduCosto*C45,IF(12=0,0,DV44))</f>
        <v/>
      </c>
      <c r="BR45" s="7">
        <f>IF(BQ45&lt;=0,0,FV((g_mortRate+0.005)/12,12,BK45,-BQ45))</f>
        <v/>
      </c>
      <c r="BS45" s="7">
        <f>IF(BQ45&lt;=0,0,12*BK45+MIN(0,BR45))</f>
        <v/>
      </c>
      <c r="BT45" s="7">
        <f>MAX(0,BR45)</f>
        <v/>
      </c>
      <c r="BU45" s="7">
        <f>IF(BB45=1,AM45*loc_seguroPct*(1+vivienda_inflacionSeguro)^(A45-2026)*IF(BJ45=1,1+loc_precio_aduCosto/AM45,1),0)</f>
        <v/>
      </c>
      <c r="BV45" s="7">
        <f>BL45*loc_impuestoPropPct</f>
        <v/>
      </c>
      <c r="BW45" s="7">
        <f>BL45*vivienda_mantenimientoPct</f>
        <v/>
      </c>
      <c r="BX45" s="7">
        <f>IF(AND(BG45=1,BP45&gt;0.8*BE45),BE45*(1-vivienda_enganchePct)*vivienda_pmiTasa,0)</f>
        <v/>
      </c>
      <c r="BY45" s="7">
        <f>IF(AND(BG45=1,BP45&gt;0.8*BE45),1,0)</f>
        <v/>
      </c>
      <c r="BZ45" s="7">
        <f>IF(BB45=1,AS45*loc_rentaUnidad*12*C45*(1-vivienda_vacancia)*(1-vivienda_gestionPct),0)</f>
        <v/>
      </c>
      <c r="CA45" s="7">
        <f>IF(BB45=1,BO45+BS45+BU45+BV45+BW45+BX45,loc_rentaMensual*12*C45)</f>
        <v/>
      </c>
      <c r="CB45" s="7">
        <f>IF(BB45=1,personal_aporteFamiliaMensual*12,0)</f>
        <v/>
      </c>
      <c r="CC45" s="7">
        <f>MIN(IF(12=0,personal_irsSaldo,CD44),personal_irsPagoMensual*12)</f>
        <v/>
      </c>
      <c r="CD45" s="7">
        <f>IF(12=0,personal_irsSaldo,CD44)-CC45</f>
        <v/>
      </c>
      <c r="CE45" s="7">
        <f>IF(12=0,IF(personal_deudaEsFederal=1,personal_deudaEstudiantil,0),DW44)</f>
        <v/>
      </c>
      <c r="CF45" s="7">
        <f>IF(12=0,personal_tasaDeudaEstudiantil,DX44)</f>
        <v/>
      </c>
      <c r="CG45" s="7">
        <f>IF(12=0,0,DY44)</f>
        <v/>
      </c>
      <c r="CH45" s="7">
        <f>IF(J45&gt;=0.5,1,0)</f>
        <v/>
      </c>
      <c r="CI45" s="7">
        <f>IF(AND(CH45=0,prestamos_pslfActivo=1,K45&gt;=0.5,CE45&gt;0),1,0)</f>
        <v/>
      </c>
      <c r="CJ45" s="7">
        <f>CE45*CF45</f>
        <v/>
      </c>
      <c r="CK45" s="7">
        <f>MAX(prestamos_rapPagoMinimoAnual,IF(Y45&lt;10000,0,MIN(0.1,INT(Y45/10000)/100))*Y45)</f>
        <v/>
      </c>
      <c r="CL45" s="7">
        <f>IF(CE45&lt;=0,0,IF(CH45=1,0,IF(CI45=1,MIN(CE45+CJ45,CK45),PMT(CF45,MAX(1,prestamos_plazoAnios-CG45),-CE45))))</f>
        <v/>
      </c>
      <c r="CM45" s="7">
        <f>IF(CE45&lt;=0,0,IF(CH45=1,CE45+CJ45,IF(CI45=1,MAX(0,CE45-MAX(CL45-CJ45,MIN(600,CL45))),MAX(0,CE45*(1+CF45)-CL45))))</f>
        <v/>
      </c>
      <c r="CN45" s="7">
        <f>IF(12=0,0,CN44)+IF(CI45=1,12*MIN(1,K45),0)</f>
        <v/>
      </c>
      <c r="CO45" s="7">
        <f>IF(AND(CI45=1,CN45&gt;=prestamos_pslfPagos,CM45&gt;0),CM45,0)</f>
        <v/>
      </c>
      <c r="CP45" s="7">
        <f>CM45-CO45</f>
        <v/>
      </c>
      <c r="CQ45" s="7">
        <f>IF(AND(CE45&gt;0,CH45=0,CI45=0),CG45+1,CG45)</f>
        <v/>
      </c>
      <c r="CR45" s="7">
        <f>IF(12=0,IF(personal_deudaEsFederal=1,0,personal_deudaEstudiantil),EA44)</f>
        <v/>
      </c>
      <c r="CS45" s="7">
        <f>IF(12=0,IF(personal_deudaEsFederal=1,prestamos_tasaPrivada,personal_tasaDeudaEstudiantil),EB44)</f>
        <v/>
      </c>
      <c r="CT45" s="7">
        <f>IF(12=0,0,EC44)</f>
        <v/>
      </c>
      <c r="CU45" s="7">
        <f>IF(OR(CR45&lt;=0,CH45=1),0,PMT(CS45,MAX(1,prestamos_plazoAnios-CT45),-CR45))</f>
        <v/>
      </c>
      <c r="CV45" s="7">
        <f>IF(CR45&lt;=0,0,IF(CH45=1,CR45*(1+CS45),MAX(0,CR45*(1+CS45)-CU45)))</f>
        <v/>
      </c>
      <c r="CW45" s="7">
        <f>IF(AND(CR45&gt;0,CH45=0),CT45+1,CT45)</f>
        <v/>
      </c>
      <c r="CX45" s="7">
        <f>IF(12=0,0,ED44)*(1+general_tasaDeudaConsumo)</f>
        <v/>
      </c>
      <c r="CY45" s="7">
        <f>L45*12*tiempos_travelGastoExtraMes*C45</f>
        <v/>
      </c>
      <c r="CZ45" s="7">
        <f>AJ45+CY45+CA45+CC45+CL45+CU45+I45+N45-BZ45-CB45</f>
        <v/>
      </c>
      <c r="DA45" s="7">
        <f>AH45-CZ45</f>
        <v/>
      </c>
      <c r="DB45" s="7">
        <f>IF(12=0,0,DB44)+DA45</f>
        <v/>
      </c>
      <c r="DC45" s="7">
        <f>AN45*vivienda_enganchePct+AN45*vivienda_cierrePct+general_reservaMeses/12*AJ45</f>
        <v/>
      </c>
      <c r="DD45" s="7">
        <f>IF(BB45=1,g_ret,IF(BD45&gt;0,MIN(1,DC45/BD45),1)*g_cash+(1-IF(BD45&gt;0,MIN(1,DC45/BD45),1))*g_ret)</f>
        <v/>
      </c>
      <c r="DE45" s="7">
        <f>IF(DA45&gt;=0,MIN(CX45,DA45),0)</f>
        <v/>
      </c>
      <c r="DF45" s="7">
        <f>IF(DA45&gt;=0,(1-general_tasaAhorro)*(DA45-DE45),0)</f>
        <v/>
      </c>
      <c r="DG45" s="7">
        <f>IF(DA45&gt;=0,DA45-DE45-DF45,0)</f>
        <v/>
      </c>
      <c r="DH45" s="7">
        <f>MIN(personal_rothAnual,DG45)</f>
        <v/>
      </c>
      <c r="DI45" s="7">
        <f>IF(AND(DA45&gt;=0,BB45=1,BP45+BT45&gt;0),MIN(vivienda_prepagoPct*(DG45-DH45),BP45+BT45),0)</f>
        <v/>
      </c>
      <c r="DJ45" s="7">
        <f>MIN(DI45,BP45)</f>
        <v/>
      </c>
      <c r="DK45" s="7">
        <f>IF(DA45&lt;0,MIN(MAX(0,BD45),-DA45),0)</f>
        <v/>
      </c>
      <c r="DL45" s="7">
        <f>IF(DA45&lt;0,-DA45-DK45,0)</f>
        <v/>
      </c>
      <c r="DM45" s="7">
        <f>IF(12=0,0,DZ44)</f>
        <v/>
      </c>
      <c r="DN45" s="7">
        <f>IF(AND(DL45&gt;0,J45&gt;0),MIN(DL45,MIN(prestamos_topeAnualPosgrado*MIN(1,J45),MAX(0,prestamos_topeTotalPosgrado-DM45))),0)</f>
        <v/>
      </c>
      <c r="DO45" s="7">
        <f>IF(AND(DL45&gt;0,J45&gt;0),DL45-DN45,0)</f>
        <v/>
      </c>
      <c r="DP45" s="7">
        <f>IF(AND(DL45&gt;0,J45&lt;=0),DL45,0)</f>
        <v/>
      </c>
      <c r="DQ45" s="7">
        <f>IF(DA45&gt;=0,DG45-DH45-DI45,-DK45)</f>
        <v/>
      </c>
      <c r="DR45" s="7">
        <f>BD45*(1+DD45)+DQ45*(1+DD45/2)</f>
        <v/>
      </c>
      <c r="DS45" s="7">
        <f>IF(12=0,personal_retiroInicial,DS44)*(1+g_ret)+(O45+P45+DH45)*(1+g_ret/2)</f>
        <v/>
      </c>
      <c r="DT45" s="7">
        <f>IF(BB45=1,BL45*(1+g_appr),0)</f>
        <v/>
      </c>
      <c r="DU45" s="7">
        <f>BP45-DJ45</f>
        <v/>
      </c>
      <c r="DV45" s="7">
        <f>BT45-(DI45-DJ45)</f>
        <v/>
      </c>
      <c r="DW45" s="7">
        <f>CP45+DN45</f>
        <v/>
      </c>
      <c r="DX45" s="7">
        <f>IF(DN45&gt;0,(CP45*CF45+DN45*prestamos_tasaFederalPosgrado)/(CP45+DN45),CF45)</f>
        <v/>
      </c>
      <c r="DY45" s="7">
        <f>IF(DN45&gt;0,0,CQ45)</f>
        <v/>
      </c>
      <c r="DZ45" s="7">
        <f>DM45+DN45</f>
        <v/>
      </c>
      <c r="EA45" s="7">
        <f>CV45+DO45</f>
        <v/>
      </c>
      <c r="EB45" s="7">
        <f>IF(DO45&gt;0,(CV45*CS45+DO45*prestamos_tasaPrivada)/(CV45+DO45),CS45)</f>
        <v/>
      </c>
      <c r="EC45" s="7">
        <f>IF(DO45&gt;0,0,CW45)</f>
        <v/>
      </c>
      <c r="ED45" s="7">
        <f>CX45-DE45+DP45</f>
        <v/>
      </c>
      <c r="EE45" s="7">
        <f>IF(IF(12=0,"",EE44)&lt;&gt;"",EE44,IF(AND(BB45=1,DU45&lt;=0.5,DV45&lt;=0.5,OR(BH45=0,BJ45=1)),A45,""))</f>
        <v/>
      </c>
      <c r="EF45" s="7">
        <f>DU45+DV45+DW45+EA45+ED45+CD45</f>
        <v/>
      </c>
      <c r="EG45" s="7">
        <f>DR45+DS45+DT45-EF45</f>
        <v/>
      </c>
      <c r="EH45" s="7">
        <f>EG45/(1+g_inf)^(A45+1-2026)</f>
        <v/>
      </c>
    </row>
    <row r="46">
      <c r="A46" t="n">
        <v>2040</v>
      </c>
      <c r="B46" t="n">
        <v>13</v>
      </c>
      <c r="C46" s="7">
        <f>(1+g_inf)^(A46-2026)</f>
        <v/>
      </c>
      <c r="D46" s="7">
        <f>SUMPRODUCT($AG$5:$AG$29,$E$5:$E$29*(1+$F$5:$F$29)^(A46-2026)*$G$5:$G$29*$H$5:$H$29*(1-$N$5:$N$29*$O$5:$O$29))*g_salMult+SUMPRODUCT(($B$5:$B$29&gt;=A46)*($B$5:$B$29&lt;A46+1)*$I$5:$I$29)*g_salMult</f>
        <v/>
      </c>
      <c r="E46" s="7">
        <f>SUMPRODUCT($AG$5:$AG$29,$E$5:$E$29*(1+$F$5:$F$29)^(A46-2026)*$G$5:$G$29*$H$5:$H$29*$M$5:$M$29)*g_salMult</f>
        <v/>
      </c>
      <c r="F46" s="7">
        <f>SUMPRODUCT($AG$5:$AG$29,$E$5:$E$29*(1+$F$5:$F$29)^(A46-2026)*$G$5:$G$29*$H$5:$H$29*$N$5:$N$29*$O$5:$O$29)*g_salMult</f>
        <v/>
      </c>
      <c r="G46" s="7">
        <f>SUMPRODUCT($AG$5:$AG$29,$P$5:$P$29*(1+$F$5:$F$29)^(A46-2026))</f>
        <v/>
      </c>
      <c r="H46" s="7">
        <f>SUMPRODUCT($AG$5:$AG$29,$Q$5:$Q$29*(1+$F$5:$F$29)^(A46-2026))+IF(personal_llcActivo=1,personal_llcNeto*(1+personal_llcCrecimiento)^13,0)</f>
        <v/>
      </c>
      <c r="I46" s="7">
        <f>SUMPRODUCT($AG$5:$AG$29,$J$5:$J$29/($C$5:$C$29-$B$5:$B$29+($C$5:$C$29=$B$5:$B$29)))*C46</f>
        <v/>
      </c>
      <c r="J46" s="7">
        <f>SUMPRODUCT($AG$5:$AG$29,$K$5:$K$29)</f>
        <v/>
      </c>
      <c r="K46" s="7">
        <f>SUMPRODUCT($AG$5:$AG$29,$L$5:$L$29)</f>
        <v/>
      </c>
      <c r="L46" s="7">
        <f>SUMPRODUCT($AG$5:$AG$29,$N$5:$N$29)</f>
        <v/>
      </c>
      <c r="M46" s="7">
        <f>IF(SUMPRODUCT($AG$5:$AG$29,$R$5:$R$29)&gt;0,1,0)</f>
        <v/>
      </c>
      <c r="N46" s="7">
        <f>SUMPRODUCT(($AO$5:$AO$24&gt;=A46)*($AO$5:$AO$24&lt;A46+1)*$AP$5:$AP$24)*C46+IF(13=0,IF(sel_loc&lt;&gt;"miami",personal_costoMudanzaInicial,0),0)</f>
        <v/>
      </c>
      <c r="O46" s="7">
        <f>MIN(personal_aporte403bPct*D46,retiro_limite403b*C46)</f>
        <v/>
      </c>
      <c r="P46" s="7">
        <f>MIN(personal_aporte403bPct,personal_match403bPct)*E46</f>
        <v/>
      </c>
      <c r="Q46" s="7">
        <f>IF(G46&gt;0,MAX(0,G46-impuestos_scorpCostoAnual*C46),0)</f>
        <v/>
      </c>
      <c r="R46" s="7">
        <f>Q46*impuestos_scorpSalarioPct/(1+impuestos_ssTasa+impuestos_medicareTasa)</f>
        <v/>
      </c>
      <c r="S46" s="7">
        <f>impuestos_ssTasa*MIN(R46,MAX(0,impuestos_ssTope*C46-D46))+impuestos_medicareTasa*R46</f>
        <v/>
      </c>
      <c r="T46" s="7">
        <f>Q46-R46-S46</f>
        <v/>
      </c>
      <c r="U46" s="7">
        <f>D46+R46</f>
        <v/>
      </c>
      <c r="V46" s="7">
        <f>H46*0.9235</f>
        <v/>
      </c>
      <c r="W46" s="7">
        <f>IF(H46&gt;0,2*impuestos_ssTasa*MIN(V46,MAX(0,impuestos_ssTope*C46-U46))+2*impuestos_medicareTasa*V46,0)</f>
        <v/>
      </c>
      <c r="X46" s="7">
        <f>impuestos_ssTasa*MIN(U46,impuestos_ssTope*C46)+impuestos_medicareTasa*U46+impuestos_medicareAdicional*MAX(0,U46+H46*0.9235-impuestos_medicareUmbral)</f>
        <v/>
      </c>
      <c r="Y46" s="7">
        <f>MAX(0,D46-O46+R46+T46+H46-W46/2)</f>
        <v/>
      </c>
      <c r="Z46" s="7">
        <f>MAX(0,Y46-impuestos_deduccionEstandar*C46)</f>
        <v/>
      </c>
      <c r="AA46" s="7">
        <f>MIN(0.2*MAX(0,T46+H46-W46/2)*MAX(0,MIN(1,1-(Z46-impuestos_qbiUmbral*C46)/(impuestos_qbiRango*C46))),0.2*Z46)</f>
        <v/>
      </c>
      <c r="AB46" s="7">
        <f>MAX(0,Z46-AA46)</f>
        <v/>
      </c>
      <c r="AC46" s="7">
        <f>SUMPRODUCT((AB46&gt;tb_federalBrackets_lo*C46)*(AB46-tb_federalBrackets_lo*C46)*tb_federalBrackets_dr)</f>
        <v/>
      </c>
      <c r="AD46" s="7">
        <f>MAX(0,Y46-impuestos_nyDeduccion*C46)</f>
        <v/>
      </c>
      <c r="AE46" s="7">
        <f>CHOOSE(loc_taxcode,0,impuestos_ohTasa*MAX(0,Y46-impuestos_ohExento*C46)+impuestos_ohMunicipal*U46,SUMPRODUCT((AD46&gt;tb_nyBrackets_lo*C46)*(AD46-tb_nyBrackets_lo*C46)*tb_nyBrackets_dr)+loc_nyc*SUMPRODUCT((AD46&gt;tb_nycBrackets_lo*C46)*(AD46-tb_nycBrackets_lo*C46)*tb_nycBrackets_dr))</f>
        <v/>
      </c>
      <c r="AF46" s="7">
        <f>AC46+AE46+X46+W46</f>
        <v/>
      </c>
      <c r="AG46" s="7">
        <f>D46+F46+R46+T46+H46</f>
        <v/>
      </c>
      <c r="AH46" s="7">
        <f>AG46-AF46-O46</f>
        <v/>
      </c>
      <c r="AI46" s="7">
        <f>D46+F46+G46+H46</f>
        <v/>
      </c>
      <c r="AJ46" s="7">
        <f>loc_gastosVida*C46*g_gastos</f>
        <v/>
      </c>
      <c r="AK46" s="7">
        <f>IF(13=0,personal_liquidoInicial,DR45)</f>
        <v/>
      </c>
      <c r="AL46" s="7">
        <f>IF(13=0,0,BB45)</f>
        <v/>
      </c>
      <c r="AM46" s="7">
        <f>CHOOSE(sel_cfgIdx,loc_precio_duplex,loc_precio_inlaw,loc_precio_dosCasas,loc_precio_casaAdu,loc_precio_multi)</f>
        <v/>
      </c>
      <c r="AN46" s="7">
        <f>AM46*(1+g_appr)^(A46-2026)</f>
        <v/>
      </c>
      <c r="AO46" s="7">
        <f>IF(AND(M46=1,vivienda_prestamoMedico=1),1,0)</f>
        <v/>
      </c>
      <c r="AP46" s="7">
        <f>IF(AO46=1,0.05,vivienda_enganchePct)</f>
        <v/>
      </c>
      <c r="AQ46" s="7">
        <f>AN46*(1-AP46)</f>
        <v/>
      </c>
      <c r="AR46" s="7">
        <f>PMT(g_mortRate/12,vivienda_plazoHipoteca*12,-AQ46)</f>
        <v/>
      </c>
      <c r="AS46" s="7">
        <f>INDEX(cfg_units,sel_cfgIdx)</f>
        <v/>
      </c>
      <c r="AT46" s="7">
        <f>AS46*loc_rentaUnidad*(1+g_inf)^(A46-2026)*(1-vivienda_vacancia)</f>
        <v/>
      </c>
      <c r="AU46" s="7">
        <f>AR46+AN46*loc_impuestoPropPct/12+AM46*loc_seguroPct*(1+vivienda_inflacionSeguro)^(A46-2026)/12+IF(AND(AO46=0,AP46&lt;0.2),AQ46*vivienda_pmiTasa/12,0)</f>
        <v/>
      </c>
      <c r="AV46" s="7">
        <f>AN46*AP46+AN46*vivienda_cierrePct+general_reservaMeses/12*AJ46</f>
        <v/>
      </c>
      <c r="AW46" s="7">
        <f>(IF(13=0,MIN(personal_irsSaldo,personal_irsPagoMensual*12),MIN(CD45,personal_irsPagoMensual*12))+IF(CE46&gt;0,PMT(CF46,MAX(1,prestamos_plazoAnios-CG46),-CE46),0)+IF(CR46&gt;0,PMT(CS46,MAX(1,prestamos_plazoAnios-CT46),-CR46),0))/12</f>
        <v/>
      </c>
      <c r="AX46" s="7">
        <f>IF(OR(sel_cfg="duplex",sel_cfg="multi",sel_cfg="dosCasas"),0.75*personal_aporteFamiliaMensual,0)</f>
        <v/>
      </c>
      <c r="AY46" s="7">
        <f>AU46-0.75*AT46-AX46+AW46</f>
        <v/>
      </c>
      <c r="AZ46" s="7">
        <f>(D46+G46+H46+0.5*F46)/12</f>
        <v/>
      </c>
      <c r="BA46" s="7">
        <f>IF(AND(AL46=0,A46&gt;=vivienda_anioMinCompra,J46&lt;0.5,AI46&gt;0,AK46&gt;=AV46,AY46&lt;=vivienda_dtiMax*AZ46),1,0)</f>
        <v/>
      </c>
      <c r="BB46" s="7">
        <f>MAX(AL46,BA46)</f>
        <v/>
      </c>
      <c r="BC46" s="7">
        <f>IF(BA46=1,A46,IF(13=0,"",BC45))</f>
        <v/>
      </c>
      <c r="BD46" s="7">
        <f>AK46-IF(BA46=1,AN46*AP46+AN46*vivienda_cierrePct,0)</f>
        <v/>
      </c>
      <c r="BE46" s="7">
        <f>IF(BA46=1,AN46,IF(13=0,0,BE45))</f>
        <v/>
      </c>
      <c r="BF46" s="7">
        <f>IF(BA46=1,AR46,IF(13=0,0,BF45))</f>
        <v/>
      </c>
      <c r="BG46" s="7">
        <f>IF(BA46=1,IF(AND(AO46=0,AP46&lt;0.2),1,0),IF(13=0,0,BY45))</f>
        <v/>
      </c>
      <c r="BH46" s="7">
        <f>IF(sel_cfg="casaAdu",1,0)</f>
        <v/>
      </c>
      <c r="BI46" s="7">
        <f>IF(AND(BB46=1,BH46=1,IF(13=0,0,BJ45)=0,A46&gt;=IF(BC46="",9999,BC46)+vivienda_aduRetrasoAnios),1,0)</f>
        <v/>
      </c>
      <c r="BJ46" s="7">
        <f>MAX(IF(13=0,0,BJ45),BI46)</f>
        <v/>
      </c>
      <c r="BK46" s="7">
        <f>IF(BI46=1,PMT((g_mortRate+0.005)/12,180,-loc_precio_aduCosto*C46),IF(13=0,0,BK45))</f>
        <v/>
      </c>
      <c r="BL46" s="7">
        <f>IF(BA46=1,AN46,IF(13=0,0,DT45))+IF(BI46=1,loc_precio_aduCosto*C46,0)</f>
        <v/>
      </c>
      <c r="BM46" s="7">
        <f>IF(BA46=1,AQ46,IF(13=0,0,DU45))</f>
        <v/>
      </c>
      <c r="BN46" s="7">
        <f>IF(BM46&lt;=0,0,FV(g_mortRate/12,12,BF46,-BM46))</f>
        <v/>
      </c>
      <c r="BO46" s="7">
        <f>IF(BM46&lt;=0,0,12*BF46+MIN(0,BN46))</f>
        <v/>
      </c>
      <c r="BP46" s="7">
        <f>MAX(0,BN46)</f>
        <v/>
      </c>
      <c r="BQ46" s="7">
        <f>IF(BI46=1,loc_precio_aduCosto*C46,IF(13=0,0,DV45))</f>
        <v/>
      </c>
      <c r="BR46" s="7">
        <f>IF(BQ46&lt;=0,0,FV((g_mortRate+0.005)/12,12,BK46,-BQ46))</f>
        <v/>
      </c>
      <c r="BS46" s="7">
        <f>IF(BQ46&lt;=0,0,12*BK46+MIN(0,BR46))</f>
        <v/>
      </c>
      <c r="BT46" s="7">
        <f>MAX(0,BR46)</f>
        <v/>
      </c>
      <c r="BU46" s="7">
        <f>IF(BB46=1,AM46*loc_seguroPct*(1+vivienda_inflacionSeguro)^(A46-2026)*IF(BJ46=1,1+loc_precio_aduCosto/AM46,1),0)</f>
        <v/>
      </c>
      <c r="BV46" s="7">
        <f>BL46*loc_impuestoPropPct</f>
        <v/>
      </c>
      <c r="BW46" s="7">
        <f>BL46*vivienda_mantenimientoPct</f>
        <v/>
      </c>
      <c r="BX46" s="7">
        <f>IF(AND(BG46=1,BP46&gt;0.8*BE46),BE46*(1-vivienda_enganchePct)*vivienda_pmiTasa,0)</f>
        <v/>
      </c>
      <c r="BY46" s="7">
        <f>IF(AND(BG46=1,BP46&gt;0.8*BE46),1,0)</f>
        <v/>
      </c>
      <c r="BZ46" s="7">
        <f>IF(BB46=1,AS46*loc_rentaUnidad*12*C46*(1-vivienda_vacancia)*(1-vivienda_gestionPct),0)</f>
        <v/>
      </c>
      <c r="CA46" s="7">
        <f>IF(BB46=1,BO46+BS46+BU46+BV46+BW46+BX46,loc_rentaMensual*12*C46)</f>
        <v/>
      </c>
      <c r="CB46" s="7">
        <f>IF(BB46=1,personal_aporteFamiliaMensual*12,0)</f>
        <v/>
      </c>
      <c r="CC46" s="7">
        <f>MIN(IF(13=0,personal_irsSaldo,CD45),personal_irsPagoMensual*12)</f>
        <v/>
      </c>
      <c r="CD46" s="7">
        <f>IF(13=0,personal_irsSaldo,CD45)-CC46</f>
        <v/>
      </c>
      <c r="CE46" s="7">
        <f>IF(13=0,IF(personal_deudaEsFederal=1,personal_deudaEstudiantil,0),DW45)</f>
        <v/>
      </c>
      <c r="CF46" s="7">
        <f>IF(13=0,personal_tasaDeudaEstudiantil,DX45)</f>
        <v/>
      </c>
      <c r="CG46" s="7">
        <f>IF(13=0,0,DY45)</f>
        <v/>
      </c>
      <c r="CH46" s="7">
        <f>IF(J46&gt;=0.5,1,0)</f>
        <v/>
      </c>
      <c r="CI46" s="7">
        <f>IF(AND(CH46=0,prestamos_pslfActivo=1,K46&gt;=0.5,CE46&gt;0),1,0)</f>
        <v/>
      </c>
      <c r="CJ46" s="7">
        <f>CE46*CF46</f>
        <v/>
      </c>
      <c r="CK46" s="7">
        <f>MAX(prestamos_rapPagoMinimoAnual,IF(Y46&lt;10000,0,MIN(0.1,INT(Y46/10000)/100))*Y46)</f>
        <v/>
      </c>
      <c r="CL46" s="7">
        <f>IF(CE46&lt;=0,0,IF(CH46=1,0,IF(CI46=1,MIN(CE46+CJ46,CK46),PMT(CF46,MAX(1,prestamos_plazoAnios-CG46),-CE46))))</f>
        <v/>
      </c>
      <c r="CM46" s="7">
        <f>IF(CE46&lt;=0,0,IF(CH46=1,CE46+CJ46,IF(CI46=1,MAX(0,CE46-MAX(CL46-CJ46,MIN(600,CL46))),MAX(0,CE46*(1+CF46)-CL46))))</f>
        <v/>
      </c>
      <c r="CN46" s="7">
        <f>IF(13=0,0,CN45)+IF(CI46=1,12*MIN(1,K46),0)</f>
        <v/>
      </c>
      <c r="CO46" s="7">
        <f>IF(AND(CI46=1,CN46&gt;=prestamos_pslfPagos,CM46&gt;0),CM46,0)</f>
        <v/>
      </c>
      <c r="CP46" s="7">
        <f>CM46-CO46</f>
        <v/>
      </c>
      <c r="CQ46" s="7">
        <f>IF(AND(CE46&gt;0,CH46=0,CI46=0),CG46+1,CG46)</f>
        <v/>
      </c>
      <c r="CR46" s="7">
        <f>IF(13=0,IF(personal_deudaEsFederal=1,0,personal_deudaEstudiantil),EA45)</f>
        <v/>
      </c>
      <c r="CS46" s="7">
        <f>IF(13=0,IF(personal_deudaEsFederal=1,prestamos_tasaPrivada,personal_tasaDeudaEstudiantil),EB45)</f>
        <v/>
      </c>
      <c r="CT46" s="7">
        <f>IF(13=0,0,EC45)</f>
        <v/>
      </c>
      <c r="CU46" s="7">
        <f>IF(OR(CR46&lt;=0,CH46=1),0,PMT(CS46,MAX(1,prestamos_plazoAnios-CT46),-CR46))</f>
        <v/>
      </c>
      <c r="CV46" s="7">
        <f>IF(CR46&lt;=0,0,IF(CH46=1,CR46*(1+CS46),MAX(0,CR46*(1+CS46)-CU46)))</f>
        <v/>
      </c>
      <c r="CW46" s="7">
        <f>IF(AND(CR46&gt;0,CH46=0),CT46+1,CT46)</f>
        <v/>
      </c>
      <c r="CX46" s="7">
        <f>IF(13=0,0,ED45)*(1+general_tasaDeudaConsumo)</f>
        <v/>
      </c>
      <c r="CY46" s="7">
        <f>L46*12*tiempos_travelGastoExtraMes*C46</f>
        <v/>
      </c>
      <c r="CZ46" s="7">
        <f>AJ46+CY46+CA46+CC46+CL46+CU46+I46+N46-BZ46-CB46</f>
        <v/>
      </c>
      <c r="DA46" s="7">
        <f>AH46-CZ46</f>
        <v/>
      </c>
      <c r="DB46" s="7">
        <f>IF(13=0,0,DB45)+DA46</f>
        <v/>
      </c>
      <c r="DC46" s="7">
        <f>AN46*vivienda_enganchePct+AN46*vivienda_cierrePct+general_reservaMeses/12*AJ46</f>
        <v/>
      </c>
      <c r="DD46" s="7">
        <f>IF(BB46=1,g_ret,IF(BD46&gt;0,MIN(1,DC46/BD46),1)*g_cash+(1-IF(BD46&gt;0,MIN(1,DC46/BD46),1))*g_ret)</f>
        <v/>
      </c>
      <c r="DE46" s="7">
        <f>IF(DA46&gt;=0,MIN(CX46,DA46),0)</f>
        <v/>
      </c>
      <c r="DF46" s="7">
        <f>IF(DA46&gt;=0,(1-general_tasaAhorro)*(DA46-DE46),0)</f>
        <v/>
      </c>
      <c r="DG46" s="7">
        <f>IF(DA46&gt;=0,DA46-DE46-DF46,0)</f>
        <v/>
      </c>
      <c r="DH46" s="7">
        <f>MIN(personal_rothAnual,DG46)</f>
        <v/>
      </c>
      <c r="DI46" s="7">
        <f>IF(AND(DA46&gt;=0,BB46=1,BP46+BT46&gt;0),MIN(vivienda_prepagoPct*(DG46-DH46),BP46+BT46),0)</f>
        <v/>
      </c>
      <c r="DJ46" s="7">
        <f>MIN(DI46,BP46)</f>
        <v/>
      </c>
      <c r="DK46" s="7">
        <f>IF(DA46&lt;0,MIN(MAX(0,BD46),-DA46),0)</f>
        <v/>
      </c>
      <c r="DL46" s="7">
        <f>IF(DA46&lt;0,-DA46-DK46,0)</f>
        <v/>
      </c>
      <c r="DM46" s="7">
        <f>IF(13=0,0,DZ45)</f>
        <v/>
      </c>
      <c r="DN46" s="7">
        <f>IF(AND(DL46&gt;0,J46&gt;0),MIN(DL46,MIN(prestamos_topeAnualPosgrado*MIN(1,J46),MAX(0,prestamos_topeTotalPosgrado-DM46))),0)</f>
        <v/>
      </c>
      <c r="DO46" s="7">
        <f>IF(AND(DL46&gt;0,J46&gt;0),DL46-DN46,0)</f>
        <v/>
      </c>
      <c r="DP46" s="7">
        <f>IF(AND(DL46&gt;0,J46&lt;=0),DL46,0)</f>
        <v/>
      </c>
      <c r="DQ46" s="7">
        <f>IF(DA46&gt;=0,DG46-DH46-DI46,-DK46)</f>
        <v/>
      </c>
      <c r="DR46" s="7">
        <f>BD46*(1+DD46)+DQ46*(1+DD46/2)</f>
        <v/>
      </c>
      <c r="DS46" s="7">
        <f>IF(13=0,personal_retiroInicial,DS45)*(1+g_ret)+(O46+P46+DH46)*(1+g_ret/2)</f>
        <v/>
      </c>
      <c r="DT46" s="7">
        <f>IF(BB46=1,BL46*(1+g_appr),0)</f>
        <v/>
      </c>
      <c r="DU46" s="7">
        <f>BP46-DJ46</f>
        <v/>
      </c>
      <c r="DV46" s="7">
        <f>BT46-(DI46-DJ46)</f>
        <v/>
      </c>
      <c r="DW46" s="7">
        <f>CP46+DN46</f>
        <v/>
      </c>
      <c r="DX46" s="7">
        <f>IF(DN46&gt;0,(CP46*CF46+DN46*prestamos_tasaFederalPosgrado)/(CP46+DN46),CF46)</f>
        <v/>
      </c>
      <c r="DY46" s="7">
        <f>IF(DN46&gt;0,0,CQ46)</f>
        <v/>
      </c>
      <c r="DZ46" s="7">
        <f>DM46+DN46</f>
        <v/>
      </c>
      <c r="EA46" s="7">
        <f>CV46+DO46</f>
        <v/>
      </c>
      <c r="EB46" s="7">
        <f>IF(DO46&gt;0,(CV46*CS46+DO46*prestamos_tasaPrivada)/(CV46+DO46),CS46)</f>
        <v/>
      </c>
      <c r="EC46" s="7">
        <f>IF(DO46&gt;0,0,CW46)</f>
        <v/>
      </c>
      <c r="ED46" s="7">
        <f>CX46-DE46+DP46</f>
        <v/>
      </c>
      <c r="EE46" s="7">
        <f>IF(IF(13=0,"",EE45)&lt;&gt;"",EE45,IF(AND(BB46=1,DU46&lt;=0.5,DV46&lt;=0.5,OR(BH46=0,BJ46=1)),A46,""))</f>
        <v/>
      </c>
      <c r="EF46" s="7">
        <f>DU46+DV46+DW46+EA46+ED46+CD46</f>
        <v/>
      </c>
      <c r="EG46" s="7">
        <f>DR46+DS46+DT46-EF46</f>
        <v/>
      </c>
      <c r="EH46" s="7">
        <f>EG46/(1+g_inf)^(A46+1-2026)</f>
        <v/>
      </c>
    </row>
    <row r="47">
      <c r="A47" t="n">
        <v>2041</v>
      </c>
      <c r="B47" t="n">
        <v>14</v>
      </c>
      <c r="C47" s="7">
        <f>(1+g_inf)^(A47-2026)</f>
        <v/>
      </c>
      <c r="D47" s="7">
        <f>SUMPRODUCT($AH$5:$AH$29,$E$5:$E$29*(1+$F$5:$F$29)^(A47-2026)*$G$5:$G$29*$H$5:$H$29*(1-$N$5:$N$29*$O$5:$O$29))*g_salMult+SUMPRODUCT(($B$5:$B$29&gt;=A47)*($B$5:$B$29&lt;A47+1)*$I$5:$I$29)*g_salMult</f>
        <v/>
      </c>
      <c r="E47" s="7">
        <f>SUMPRODUCT($AH$5:$AH$29,$E$5:$E$29*(1+$F$5:$F$29)^(A47-2026)*$G$5:$G$29*$H$5:$H$29*$M$5:$M$29)*g_salMult</f>
        <v/>
      </c>
      <c r="F47" s="7">
        <f>SUMPRODUCT($AH$5:$AH$29,$E$5:$E$29*(1+$F$5:$F$29)^(A47-2026)*$G$5:$G$29*$H$5:$H$29*$N$5:$N$29*$O$5:$O$29)*g_salMult</f>
        <v/>
      </c>
      <c r="G47" s="7">
        <f>SUMPRODUCT($AH$5:$AH$29,$P$5:$P$29*(1+$F$5:$F$29)^(A47-2026))</f>
        <v/>
      </c>
      <c r="H47" s="7">
        <f>SUMPRODUCT($AH$5:$AH$29,$Q$5:$Q$29*(1+$F$5:$F$29)^(A47-2026))+IF(personal_llcActivo=1,personal_llcNeto*(1+personal_llcCrecimiento)^14,0)</f>
        <v/>
      </c>
      <c r="I47" s="7">
        <f>SUMPRODUCT($AH$5:$AH$29,$J$5:$J$29/($C$5:$C$29-$B$5:$B$29+($C$5:$C$29=$B$5:$B$29)))*C47</f>
        <v/>
      </c>
      <c r="J47" s="7">
        <f>SUMPRODUCT($AH$5:$AH$29,$K$5:$K$29)</f>
        <v/>
      </c>
      <c r="K47" s="7">
        <f>SUMPRODUCT($AH$5:$AH$29,$L$5:$L$29)</f>
        <v/>
      </c>
      <c r="L47" s="7">
        <f>SUMPRODUCT($AH$5:$AH$29,$N$5:$N$29)</f>
        <v/>
      </c>
      <c r="M47" s="7">
        <f>IF(SUMPRODUCT($AH$5:$AH$29,$R$5:$R$29)&gt;0,1,0)</f>
        <v/>
      </c>
      <c r="N47" s="7">
        <f>SUMPRODUCT(($AO$5:$AO$24&gt;=A47)*($AO$5:$AO$24&lt;A47+1)*$AP$5:$AP$24)*C47+IF(14=0,IF(sel_loc&lt;&gt;"miami",personal_costoMudanzaInicial,0),0)</f>
        <v/>
      </c>
      <c r="O47" s="7">
        <f>MIN(personal_aporte403bPct*D47,retiro_limite403b*C47)</f>
        <v/>
      </c>
      <c r="P47" s="7">
        <f>MIN(personal_aporte403bPct,personal_match403bPct)*E47</f>
        <v/>
      </c>
      <c r="Q47" s="7">
        <f>IF(G47&gt;0,MAX(0,G47-impuestos_scorpCostoAnual*C47),0)</f>
        <v/>
      </c>
      <c r="R47" s="7">
        <f>Q47*impuestos_scorpSalarioPct/(1+impuestos_ssTasa+impuestos_medicareTasa)</f>
        <v/>
      </c>
      <c r="S47" s="7">
        <f>impuestos_ssTasa*MIN(R47,MAX(0,impuestos_ssTope*C47-D47))+impuestos_medicareTasa*R47</f>
        <v/>
      </c>
      <c r="T47" s="7">
        <f>Q47-R47-S47</f>
        <v/>
      </c>
      <c r="U47" s="7">
        <f>D47+R47</f>
        <v/>
      </c>
      <c r="V47" s="7">
        <f>H47*0.9235</f>
        <v/>
      </c>
      <c r="W47" s="7">
        <f>IF(H47&gt;0,2*impuestos_ssTasa*MIN(V47,MAX(0,impuestos_ssTope*C47-U47))+2*impuestos_medicareTasa*V47,0)</f>
        <v/>
      </c>
      <c r="X47" s="7">
        <f>impuestos_ssTasa*MIN(U47,impuestos_ssTope*C47)+impuestos_medicareTasa*U47+impuestos_medicareAdicional*MAX(0,U47+H47*0.9235-impuestos_medicareUmbral)</f>
        <v/>
      </c>
      <c r="Y47" s="7">
        <f>MAX(0,D47-O47+R47+T47+H47-W47/2)</f>
        <v/>
      </c>
      <c r="Z47" s="7">
        <f>MAX(0,Y47-impuestos_deduccionEstandar*C47)</f>
        <v/>
      </c>
      <c r="AA47" s="7">
        <f>MIN(0.2*MAX(0,T47+H47-W47/2)*MAX(0,MIN(1,1-(Z47-impuestos_qbiUmbral*C47)/(impuestos_qbiRango*C47))),0.2*Z47)</f>
        <v/>
      </c>
      <c r="AB47" s="7">
        <f>MAX(0,Z47-AA47)</f>
        <v/>
      </c>
      <c r="AC47" s="7">
        <f>SUMPRODUCT((AB47&gt;tb_federalBrackets_lo*C47)*(AB47-tb_federalBrackets_lo*C47)*tb_federalBrackets_dr)</f>
        <v/>
      </c>
      <c r="AD47" s="7">
        <f>MAX(0,Y47-impuestos_nyDeduccion*C47)</f>
        <v/>
      </c>
      <c r="AE47" s="7">
        <f>CHOOSE(loc_taxcode,0,impuestos_ohTasa*MAX(0,Y47-impuestos_ohExento*C47)+impuestos_ohMunicipal*U47,SUMPRODUCT((AD47&gt;tb_nyBrackets_lo*C47)*(AD47-tb_nyBrackets_lo*C47)*tb_nyBrackets_dr)+loc_nyc*SUMPRODUCT((AD47&gt;tb_nycBrackets_lo*C47)*(AD47-tb_nycBrackets_lo*C47)*tb_nycBrackets_dr))</f>
        <v/>
      </c>
      <c r="AF47" s="7">
        <f>AC47+AE47+X47+W47</f>
        <v/>
      </c>
      <c r="AG47" s="7">
        <f>D47+F47+R47+T47+H47</f>
        <v/>
      </c>
      <c r="AH47" s="7">
        <f>AG47-AF47-O47</f>
        <v/>
      </c>
      <c r="AI47" s="7">
        <f>D47+F47+G47+H47</f>
        <v/>
      </c>
      <c r="AJ47" s="7">
        <f>loc_gastosVida*C47*g_gastos</f>
        <v/>
      </c>
      <c r="AK47" s="7">
        <f>IF(14=0,personal_liquidoInicial,DR46)</f>
        <v/>
      </c>
      <c r="AL47" s="7">
        <f>IF(14=0,0,BB46)</f>
        <v/>
      </c>
      <c r="AM47" s="7">
        <f>CHOOSE(sel_cfgIdx,loc_precio_duplex,loc_precio_inlaw,loc_precio_dosCasas,loc_precio_casaAdu,loc_precio_multi)</f>
        <v/>
      </c>
      <c r="AN47" s="7">
        <f>AM47*(1+g_appr)^(A47-2026)</f>
        <v/>
      </c>
      <c r="AO47" s="7">
        <f>IF(AND(M47=1,vivienda_prestamoMedico=1),1,0)</f>
        <v/>
      </c>
      <c r="AP47" s="7">
        <f>IF(AO47=1,0.05,vivienda_enganchePct)</f>
        <v/>
      </c>
      <c r="AQ47" s="7">
        <f>AN47*(1-AP47)</f>
        <v/>
      </c>
      <c r="AR47" s="7">
        <f>PMT(g_mortRate/12,vivienda_plazoHipoteca*12,-AQ47)</f>
        <v/>
      </c>
      <c r="AS47" s="7">
        <f>INDEX(cfg_units,sel_cfgIdx)</f>
        <v/>
      </c>
      <c r="AT47" s="7">
        <f>AS47*loc_rentaUnidad*(1+g_inf)^(A47-2026)*(1-vivienda_vacancia)</f>
        <v/>
      </c>
      <c r="AU47" s="7">
        <f>AR47+AN47*loc_impuestoPropPct/12+AM47*loc_seguroPct*(1+vivienda_inflacionSeguro)^(A47-2026)/12+IF(AND(AO47=0,AP47&lt;0.2),AQ47*vivienda_pmiTasa/12,0)</f>
        <v/>
      </c>
      <c r="AV47" s="7">
        <f>AN47*AP47+AN47*vivienda_cierrePct+general_reservaMeses/12*AJ47</f>
        <v/>
      </c>
      <c r="AW47" s="7">
        <f>(IF(14=0,MIN(personal_irsSaldo,personal_irsPagoMensual*12),MIN(CD46,personal_irsPagoMensual*12))+IF(CE47&gt;0,PMT(CF47,MAX(1,prestamos_plazoAnios-CG47),-CE47),0)+IF(CR47&gt;0,PMT(CS47,MAX(1,prestamos_plazoAnios-CT47),-CR47),0))/12</f>
        <v/>
      </c>
      <c r="AX47" s="7">
        <f>IF(OR(sel_cfg="duplex",sel_cfg="multi",sel_cfg="dosCasas"),0.75*personal_aporteFamiliaMensual,0)</f>
        <v/>
      </c>
      <c r="AY47" s="7">
        <f>AU47-0.75*AT47-AX47+AW47</f>
        <v/>
      </c>
      <c r="AZ47" s="7">
        <f>(D47+G47+H47+0.5*F47)/12</f>
        <v/>
      </c>
      <c r="BA47" s="7">
        <f>IF(AND(AL47=0,A47&gt;=vivienda_anioMinCompra,J47&lt;0.5,AI47&gt;0,AK47&gt;=AV47,AY47&lt;=vivienda_dtiMax*AZ47),1,0)</f>
        <v/>
      </c>
      <c r="BB47" s="7">
        <f>MAX(AL47,BA47)</f>
        <v/>
      </c>
      <c r="BC47" s="7">
        <f>IF(BA47=1,A47,IF(14=0,"",BC46))</f>
        <v/>
      </c>
      <c r="BD47" s="7">
        <f>AK47-IF(BA47=1,AN47*AP47+AN47*vivienda_cierrePct,0)</f>
        <v/>
      </c>
      <c r="BE47" s="7">
        <f>IF(BA47=1,AN47,IF(14=0,0,BE46))</f>
        <v/>
      </c>
      <c r="BF47" s="7">
        <f>IF(BA47=1,AR47,IF(14=0,0,BF46))</f>
        <v/>
      </c>
      <c r="BG47" s="7">
        <f>IF(BA47=1,IF(AND(AO47=0,AP47&lt;0.2),1,0),IF(14=0,0,BY46))</f>
        <v/>
      </c>
      <c r="BH47" s="7">
        <f>IF(sel_cfg="casaAdu",1,0)</f>
        <v/>
      </c>
      <c r="BI47" s="7">
        <f>IF(AND(BB47=1,BH47=1,IF(14=0,0,BJ46)=0,A47&gt;=IF(BC47="",9999,BC47)+vivienda_aduRetrasoAnios),1,0)</f>
        <v/>
      </c>
      <c r="BJ47" s="7">
        <f>MAX(IF(14=0,0,BJ46),BI47)</f>
        <v/>
      </c>
      <c r="BK47" s="7">
        <f>IF(BI47=1,PMT((g_mortRate+0.005)/12,180,-loc_precio_aduCosto*C47),IF(14=0,0,BK46))</f>
        <v/>
      </c>
      <c r="BL47" s="7">
        <f>IF(BA47=1,AN47,IF(14=0,0,DT46))+IF(BI47=1,loc_precio_aduCosto*C47,0)</f>
        <v/>
      </c>
      <c r="BM47" s="7">
        <f>IF(BA47=1,AQ47,IF(14=0,0,DU46))</f>
        <v/>
      </c>
      <c r="BN47" s="7">
        <f>IF(BM47&lt;=0,0,FV(g_mortRate/12,12,BF47,-BM47))</f>
        <v/>
      </c>
      <c r="BO47" s="7">
        <f>IF(BM47&lt;=0,0,12*BF47+MIN(0,BN47))</f>
        <v/>
      </c>
      <c r="BP47" s="7">
        <f>MAX(0,BN47)</f>
        <v/>
      </c>
      <c r="BQ47" s="7">
        <f>IF(BI47=1,loc_precio_aduCosto*C47,IF(14=0,0,DV46))</f>
        <v/>
      </c>
      <c r="BR47" s="7">
        <f>IF(BQ47&lt;=0,0,FV((g_mortRate+0.005)/12,12,BK47,-BQ47))</f>
        <v/>
      </c>
      <c r="BS47" s="7">
        <f>IF(BQ47&lt;=0,0,12*BK47+MIN(0,BR47))</f>
        <v/>
      </c>
      <c r="BT47" s="7">
        <f>MAX(0,BR47)</f>
        <v/>
      </c>
      <c r="BU47" s="7">
        <f>IF(BB47=1,AM47*loc_seguroPct*(1+vivienda_inflacionSeguro)^(A47-2026)*IF(BJ47=1,1+loc_precio_aduCosto/AM47,1),0)</f>
        <v/>
      </c>
      <c r="BV47" s="7">
        <f>BL47*loc_impuestoPropPct</f>
        <v/>
      </c>
      <c r="BW47" s="7">
        <f>BL47*vivienda_mantenimientoPct</f>
        <v/>
      </c>
      <c r="BX47" s="7">
        <f>IF(AND(BG47=1,BP47&gt;0.8*BE47),BE47*(1-vivienda_enganchePct)*vivienda_pmiTasa,0)</f>
        <v/>
      </c>
      <c r="BY47" s="7">
        <f>IF(AND(BG47=1,BP47&gt;0.8*BE47),1,0)</f>
        <v/>
      </c>
      <c r="BZ47" s="7">
        <f>IF(BB47=1,AS47*loc_rentaUnidad*12*C47*(1-vivienda_vacancia)*(1-vivienda_gestionPct),0)</f>
        <v/>
      </c>
      <c r="CA47" s="7">
        <f>IF(BB47=1,BO47+BS47+BU47+BV47+BW47+BX47,loc_rentaMensual*12*C47)</f>
        <v/>
      </c>
      <c r="CB47" s="7">
        <f>IF(BB47=1,personal_aporteFamiliaMensual*12,0)</f>
        <v/>
      </c>
      <c r="CC47" s="7">
        <f>MIN(IF(14=0,personal_irsSaldo,CD46),personal_irsPagoMensual*12)</f>
        <v/>
      </c>
      <c r="CD47" s="7">
        <f>IF(14=0,personal_irsSaldo,CD46)-CC47</f>
        <v/>
      </c>
      <c r="CE47" s="7">
        <f>IF(14=0,IF(personal_deudaEsFederal=1,personal_deudaEstudiantil,0),DW46)</f>
        <v/>
      </c>
      <c r="CF47" s="7">
        <f>IF(14=0,personal_tasaDeudaEstudiantil,DX46)</f>
        <v/>
      </c>
      <c r="CG47" s="7">
        <f>IF(14=0,0,DY46)</f>
        <v/>
      </c>
      <c r="CH47" s="7">
        <f>IF(J47&gt;=0.5,1,0)</f>
        <v/>
      </c>
      <c r="CI47" s="7">
        <f>IF(AND(CH47=0,prestamos_pslfActivo=1,K47&gt;=0.5,CE47&gt;0),1,0)</f>
        <v/>
      </c>
      <c r="CJ47" s="7">
        <f>CE47*CF47</f>
        <v/>
      </c>
      <c r="CK47" s="7">
        <f>MAX(prestamos_rapPagoMinimoAnual,IF(Y47&lt;10000,0,MIN(0.1,INT(Y47/10000)/100))*Y47)</f>
        <v/>
      </c>
      <c r="CL47" s="7">
        <f>IF(CE47&lt;=0,0,IF(CH47=1,0,IF(CI47=1,MIN(CE47+CJ47,CK47),PMT(CF47,MAX(1,prestamos_plazoAnios-CG47),-CE47))))</f>
        <v/>
      </c>
      <c r="CM47" s="7">
        <f>IF(CE47&lt;=0,0,IF(CH47=1,CE47+CJ47,IF(CI47=1,MAX(0,CE47-MAX(CL47-CJ47,MIN(600,CL47))),MAX(0,CE47*(1+CF47)-CL47))))</f>
        <v/>
      </c>
      <c r="CN47" s="7">
        <f>IF(14=0,0,CN46)+IF(CI47=1,12*MIN(1,K47),0)</f>
        <v/>
      </c>
      <c r="CO47" s="7">
        <f>IF(AND(CI47=1,CN47&gt;=prestamos_pslfPagos,CM47&gt;0),CM47,0)</f>
        <v/>
      </c>
      <c r="CP47" s="7">
        <f>CM47-CO47</f>
        <v/>
      </c>
      <c r="CQ47" s="7">
        <f>IF(AND(CE47&gt;0,CH47=0,CI47=0),CG47+1,CG47)</f>
        <v/>
      </c>
      <c r="CR47" s="7">
        <f>IF(14=0,IF(personal_deudaEsFederal=1,0,personal_deudaEstudiantil),EA46)</f>
        <v/>
      </c>
      <c r="CS47" s="7">
        <f>IF(14=0,IF(personal_deudaEsFederal=1,prestamos_tasaPrivada,personal_tasaDeudaEstudiantil),EB46)</f>
        <v/>
      </c>
      <c r="CT47" s="7">
        <f>IF(14=0,0,EC46)</f>
        <v/>
      </c>
      <c r="CU47" s="7">
        <f>IF(OR(CR47&lt;=0,CH47=1),0,PMT(CS47,MAX(1,prestamos_plazoAnios-CT47),-CR47))</f>
        <v/>
      </c>
      <c r="CV47" s="7">
        <f>IF(CR47&lt;=0,0,IF(CH47=1,CR47*(1+CS47),MAX(0,CR47*(1+CS47)-CU47)))</f>
        <v/>
      </c>
      <c r="CW47" s="7">
        <f>IF(AND(CR47&gt;0,CH47=0),CT47+1,CT47)</f>
        <v/>
      </c>
      <c r="CX47" s="7">
        <f>IF(14=0,0,ED46)*(1+general_tasaDeudaConsumo)</f>
        <v/>
      </c>
      <c r="CY47" s="7">
        <f>L47*12*tiempos_travelGastoExtraMes*C47</f>
        <v/>
      </c>
      <c r="CZ47" s="7">
        <f>AJ47+CY47+CA47+CC47+CL47+CU47+I47+N47-BZ47-CB47</f>
        <v/>
      </c>
      <c r="DA47" s="7">
        <f>AH47-CZ47</f>
        <v/>
      </c>
      <c r="DB47" s="7">
        <f>IF(14=0,0,DB46)+DA47</f>
        <v/>
      </c>
      <c r="DC47" s="7">
        <f>AN47*vivienda_enganchePct+AN47*vivienda_cierrePct+general_reservaMeses/12*AJ47</f>
        <v/>
      </c>
      <c r="DD47" s="7">
        <f>IF(BB47=1,g_ret,IF(BD47&gt;0,MIN(1,DC47/BD47),1)*g_cash+(1-IF(BD47&gt;0,MIN(1,DC47/BD47),1))*g_ret)</f>
        <v/>
      </c>
      <c r="DE47" s="7">
        <f>IF(DA47&gt;=0,MIN(CX47,DA47),0)</f>
        <v/>
      </c>
      <c r="DF47" s="7">
        <f>IF(DA47&gt;=0,(1-general_tasaAhorro)*(DA47-DE47),0)</f>
        <v/>
      </c>
      <c r="DG47" s="7">
        <f>IF(DA47&gt;=0,DA47-DE47-DF47,0)</f>
        <v/>
      </c>
      <c r="DH47" s="7">
        <f>MIN(personal_rothAnual,DG47)</f>
        <v/>
      </c>
      <c r="DI47" s="7">
        <f>IF(AND(DA47&gt;=0,BB47=1,BP47+BT47&gt;0),MIN(vivienda_prepagoPct*(DG47-DH47),BP47+BT47),0)</f>
        <v/>
      </c>
      <c r="DJ47" s="7">
        <f>MIN(DI47,BP47)</f>
        <v/>
      </c>
      <c r="DK47" s="7">
        <f>IF(DA47&lt;0,MIN(MAX(0,BD47),-DA47),0)</f>
        <v/>
      </c>
      <c r="DL47" s="7">
        <f>IF(DA47&lt;0,-DA47-DK47,0)</f>
        <v/>
      </c>
      <c r="DM47" s="7">
        <f>IF(14=0,0,DZ46)</f>
        <v/>
      </c>
      <c r="DN47" s="7">
        <f>IF(AND(DL47&gt;0,J47&gt;0),MIN(DL47,MIN(prestamos_topeAnualPosgrado*MIN(1,J47),MAX(0,prestamos_topeTotalPosgrado-DM47))),0)</f>
        <v/>
      </c>
      <c r="DO47" s="7">
        <f>IF(AND(DL47&gt;0,J47&gt;0),DL47-DN47,0)</f>
        <v/>
      </c>
      <c r="DP47" s="7">
        <f>IF(AND(DL47&gt;0,J47&lt;=0),DL47,0)</f>
        <v/>
      </c>
      <c r="DQ47" s="7">
        <f>IF(DA47&gt;=0,DG47-DH47-DI47,-DK47)</f>
        <v/>
      </c>
      <c r="DR47" s="7">
        <f>BD47*(1+DD47)+DQ47*(1+DD47/2)</f>
        <v/>
      </c>
      <c r="DS47" s="7">
        <f>IF(14=0,personal_retiroInicial,DS46)*(1+g_ret)+(O47+P47+DH47)*(1+g_ret/2)</f>
        <v/>
      </c>
      <c r="DT47" s="7">
        <f>IF(BB47=1,BL47*(1+g_appr),0)</f>
        <v/>
      </c>
      <c r="DU47" s="7">
        <f>BP47-DJ47</f>
        <v/>
      </c>
      <c r="DV47" s="7">
        <f>BT47-(DI47-DJ47)</f>
        <v/>
      </c>
      <c r="DW47" s="7">
        <f>CP47+DN47</f>
        <v/>
      </c>
      <c r="DX47" s="7">
        <f>IF(DN47&gt;0,(CP47*CF47+DN47*prestamos_tasaFederalPosgrado)/(CP47+DN47),CF47)</f>
        <v/>
      </c>
      <c r="DY47" s="7">
        <f>IF(DN47&gt;0,0,CQ47)</f>
        <v/>
      </c>
      <c r="DZ47" s="7">
        <f>DM47+DN47</f>
        <v/>
      </c>
      <c r="EA47" s="7">
        <f>CV47+DO47</f>
        <v/>
      </c>
      <c r="EB47" s="7">
        <f>IF(DO47&gt;0,(CV47*CS47+DO47*prestamos_tasaPrivada)/(CV47+DO47),CS47)</f>
        <v/>
      </c>
      <c r="EC47" s="7">
        <f>IF(DO47&gt;0,0,CW47)</f>
        <v/>
      </c>
      <c r="ED47" s="7">
        <f>CX47-DE47+DP47</f>
        <v/>
      </c>
      <c r="EE47" s="7">
        <f>IF(IF(14=0,"",EE46)&lt;&gt;"",EE46,IF(AND(BB47=1,DU47&lt;=0.5,DV47&lt;=0.5,OR(BH47=0,BJ47=1)),A47,""))</f>
        <v/>
      </c>
      <c r="EF47" s="7">
        <f>DU47+DV47+DW47+EA47+ED47+CD47</f>
        <v/>
      </c>
      <c r="EG47" s="7">
        <f>DR47+DS47+DT47-EF47</f>
        <v/>
      </c>
      <c r="EH47" s="7">
        <f>EG47/(1+g_inf)^(A47+1-2026)</f>
        <v/>
      </c>
    </row>
    <row r="48">
      <c r="A48" t="n">
        <v>2042</v>
      </c>
      <c r="B48" t="n">
        <v>15</v>
      </c>
      <c r="C48" s="7">
        <f>(1+g_inf)^(A48-2026)</f>
        <v/>
      </c>
      <c r="D48" s="7">
        <f>SUMPRODUCT($AI$5:$AI$29,$E$5:$E$29*(1+$F$5:$F$29)^(A48-2026)*$G$5:$G$29*$H$5:$H$29*(1-$N$5:$N$29*$O$5:$O$29))*g_salMult+SUMPRODUCT(($B$5:$B$29&gt;=A48)*($B$5:$B$29&lt;A48+1)*$I$5:$I$29)*g_salMult</f>
        <v/>
      </c>
      <c r="E48" s="7">
        <f>SUMPRODUCT($AI$5:$AI$29,$E$5:$E$29*(1+$F$5:$F$29)^(A48-2026)*$G$5:$G$29*$H$5:$H$29*$M$5:$M$29)*g_salMult</f>
        <v/>
      </c>
      <c r="F48" s="7">
        <f>SUMPRODUCT($AI$5:$AI$29,$E$5:$E$29*(1+$F$5:$F$29)^(A48-2026)*$G$5:$G$29*$H$5:$H$29*$N$5:$N$29*$O$5:$O$29)*g_salMult</f>
        <v/>
      </c>
      <c r="G48" s="7">
        <f>SUMPRODUCT($AI$5:$AI$29,$P$5:$P$29*(1+$F$5:$F$29)^(A48-2026))</f>
        <v/>
      </c>
      <c r="H48" s="7">
        <f>SUMPRODUCT($AI$5:$AI$29,$Q$5:$Q$29*(1+$F$5:$F$29)^(A48-2026))+IF(personal_llcActivo=1,personal_llcNeto*(1+personal_llcCrecimiento)^15,0)</f>
        <v/>
      </c>
      <c r="I48" s="7">
        <f>SUMPRODUCT($AI$5:$AI$29,$J$5:$J$29/($C$5:$C$29-$B$5:$B$29+($C$5:$C$29=$B$5:$B$29)))*C48</f>
        <v/>
      </c>
      <c r="J48" s="7">
        <f>SUMPRODUCT($AI$5:$AI$29,$K$5:$K$29)</f>
        <v/>
      </c>
      <c r="K48" s="7">
        <f>SUMPRODUCT($AI$5:$AI$29,$L$5:$L$29)</f>
        <v/>
      </c>
      <c r="L48" s="7">
        <f>SUMPRODUCT($AI$5:$AI$29,$N$5:$N$29)</f>
        <v/>
      </c>
      <c r="M48" s="7">
        <f>IF(SUMPRODUCT($AI$5:$AI$29,$R$5:$R$29)&gt;0,1,0)</f>
        <v/>
      </c>
      <c r="N48" s="7">
        <f>SUMPRODUCT(($AO$5:$AO$24&gt;=A48)*($AO$5:$AO$24&lt;A48+1)*$AP$5:$AP$24)*C48+IF(15=0,IF(sel_loc&lt;&gt;"miami",personal_costoMudanzaInicial,0),0)</f>
        <v/>
      </c>
      <c r="O48" s="7">
        <f>MIN(personal_aporte403bPct*D48,retiro_limite403b*C48)</f>
        <v/>
      </c>
      <c r="P48" s="7">
        <f>MIN(personal_aporte403bPct,personal_match403bPct)*E48</f>
        <v/>
      </c>
      <c r="Q48" s="7">
        <f>IF(G48&gt;0,MAX(0,G48-impuestos_scorpCostoAnual*C48),0)</f>
        <v/>
      </c>
      <c r="R48" s="7">
        <f>Q48*impuestos_scorpSalarioPct/(1+impuestos_ssTasa+impuestos_medicareTasa)</f>
        <v/>
      </c>
      <c r="S48" s="7">
        <f>impuestos_ssTasa*MIN(R48,MAX(0,impuestos_ssTope*C48-D48))+impuestos_medicareTasa*R48</f>
        <v/>
      </c>
      <c r="T48" s="7">
        <f>Q48-R48-S48</f>
        <v/>
      </c>
      <c r="U48" s="7">
        <f>D48+R48</f>
        <v/>
      </c>
      <c r="V48" s="7">
        <f>H48*0.9235</f>
        <v/>
      </c>
      <c r="W48" s="7">
        <f>IF(H48&gt;0,2*impuestos_ssTasa*MIN(V48,MAX(0,impuestos_ssTope*C48-U48))+2*impuestos_medicareTasa*V48,0)</f>
        <v/>
      </c>
      <c r="X48" s="7">
        <f>impuestos_ssTasa*MIN(U48,impuestos_ssTope*C48)+impuestos_medicareTasa*U48+impuestos_medicareAdicional*MAX(0,U48+H48*0.9235-impuestos_medicareUmbral)</f>
        <v/>
      </c>
      <c r="Y48" s="7">
        <f>MAX(0,D48-O48+R48+T48+H48-W48/2)</f>
        <v/>
      </c>
      <c r="Z48" s="7">
        <f>MAX(0,Y48-impuestos_deduccionEstandar*C48)</f>
        <v/>
      </c>
      <c r="AA48" s="7">
        <f>MIN(0.2*MAX(0,T48+H48-W48/2)*MAX(0,MIN(1,1-(Z48-impuestos_qbiUmbral*C48)/(impuestos_qbiRango*C48))),0.2*Z48)</f>
        <v/>
      </c>
      <c r="AB48" s="7">
        <f>MAX(0,Z48-AA48)</f>
        <v/>
      </c>
      <c r="AC48" s="7">
        <f>SUMPRODUCT((AB48&gt;tb_federalBrackets_lo*C48)*(AB48-tb_federalBrackets_lo*C48)*tb_federalBrackets_dr)</f>
        <v/>
      </c>
      <c r="AD48" s="7">
        <f>MAX(0,Y48-impuestos_nyDeduccion*C48)</f>
        <v/>
      </c>
      <c r="AE48" s="7">
        <f>CHOOSE(loc_taxcode,0,impuestos_ohTasa*MAX(0,Y48-impuestos_ohExento*C48)+impuestos_ohMunicipal*U48,SUMPRODUCT((AD48&gt;tb_nyBrackets_lo*C48)*(AD48-tb_nyBrackets_lo*C48)*tb_nyBrackets_dr)+loc_nyc*SUMPRODUCT((AD48&gt;tb_nycBrackets_lo*C48)*(AD48-tb_nycBrackets_lo*C48)*tb_nycBrackets_dr))</f>
        <v/>
      </c>
      <c r="AF48" s="7">
        <f>AC48+AE48+X48+W48</f>
        <v/>
      </c>
      <c r="AG48" s="7">
        <f>D48+F48+R48+T48+H48</f>
        <v/>
      </c>
      <c r="AH48" s="7">
        <f>AG48-AF48-O48</f>
        <v/>
      </c>
      <c r="AI48" s="7">
        <f>D48+F48+G48+H48</f>
        <v/>
      </c>
      <c r="AJ48" s="7">
        <f>loc_gastosVida*C48*g_gastos</f>
        <v/>
      </c>
      <c r="AK48" s="7">
        <f>IF(15=0,personal_liquidoInicial,DR47)</f>
        <v/>
      </c>
      <c r="AL48" s="7">
        <f>IF(15=0,0,BB47)</f>
        <v/>
      </c>
      <c r="AM48" s="7">
        <f>CHOOSE(sel_cfgIdx,loc_precio_duplex,loc_precio_inlaw,loc_precio_dosCasas,loc_precio_casaAdu,loc_precio_multi)</f>
        <v/>
      </c>
      <c r="AN48" s="7">
        <f>AM48*(1+g_appr)^(A48-2026)</f>
        <v/>
      </c>
      <c r="AO48" s="7">
        <f>IF(AND(M48=1,vivienda_prestamoMedico=1),1,0)</f>
        <v/>
      </c>
      <c r="AP48" s="7">
        <f>IF(AO48=1,0.05,vivienda_enganchePct)</f>
        <v/>
      </c>
      <c r="AQ48" s="7">
        <f>AN48*(1-AP48)</f>
        <v/>
      </c>
      <c r="AR48" s="7">
        <f>PMT(g_mortRate/12,vivienda_plazoHipoteca*12,-AQ48)</f>
        <v/>
      </c>
      <c r="AS48" s="7">
        <f>INDEX(cfg_units,sel_cfgIdx)</f>
        <v/>
      </c>
      <c r="AT48" s="7">
        <f>AS48*loc_rentaUnidad*(1+g_inf)^(A48-2026)*(1-vivienda_vacancia)</f>
        <v/>
      </c>
      <c r="AU48" s="7">
        <f>AR48+AN48*loc_impuestoPropPct/12+AM48*loc_seguroPct*(1+vivienda_inflacionSeguro)^(A48-2026)/12+IF(AND(AO48=0,AP48&lt;0.2),AQ48*vivienda_pmiTasa/12,0)</f>
        <v/>
      </c>
      <c r="AV48" s="7">
        <f>AN48*AP48+AN48*vivienda_cierrePct+general_reservaMeses/12*AJ48</f>
        <v/>
      </c>
      <c r="AW48" s="7">
        <f>(IF(15=0,MIN(personal_irsSaldo,personal_irsPagoMensual*12),MIN(CD47,personal_irsPagoMensual*12))+IF(CE48&gt;0,PMT(CF48,MAX(1,prestamos_plazoAnios-CG48),-CE48),0)+IF(CR48&gt;0,PMT(CS48,MAX(1,prestamos_plazoAnios-CT48),-CR48),0))/12</f>
        <v/>
      </c>
      <c r="AX48" s="7">
        <f>IF(OR(sel_cfg="duplex",sel_cfg="multi",sel_cfg="dosCasas"),0.75*personal_aporteFamiliaMensual,0)</f>
        <v/>
      </c>
      <c r="AY48" s="7">
        <f>AU48-0.75*AT48-AX48+AW48</f>
        <v/>
      </c>
      <c r="AZ48" s="7">
        <f>(D48+G48+H48+0.5*F48)/12</f>
        <v/>
      </c>
      <c r="BA48" s="7">
        <f>IF(AND(AL48=0,A48&gt;=vivienda_anioMinCompra,J48&lt;0.5,AI48&gt;0,AK48&gt;=AV48,AY48&lt;=vivienda_dtiMax*AZ48),1,0)</f>
        <v/>
      </c>
      <c r="BB48" s="7">
        <f>MAX(AL48,BA48)</f>
        <v/>
      </c>
      <c r="BC48" s="7">
        <f>IF(BA48=1,A48,IF(15=0,"",BC47))</f>
        <v/>
      </c>
      <c r="BD48" s="7">
        <f>AK48-IF(BA48=1,AN48*AP48+AN48*vivienda_cierrePct,0)</f>
        <v/>
      </c>
      <c r="BE48" s="7">
        <f>IF(BA48=1,AN48,IF(15=0,0,BE47))</f>
        <v/>
      </c>
      <c r="BF48" s="7">
        <f>IF(BA48=1,AR48,IF(15=0,0,BF47))</f>
        <v/>
      </c>
      <c r="BG48" s="7">
        <f>IF(BA48=1,IF(AND(AO48=0,AP48&lt;0.2),1,0),IF(15=0,0,BY47))</f>
        <v/>
      </c>
      <c r="BH48" s="7">
        <f>IF(sel_cfg="casaAdu",1,0)</f>
        <v/>
      </c>
      <c r="BI48" s="7">
        <f>IF(AND(BB48=1,BH48=1,IF(15=0,0,BJ47)=0,A48&gt;=IF(BC48="",9999,BC48)+vivienda_aduRetrasoAnios),1,0)</f>
        <v/>
      </c>
      <c r="BJ48" s="7">
        <f>MAX(IF(15=0,0,BJ47),BI48)</f>
        <v/>
      </c>
      <c r="BK48" s="7">
        <f>IF(BI48=1,PMT((g_mortRate+0.005)/12,180,-loc_precio_aduCosto*C48),IF(15=0,0,BK47))</f>
        <v/>
      </c>
      <c r="BL48" s="7">
        <f>IF(BA48=1,AN48,IF(15=0,0,DT47))+IF(BI48=1,loc_precio_aduCosto*C48,0)</f>
        <v/>
      </c>
      <c r="BM48" s="7">
        <f>IF(BA48=1,AQ48,IF(15=0,0,DU47))</f>
        <v/>
      </c>
      <c r="BN48" s="7">
        <f>IF(BM48&lt;=0,0,FV(g_mortRate/12,12,BF48,-BM48))</f>
        <v/>
      </c>
      <c r="BO48" s="7">
        <f>IF(BM48&lt;=0,0,12*BF48+MIN(0,BN48))</f>
        <v/>
      </c>
      <c r="BP48" s="7">
        <f>MAX(0,BN48)</f>
        <v/>
      </c>
      <c r="BQ48" s="7">
        <f>IF(BI48=1,loc_precio_aduCosto*C48,IF(15=0,0,DV47))</f>
        <v/>
      </c>
      <c r="BR48" s="7">
        <f>IF(BQ48&lt;=0,0,FV((g_mortRate+0.005)/12,12,BK48,-BQ48))</f>
        <v/>
      </c>
      <c r="BS48" s="7">
        <f>IF(BQ48&lt;=0,0,12*BK48+MIN(0,BR48))</f>
        <v/>
      </c>
      <c r="BT48" s="7">
        <f>MAX(0,BR48)</f>
        <v/>
      </c>
      <c r="BU48" s="7">
        <f>IF(BB48=1,AM48*loc_seguroPct*(1+vivienda_inflacionSeguro)^(A48-2026)*IF(BJ48=1,1+loc_precio_aduCosto/AM48,1),0)</f>
        <v/>
      </c>
      <c r="BV48" s="7">
        <f>BL48*loc_impuestoPropPct</f>
        <v/>
      </c>
      <c r="BW48" s="7">
        <f>BL48*vivienda_mantenimientoPct</f>
        <v/>
      </c>
      <c r="BX48" s="7">
        <f>IF(AND(BG48=1,BP48&gt;0.8*BE48),BE48*(1-vivienda_enganchePct)*vivienda_pmiTasa,0)</f>
        <v/>
      </c>
      <c r="BY48" s="7">
        <f>IF(AND(BG48=1,BP48&gt;0.8*BE48),1,0)</f>
        <v/>
      </c>
      <c r="BZ48" s="7">
        <f>IF(BB48=1,AS48*loc_rentaUnidad*12*C48*(1-vivienda_vacancia)*(1-vivienda_gestionPct),0)</f>
        <v/>
      </c>
      <c r="CA48" s="7">
        <f>IF(BB48=1,BO48+BS48+BU48+BV48+BW48+BX48,loc_rentaMensual*12*C48)</f>
        <v/>
      </c>
      <c r="CB48" s="7">
        <f>IF(BB48=1,personal_aporteFamiliaMensual*12,0)</f>
        <v/>
      </c>
      <c r="CC48" s="7">
        <f>MIN(IF(15=0,personal_irsSaldo,CD47),personal_irsPagoMensual*12)</f>
        <v/>
      </c>
      <c r="CD48" s="7">
        <f>IF(15=0,personal_irsSaldo,CD47)-CC48</f>
        <v/>
      </c>
      <c r="CE48" s="7">
        <f>IF(15=0,IF(personal_deudaEsFederal=1,personal_deudaEstudiantil,0),DW47)</f>
        <v/>
      </c>
      <c r="CF48" s="7">
        <f>IF(15=0,personal_tasaDeudaEstudiantil,DX47)</f>
        <v/>
      </c>
      <c r="CG48" s="7">
        <f>IF(15=0,0,DY47)</f>
        <v/>
      </c>
      <c r="CH48" s="7">
        <f>IF(J48&gt;=0.5,1,0)</f>
        <v/>
      </c>
      <c r="CI48" s="7">
        <f>IF(AND(CH48=0,prestamos_pslfActivo=1,K48&gt;=0.5,CE48&gt;0),1,0)</f>
        <v/>
      </c>
      <c r="CJ48" s="7">
        <f>CE48*CF48</f>
        <v/>
      </c>
      <c r="CK48" s="7">
        <f>MAX(prestamos_rapPagoMinimoAnual,IF(Y48&lt;10000,0,MIN(0.1,INT(Y48/10000)/100))*Y48)</f>
        <v/>
      </c>
      <c r="CL48" s="7">
        <f>IF(CE48&lt;=0,0,IF(CH48=1,0,IF(CI48=1,MIN(CE48+CJ48,CK48),PMT(CF48,MAX(1,prestamos_plazoAnios-CG48),-CE48))))</f>
        <v/>
      </c>
      <c r="CM48" s="7">
        <f>IF(CE48&lt;=0,0,IF(CH48=1,CE48+CJ48,IF(CI48=1,MAX(0,CE48-MAX(CL48-CJ48,MIN(600,CL48))),MAX(0,CE48*(1+CF48)-CL48))))</f>
        <v/>
      </c>
      <c r="CN48" s="7">
        <f>IF(15=0,0,CN47)+IF(CI48=1,12*MIN(1,K48),0)</f>
        <v/>
      </c>
      <c r="CO48" s="7">
        <f>IF(AND(CI48=1,CN48&gt;=prestamos_pslfPagos,CM48&gt;0),CM48,0)</f>
        <v/>
      </c>
      <c r="CP48" s="7">
        <f>CM48-CO48</f>
        <v/>
      </c>
      <c r="CQ48" s="7">
        <f>IF(AND(CE48&gt;0,CH48=0,CI48=0),CG48+1,CG48)</f>
        <v/>
      </c>
      <c r="CR48" s="7">
        <f>IF(15=0,IF(personal_deudaEsFederal=1,0,personal_deudaEstudiantil),EA47)</f>
        <v/>
      </c>
      <c r="CS48" s="7">
        <f>IF(15=0,IF(personal_deudaEsFederal=1,prestamos_tasaPrivada,personal_tasaDeudaEstudiantil),EB47)</f>
        <v/>
      </c>
      <c r="CT48" s="7">
        <f>IF(15=0,0,EC47)</f>
        <v/>
      </c>
      <c r="CU48" s="7">
        <f>IF(OR(CR48&lt;=0,CH48=1),0,PMT(CS48,MAX(1,prestamos_plazoAnios-CT48),-CR48))</f>
        <v/>
      </c>
      <c r="CV48" s="7">
        <f>IF(CR48&lt;=0,0,IF(CH48=1,CR48*(1+CS48),MAX(0,CR48*(1+CS48)-CU48)))</f>
        <v/>
      </c>
      <c r="CW48" s="7">
        <f>IF(AND(CR48&gt;0,CH48=0),CT48+1,CT48)</f>
        <v/>
      </c>
      <c r="CX48" s="7">
        <f>IF(15=0,0,ED47)*(1+general_tasaDeudaConsumo)</f>
        <v/>
      </c>
      <c r="CY48" s="7">
        <f>L48*12*tiempos_travelGastoExtraMes*C48</f>
        <v/>
      </c>
      <c r="CZ48" s="7">
        <f>AJ48+CY48+CA48+CC48+CL48+CU48+I48+N48-BZ48-CB48</f>
        <v/>
      </c>
      <c r="DA48" s="7">
        <f>AH48-CZ48</f>
        <v/>
      </c>
      <c r="DB48" s="7">
        <f>IF(15=0,0,DB47)+DA48</f>
        <v/>
      </c>
      <c r="DC48" s="7">
        <f>AN48*vivienda_enganchePct+AN48*vivienda_cierrePct+general_reservaMeses/12*AJ48</f>
        <v/>
      </c>
      <c r="DD48" s="7">
        <f>IF(BB48=1,g_ret,IF(BD48&gt;0,MIN(1,DC48/BD48),1)*g_cash+(1-IF(BD48&gt;0,MIN(1,DC48/BD48),1))*g_ret)</f>
        <v/>
      </c>
      <c r="DE48" s="7">
        <f>IF(DA48&gt;=0,MIN(CX48,DA48),0)</f>
        <v/>
      </c>
      <c r="DF48" s="7">
        <f>IF(DA48&gt;=0,(1-general_tasaAhorro)*(DA48-DE48),0)</f>
        <v/>
      </c>
      <c r="DG48" s="7">
        <f>IF(DA48&gt;=0,DA48-DE48-DF48,0)</f>
        <v/>
      </c>
      <c r="DH48" s="7">
        <f>MIN(personal_rothAnual,DG48)</f>
        <v/>
      </c>
      <c r="DI48" s="7">
        <f>IF(AND(DA48&gt;=0,BB48=1,BP48+BT48&gt;0),MIN(vivienda_prepagoPct*(DG48-DH48),BP48+BT48),0)</f>
        <v/>
      </c>
      <c r="DJ48" s="7">
        <f>MIN(DI48,BP48)</f>
        <v/>
      </c>
      <c r="DK48" s="7">
        <f>IF(DA48&lt;0,MIN(MAX(0,BD48),-DA48),0)</f>
        <v/>
      </c>
      <c r="DL48" s="7">
        <f>IF(DA48&lt;0,-DA48-DK48,0)</f>
        <v/>
      </c>
      <c r="DM48" s="7">
        <f>IF(15=0,0,DZ47)</f>
        <v/>
      </c>
      <c r="DN48" s="7">
        <f>IF(AND(DL48&gt;0,J48&gt;0),MIN(DL48,MIN(prestamos_topeAnualPosgrado*MIN(1,J48),MAX(0,prestamos_topeTotalPosgrado-DM48))),0)</f>
        <v/>
      </c>
      <c r="DO48" s="7">
        <f>IF(AND(DL48&gt;0,J48&gt;0),DL48-DN48,0)</f>
        <v/>
      </c>
      <c r="DP48" s="7">
        <f>IF(AND(DL48&gt;0,J48&lt;=0),DL48,0)</f>
        <v/>
      </c>
      <c r="DQ48" s="7">
        <f>IF(DA48&gt;=0,DG48-DH48-DI48,-DK48)</f>
        <v/>
      </c>
      <c r="DR48" s="7">
        <f>BD48*(1+DD48)+DQ48*(1+DD48/2)</f>
        <v/>
      </c>
      <c r="DS48" s="7">
        <f>IF(15=0,personal_retiroInicial,DS47)*(1+g_ret)+(O48+P48+DH48)*(1+g_ret/2)</f>
        <v/>
      </c>
      <c r="DT48" s="7">
        <f>IF(BB48=1,BL48*(1+g_appr),0)</f>
        <v/>
      </c>
      <c r="DU48" s="7">
        <f>BP48-DJ48</f>
        <v/>
      </c>
      <c r="DV48" s="7">
        <f>BT48-(DI48-DJ48)</f>
        <v/>
      </c>
      <c r="DW48" s="7">
        <f>CP48+DN48</f>
        <v/>
      </c>
      <c r="DX48" s="7">
        <f>IF(DN48&gt;0,(CP48*CF48+DN48*prestamos_tasaFederalPosgrado)/(CP48+DN48),CF48)</f>
        <v/>
      </c>
      <c r="DY48" s="7">
        <f>IF(DN48&gt;0,0,CQ48)</f>
        <v/>
      </c>
      <c r="DZ48" s="7">
        <f>DM48+DN48</f>
        <v/>
      </c>
      <c r="EA48" s="7">
        <f>CV48+DO48</f>
        <v/>
      </c>
      <c r="EB48" s="7">
        <f>IF(DO48&gt;0,(CV48*CS48+DO48*prestamos_tasaPrivada)/(CV48+DO48),CS48)</f>
        <v/>
      </c>
      <c r="EC48" s="7">
        <f>IF(DO48&gt;0,0,CW48)</f>
        <v/>
      </c>
      <c r="ED48" s="7">
        <f>CX48-DE48+DP48</f>
        <v/>
      </c>
      <c r="EE48" s="7">
        <f>IF(IF(15=0,"",EE47)&lt;&gt;"",EE47,IF(AND(BB48=1,DU48&lt;=0.5,DV48&lt;=0.5,OR(BH48=0,BJ48=1)),A48,""))</f>
        <v/>
      </c>
      <c r="EF48" s="7">
        <f>DU48+DV48+DW48+EA48+ED48+CD48</f>
        <v/>
      </c>
      <c r="EG48" s="7">
        <f>DR48+DS48+DT48-EF48</f>
        <v/>
      </c>
      <c r="EH48" s="7">
        <f>EG48/(1+g_inf)^(A48+1-2026)</f>
        <v/>
      </c>
    </row>
    <row r="49">
      <c r="A49" t="n">
        <v>2043</v>
      </c>
      <c r="B49" t="n">
        <v>16</v>
      </c>
      <c r="C49" s="7">
        <f>(1+g_inf)^(A49-2026)</f>
        <v/>
      </c>
      <c r="D49" s="7">
        <f>SUMPRODUCT($AJ$5:$AJ$29,$E$5:$E$29*(1+$F$5:$F$29)^(A49-2026)*$G$5:$G$29*$H$5:$H$29*(1-$N$5:$N$29*$O$5:$O$29))*g_salMult+SUMPRODUCT(($B$5:$B$29&gt;=A49)*($B$5:$B$29&lt;A49+1)*$I$5:$I$29)*g_salMult</f>
        <v/>
      </c>
      <c r="E49" s="7">
        <f>SUMPRODUCT($AJ$5:$AJ$29,$E$5:$E$29*(1+$F$5:$F$29)^(A49-2026)*$G$5:$G$29*$H$5:$H$29*$M$5:$M$29)*g_salMult</f>
        <v/>
      </c>
      <c r="F49" s="7">
        <f>SUMPRODUCT($AJ$5:$AJ$29,$E$5:$E$29*(1+$F$5:$F$29)^(A49-2026)*$G$5:$G$29*$H$5:$H$29*$N$5:$N$29*$O$5:$O$29)*g_salMult</f>
        <v/>
      </c>
      <c r="G49" s="7">
        <f>SUMPRODUCT($AJ$5:$AJ$29,$P$5:$P$29*(1+$F$5:$F$29)^(A49-2026))</f>
        <v/>
      </c>
      <c r="H49" s="7">
        <f>SUMPRODUCT($AJ$5:$AJ$29,$Q$5:$Q$29*(1+$F$5:$F$29)^(A49-2026))+IF(personal_llcActivo=1,personal_llcNeto*(1+personal_llcCrecimiento)^16,0)</f>
        <v/>
      </c>
      <c r="I49" s="7">
        <f>SUMPRODUCT($AJ$5:$AJ$29,$J$5:$J$29/($C$5:$C$29-$B$5:$B$29+($C$5:$C$29=$B$5:$B$29)))*C49</f>
        <v/>
      </c>
      <c r="J49" s="7">
        <f>SUMPRODUCT($AJ$5:$AJ$29,$K$5:$K$29)</f>
        <v/>
      </c>
      <c r="K49" s="7">
        <f>SUMPRODUCT($AJ$5:$AJ$29,$L$5:$L$29)</f>
        <v/>
      </c>
      <c r="L49" s="7">
        <f>SUMPRODUCT($AJ$5:$AJ$29,$N$5:$N$29)</f>
        <v/>
      </c>
      <c r="M49" s="7">
        <f>IF(SUMPRODUCT($AJ$5:$AJ$29,$R$5:$R$29)&gt;0,1,0)</f>
        <v/>
      </c>
      <c r="N49" s="7">
        <f>SUMPRODUCT(($AO$5:$AO$24&gt;=A49)*($AO$5:$AO$24&lt;A49+1)*$AP$5:$AP$24)*C49+IF(16=0,IF(sel_loc&lt;&gt;"miami",personal_costoMudanzaInicial,0),0)</f>
        <v/>
      </c>
      <c r="O49" s="7">
        <f>MIN(personal_aporte403bPct*D49,retiro_limite403b*C49)</f>
        <v/>
      </c>
      <c r="P49" s="7">
        <f>MIN(personal_aporte403bPct,personal_match403bPct)*E49</f>
        <v/>
      </c>
      <c r="Q49" s="7">
        <f>IF(G49&gt;0,MAX(0,G49-impuestos_scorpCostoAnual*C49),0)</f>
        <v/>
      </c>
      <c r="R49" s="7">
        <f>Q49*impuestos_scorpSalarioPct/(1+impuestos_ssTasa+impuestos_medicareTasa)</f>
        <v/>
      </c>
      <c r="S49" s="7">
        <f>impuestos_ssTasa*MIN(R49,MAX(0,impuestos_ssTope*C49-D49))+impuestos_medicareTasa*R49</f>
        <v/>
      </c>
      <c r="T49" s="7">
        <f>Q49-R49-S49</f>
        <v/>
      </c>
      <c r="U49" s="7">
        <f>D49+R49</f>
        <v/>
      </c>
      <c r="V49" s="7">
        <f>H49*0.9235</f>
        <v/>
      </c>
      <c r="W49" s="7">
        <f>IF(H49&gt;0,2*impuestos_ssTasa*MIN(V49,MAX(0,impuestos_ssTope*C49-U49))+2*impuestos_medicareTasa*V49,0)</f>
        <v/>
      </c>
      <c r="X49" s="7">
        <f>impuestos_ssTasa*MIN(U49,impuestos_ssTope*C49)+impuestos_medicareTasa*U49+impuestos_medicareAdicional*MAX(0,U49+H49*0.9235-impuestos_medicareUmbral)</f>
        <v/>
      </c>
      <c r="Y49" s="7">
        <f>MAX(0,D49-O49+R49+T49+H49-W49/2)</f>
        <v/>
      </c>
      <c r="Z49" s="7">
        <f>MAX(0,Y49-impuestos_deduccionEstandar*C49)</f>
        <v/>
      </c>
      <c r="AA49" s="7">
        <f>MIN(0.2*MAX(0,T49+H49-W49/2)*MAX(0,MIN(1,1-(Z49-impuestos_qbiUmbral*C49)/(impuestos_qbiRango*C49))),0.2*Z49)</f>
        <v/>
      </c>
      <c r="AB49" s="7">
        <f>MAX(0,Z49-AA49)</f>
        <v/>
      </c>
      <c r="AC49" s="7">
        <f>SUMPRODUCT((AB49&gt;tb_federalBrackets_lo*C49)*(AB49-tb_federalBrackets_lo*C49)*tb_federalBrackets_dr)</f>
        <v/>
      </c>
      <c r="AD49" s="7">
        <f>MAX(0,Y49-impuestos_nyDeduccion*C49)</f>
        <v/>
      </c>
      <c r="AE49" s="7">
        <f>CHOOSE(loc_taxcode,0,impuestos_ohTasa*MAX(0,Y49-impuestos_ohExento*C49)+impuestos_ohMunicipal*U49,SUMPRODUCT((AD49&gt;tb_nyBrackets_lo*C49)*(AD49-tb_nyBrackets_lo*C49)*tb_nyBrackets_dr)+loc_nyc*SUMPRODUCT((AD49&gt;tb_nycBrackets_lo*C49)*(AD49-tb_nycBrackets_lo*C49)*tb_nycBrackets_dr))</f>
        <v/>
      </c>
      <c r="AF49" s="7">
        <f>AC49+AE49+X49+W49</f>
        <v/>
      </c>
      <c r="AG49" s="7">
        <f>D49+F49+R49+T49+H49</f>
        <v/>
      </c>
      <c r="AH49" s="7">
        <f>AG49-AF49-O49</f>
        <v/>
      </c>
      <c r="AI49" s="7">
        <f>D49+F49+G49+H49</f>
        <v/>
      </c>
      <c r="AJ49" s="7">
        <f>loc_gastosVida*C49*g_gastos</f>
        <v/>
      </c>
      <c r="AK49" s="7">
        <f>IF(16=0,personal_liquidoInicial,DR48)</f>
        <v/>
      </c>
      <c r="AL49" s="7">
        <f>IF(16=0,0,BB48)</f>
        <v/>
      </c>
      <c r="AM49" s="7">
        <f>CHOOSE(sel_cfgIdx,loc_precio_duplex,loc_precio_inlaw,loc_precio_dosCasas,loc_precio_casaAdu,loc_precio_multi)</f>
        <v/>
      </c>
      <c r="AN49" s="7">
        <f>AM49*(1+g_appr)^(A49-2026)</f>
        <v/>
      </c>
      <c r="AO49" s="7">
        <f>IF(AND(M49=1,vivienda_prestamoMedico=1),1,0)</f>
        <v/>
      </c>
      <c r="AP49" s="7">
        <f>IF(AO49=1,0.05,vivienda_enganchePct)</f>
        <v/>
      </c>
      <c r="AQ49" s="7">
        <f>AN49*(1-AP49)</f>
        <v/>
      </c>
      <c r="AR49" s="7">
        <f>PMT(g_mortRate/12,vivienda_plazoHipoteca*12,-AQ49)</f>
        <v/>
      </c>
      <c r="AS49" s="7">
        <f>INDEX(cfg_units,sel_cfgIdx)</f>
        <v/>
      </c>
      <c r="AT49" s="7">
        <f>AS49*loc_rentaUnidad*(1+g_inf)^(A49-2026)*(1-vivienda_vacancia)</f>
        <v/>
      </c>
      <c r="AU49" s="7">
        <f>AR49+AN49*loc_impuestoPropPct/12+AM49*loc_seguroPct*(1+vivienda_inflacionSeguro)^(A49-2026)/12+IF(AND(AO49=0,AP49&lt;0.2),AQ49*vivienda_pmiTasa/12,0)</f>
        <v/>
      </c>
      <c r="AV49" s="7">
        <f>AN49*AP49+AN49*vivienda_cierrePct+general_reservaMeses/12*AJ49</f>
        <v/>
      </c>
      <c r="AW49" s="7">
        <f>(IF(16=0,MIN(personal_irsSaldo,personal_irsPagoMensual*12),MIN(CD48,personal_irsPagoMensual*12))+IF(CE49&gt;0,PMT(CF49,MAX(1,prestamos_plazoAnios-CG49),-CE49),0)+IF(CR49&gt;0,PMT(CS49,MAX(1,prestamos_plazoAnios-CT49),-CR49),0))/12</f>
        <v/>
      </c>
      <c r="AX49" s="7">
        <f>IF(OR(sel_cfg="duplex",sel_cfg="multi",sel_cfg="dosCasas"),0.75*personal_aporteFamiliaMensual,0)</f>
        <v/>
      </c>
      <c r="AY49" s="7">
        <f>AU49-0.75*AT49-AX49+AW49</f>
        <v/>
      </c>
      <c r="AZ49" s="7">
        <f>(D49+G49+H49+0.5*F49)/12</f>
        <v/>
      </c>
      <c r="BA49" s="7">
        <f>IF(AND(AL49=0,A49&gt;=vivienda_anioMinCompra,J49&lt;0.5,AI49&gt;0,AK49&gt;=AV49,AY49&lt;=vivienda_dtiMax*AZ49),1,0)</f>
        <v/>
      </c>
      <c r="BB49" s="7">
        <f>MAX(AL49,BA49)</f>
        <v/>
      </c>
      <c r="BC49" s="7">
        <f>IF(BA49=1,A49,IF(16=0,"",BC48))</f>
        <v/>
      </c>
      <c r="BD49" s="7">
        <f>AK49-IF(BA49=1,AN49*AP49+AN49*vivienda_cierrePct,0)</f>
        <v/>
      </c>
      <c r="BE49" s="7">
        <f>IF(BA49=1,AN49,IF(16=0,0,BE48))</f>
        <v/>
      </c>
      <c r="BF49" s="7">
        <f>IF(BA49=1,AR49,IF(16=0,0,BF48))</f>
        <v/>
      </c>
      <c r="BG49" s="7">
        <f>IF(BA49=1,IF(AND(AO49=0,AP49&lt;0.2),1,0),IF(16=0,0,BY48))</f>
        <v/>
      </c>
      <c r="BH49" s="7">
        <f>IF(sel_cfg="casaAdu",1,0)</f>
        <v/>
      </c>
      <c r="BI49" s="7">
        <f>IF(AND(BB49=1,BH49=1,IF(16=0,0,BJ48)=0,A49&gt;=IF(BC49="",9999,BC49)+vivienda_aduRetrasoAnios),1,0)</f>
        <v/>
      </c>
      <c r="BJ49" s="7">
        <f>MAX(IF(16=0,0,BJ48),BI49)</f>
        <v/>
      </c>
      <c r="BK49" s="7">
        <f>IF(BI49=1,PMT((g_mortRate+0.005)/12,180,-loc_precio_aduCosto*C49),IF(16=0,0,BK48))</f>
        <v/>
      </c>
      <c r="BL49" s="7">
        <f>IF(BA49=1,AN49,IF(16=0,0,DT48))+IF(BI49=1,loc_precio_aduCosto*C49,0)</f>
        <v/>
      </c>
      <c r="BM49" s="7">
        <f>IF(BA49=1,AQ49,IF(16=0,0,DU48))</f>
        <v/>
      </c>
      <c r="BN49" s="7">
        <f>IF(BM49&lt;=0,0,FV(g_mortRate/12,12,BF49,-BM49))</f>
        <v/>
      </c>
      <c r="BO49" s="7">
        <f>IF(BM49&lt;=0,0,12*BF49+MIN(0,BN49))</f>
        <v/>
      </c>
      <c r="BP49" s="7">
        <f>MAX(0,BN49)</f>
        <v/>
      </c>
      <c r="BQ49" s="7">
        <f>IF(BI49=1,loc_precio_aduCosto*C49,IF(16=0,0,DV48))</f>
        <v/>
      </c>
      <c r="BR49" s="7">
        <f>IF(BQ49&lt;=0,0,FV((g_mortRate+0.005)/12,12,BK49,-BQ49))</f>
        <v/>
      </c>
      <c r="BS49" s="7">
        <f>IF(BQ49&lt;=0,0,12*BK49+MIN(0,BR49))</f>
        <v/>
      </c>
      <c r="BT49" s="7">
        <f>MAX(0,BR49)</f>
        <v/>
      </c>
      <c r="BU49" s="7">
        <f>IF(BB49=1,AM49*loc_seguroPct*(1+vivienda_inflacionSeguro)^(A49-2026)*IF(BJ49=1,1+loc_precio_aduCosto/AM49,1),0)</f>
        <v/>
      </c>
      <c r="BV49" s="7">
        <f>BL49*loc_impuestoPropPct</f>
        <v/>
      </c>
      <c r="BW49" s="7">
        <f>BL49*vivienda_mantenimientoPct</f>
        <v/>
      </c>
      <c r="BX49" s="7">
        <f>IF(AND(BG49=1,BP49&gt;0.8*BE49),BE49*(1-vivienda_enganchePct)*vivienda_pmiTasa,0)</f>
        <v/>
      </c>
      <c r="BY49" s="7">
        <f>IF(AND(BG49=1,BP49&gt;0.8*BE49),1,0)</f>
        <v/>
      </c>
      <c r="BZ49" s="7">
        <f>IF(BB49=1,AS49*loc_rentaUnidad*12*C49*(1-vivienda_vacancia)*(1-vivienda_gestionPct),0)</f>
        <v/>
      </c>
      <c r="CA49" s="7">
        <f>IF(BB49=1,BO49+BS49+BU49+BV49+BW49+BX49,loc_rentaMensual*12*C49)</f>
        <v/>
      </c>
      <c r="CB49" s="7">
        <f>IF(BB49=1,personal_aporteFamiliaMensual*12,0)</f>
        <v/>
      </c>
      <c r="CC49" s="7">
        <f>MIN(IF(16=0,personal_irsSaldo,CD48),personal_irsPagoMensual*12)</f>
        <v/>
      </c>
      <c r="CD49" s="7">
        <f>IF(16=0,personal_irsSaldo,CD48)-CC49</f>
        <v/>
      </c>
      <c r="CE49" s="7">
        <f>IF(16=0,IF(personal_deudaEsFederal=1,personal_deudaEstudiantil,0),DW48)</f>
        <v/>
      </c>
      <c r="CF49" s="7">
        <f>IF(16=0,personal_tasaDeudaEstudiantil,DX48)</f>
        <v/>
      </c>
      <c r="CG49" s="7">
        <f>IF(16=0,0,DY48)</f>
        <v/>
      </c>
      <c r="CH49" s="7">
        <f>IF(J49&gt;=0.5,1,0)</f>
        <v/>
      </c>
      <c r="CI49" s="7">
        <f>IF(AND(CH49=0,prestamos_pslfActivo=1,K49&gt;=0.5,CE49&gt;0),1,0)</f>
        <v/>
      </c>
      <c r="CJ49" s="7">
        <f>CE49*CF49</f>
        <v/>
      </c>
      <c r="CK49" s="7">
        <f>MAX(prestamos_rapPagoMinimoAnual,IF(Y49&lt;10000,0,MIN(0.1,INT(Y49/10000)/100))*Y49)</f>
        <v/>
      </c>
      <c r="CL49" s="7">
        <f>IF(CE49&lt;=0,0,IF(CH49=1,0,IF(CI49=1,MIN(CE49+CJ49,CK49),PMT(CF49,MAX(1,prestamos_plazoAnios-CG49),-CE49))))</f>
        <v/>
      </c>
      <c r="CM49" s="7">
        <f>IF(CE49&lt;=0,0,IF(CH49=1,CE49+CJ49,IF(CI49=1,MAX(0,CE49-MAX(CL49-CJ49,MIN(600,CL49))),MAX(0,CE49*(1+CF49)-CL49))))</f>
        <v/>
      </c>
      <c r="CN49" s="7">
        <f>IF(16=0,0,CN48)+IF(CI49=1,12*MIN(1,K49),0)</f>
        <v/>
      </c>
      <c r="CO49" s="7">
        <f>IF(AND(CI49=1,CN49&gt;=prestamos_pslfPagos,CM49&gt;0),CM49,0)</f>
        <v/>
      </c>
      <c r="CP49" s="7">
        <f>CM49-CO49</f>
        <v/>
      </c>
      <c r="CQ49" s="7">
        <f>IF(AND(CE49&gt;0,CH49=0,CI49=0),CG49+1,CG49)</f>
        <v/>
      </c>
      <c r="CR49" s="7">
        <f>IF(16=0,IF(personal_deudaEsFederal=1,0,personal_deudaEstudiantil),EA48)</f>
        <v/>
      </c>
      <c r="CS49" s="7">
        <f>IF(16=0,IF(personal_deudaEsFederal=1,prestamos_tasaPrivada,personal_tasaDeudaEstudiantil),EB48)</f>
        <v/>
      </c>
      <c r="CT49" s="7">
        <f>IF(16=0,0,EC48)</f>
        <v/>
      </c>
      <c r="CU49" s="7">
        <f>IF(OR(CR49&lt;=0,CH49=1),0,PMT(CS49,MAX(1,prestamos_plazoAnios-CT49),-CR49))</f>
        <v/>
      </c>
      <c r="CV49" s="7">
        <f>IF(CR49&lt;=0,0,IF(CH49=1,CR49*(1+CS49),MAX(0,CR49*(1+CS49)-CU49)))</f>
        <v/>
      </c>
      <c r="CW49" s="7">
        <f>IF(AND(CR49&gt;0,CH49=0),CT49+1,CT49)</f>
        <v/>
      </c>
      <c r="CX49" s="7">
        <f>IF(16=0,0,ED48)*(1+general_tasaDeudaConsumo)</f>
        <v/>
      </c>
      <c r="CY49" s="7">
        <f>L49*12*tiempos_travelGastoExtraMes*C49</f>
        <v/>
      </c>
      <c r="CZ49" s="7">
        <f>AJ49+CY49+CA49+CC49+CL49+CU49+I49+N49-BZ49-CB49</f>
        <v/>
      </c>
      <c r="DA49" s="7">
        <f>AH49-CZ49</f>
        <v/>
      </c>
      <c r="DB49" s="7">
        <f>IF(16=0,0,DB48)+DA49</f>
        <v/>
      </c>
      <c r="DC49" s="7">
        <f>AN49*vivienda_enganchePct+AN49*vivienda_cierrePct+general_reservaMeses/12*AJ49</f>
        <v/>
      </c>
      <c r="DD49" s="7">
        <f>IF(BB49=1,g_ret,IF(BD49&gt;0,MIN(1,DC49/BD49),1)*g_cash+(1-IF(BD49&gt;0,MIN(1,DC49/BD49),1))*g_ret)</f>
        <v/>
      </c>
      <c r="DE49" s="7">
        <f>IF(DA49&gt;=0,MIN(CX49,DA49),0)</f>
        <v/>
      </c>
      <c r="DF49" s="7">
        <f>IF(DA49&gt;=0,(1-general_tasaAhorro)*(DA49-DE49),0)</f>
        <v/>
      </c>
      <c r="DG49" s="7">
        <f>IF(DA49&gt;=0,DA49-DE49-DF49,0)</f>
        <v/>
      </c>
      <c r="DH49" s="7">
        <f>MIN(personal_rothAnual,DG49)</f>
        <v/>
      </c>
      <c r="DI49" s="7">
        <f>IF(AND(DA49&gt;=0,BB49=1,BP49+BT49&gt;0),MIN(vivienda_prepagoPct*(DG49-DH49),BP49+BT49),0)</f>
        <v/>
      </c>
      <c r="DJ49" s="7">
        <f>MIN(DI49,BP49)</f>
        <v/>
      </c>
      <c r="DK49" s="7">
        <f>IF(DA49&lt;0,MIN(MAX(0,BD49),-DA49),0)</f>
        <v/>
      </c>
      <c r="DL49" s="7">
        <f>IF(DA49&lt;0,-DA49-DK49,0)</f>
        <v/>
      </c>
      <c r="DM49" s="7">
        <f>IF(16=0,0,DZ48)</f>
        <v/>
      </c>
      <c r="DN49" s="7">
        <f>IF(AND(DL49&gt;0,J49&gt;0),MIN(DL49,MIN(prestamos_topeAnualPosgrado*MIN(1,J49),MAX(0,prestamos_topeTotalPosgrado-DM49))),0)</f>
        <v/>
      </c>
      <c r="DO49" s="7">
        <f>IF(AND(DL49&gt;0,J49&gt;0),DL49-DN49,0)</f>
        <v/>
      </c>
      <c r="DP49" s="7">
        <f>IF(AND(DL49&gt;0,J49&lt;=0),DL49,0)</f>
        <v/>
      </c>
      <c r="DQ49" s="7">
        <f>IF(DA49&gt;=0,DG49-DH49-DI49,-DK49)</f>
        <v/>
      </c>
      <c r="DR49" s="7">
        <f>BD49*(1+DD49)+DQ49*(1+DD49/2)</f>
        <v/>
      </c>
      <c r="DS49" s="7">
        <f>IF(16=0,personal_retiroInicial,DS48)*(1+g_ret)+(O49+P49+DH49)*(1+g_ret/2)</f>
        <v/>
      </c>
      <c r="DT49" s="7">
        <f>IF(BB49=1,BL49*(1+g_appr),0)</f>
        <v/>
      </c>
      <c r="DU49" s="7">
        <f>BP49-DJ49</f>
        <v/>
      </c>
      <c r="DV49" s="7">
        <f>BT49-(DI49-DJ49)</f>
        <v/>
      </c>
      <c r="DW49" s="7">
        <f>CP49+DN49</f>
        <v/>
      </c>
      <c r="DX49" s="7">
        <f>IF(DN49&gt;0,(CP49*CF49+DN49*prestamos_tasaFederalPosgrado)/(CP49+DN49),CF49)</f>
        <v/>
      </c>
      <c r="DY49" s="7">
        <f>IF(DN49&gt;0,0,CQ49)</f>
        <v/>
      </c>
      <c r="DZ49" s="7">
        <f>DM49+DN49</f>
        <v/>
      </c>
      <c r="EA49" s="7">
        <f>CV49+DO49</f>
        <v/>
      </c>
      <c r="EB49" s="7">
        <f>IF(DO49&gt;0,(CV49*CS49+DO49*prestamos_tasaPrivada)/(CV49+DO49),CS49)</f>
        <v/>
      </c>
      <c r="EC49" s="7">
        <f>IF(DO49&gt;0,0,CW49)</f>
        <v/>
      </c>
      <c r="ED49" s="7">
        <f>CX49-DE49+DP49</f>
        <v/>
      </c>
      <c r="EE49" s="7">
        <f>IF(IF(16=0,"",EE48)&lt;&gt;"",EE48,IF(AND(BB49=1,DU49&lt;=0.5,DV49&lt;=0.5,OR(BH49=0,BJ49=1)),A49,""))</f>
        <v/>
      </c>
      <c r="EF49" s="7">
        <f>DU49+DV49+DW49+EA49+ED49+CD49</f>
        <v/>
      </c>
      <c r="EG49" s="7">
        <f>DR49+DS49+DT49-EF49</f>
        <v/>
      </c>
      <c r="EH49" s="7">
        <f>EG49/(1+g_inf)^(A49+1-2026)</f>
        <v/>
      </c>
    </row>
    <row r="50">
      <c r="A50" t="n">
        <v>2044</v>
      </c>
      <c r="B50" t="n">
        <v>17</v>
      </c>
      <c r="C50" s="7">
        <f>(1+g_inf)^(A50-2026)</f>
        <v/>
      </c>
      <c r="D50" s="7">
        <f>SUMPRODUCT($AK$5:$AK$29,$E$5:$E$29*(1+$F$5:$F$29)^(A50-2026)*$G$5:$G$29*$H$5:$H$29*(1-$N$5:$N$29*$O$5:$O$29))*g_salMult+SUMPRODUCT(($B$5:$B$29&gt;=A50)*($B$5:$B$29&lt;A50+1)*$I$5:$I$29)*g_salMult</f>
        <v/>
      </c>
      <c r="E50" s="7">
        <f>SUMPRODUCT($AK$5:$AK$29,$E$5:$E$29*(1+$F$5:$F$29)^(A50-2026)*$G$5:$G$29*$H$5:$H$29*$M$5:$M$29)*g_salMult</f>
        <v/>
      </c>
      <c r="F50" s="7">
        <f>SUMPRODUCT($AK$5:$AK$29,$E$5:$E$29*(1+$F$5:$F$29)^(A50-2026)*$G$5:$G$29*$H$5:$H$29*$N$5:$N$29*$O$5:$O$29)*g_salMult</f>
        <v/>
      </c>
      <c r="G50" s="7">
        <f>SUMPRODUCT($AK$5:$AK$29,$P$5:$P$29*(1+$F$5:$F$29)^(A50-2026))</f>
        <v/>
      </c>
      <c r="H50" s="7">
        <f>SUMPRODUCT($AK$5:$AK$29,$Q$5:$Q$29*(1+$F$5:$F$29)^(A50-2026))+IF(personal_llcActivo=1,personal_llcNeto*(1+personal_llcCrecimiento)^17,0)</f>
        <v/>
      </c>
      <c r="I50" s="7">
        <f>SUMPRODUCT($AK$5:$AK$29,$J$5:$J$29/($C$5:$C$29-$B$5:$B$29+($C$5:$C$29=$B$5:$B$29)))*C50</f>
        <v/>
      </c>
      <c r="J50" s="7">
        <f>SUMPRODUCT($AK$5:$AK$29,$K$5:$K$29)</f>
        <v/>
      </c>
      <c r="K50" s="7">
        <f>SUMPRODUCT($AK$5:$AK$29,$L$5:$L$29)</f>
        <v/>
      </c>
      <c r="L50" s="7">
        <f>SUMPRODUCT($AK$5:$AK$29,$N$5:$N$29)</f>
        <v/>
      </c>
      <c r="M50" s="7">
        <f>IF(SUMPRODUCT($AK$5:$AK$29,$R$5:$R$29)&gt;0,1,0)</f>
        <v/>
      </c>
      <c r="N50" s="7">
        <f>SUMPRODUCT(($AO$5:$AO$24&gt;=A50)*($AO$5:$AO$24&lt;A50+1)*$AP$5:$AP$24)*C50+IF(17=0,IF(sel_loc&lt;&gt;"miami",personal_costoMudanzaInicial,0),0)</f>
        <v/>
      </c>
      <c r="O50" s="7">
        <f>MIN(personal_aporte403bPct*D50,retiro_limite403b*C50)</f>
        <v/>
      </c>
      <c r="P50" s="7">
        <f>MIN(personal_aporte403bPct,personal_match403bPct)*E50</f>
        <v/>
      </c>
      <c r="Q50" s="7">
        <f>IF(G50&gt;0,MAX(0,G50-impuestos_scorpCostoAnual*C50),0)</f>
        <v/>
      </c>
      <c r="R50" s="7">
        <f>Q50*impuestos_scorpSalarioPct/(1+impuestos_ssTasa+impuestos_medicareTasa)</f>
        <v/>
      </c>
      <c r="S50" s="7">
        <f>impuestos_ssTasa*MIN(R50,MAX(0,impuestos_ssTope*C50-D50))+impuestos_medicareTasa*R50</f>
        <v/>
      </c>
      <c r="T50" s="7">
        <f>Q50-R50-S50</f>
        <v/>
      </c>
      <c r="U50" s="7">
        <f>D50+R50</f>
        <v/>
      </c>
      <c r="V50" s="7">
        <f>H50*0.9235</f>
        <v/>
      </c>
      <c r="W50" s="7">
        <f>IF(H50&gt;0,2*impuestos_ssTasa*MIN(V50,MAX(0,impuestos_ssTope*C50-U50))+2*impuestos_medicareTasa*V50,0)</f>
        <v/>
      </c>
      <c r="X50" s="7">
        <f>impuestos_ssTasa*MIN(U50,impuestos_ssTope*C50)+impuestos_medicareTasa*U50+impuestos_medicareAdicional*MAX(0,U50+H50*0.9235-impuestos_medicareUmbral)</f>
        <v/>
      </c>
      <c r="Y50" s="7">
        <f>MAX(0,D50-O50+R50+T50+H50-W50/2)</f>
        <v/>
      </c>
      <c r="Z50" s="7">
        <f>MAX(0,Y50-impuestos_deduccionEstandar*C50)</f>
        <v/>
      </c>
      <c r="AA50" s="7">
        <f>MIN(0.2*MAX(0,T50+H50-W50/2)*MAX(0,MIN(1,1-(Z50-impuestos_qbiUmbral*C50)/(impuestos_qbiRango*C50))),0.2*Z50)</f>
        <v/>
      </c>
      <c r="AB50" s="7">
        <f>MAX(0,Z50-AA50)</f>
        <v/>
      </c>
      <c r="AC50" s="7">
        <f>SUMPRODUCT((AB50&gt;tb_federalBrackets_lo*C50)*(AB50-tb_federalBrackets_lo*C50)*tb_federalBrackets_dr)</f>
        <v/>
      </c>
      <c r="AD50" s="7">
        <f>MAX(0,Y50-impuestos_nyDeduccion*C50)</f>
        <v/>
      </c>
      <c r="AE50" s="7">
        <f>CHOOSE(loc_taxcode,0,impuestos_ohTasa*MAX(0,Y50-impuestos_ohExento*C50)+impuestos_ohMunicipal*U50,SUMPRODUCT((AD50&gt;tb_nyBrackets_lo*C50)*(AD50-tb_nyBrackets_lo*C50)*tb_nyBrackets_dr)+loc_nyc*SUMPRODUCT((AD50&gt;tb_nycBrackets_lo*C50)*(AD50-tb_nycBrackets_lo*C50)*tb_nycBrackets_dr))</f>
        <v/>
      </c>
      <c r="AF50" s="7">
        <f>AC50+AE50+X50+W50</f>
        <v/>
      </c>
      <c r="AG50" s="7">
        <f>D50+F50+R50+T50+H50</f>
        <v/>
      </c>
      <c r="AH50" s="7">
        <f>AG50-AF50-O50</f>
        <v/>
      </c>
      <c r="AI50" s="7">
        <f>D50+F50+G50+H50</f>
        <v/>
      </c>
      <c r="AJ50" s="7">
        <f>loc_gastosVida*C50*g_gastos</f>
        <v/>
      </c>
      <c r="AK50" s="7">
        <f>IF(17=0,personal_liquidoInicial,DR49)</f>
        <v/>
      </c>
      <c r="AL50" s="7">
        <f>IF(17=0,0,BB49)</f>
        <v/>
      </c>
      <c r="AM50" s="7">
        <f>CHOOSE(sel_cfgIdx,loc_precio_duplex,loc_precio_inlaw,loc_precio_dosCasas,loc_precio_casaAdu,loc_precio_multi)</f>
        <v/>
      </c>
      <c r="AN50" s="7">
        <f>AM50*(1+g_appr)^(A50-2026)</f>
        <v/>
      </c>
      <c r="AO50" s="7">
        <f>IF(AND(M50=1,vivienda_prestamoMedico=1),1,0)</f>
        <v/>
      </c>
      <c r="AP50" s="7">
        <f>IF(AO50=1,0.05,vivienda_enganchePct)</f>
        <v/>
      </c>
      <c r="AQ50" s="7">
        <f>AN50*(1-AP50)</f>
        <v/>
      </c>
      <c r="AR50" s="7">
        <f>PMT(g_mortRate/12,vivienda_plazoHipoteca*12,-AQ50)</f>
        <v/>
      </c>
      <c r="AS50" s="7">
        <f>INDEX(cfg_units,sel_cfgIdx)</f>
        <v/>
      </c>
      <c r="AT50" s="7">
        <f>AS50*loc_rentaUnidad*(1+g_inf)^(A50-2026)*(1-vivienda_vacancia)</f>
        <v/>
      </c>
      <c r="AU50" s="7">
        <f>AR50+AN50*loc_impuestoPropPct/12+AM50*loc_seguroPct*(1+vivienda_inflacionSeguro)^(A50-2026)/12+IF(AND(AO50=0,AP50&lt;0.2),AQ50*vivienda_pmiTasa/12,0)</f>
        <v/>
      </c>
      <c r="AV50" s="7">
        <f>AN50*AP50+AN50*vivienda_cierrePct+general_reservaMeses/12*AJ50</f>
        <v/>
      </c>
      <c r="AW50" s="7">
        <f>(IF(17=0,MIN(personal_irsSaldo,personal_irsPagoMensual*12),MIN(CD49,personal_irsPagoMensual*12))+IF(CE50&gt;0,PMT(CF50,MAX(1,prestamos_plazoAnios-CG50),-CE50),0)+IF(CR50&gt;0,PMT(CS50,MAX(1,prestamos_plazoAnios-CT50),-CR50),0))/12</f>
        <v/>
      </c>
      <c r="AX50" s="7">
        <f>IF(OR(sel_cfg="duplex",sel_cfg="multi",sel_cfg="dosCasas"),0.75*personal_aporteFamiliaMensual,0)</f>
        <v/>
      </c>
      <c r="AY50" s="7">
        <f>AU50-0.75*AT50-AX50+AW50</f>
        <v/>
      </c>
      <c r="AZ50" s="7">
        <f>(D50+G50+H50+0.5*F50)/12</f>
        <v/>
      </c>
      <c r="BA50" s="7">
        <f>IF(AND(AL50=0,A50&gt;=vivienda_anioMinCompra,J50&lt;0.5,AI50&gt;0,AK50&gt;=AV50,AY50&lt;=vivienda_dtiMax*AZ50),1,0)</f>
        <v/>
      </c>
      <c r="BB50" s="7">
        <f>MAX(AL50,BA50)</f>
        <v/>
      </c>
      <c r="BC50" s="7">
        <f>IF(BA50=1,A50,IF(17=0,"",BC49))</f>
        <v/>
      </c>
      <c r="BD50" s="7">
        <f>AK50-IF(BA50=1,AN50*AP50+AN50*vivienda_cierrePct,0)</f>
        <v/>
      </c>
      <c r="BE50" s="7">
        <f>IF(BA50=1,AN50,IF(17=0,0,BE49))</f>
        <v/>
      </c>
      <c r="BF50" s="7">
        <f>IF(BA50=1,AR50,IF(17=0,0,BF49))</f>
        <v/>
      </c>
      <c r="BG50" s="7">
        <f>IF(BA50=1,IF(AND(AO50=0,AP50&lt;0.2),1,0),IF(17=0,0,BY49))</f>
        <v/>
      </c>
      <c r="BH50" s="7">
        <f>IF(sel_cfg="casaAdu",1,0)</f>
        <v/>
      </c>
      <c r="BI50" s="7">
        <f>IF(AND(BB50=1,BH50=1,IF(17=0,0,BJ49)=0,A50&gt;=IF(BC50="",9999,BC50)+vivienda_aduRetrasoAnios),1,0)</f>
        <v/>
      </c>
      <c r="BJ50" s="7">
        <f>MAX(IF(17=0,0,BJ49),BI50)</f>
        <v/>
      </c>
      <c r="BK50" s="7">
        <f>IF(BI50=1,PMT((g_mortRate+0.005)/12,180,-loc_precio_aduCosto*C50),IF(17=0,0,BK49))</f>
        <v/>
      </c>
      <c r="BL50" s="7">
        <f>IF(BA50=1,AN50,IF(17=0,0,DT49))+IF(BI50=1,loc_precio_aduCosto*C50,0)</f>
        <v/>
      </c>
      <c r="BM50" s="7">
        <f>IF(BA50=1,AQ50,IF(17=0,0,DU49))</f>
        <v/>
      </c>
      <c r="BN50" s="7">
        <f>IF(BM50&lt;=0,0,FV(g_mortRate/12,12,BF50,-BM50))</f>
        <v/>
      </c>
      <c r="BO50" s="7">
        <f>IF(BM50&lt;=0,0,12*BF50+MIN(0,BN50))</f>
        <v/>
      </c>
      <c r="BP50" s="7">
        <f>MAX(0,BN50)</f>
        <v/>
      </c>
      <c r="BQ50" s="7">
        <f>IF(BI50=1,loc_precio_aduCosto*C50,IF(17=0,0,DV49))</f>
        <v/>
      </c>
      <c r="BR50" s="7">
        <f>IF(BQ50&lt;=0,0,FV((g_mortRate+0.005)/12,12,BK50,-BQ50))</f>
        <v/>
      </c>
      <c r="BS50" s="7">
        <f>IF(BQ50&lt;=0,0,12*BK50+MIN(0,BR50))</f>
        <v/>
      </c>
      <c r="BT50" s="7">
        <f>MAX(0,BR50)</f>
        <v/>
      </c>
      <c r="BU50" s="7">
        <f>IF(BB50=1,AM50*loc_seguroPct*(1+vivienda_inflacionSeguro)^(A50-2026)*IF(BJ50=1,1+loc_precio_aduCosto/AM50,1),0)</f>
        <v/>
      </c>
      <c r="BV50" s="7">
        <f>BL50*loc_impuestoPropPct</f>
        <v/>
      </c>
      <c r="BW50" s="7">
        <f>BL50*vivienda_mantenimientoPct</f>
        <v/>
      </c>
      <c r="BX50" s="7">
        <f>IF(AND(BG50=1,BP50&gt;0.8*BE50),BE50*(1-vivienda_enganchePct)*vivienda_pmiTasa,0)</f>
        <v/>
      </c>
      <c r="BY50" s="7">
        <f>IF(AND(BG50=1,BP50&gt;0.8*BE50),1,0)</f>
        <v/>
      </c>
      <c r="BZ50" s="7">
        <f>IF(BB50=1,AS50*loc_rentaUnidad*12*C50*(1-vivienda_vacancia)*(1-vivienda_gestionPct),0)</f>
        <v/>
      </c>
      <c r="CA50" s="7">
        <f>IF(BB50=1,BO50+BS50+BU50+BV50+BW50+BX50,loc_rentaMensual*12*C50)</f>
        <v/>
      </c>
      <c r="CB50" s="7">
        <f>IF(BB50=1,personal_aporteFamiliaMensual*12,0)</f>
        <v/>
      </c>
      <c r="CC50" s="7">
        <f>MIN(IF(17=0,personal_irsSaldo,CD49),personal_irsPagoMensual*12)</f>
        <v/>
      </c>
      <c r="CD50" s="7">
        <f>IF(17=0,personal_irsSaldo,CD49)-CC50</f>
        <v/>
      </c>
      <c r="CE50" s="7">
        <f>IF(17=0,IF(personal_deudaEsFederal=1,personal_deudaEstudiantil,0),DW49)</f>
        <v/>
      </c>
      <c r="CF50" s="7">
        <f>IF(17=0,personal_tasaDeudaEstudiantil,DX49)</f>
        <v/>
      </c>
      <c r="CG50" s="7">
        <f>IF(17=0,0,DY49)</f>
        <v/>
      </c>
      <c r="CH50" s="7">
        <f>IF(J50&gt;=0.5,1,0)</f>
        <v/>
      </c>
      <c r="CI50" s="7">
        <f>IF(AND(CH50=0,prestamos_pslfActivo=1,K50&gt;=0.5,CE50&gt;0),1,0)</f>
        <v/>
      </c>
      <c r="CJ50" s="7">
        <f>CE50*CF50</f>
        <v/>
      </c>
      <c r="CK50" s="7">
        <f>MAX(prestamos_rapPagoMinimoAnual,IF(Y50&lt;10000,0,MIN(0.1,INT(Y50/10000)/100))*Y50)</f>
        <v/>
      </c>
      <c r="CL50" s="7">
        <f>IF(CE50&lt;=0,0,IF(CH50=1,0,IF(CI50=1,MIN(CE50+CJ50,CK50),PMT(CF50,MAX(1,prestamos_plazoAnios-CG50),-CE50))))</f>
        <v/>
      </c>
      <c r="CM50" s="7">
        <f>IF(CE50&lt;=0,0,IF(CH50=1,CE50+CJ50,IF(CI50=1,MAX(0,CE50-MAX(CL50-CJ50,MIN(600,CL50))),MAX(0,CE50*(1+CF50)-CL50))))</f>
        <v/>
      </c>
      <c r="CN50" s="7">
        <f>IF(17=0,0,CN49)+IF(CI50=1,12*MIN(1,K50),0)</f>
        <v/>
      </c>
      <c r="CO50" s="7">
        <f>IF(AND(CI50=1,CN50&gt;=prestamos_pslfPagos,CM50&gt;0),CM50,0)</f>
        <v/>
      </c>
      <c r="CP50" s="7">
        <f>CM50-CO50</f>
        <v/>
      </c>
      <c r="CQ50" s="7">
        <f>IF(AND(CE50&gt;0,CH50=0,CI50=0),CG50+1,CG50)</f>
        <v/>
      </c>
      <c r="CR50" s="7">
        <f>IF(17=0,IF(personal_deudaEsFederal=1,0,personal_deudaEstudiantil),EA49)</f>
        <v/>
      </c>
      <c r="CS50" s="7">
        <f>IF(17=0,IF(personal_deudaEsFederal=1,prestamos_tasaPrivada,personal_tasaDeudaEstudiantil),EB49)</f>
        <v/>
      </c>
      <c r="CT50" s="7">
        <f>IF(17=0,0,EC49)</f>
        <v/>
      </c>
      <c r="CU50" s="7">
        <f>IF(OR(CR50&lt;=0,CH50=1),0,PMT(CS50,MAX(1,prestamos_plazoAnios-CT50),-CR50))</f>
        <v/>
      </c>
      <c r="CV50" s="7">
        <f>IF(CR50&lt;=0,0,IF(CH50=1,CR50*(1+CS50),MAX(0,CR50*(1+CS50)-CU50)))</f>
        <v/>
      </c>
      <c r="CW50" s="7">
        <f>IF(AND(CR50&gt;0,CH50=0),CT50+1,CT50)</f>
        <v/>
      </c>
      <c r="CX50" s="7">
        <f>IF(17=0,0,ED49)*(1+general_tasaDeudaConsumo)</f>
        <v/>
      </c>
      <c r="CY50" s="7">
        <f>L50*12*tiempos_travelGastoExtraMes*C50</f>
        <v/>
      </c>
      <c r="CZ50" s="7">
        <f>AJ50+CY50+CA50+CC50+CL50+CU50+I50+N50-BZ50-CB50</f>
        <v/>
      </c>
      <c r="DA50" s="7">
        <f>AH50-CZ50</f>
        <v/>
      </c>
      <c r="DB50" s="7">
        <f>IF(17=0,0,DB49)+DA50</f>
        <v/>
      </c>
      <c r="DC50" s="7">
        <f>AN50*vivienda_enganchePct+AN50*vivienda_cierrePct+general_reservaMeses/12*AJ50</f>
        <v/>
      </c>
      <c r="DD50" s="7">
        <f>IF(BB50=1,g_ret,IF(BD50&gt;0,MIN(1,DC50/BD50),1)*g_cash+(1-IF(BD50&gt;0,MIN(1,DC50/BD50),1))*g_ret)</f>
        <v/>
      </c>
      <c r="DE50" s="7">
        <f>IF(DA50&gt;=0,MIN(CX50,DA50),0)</f>
        <v/>
      </c>
      <c r="DF50" s="7">
        <f>IF(DA50&gt;=0,(1-general_tasaAhorro)*(DA50-DE50),0)</f>
        <v/>
      </c>
      <c r="DG50" s="7">
        <f>IF(DA50&gt;=0,DA50-DE50-DF50,0)</f>
        <v/>
      </c>
      <c r="DH50" s="7">
        <f>MIN(personal_rothAnual,DG50)</f>
        <v/>
      </c>
      <c r="DI50" s="7">
        <f>IF(AND(DA50&gt;=0,BB50=1,BP50+BT50&gt;0),MIN(vivienda_prepagoPct*(DG50-DH50),BP50+BT50),0)</f>
        <v/>
      </c>
      <c r="DJ50" s="7">
        <f>MIN(DI50,BP50)</f>
        <v/>
      </c>
      <c r="DK50" s="7">
        <f>IF(DA50&lt;0,MIN(MAX(0,BD50),-DA50),0)</f>
        <v/>
      </c>
      <c r="DL50" s="7">
        <f>IF(DA50&lt;0,-DA50-DK50,0)</f>
        <v/>
      </c>
      <c r="DM50" s="7">
        <f>IF(17=0,0,DZ49)</f>
        <v/>
      </c>
      <c r="DN50" s="7">
        <f>IF(AND(DL50&gt;0,J50&gt;0),MIN(DL50,MIN(prestamos_topeAnualPosgrado*MIN(1,J50),MAX(0,prestamos_topeTotalPosgrado-DM50))),0)</f>
        <v/>
      </c>
      <c r="DO50" s="7">
        <f>IF(AND(DL50&gt;0,J50&gt;0),DL50-DN50,0)</f>
        <v/>
      </c>
      <c r="DP50" s="7">
        <f>IF(AND(DL50&gt;0,J50&lt;=0),DL50,0)</f>
        <v/>
      </c>
      <c r="DQ50" s="7">
        <f>IF(DA50&gt;=0,DG50-DH50-DI50,-DK50)</f>
        <v/>
      </c>
      <c r="DR50" s="7">
        <f>BD50*(1+DD50)+DQ50*(1+DD50/2)</f>
        <v/>
      </c>
      <c r="DS50" s="7">
        <f>IF(17=0,personal_retiroInicial,DS49)*(1+g_ret)+(O50+P50+DH50)*(1+g_ret/2)</f>
        <v/>
      </c>
      <c r="DT50" s="7">
        <f>IF(BB50=1,BL50*(1+g_appr),0)</f>
        <v/>
      </c>
      <c r="DU50" s="7">
        <f>BP50-DJ50</f>
        <v/>
      </c>
      <c r="DV50" s="7">
        <f>BT50-(DI50-DJ50)</f>
        <v/>
      </c>
      <c r="DW50" s="7">
        <f>CP50+DN50</f>
        <v/>
      </c>
      <c r="DX50" s="7">
        <f>IF(DN50&gt;0,(CP50*CF50+DN50*prestamos_tasaFederalPosgrado)/(CP50+DN50),CF50)</f>
        <v/>
      </c>
      <c r="DY50" s="7">
        <f>IF(DN50&gt;0,0,CQ50)</f>
        <v/>
      </c>
      <c r="DZ50" s="7">
        <f>DM50+DN50</f>
        <v/>
      </c>
      <c r="EA50" s="7">
        <f>CV50+DO50</f>
        <v/>
      </c>
      <c r="EB50" s="7">
        <f>IF(DO50&gt;0,(CV50*CS50+DO50*prestamos_tasaPrivada)/(CV50+DO50),CS50)</f>
        <v/>
      </c>
      <c r="EC50" s="7">
        <f>IF(DO50&gt;0,0,CW50)</f>
        <v/>
      </c>
      <c r="ED50" s="7">
        <f>CX50-DE50+DP50</f>
        <v/>
      </c>
      <c r="EE50" s="7">
        <f>IF(IF(17=0,"",EE49)&lt;&gt;"",EE49,IF(AND(BB50=1,DU50&lt;=0.5,DV50&lt;=0.5,OR(BH50=0,BJ50=1)),A50,""))</f>
        <v/>
      </c>
      <c r="EF50" s="7">
        <f>DU50+DV50+DW50+EA50+ED50+CD50</f>
        <v/>
      </c>
      <c r="EG50" s="7">
        <f>DR50+DS50+DT50-EF50</f>
        <v/>
      </c>
      <c r="EH50" s="7">
        <f>EG50/(1+g_inf)^(A50+1-2026)</f>
        <v/>
      </c>
    </row>
    <row r="51">
      <c r="A51" t="n">
        <v>2045</v>
      </c>
      <c r="B51" t="n">
        <v>18</v>
      </c>
      <c r="C51" s="7">
        <f>(1+g_inf)^(A51-2026)</f>
        <v/>
      </c>
      <c r="D51" s="7">
        <f>SUMPRODUCT($AL$5:$AL$29,$E$5:$E$29*(1+$F$5:$F$29)^(A51-2026)*$G$5:$G$29*$H$5:$H$29*(1-$N$5:$N$29*$O$5:$O$29))*g_salMult+SUMPRODUCT(($B$5:$B$29&gt;=A51)*($B$5:$B$29&lt;A51+1)*$I$5:$I$29)*g_salMult</f>
        <v/>
      </c>
      <c r="E51" s="7">
        <f>SUMPRODUCT($AL$5:$AL$29,$E$5:$E$29*(1+$F$5:$F$29)^(A51-2026)*$G$5:$G$29*$H$5:$H$29*$M$5:$M$29)*g_salMult</f>
        <v/>
      </c>
      <c r="F51" s="7">
        <f>SUMPRODUCT($AL$5:$AL$29,$E$5:$E$29*(1+$F$5:$F$29)^(A51-2026)*$G$5:$G$29*$H$5:$H$29*$N$5:$N$29*$O$5:$O$29)*g_salMult</f>
        <v/>
      </c>
      <c r="G51" s="7">
        <f>SUMPRODUCT($AL$5:$AL$29,$P$5:$P$29*(1+$F$5:$F$29)^(A51-2026))</f>
        <v/>
      </c>
      <c r="H51" s="7">
        <f>SUMPRODUCT($AL$5:$AL$29,$Q$5:$Q$29*(1+$F$5:$F$29)^(A51-2026))+IF(personal_llcActivo=1,personal_llcNeto*(1+personal_llcCrecimiento)^18,0)</f>
        <v/>
      </c>
      <c r="I51" s="7">
        <f>SUMPRODUCT($AL$5:$AL$29,$J$5:$J$29/($C$5:$C$29-$B$5:$B$29+($C$5:$C$29=$B$5:$B$29)))*C51</f>
        <v/>
      </c>
      <c r="J51" s="7">
        <f>SUMPRODUCT($AL$5:$AL$29,$K$5:$K$29)</f>
        <v/>
      </c>
      <c r="K51" s="7">
        <f>SUMPRODUCT($AL$5:$AL$29,$L$5:$L$29)</f>
        <v/>
      </c>
      <c r="L51" s="7">
        <f>SUMPRODUCT($AL$5:$AL$29,$N$5:$N$29)</f>
        <v/>
      </c>
      <c r="M51" s="7">
        <f>IF(SUMPRODUCT($AL$5:$AL$29,$R$5:$R$29)&gt;0,1,0)</f>
        <v/>
      </c>
      <c r="N51" s="7">
        <f>SUMPRODUCT(($AO$5:$AO$24&gt;=A51)*($AO$5:$AO$24&lt;A51+1)*$AP$5:$AP$24)*C51+IF(18=0,IF(sel_loc&lt;&gt;"miami",personal_costoMudanzaInicial,0),0)</f>
        <v/>
      </c>
      <c r="O51" s="7">
        <f>MIN(personal_aporte403bPct*D51,retiro_limite403b*C51)</f>
        <v/>
      </c>
      <c r="P51" s="7">
        <f>MIN(personal_aporte403bPct,personal_match403bPct)*E51</f>
        <v/>
      </c>
      <c r="Q51" s="7">
        <f>IF(G51&gt;0,MAX(0,G51-impuestos_scorpCostoAnual*C51),0)</f>
        <v/>
      </c>
      <c r="R51" s="7">
        <f>Q51*impuestos_scorpSalarioPct/(1+impuestos_ssTasa+impuestos_medicareTasa)</f>
        <v/>
      </c>
      <c r="S51" s="7">
        <f>impuestos_ssTasa*MIN(R51,MAX(0,impuestos_ssTope*C51-D51))+impuestos_medicareTasa*R51</f>
        <v/>
      </c>
      <c r="T51" s="7">
        <f>Q51-R51-S51</f>
        <v/>
      </c>
      <c r="U51" s="7">
        <f>D51+R51</f>
        <v/>
      </c>
      <c r="V51" s="7">
        <f>H51*0.9235</f>
        <v/>
      </c>
      <c r="W51" s="7">
        <f>IF(H51&gt;0,2*impuestos_ssTasa*MIN(V51,MAX(0,impuestos_ssTope*C51-U51))+2*impuestos_medicareTasa*V51,0)</f>
        <v/>
      </c>
      <c r="X51" s="7">
        <f>impuestos_ssTasa*MIN(U51,impuestos_ssTope*C51)+impuestos_medicareTasa*U51+impuestos_medicareAdicional*MAX(0,U51+H51*0.9235-impuestos_medicareUmbral)</f>
        <v/>
      </c>
      <c r="Y51" s="7">
        <f>MAX(0,D51-O51+R51+T51+H51-W51/2)</f>
        <v/>
      </c>
      <c r="Z51" s="7">
        <f>MAX(0,Y51-impuestos_deduccionEstandar*C51)</f>
        <v/>
      </c>
      <c r="AA51" s="7">
        <f>MIN(0.2*MAX(0,T51+H51-W51/2)*MAX(0,MIN(1,1-(Z51-impuestos_qbiUmbral*C51)/(impuestos_qbiRango*C51))),0.2*Z51)</f>
        <v/>
      </c>
      <c r="AB51" s="7">
        <f>MAX(0,Z51-AA51)</f>
        <v/>
      </c>
      <c r="AC51" s="7">
        <f>SUMPRODUCT((AB51&gt;tb_federalBrackets_lo*C51)*(AB51-tb_federalBrackets_lo*C51)*tb_federalBrackets_dr)</f>
        <v/>
      </c>
      <c r="AD51" s="7">
        <f>MAX(0,Y51-impuestos_nyDeduccion*C51)</f>
        <v/>
      </c>
      <c r="AE51" s="7">
        <f>CHOOSE(loc_taxcode,0,impuestos_ohTasa*MAX(0,Y51-impuestos_ohExento*C51)+impuestos_ohMunicipal*U51,SUMPRODUCT((AD51&gt;tb_nyBrackets_lo*C51)*(AD51-tb_nyBrackets_lo*C51)*tb_nyBrackets_dr)+loc_nyc*SUMPRODUCT((AD51&gt;tb_nycBrackets_lo*C51)*(AD51-tb_nycBrackets_lo*C51)*tb_nycBrackets_dr))</f>
        <v/>
      </c>
      <c r="AF51" s="7">
        <f>AC51+AE51+X51+W51</f>
        <v/>
      </c>
      <c r="AG51" s="7">
        <f>D51+F51+R51+T51+H51</f>
        <v/>
      </c>
      <c r="AH51" s="7">
        <f>AG51-AF51-O51</f>
        <v/>
      </c>
      <c r="AI51" s="7">
        <f>D51+F51+G51+H51</f>
        <v/>
      </c>
      <c r="AJ51" s="7">
        <f>loc_gastosVida*C51*g_gastos</f>
        <v/>
      </c>
      <c r="AK51" s="7">
        <f>IF(18=0,personal_liquidoInicial,DR50)</f>
        <v/>
      </c>
      <c r="AL51" s="7">
        <f>IF(18=0,0,BB50)</f>
        <v/>
      </c>
      <c r="AM51" s="7">
        <f>CHOOSE(sel_cfgIdx,loc_precio_duplex,loc_precio_inlaw,loc_precio_dosCasas,loc_precio_casaAdu,loc_precio_multi)</f>
        <v/>
      </c>
      <c r="AN51" s="7">
        <f>AM51*(1+g_appr)^(A51-2026)</f>
        <v/>
      </c>
      <c r="AO51" s="7">
        <f>IF(AND(M51=1,vivienda_prestamoMedico=1),1,0)</f>
        <v/>
      </c>
      <c r="AP51" s="7">
        <f>IF(AO51=1,0.05,vivienda_enganchePct)</f>
        <v/>
      </c>
      <c r="AQ51" s="7">
        <f>AN51*(1-AP51)</f>
        <v/>
      </c>
      <c r="AR51" s="7">
        <f>PMT(g_mortRate/12,vivienda_plazoHipoteca*12,-AQ51)</f>
        <v/>
      </c>
      <c r="AS51" s="7">
        <f>INDEX(cfg_units,sel_cfgIdx)</f>
        <v/>
      </c>
      <c r="AT51" s="7">
        <f>AS51*loc_rentaUnidad*(1+g_inf)^(A51-2026)*(1-vivienda_vacancia)</f>
        <v/>
      </c>
      <c r="AU51" s="7">
        <f>AR51+AN51*loc_impuestoPropPct/12+AM51*loc_seguroPct*(1+vivienda_inflacionSeguro)^(A51-2026)/12+IF(AND(AO51=0,AP51&lt;0.2),AQ51*vivienda_pmiTasa/12,0)</f>
        <v/>
      </c>
      <c r="AV51" s="7">
        <f>AN51*AP51+AN51*vivienda_cierrePct+general_reservaMeses/12*AJ51</f>
        <v/>
      </c>
      <c r="AW51" s="7">
        <f>(IF(18=0,MIN(personal_irsSaldo,personal_irsPagoMensual*12),MIN(CD50,personal_irsPagoMensual*12))+IF(CE51&gt;0,PMT(CF51,MAX(1,prestamos_plazoAnios-CG51),-CE51),0)+IF(CR51&gt;0,PMT(CS51,MAX(1,prestamos_plazoAnios-CT51),-CR51),0))/12</f>
        <v/>
      </c>
      <c r="AX51" s="7">
        <f>IF(OR(sel_cfg="duplex",sel_cfg="multi",sel_cfg="dosCasas"),0.75*personal_aporteFamiliaMensual,0)</f>
        <v/>
      </c>
      <c r="AY51" s="7">
        <f>AU51-0.75*AT51-AX51+AW51</f>
        <v/>
      </c>
      <c r="AZ51" s="7">
        <f>(D51+G51+H51+0.5*F51)/12</f>
        <v/>
      </c>
      <c r="BA51" s="7">
        <f>IF(AND(AL51=0,A51&gt;=vivienda_anioMinCompra,J51&lt;0.5,AI51&gt;0,AK51&gt;=AV51,AY51&lt;=vivienda_dtiMax*AZ51),1,0)</f>
        <v/>
      </c>
      <c r="BB51" s="7">
        <f>MAX(AL51,BA51)</f>
        <v/>
      </c>
      <c r="BC51" s="7">
        <f>IF(BA51=1,A51,IF(18=0,"",BC50))</f>
        <v/>
      </c>
      <c r="BD51" s="7">
        <f>AK51-IF(BA51=1,AN51*AP51+AN51*vivienda_cierrePct,0)</f>
        <v/>
      </c>
      <c r="BE51" s="7">
        <f>IF(BA51=1,AN51,IF(18=0,0,BE50))</f>
        <v/>
      </c>
      <c r="BF51" s="7">
        <f>IF(BA51=1,AR51,IF(18=0,0,BF50))</f>
        <v/>
      </c>
      <c r="BG51" s="7">
        <f>IF(BA51=1,IF(AND(AO51=0,AP51&lt;0.2),1,0),IF(18=0,0,BY50))</f>
        <v/>
      </c>
      <c r="BH51" s="7">
        <f>IF(sel_cfg="casaAdu",1,0)</f>
        <v/>
      </c>
      <c r="BI51" s="7">
        <f>IF(AND(BB51=1,BH51=1,IF(18=0,0,BJ50)=0,A51&gt;=IF(BC51="",9999,BC51)+vivienda_aduRetrasoAnios),1,0)</f>
        <v/>
      </c>
      <c r="BJ51" s="7">
        <f>MAX(IF(18=0,0,BJ50),BI51)</f>
        <v/>
      </c>
      <c r="BK51" s="7">
        <f>IF(BI51=1,PMT((g_mortRate+0.005)/12,180,-loc_precio_aduCosto*C51),IF(18=0,0,BK50))</f>
        <v/>
      </c>
      <c r="BL51" s="7">
        <f>IF(BA51=1,AN51,IF(18=0,0,DT50))+IF(BI51=1,loc_precio_aduCosto*C51,0)</f>
        <v/>
      </c>
      <c r="BM51" s="7">
        <f>IF(BA51=1,AQ51,IF(18=0,0,DU50))</f>
        <v/>
      </c>
      <c r="BN51" s="7">
        <f>IF(BM51&lt;=0,0,FV(g_mortRate/12,12,BF51,-BM51))</f>
        <v/>
      </c>
      <c r="BO51" s="7">
        <f>IF(BM51&lt;=0,0,12*BF51+MIN(0,BN51))</f>
        <v/>
      </c>
      <c r="BP51" s="7">
        <f>MAX(0,BN51)</f>
        <v/>
      </c>
      <c r="BQ51" s="7">
        <f>IF(BI51=1,loc_precio_aduCosto*C51,IF(18=0,0,DV50))</f>
        <v/>
      </c>
      <c r="BR51" s="7">
        <f>IF(BQ51&lt;=0,0,FV((g_mortRate+0.005)/12,12,BK51,-BQ51))</f>
        <v/>
      </c>
      <c r="BS51" s="7">
        <f>IF(BQ51&lt;=0,0,12*BK51+MIN(0,BR51))</f>
        <v/>
      </c>
      <c r="BT51" s="7">
        <f>MAX(0,BR51)</f>
        <v/>
      </c>
      <c r="BU51" s="7">
        <f>IF(BB51=1,AM51*loc_seguroPct*(1+vivienda_inflacionSeguro)^(A51-2026)*IF(BJ51=1,1+loc_precio_aduCosto/AM51,1),0)</f>
        <v/>
      </c>
      <c r="BV51" s="7">
        <f>BL51*loc_impuestoPropPct</f>
        <v/>
      </c>
      <c r="BW51" s="7">
        <f>BL51*vivienda_mantenimientoPct</f>
        <v/>
      </c>
      <c r="BX51" s="7">
        <f>IF(AND(BG51=1,BP51&gt;0.8*BE51),BE51*(1-vivienda_enganchePct)*vivienda_pmiTasa,0)</f>
        <v/>
      </c>
      <c r="BY51" s="7">
        <f>IF(AND(BG51=1,BP51&gt;0.8*BE51),1,0)</f>
        <v/>
      </c>
      <c r="BZ51" s="7">
        <f>IF(BB51=1,AS51*loc_rentaUnidad*12*C51*(1-vivienda_vacancia)*(1-vivienda_gestionPct),0)</f>
        <v/>
      </c>
      <c r="CA51" s="7">
        <f>IF(BB51=1,BO51+BS51+BU51+BV51+BW51+BX51,loc_rentaMensual*12*C51)</f>
        <v/>
      </c>
      <c r="CB51" s="7">
        <f>IF(BB51=1,personal_aporteFamiliaMensual*12,0)</f>
        <v/>
      </c>
      <c r="CC51" s="7">
        <f>MIN(IF(18=0,personal_irsSaldo,CD50),personal_irsPagoMensual*12)</f>
        <v/>
      </c>
      <c r="CD51" s="7">
        <f>IF(18=0,personal_irsSaldo,CD50)-CC51</f>
        <v/>
      </c>
      <c r="CE51" s="7">
        <f>IF(18=0,IF(personal_deudaEsFederal=1,personal_deudaEstudiantil,0),DW50)</f>
        <v/>
      </c>
      <c r="CF51" s="7">
        <f>IF(18=0,personal_tasaDeudaEstudiantil,DX50)</f>
        <v/>
      </c>
      <c r="CG51" s="7">
        <f>IF(18=0,0,DY50)</f>
        <v/>
      </c>
      <c r="CH51" s="7">
        <f>IF(J51&gt;=0.5,1,0)</f>
        <v/>
      </c>
      <c r="CI51" s="7">
        <f>IF(AND(CH51=0,prestamos_pslfActivo=1,K51&gt;=0.5,CE51&gt;0),1,0)</f>
        <v/>
      </c>
      <c r="CJ51" s="7">
        <f>CE51*CF51</f>
        <v/>
      </c>
      <c r="CK51" s="7">
        <f>MAX(prestamos_rapPagoMinimoAnual,IF(Y51&lt;10000,0,MIN(0.1,INT(Y51/10000)/100))*Y51)</f>
        <v/>
      </c>
      <c r="CL51" s="7">
        <f>IF(CE51&lt;=0,0,IF(CH51=1,0,IF(CI51=1,MIN(CE51+CJ51,CK51),PMT(CF51,MAX(1,prestamos_plazoAnios-CG51),-CE51))))</f>
        <v/>
      </c>
      <c r="CM51" s="7">
        <f>IF(CE51&lt;=0,0,IF(CH51=1,CE51+CJ51,IF(CI51=1,MAX(0,CE51-MAX(CL51-CJ51,MIN(600,CL51))),MAX(0,CE51*(1+CF51)-CL51))))</f>
        <v/>
      </c>
      <c r="CN51" s="7">
        <f>IF(18=0,0,CN50)+IF(CI51=1,12*MIN(1,K51),0)</f>
        <v/>
      </c>
      <c r="CO51" s="7">
        <f>IF(AND(CI51=1,CN51&gt;=prestamos_pslfPagos,CM51&gt;0),CM51,0)</f>
        <v/>
      </c>
      <c r="CP51" s="7">
        <f>CM51-CO51</f>
        <v/>
      </c>
      <c r="CQ51" s="7">
        <f>IF(AND(CE51&gt;0,CH51=0,CI51=0),CG51+1,CG51)</f>
        <v/>
      </c>
      <c r="CR51" s="7">
        <f>IF(18=0,IF(personal_deudaEsFederal=1,0,personal_deudaEstudiantil),EA50)</f>
        <v/>
      </c>
      <c r="CS51" s="7">
        <f>IF(18=0,IF(personal_deudaEsFederal=1,prestamos_tasaPrivada,personal_tasaDeudaEstudiantil),EB50)</f>
        <v/>
      </c>
      <c r="CT51" s="7">
        <f>IF(18=0,0,EC50)</f>
        <v/>
      </c>
      <c r="CU51" s="7">
        <f>IF(OR(CR51&lt;=0,CH51=1),0,PMT(CS51,MAX(1,prestamos_plazoAnios-CT51),-CR51))</f>
        <v/>
      </c>
      <c r="CV51" s="7">
        <f>IF(CR51&lt;=0,0,IF(CH51=1,CR51*(1+CS51),MAX(0,CR51*(1+CS51)-CU51)))</f>
        <v/>
      </c>
      <c r="CW51" s="7">
        <f>IF(AND(CR51&gt;0,CH51=0),CT51+1,CT51)</f>
        <v/>
      </c>
      <c r="CX51" s="7">
        <f>IF(18=0,0,ED50)*(1+general_tasaDeudaConsumo)</f>
        <v/>
      </c>
      <c r="CY51" s="7">
        <f>L51*12*tiempos_travelGastoExtraMes*C51</f>
        <v/>
      </c>
      <c r="CZ51" s="7">
        <f>AJ51+CY51+CA51+CC51+CL51+CU51+I51+N51-BZ51-CB51</f>
        <v/>
      </c>
      <c r="DA51" s="7">
        <f>AH51-CZ51</f>
        <v/>
      </c>
      <c r="DB51" s="7">
        <f>IF(18=0,0,DB50)+DA51</f>
        <v/>
      </c>
      <c r="DC51" s="7">
        <f>AN51*vivienda_enganchePct+AN51*vivienda_cierrePct+general_reservaMeses/12*AJ51</f>
        <v/>
      </c>
      <c r="DD51" s="7">
        <f>IF(BB51=1,g_ret,IF(BD51&gt;0,MIN(1,DC51/BD51),1)*g_cash+(1-IF(BD51&gt;0,MIN(1,DC51/BD51),1))*g_ret)</f>
        <v/>
      </c>
      <c r="DE51" s="7">
        <f>IF(DA51&gt;=0,MIN(CX51,DA51),0)</f>
        <v/>
      </c>
      <c r="DF51" s="7">
        <f>IF(DA51&gt;=0,(1-general_tasaAhorro)*(DA51-DE51),0)</f>
        <v/>
      </c>
      <c r="DG51" s="7">
        <f>IF(DA51&gt;=0,DA51-DE51-DF51,0)</f>
        <v/>
      </c>
      <c r="DH51" s="7">
        <f>MIN(personal_rothAnual,DG51)</f>
        <v/>
      </c>
      <c r="DI51" s="7">
        <f>IF(AND(DA51&gt;=0,BB51=1,BP51+BT51&gt;0),MIN(vivienda_prepagoPct*(DG51-DH51),BP51+BT51),0)</f>
        <v/>
      </c>
      <c r="DJ51" s="7">
        <f>MIN(DI51,BP51)</f>
        <v/>
      </c>
      <c r="DK51" s="7">
        <f>IF(DA51&lt;0,MIN(MAX(0,BD51),-DA51),0)</f>
        <v/>
      </c>
      <c r="DL51" s="7">
        <f>IF(DA51&lt;0,-DA51-DK51,0)</f>
        <v/>
      </c>
      <c r="DM51" s="7">
        <f>IF(18=0,0,DZ50)</f>
        <v/>
      </c>
      <c r="DN51" s="7">
        <f>IF(AND(DL51&gt;0,J51&gt;0),MIN(DL51,MIN(prestamos_topeAnualPosgrado*MIN(1,J51),MAX(0,prestamos_topeTotalPosgrado-DM51))),0)</f>
        <v/>
      </c>
      <c r="DO51" s="7">
        <f>IF(AND(DL51&gt;0,J51&gt;0),DL51-DN51,0)</f>
        <v/>
      </c>
      <c r="DP51" s="7">
        <f>IF(AND(DL51&gt;0,J51&lt;=0),DL51,0)</f>
        <v/>
      </c>
      <c r="DQ51" s="7">
        <f>IF(DA51&gt;=0,DG51-DH51-DI51,-DK51)</f>
        <v/>
      </c>
      <c r="DR51" s="7">
        <f>BD51*(1+DD51)+DQ51*(1+DD51/2)</f>
        <v/>
      </c>
      <c r="DS51" s="7">
        <f>IF(18=0,personal_retiroInicial,DS50)*(1+g_ret)+(O51+P51+DH51)*(1+g_ret/2)</f>
        <v/>
      </c>
      <c r="DT51" s="7">
        <f>IF(BB51=1,BL51*(1+g_appr),0)</f>
        <v/>
      </c>
      <c r="DU51" s="7">
        <f>BP51-DJ51</f>
        <v/>
      </c>
      <c r="DV51" s="7">
        <f>BT51-(DI51-DJ51)</f>
        <v/>
      </c>
      <c r="DW51" s="7">
        <f>CP51+DN51</f>
        <v/>
      </c>
      <c r="DX51" s="7">
        <f>IF(DN51&gt;0,(CP51*CF51+DN51*prestamos_tasaFederalPosgrado)/(CP51+DN51),CF51)</f>
        <v/>
      </c>
      <c r="DY51" s="7">
        <f>IF(DN51&gt;0,0,CQ51)</f>
        <v/>
      </c>
      <c r="DZ51" s="7">
        <f>DM51+DN51</f>
        <v/>
      </c>
      <c r="EA51" s="7">
        <f>CV51+DO51</f>
        <v/>
      </c>
      <c r="EB51" s="7">
        <f>IF(DO51&gt;0,(CV51*CS51+DO51*prestamos_tasaPrivada)/(CV51+DO51),CS51)</f>
        <v/>
      </c>
      <c r="EC51" s="7">
        <f>IF(DO51&gt;0,0,CW51)</f>
        <v/>
      </c>
      <c r="ED51" s="7">
        <f>CX51-DE51+DP51</f>
        <v/>
      </c>
      <c r="EE51" s="7">
        <f>IF(IF(18=0,"",EE50)&lt;&gt;"",EE50,IF(AND(BB51=1,DU51&lt;=0.5,DV51&lt;=0.5,OR(BH51=0,BJ51=1)),A51,""))</f>
        <v/>
      </c>
      <c r="EF51" s="7">
        <f>DU51+DV51+DW51+EA51+ED51+CD51</f>
        <v/>
      </c>
      <c r="EG51" s="7">
        <f>DR51+DS51+DT51-EF51</f>
        <v/>
      </c>
      <c r="EH51" s="7">
        <f>EG51/(1+g_inf)^(A51+1-2026)</f>
        <v/>
      </c>
    </row>
    <row r="52">
      <c r="A52" t="n">
        <v>2046</v>
      </c>
      <c r="B52" t="n">
        <v>19</v>
      </c>
      <c r="C52" s="7">
        <f>(1+g_inf)^(A52-2026)</f>
        <v/>
      </c>
      <c r="D52" s="7">
        <f>SUMPRODUCT($AM$5:$AM$29,$E$5:$E$29*(1+$F$5:$F$29)^(A52-2026)*$G$5:$G$29*$H$5:$H$29*(1-$N$5:$N$29*$O$5:$O$29))*g_salMult+SUMPRODUCT(($B$5:$B$29&gt;=A52)*($B$5:$B$29&lt;A52+1)*$I$5:$I$29)*g_salMult</f>
        <v/>
      </c>
      <c r="E52" s="7">
        <f>SUMPRODUCT($AM$5:$AM$29,$E$5:$E$29*(1+$F$5:$F$29)^(A52-2026)*$G$5:$G$29*$H$5:$H$29*$M$5:$M$29)*g_salMult</f>
        <v/>
      </c>
      <c r="F52" s="7">
        <f>SUMPRODUCT($AM$5:$AM$29,$E$5:$E$29*(1+$F$5:$F$29)^(A52-2026)*$G$5:$G$29*$H$5:$H$29*$N$5:$N$29*$O$5:$O$29)*g_salMult</f>
        <v/>
      </c>
      <c r="G52" s="7">
        <f>SUMPRODUCT($AM$5:$AM$29,$P$5:$P$29*(1+$F$5:$F$29)^(A52-2026))</f>
        <v/>
      </c>
      <c r="H52" s="7">
        <f>SUMPRODUCT($AM$5:$AM$29,$Q$5:$Q$29*(1+$F$5:$F$29)^(A52-2026))+IF(personal_llcActivo=1,personal_llcNeto*(1+personal_llcCrecimiento)^19,0)</f>
        <v/>
      </c>
      <c r="I52" s="7">
        <f>SUMPRODUCT($AM$5:$AM$29,$J$5:$J$29/($C$5:$C$29-$B$5:$B$29+($C$5:$C$29=$B$5:$B$29)))*C52</f>
        <v/>
      </c>
      <c r="J52" s="7">
        <f>SUMPRODUCT($AM$5:$AM$29,$K$5:$K$29)</f>
        <v/>
      </c>
      <c r="K52" s="7">
        <f>SUMPRODUCT($AM$5:$AM$29,$L$5:$L$29)</f>
        <v/>
      </c>
      <c r="L52" s="7">
        <f>SUMPRODUCT($AM$5:$AM$29,$N$5:$N$29)</f>
        <v/>
      </c>
      <c r="M52" s="7">
        <f>IF(SUMPRODUCT($AM$5:$AM$29,$R$5:$R$29)&gt;0,1,0)</f>
        <v/>
      </c>
      <c r="N52" s="7">
        <f>SUMPRODUCT(($AO$5:$AO$24&gt;=A52)*($AO$5:$AO$24&lt;A52+1)*$AP$5:$AP$24)*C52+IF(19=0,IF(sel_loc&lt;&gt;"miami",personal_costoMudanzaInicial,0),0)</f>
        <v/>
      </c>
      <c r="O52" s="7">
        <f>MIN(personal_aporte403bPct*D52,retiro_limite403b*C52)</f>
        <v/>
      </c>
      <c r="P52" s="7">
        <f>MIN(personal_aporte403bPct,personal_match403bPct)*E52</f>
        <v/>
      </c>
      <c r="Q52" s="7">
        <f>IF(G52&gt;0,MAX(0,G52-impuestos_scorpCostoAnual*C52),0)</f>
        <v/>
      </c>
      <c r="R52" s="7">
        <f>Q52*impuestos_scorpSalarioPct/(1+impuestos_ssTasa+impuestos_medicareTasa)</f>
        <v/>
      </c>
      <c r="S52" s="7">
        <f>impuestos_ssTasa*MIN(R52,MAX(0,impuestos_ssTope*C52-D52))+impuestos_medicareTasa*R52</f>
        <v/>
      </c>
      <c r="T52" s="7">
        <f>Q52-R52-S52</f>
        <v/>
      </c>
      <c r="U52" s="7">
        <f>D52+R52</f>
        <v/>
      </c>
      <c r="V52" s="7">
        <f>H52*0.9235</f>
        <v/>
      </c>
      <c r="W52" s="7">
        <f>IF(H52&gt;0,2*impuestos_ssTasa*MIN(V52,MAX(0,impuestos_ssTope*C52-U52))+2*impuestos_medicareTasa*V52,0)</f>
        <v/>
      </c>
      <c r="X52" s="7">
        <f>impuestos_ssTasa*MIN(U52,impuestos_ssTope*C52)+impuestos_medicareTasa*U52+impuestos_medicareAdicional*MAX(0,U52+H52*0.9235-impuestos_medicareUmbral)</f>
        <v/>
      </c>
      <c r="Y52" s="7">
        <f>MAX(0,D52-O52+R52+T52+H52-W52/2)</f>
        <v/>
      </c>
      <c r="Z52" s="7">
        <f>MAX(0,Y52-impuestos_deduccionEstandar*C52)</f>
        <v/>
      </c>
      <c r="AA52" s="7">
        <f>MIN(0.2*MAX(0,T52+H52-W52/2)*MAX(0,MIN(1,1-(Z52-impuestos_qbiUmbral*C52)/(impuestos_qbiRango*C52))),0.2*Z52)</f>
        <v/>
      </c>
      <c r="AB52" s="7">
        <f>MAX(0,Z52-AA52)</f>
        <v/>
      </c>
      <c r="AC52" s="7">
        <f>SUMPRODUCT((AB52&gt;tb_federalBrackets_lo*C52)*(AB52-tb_federalBrackets_lo*C52)*tb_federalBrackets_dr)</f>
        <v/>
      </c>
      <c r="AD52" s="7">
        <f>MAX(0,Y52-impuestos_nyDeduccion*C52)</f>
        <v/>
      </c>
      <c r="AE52" s="7">
        <f>CHOOSE(loc_taxcode,0,impuestos_ohTasa*MAX(0,Y52-impuestos_ohExento*C52)+impuestos_ohMunicipal*U52,SUMPRODUCT((AD52&gt;tb_nyBrackets_lo*C52)*(AD52-tb_nyBrackets_lo*C52)*tb_nyBrackets_dr)+loc_nyc*SUMPRODUCT((AD52&gt;tb_nycBrackets_lo*C52)*(AD52-tb_nycBrackets_lo*C52)*tb_nycBrackets_dr))</f>
        <v/>
      </c>
      <c r="AF52" s="7">
        <f>AC52+AE52+X52+W52</f>
        <v/>
      </c>
      <c r="AG52" s="7">
        <f>D52+F52+R52+T52+H52</f>
        <v/>
      </c>
      <c r="AH52" s="7">
        <f>AG52-AF52-O52</f>
        <v/>
      </c>
      <c r="AI52" s="7">
        <f>D52+F52+G52+H52</f>
        <v/>
      </c>
      <c r="AJ52" s="7">
        <f>loc_gastosVida*C52*g_gastos</f>
        <v/>
      </c>
      <c r="AK52" s="7">
        <f>IF(19=0,personal_liquidoInicial,DR51)</f>
        <v/>
      </c>
      <c r="AL52" s="7">
        <f>IF(19=0,0,BB51)</f>
        <v/>
      </c>
      <c r="AM52" s="7">
        <f>CHOOSE(sel_cfgIdx,loc_precio_duplex,loc_precio_inlaw,loc_precio_dosCasas,loc_precio_casaAdu,loc_precio_multi)</f>
        <v/>
      </c>
      <c r="AN52" s="7">
        <f>AM52*(1+g_appr)^(A52-2026)</f>
        <v/>
      </c>
      <c r="AO52" s="7">
        <f>IF(AND(M52=1,vivienda_prestamoMedico=1),1,0)</f>
        <v/>
      </c>
      <c r="AP52" s="7">
        <f>IF(AO52=1,0.05,vivienda_enganchePct)</f>
        <v/>
      </c>
      <c r="AQ52" s="7">
        <f>AN52*(1-AP52)</f>
        <v/>
      </c>
      <c r="AR52" s="7">
        <f>PMT(g_mortRate/12,vivienda_plazoHipoteca*12,-AQ52)</f>
        <v/>
      </c>
      <c r="AS52" s="7">
        <f>INDEX(cfg_units,sel_cfgIdx)</f>
        <v/>
      </c>
      <c r="AT52" s="7">
        <f>AS52*loc_rentaUnidad*(1+g_inf)^(A52-2026)*(1-vivienda_vacancia)</f>
        <v/>
      </c>
      <c r="AU52" s="7">
        <f>AR52+AN52*loc_impuestoPropPct/12+AM52*loc_seguroPct*(1+vivienda_inflacionSeguro)^(A52-2026)/12+IF(AND(AO52=0,AP52&lt;0.2),AQ52*vivienda_pmiTasa/12,0)</f>
        <v/>
      </c>
      <c r="AV52" s="7">
        <f>AN52*AP52+AN52*vivienda_cierrePct+general_reservaMeses/12*AJ52</f>
        <v/>
      </c>
      <c r="AW52" s="7">
        <f>(IF(19=0,MIN(personal_irsSaldo,personal_irsPagoMensual*12),MIN(CD51,personal_irsPagoMensual*12))+IF(CE52&gt;0,PMT(CF52,MAX(1,prestamos_plazoAnios-CG52),-CE52),0)+IF(CR52&gt;0,PMT(CS52,MAX(1,prestamos_plazoAnios-CT52),-CR52),0))/12</f>
        <v/>
      </c>
      <c r="AX52" s="7">
        <f>IF(OR(sel_cfg="duplex",sel_cfg="multi",sel_cfg="dosCasas"),0.75*personal_aporteFamiliaMensual,0)</f>
        <v/>
      </c>
      <c r="AY52" s="7">
        <f>AU52-0.75*AT52-AX52+AW52</f>
        <v/>
      </c>
      <c r="AZ52" s="7">
        <f>(D52+G52+H52+0.5*F52)/12</f>
        <v/>
      </c>
      <c r="BA52" s="7">
        <f>IF(AND(AL52=0,A52&gt;=vivienda_anioMinCompra,J52&lt;0.5,AI52&gt;0,AK52&gt;=AV52,AY52&lt;=vivienda_dtiMax*AZ52),1,0)</f>
        <v/>
      </c>
      <c r="BB52" s="7">
        <f>MAX(AL52,BA52)</f>
        <v/>
      </c>
      <c r="BC52" s="7">
        <f>IF(BA52=1,A52,IF(19=0,"",BC51))</f>
        <v/>
      </c>
      <c r="BD52" s="7">
        <f>AK52-IF(BA52=1,AN52*AP52+AN52*vivienda_cierrePct,0)</f>
        <v/>
      </c>
      <c r="BE52" s="7">
        <f>IF(BA52=1,AN52,IF(19=0,0,BE51))</f>
        <v/>
      </c>
      <c r="BF52" s="7">
        <f>IF(BA52=1,AR52,IF(19=0,0,BF51))</f>
        <v/>
      </c>
      <c r="BG52" s="7">
        <f>IF(BA52=1,IF(AND(AO52=0,AP52&lt;0.2),1,0),IF(19=0,0,BY51))</f>
        <v/>
      </c>
      <c r="BH52" s="7">
        <f>IF(sel_cfg="casaAdu",1,0)</f>
        <v/>
      </c>
      <c r="BI52" s="7">
        <f>IF(AND(BB52=1,BH52=1,IF(19=0,0,BJ51)=0,A52&gt;=IF(BC52="",9999,BC52)+vivienda_aduRetrasoAnios),1,0)</f>
        <v/>
      </c>
      <c r="BJ52" s="7">
        <f>MAX(IF(19=0,0,BJ51),BI52)</f>
        <v/>
      </c>
      <c r="BK52" s="7">
        <f>IF(BI52=1,PMT((g_mortRate+0.005)/12,180,-loc_precio_aduCosto*C52),IF(19=0,0,BK51))</f>
        <v/>
      </c>
      <c r="BL52" s="7">
        <f>IF(BA52=1,AN52,IF(19=0,0,DT51))+IF(BI52=1,loc_precio_aduCosto*C52,0)</f>
        <v/>
      </c>
      <c r="BM52" s="7">
        <f>IF(BA52=1,AQ52,IF(19=0,0,DU51))</f>
        <v/>
      </c>
      <c r="BN52" s="7">
        <f>IF(BM52&lt;=0,0,FV(g_mortRate/12,12,BF52,-BM52))</f>
        <v/>
      </c>
      <c r="BO52" s="7">
        <f>IF(BM52&lt;=0,0,12*BF52+MIN(0,BN52))</f>
        <v/>
      </c>
      <c r="BP52" s="7">
        <f>MAX(0,BN52)</f>
        <v/>
      </c>
      <c r="BQ52" s="7">
        <f>IF(BI52=1,loc_precio_aduCosto*C52,IF(19=0,0,DV51))</f>
        <v/>
      </c>
      <c r="BR52" s="7">
        <f>IF(BQ52&lt;=0,0,FV((g_mortRate+0.005)/12,12,BK52,-BQ52))</f>
        <v/>
      </c>
      <c r="BS52" s="7">
        <f>IF(BQ52&lt;=0,0,12*BK52+MIN(0,BR52))</f>
        <v/>
      </c>
      <c r="BT52" s="7">
        <f>MAX(0,BR52)</f>
        <v/>
      </c>
      <c r="BU52" s="7">
        <f>IF(BB52=1,AM52*loc_seguroPct*(1+vivienda_inflacionSeguro)^(A52-2026)*IF(BJ52=1,1+loc_precio_aduCosto/AM52,1),0)</f>
        <v/>
      </c>
      <c r="BV52" s="7">
        <f>BL52*loc_impuestoPropPct</f>
        <v/>
      </c>
      <c r="BW52" s="7">
        <f>BL52*vivienda_mantenimientoPct</f>
        <v/>
      </c>
      <c r="BX52" s="7">
        <f>IF(AND(BG52=1,BP52&gt;0.8*BE52),BE52*(1-vivienda_enganchePct)*vivienda_pmiTasa,0)</f>
        <v/>
      </c>
      <c r="BY52" s="7">
        <f>IF(AND(BG52=1,BP52&gt;0.8*BE52),1,0)</f>
        <v/>
      </c>
      <c r="BZ52" s="7">
        <f>IF(BB52=1,AS52*loc_rentaUnidad*12*C52*(1-vivienda_vacancia)*(1-vivienda_gestionPct),0)</f>
        <v/>
      </c>
      <c r="CA52" s="7">
        <f>IF(BB52=1,BO52+BS52+BU52+BV52+BW52+BX52,loc_rentaMensual*12*C52)</f>
        <v/>
      </c>
      <c r="CB52" s="7">
        <f>IF(BB52=1,personal_aporteFamiliaMensual*12,0)</f>
        <v/>
      </c>
      <c r="CC52" s="7">
        <f>MIN(IF(19=0,personal_irsSaldo,CD51),personal_irsPagoMensual*12)</f>
        <v/>
      </c>
      <c r="CD52" s="7">
        <f>IF(19=0,personal_irsSaldo,CD51)-CC52</f>
        <v/>
      </c>
      <c r="CE52" s="7">
        <f>IF(19=0,IF(personal_deudaEsFederal=1,personal_deudaEstudiantil,0),DW51)</f>
        <v/>
      </c>
      <c r="CF52" s="7">
        <f>IF(19=0,personal_tasaDeudaEstudiantil,DX51)</f>
        <v/>
      </c>
      <c r="CG52" s="7">
        <f>IF(19=0,0,DY51)</f>
        <v/>
      </c>
      <c r="CH52" s="7">
        <f>IF(J52&gt;=0.5,1,0)</f>
        <v/>
      </c>
      <c r="CI52" s="7">
        <f>IF(AND(CH52=0,prestamos_pslfActivo=1,K52&gt;=0.5,CE52&gt;0),1,0)</f>
        <v/>
      </c>
      <c r="CJ52" s="7">
        <f>CE52*CF52</f>
        <v/>
      </c>
      <c r="CK52" s="7">
        <f>MAX(prestamos_rapPagoMinimoAnual,IF(Y52&lt;10000,0,MIN(0.1,INT(Y52/10000)/100))*Y52)</f>
        <v/>
      </c>
      <c r="CL52" s="7">
        <f>IF(CE52&lt;=0,0,IF(CH52=1,0,IF(CI52=1,MIN(CE52+CJ52,CK52),PMT(CF52,MAX(1,prestamos_plazoAnios-CG52),-CE52))))</f>
        <v/>
      </c>
      <c r="CM52" s="7">
        <f>IF(CE52&lt;=0,0,IF(CH52=1,CE52+CJ52,IF(CI52=1,MAX(0,CE52-MAX(CL52-CJ52,MIN(600,CL52))),MAX(0,CE52*(1+CF52)-CL52))))</f>
        <v/>
      </c>
      <c r="CN52" s="7">
        <f>IF(19=0,0,CN51)+IF(CI52=1,12*MIN(1,K52),0)</f>
        <v/>
      </c>
      <c r="CO52" s="7">
        <f>IF(AND(CI52=1,CN52&gt;=prestamos_pslfPagos,CM52&gt;0),CM52,0)</f>
        <v/>
      </c>
      <c r="CP52" s="7">
        <f>CM52-CO52</f>
        <v/>
      </c>
      <c r="CQ52" s="7">
        <f>IF(AND(CE52&gt;0,CH52=0,CI52=0),CG52+1,CG52)</f>
        <v/>
      </c>
      <c r="CR52" s="7">
        <f>IF(19=0,IF(personal_deudaEsFederal=1,0,personal_deudaEstudiantil),EA51)</f>
        <v/>
      </c>
      <c r="CS52" s="7">
        <f>IF(19=0,IF(personal_deudaEsFederal=1,prestamos_tasaPrivada,personal_tasaDeudaEstudiantil),EB51)</f>
        <v/>
      </c>
      <c r="CT52" s="7">
        <f>IF(19=0,0,EC51)</f>
        <v/>
      </c>
      <c r="CU52" s="7">
        <f>IF(OR(CR52&lt;=0,CH52=1),0,PMT(CS52,MAX(1,prestamos_plazoAnios-CT52),-CR52))</f>
        <v/>
      </c>
      <c r="CV52" s="7">
        <f>IF(CR52&lt;=0,0,IF(CH52=1,CR52*(1+CS52),MAX(0,CR52*(1+CS52)-CU52)))</f>
        <v/>
      </c>
      <c r="CW52" s="7">
        <f>IF(AND(CR52&gt;0,CH52=0),CT52+1,CT52)</f>
        <v/>
      </c>
      <c r="CX52" s="7">
        <f>IF(19=0,0,ED51)*(1+general_tasaDeudaConsumo)</f>
        <v/>
      </c>
      <c r="CY52" s="7">
        <f>L52*12*tiempos_travelGastoExtraMes*C52</f>
        <v/>
      </c>
      <c r="CZ52" s="7">
        <f>AJ52+CY52+CA52+CC52+CL52+CU52+I52+N52-BZ52-CB52</f>
        <v/>
      </c>
      <c r="DA52" s="7">
        <f>AH52-CZ52</f>
        <v/>
      </c>
      <c r="DB52" s="7">
        <f>IF(19=0,0,DB51)+DA52</f>
        <v/>
      </c>
      <c r="DC52" s="7">
        <f>AN52*vivienda_enganchePct+AN52*vivienda_cierrePct+general_reservaMeses/12*AJ52</f>
        <v/>
      </c>
      <c r="DD52" s="7">
        <f>IF(BB52=1,g_ret,IF(BD52&gt;0,MIN(1,DC52/BD52),1)*g_cash+(1-IF(BD52&gt;0,MIN(1,DC52/BD52),1))*g_ret)</f>
        <v/>
      </c>
      <c r="DE52" s="7">
        <f>IF(DA52&gt;=0,MIN(CX52,DA52),0)</f>
        <v/>
      </c>
      <c r="DF52" s="7">
        <f>IF(DA52&gt;=0,(1-general_tasaAhorro)*(DA52-DE52),0)</f>
        <v/>
      </c>
      <c r="DG52" s="7">
        <f>IF(DA52&gt;=0,DA52-DE52-DF52,0)</f>
        <v/>
      </c>
      <c r="DH52" s="7">
        <f>MIN(personal_rothAnual,DG52)</f>
        <v/>
      </c>
      <c r="DI52" s="7">
        <f>IF(AND(DA52&gt;=0,BB52=1,BP52+BT52&gt;0),MIN(vivienda_prepagoPct*(DG52-DH52),BP52+BT52),0)</f>
        <v/>
      </c>
      <c r="DJ52" s="7">
        <f>MIN(DI52,BP52)</f>
        <v/>
      </c>
      <c r="DK52" s="7">
        <f>IF(DA52&lt;0,MIN(MAX(0,BD52),-DA52),0)</f>
        <v/>
      </c>
      <c r="DL52" s="7">
        <f>IF(DA52&lt;0,-DA52-DK52,0)</f>
        <v/>
      </c>
      <c r="DM52" s="7">
        <f>IF(19=0,0,DZ51)</f>
        <v/>
      </c>
      <c r="DN52" s="7">
        <f>IF(AND(DL52&gt;0,J52&gt;0),MIN(DL52,MIN(prestamos_topeAnualPosgrado*MIN(1,J52),MAX(0,prestamos_topeTotalPosgrado-DM52))),0)</f>
        <v/>
      </c>
      <c r="DO52" s="7">
        <f>IF(AND(DL52&gt;0,J52&gt;0),DL52-DN52,0)</f>
        <v/>
      </c>
      <c r="DP52" s="7">
        <f>IF(AND(DL52&gt;0,J52&lt;=0),DL52,0)</f>
        <v/>
      </c>
      <c r="DQ52" s="7">
        <f>IF(DA52&gt;=0,DG52-DH52-DI52,-DK52)</f>
        <v/>
      </c>
      <c r="DR52" s="7">
        <f>BD52*(1+DD52)+DQ52*(1+DD52/2)</f>
        <v/>
      </c>
      <c r="DS52" s="7">
        <f>IF(19=0,personal_retiroInicial,DS51)*(1+g_ret)+(O52+P52+DH52)*(1+g_ret/2)</f>
        <v/>
      </c>
      <c r="DT52" s="7">
        <f>IF(BB52=1,BL52*(1+g_appr),0)</f>
        <v/>
      </c>
      <c r="DU52" s="7">
        <f>BP52-DJ52</f>
        <v/>
      </c>
      <c r="DV52" s="7">
        <f>BT52-(DI52-DJ52)</f>
        <v/>
      </c>
      <c r="DW52" s="7">
        <f>CP52+DN52</f>
        <v/>
      </c>
      <c r="DX52" s="7">
        <f>IF(DN52&gt;0,(CP52*CF52+DN52*prestamos_tasaFederalPosgrado)/(CP52+DN52),CF52)</f>
        <v/>
      </c>
      <c r="DY52" s="7">
        <f>IF(DN52&gt;0,0,CQ52)</f>
        <v/>
      </c>
      <c r="DZ52" s="7">
        <f>DM52+DN52</f>
        <v/>
      </c>
      <c r="EA52" s="7">
        <f>CV52+DO52</f>
        <v/>
      </c>
      <c r="EB52" s="7">
        <f>IF(DO52&gt;0,(CV52*CS52+DO52*prestamos_tasaPrivada)/(CV52+DO52),CS52)</f>
        <v/>
      </c>
      <c r="EC52" s="7">
        <f>IF(DO52&gt;0,0,CW52)</f>
        <v/>
      </c>
      <c r="ED52" s="7">
        <f>CX52-DE52+DP52</f>
        <v/>
      </c>
      <c r="EE52" s="7">
        <f>IF(IF(19=0,"",EE51)&lt;&gt;"",EE51,IF(AND(BB52=1,DU52&lt;=0.5,DV52&lt;=0.5,OR(BH52=0,BJ52=1)),A52,""))</f>
        <v/>
      </c>
      <c r="EF52" s="7">
        <f>DU52+DV52+DW52+EA52+ED52+CD52</f>
        <v/>
      </c>
      <c r="EG52" s="7">
        <f>DR52+DS52+DT52-EF52</f>
        <v/>
      </c>
      <c r="EH52" s="7">
        <f>EG52/(1+g_inf)^(A52+1-2026)</f>
        <v/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EH52"/>
  <sheetViews>
    <sheetView workbookViewId="0">
      <pane xSplit="1" ySplit="32" topLeftCell="B3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0" customWidth="1" min="1" max="1"/>
  </cols>
  <sheetData>
    <row r="1">
      <c r="A1" s="1" t="inlineStr">
        <is>
          <t>B1 · MD: match al primer intento</t>
        </is>
      </c>
    </row>
    <row r="2">
      <c r="A2" s="2" t="inlineStr">
        <is>
          <t>Etapas (celdas azules editables; fechas decimales: 2027.67 = sep-2027). Traslape por año en columnas T→AM. Hitos con costo en AN→AP.</t>
        </is>
      </c>
    </row>
    <row r="4">
      <c r="A4" s="5" t="inlineStr">
        <is>
          <t>Etapa</t>
        </is>
      </c>
      <c r="B4" s="5" t="inlineStr">
        <is>
          <t>Inicio</t>
        </is>
      </c>
      <c r="C4" s="5" t="inlineStr">
        <is>
          <t>Fin</t>
        </is>
      </c>
      <c r="D4" s="5" t="inlineStr">
        <is>
          <t>Rol</t>
        </is>
      </c>
      <c r="E4" s="5" t="inlineStr">
        <is>
          <t>Salario base FT 2026 ($)</t>
        </is>
      </c>
      <c r="F4" s="5" t="inlineStr">
        <is>
          <t>Aumento anual</t>
        </is>
      </c>
      <c r="G4" s="5" t="inlineStr">
        <is>
          <t>Horas (FTE)</t>
        </is>
      </c>
      <c r="H4" s="5" t="inlineStr">
        <is>
          <t>Multiplicador</t>
        </is>
      </c>
      <c r="I4" s="5" t="inlineStr">
        <is>
          <t>Bono al inicio</t>
        </is>
      </c>
      <c r="J4" s="5" t="inlineStr">
        <is>
          <t>Matrícula total (2026$)</t>
        </is>
      </c>
      <c r="K4" s="5" t="inlineStr">
        <is>
          <t>Estudio (1/0)</t>
        </is>
      </c>
      <c r="L4" s="5" t="inlineStr">
        <is>
          <t>PSLF (1/0)</t>
        </is>
      </c>
      <c r="M4" s="5" t="inlineStr">
        <is>
          <t>Match 403b (1/0)</t>
        </is>
      </c>
      <c r="N4" s="5" t="inlineStr">
        <is>
          <t>Travel (1/0)</t>
        </is>
      </c>
      <c r="O4" s="5" t="inlineStr">
        <is>
          <t>% stipend libre</t>
        </is>
      </c>
      <c r="P4" s="5" t="inlineStr">
        <is>
          <t>S-corp anual base</t>
        </is>
      </c>
      <c r="Q4" s="5" t="inlineStr">
        <is>
          <t>Autoempleo anual base</t>
        </is>
      </c>
      <c r="R4" s="5" t="inlineStr">
        <is>
          <t>Attending (1/0)</t>
        </is>
      </c>
      <c r="T4" s="8" t="n">
        <v>2027</v>
      </c>
      <c r="U4" s="8" t="n">
        <v>2028</v>
      </c>
      <c r="V4" s="8" t="n">
        <v>2029</v>
      </c>
      <c r="W4" s="8" t="n">
        <v>2030</v>
      </c>
      <c r="X4" s="8" t="n">
        <v>2031</v>
      </c>
      <c r="Y4" s="8" t="n">
        <v>2032</v>
      </c>
      <c r="Z4" s="8" t="n">
        <v>2033</v>
      </c>
      <c r="AA4" s="8" t="n">
        <v>2034</v>
      </c>
      <c r="AB4" s="8" t="n">
        <v>2035</v>
      </c>
      <c r="AC4" s="8" t="n">
        <v>2036</v>
      </c>
      <c r="AD4" s="8" t="n">
        <v>2037</v>
      </c>
      <c r="AE4" s="8" t="n">
        <v>2038</v>
      </c>
      <c r="AF4" s="8" t="n">
        <v>2039</v>
      </c>
      <c r="AG4" s="8" t="n">
        <v>2040</v>
      </c>
      <c r="AH4" s="8" t="n">
        <v>2041</v>
      </c>
      <c r="AI4" s="8" t="n">
        <v>2042</v>
      </c>
      <c r="AJ4" s="8" t="n">
        <v>2043</v>
      </c>
      <c r="AK4" s="8" t="n">
        <v>2044</v>
      </c>
      <c r="AL4" s="8" t="n">
        <v>2045</v>
      </c>
      <c r="AM4" s="8" t="n">
        <v>2046</v>
      </c>
      <c r="AN4" s="5" t="inlineStr">
        <is>
          <t>Hito</t>
        </is>
      </c>
      <c r="AO4" s="5" t="inlineStr">
        <is>
          <t>Fecha</t>
        </is>
      </c>
      <c r="AP4" s="5" t="inlineStr">
        <is>
          <t>Costo (2026$)</t>
        </is>
      </c>
    </row>
    <row r="5">
      <c r="A5" t="inlineStr">
        <is>
          <t>Case manager + estudio USMLE</t>
        </is>
      </c>
      <c r="B5" s="3" t="n">
        <v>2027</v>
      </c>
      <c r="C5" s="3" t="n">
        <v>2027.5</v>
      </c>
      <c r="D5" t="inlineStr">
        <is>
          <t>cm</t>
        </is>
      </c>
      <c r="E5">
        <f>personal_tarifaHora*2080*loc_factorRN/ubic_miami_factorRN</f>
        <v/>
      </c>
      <c r="F5">
        <f>roles_cm_aumento</f>
        <v/>
      </c>
      <c r="G5">
        <f>md_horasTrabajoEstudiando/40</f>
        <v/>
      </c>
      <c r="H5" s="3" t="n">
        <v>1</v>
      </c>
      <c r="I5" s="3" t="n">
        <v>0</v>
      </c>
      <c r="J5" s="3" t="n">
        <v>0</v>
      </c>
      <c r="K5" s="3" t="n">
        <v>0</v>
      </c>
      <c r="L5" s="3" t="n">
        <v>1</v>
      </c>
      <c r="M5" s="3" t="n">
        <v>1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T5">
        <f>MAX(0,MIN($C5,T$4+1)-MAX($B5,T$4))</f>
        <v/>
      </c>
      <c r="U5">
        <f>MAX(0,MIN($C5,U$4+1)-MAX($B5,U$4))</f>
        <v/>
      </c>
      <c r="V5">
        <f>MAX(0,MIN($C5,V$4+1)-MAX($B5,V$4))</f>
        <v/>
      </c>
      <c r="W5">
        <f>MAX(0,MIN($C5,W$4+1)-MAX($B5,W$4))</f>
        <v/>
      </c>
      <c r="X5">
        <f>MAX(0,MIN($C5,X$4+1)-MAX($B5,X$4))</f>
        <v/>
      </c>
      <c r="Y5">
        <f>MAX(0,MIN($C5,Y$4+1)-MAX($B5,Y$4))</f>
        <v/>
      </c>
      <c r="Z5">
        <f>MAX(0,MIN($C5,Z$4+1)-MAX($B5,Z$4))</f>
        <v/>
      </c>
      <c r="AA5">
        <f>MAX(0,MIN($C5,AA$4+1)-MAX($B5,AA$4))</f>
        <v/>
      </c>
      <c r="AB5">
        <f>MAX(0,MIN($C5,AB$4+1)-MAX($B5,AB$4))</f>
        <v/>
      </c>
      <c r="AC5">
        <f>MAX(0,MIN($C5,AC$4+1)-MAX($B5,AC$4))</f>
        <v/>
      </c>
      <c r="AD5">
        <f>MAX(0,MIN($C5,AD$4+1)-MAX($B5,AD$4))</f>
        <v/>
      </c>
      <c r="AE5">
        <f>MAX(0,MIN($C5,AE$4+1)-MAX($B5,AE$4))</f>
        <v/>
      </c>
      <c r="AF5">
        <f>MAX(0,MIN($C5,AF$4+1)-MAX($B5,AF$4))</f>
        <v/>
      </c>
      <c r="AG5">
        <f>MAX(0,MIN($C5,AG$4+1)-MAX($B5,AG$4))</f>
        <v/>
      </c>
      <c r="AH5">
        <f>MAX(0,MIN($C5,AH$4+1)-MAX($B5,AH$4))</f>
        <v/>
      </c>
      <c r="AI5">
        <f>MAX(0,MIN($C5,AI$4+1)-MAX($B5,AI$4))</f>
        <v/>
      </c>
      <c r="AJ5">
        <f>MAX(0,MIN($C5,AJ$4+1)-MAX($B5,AJ$4))</f>
        <v/>
      </c>
      <c r="AK5">
        <f>MAX(0,MIN($C5,AK$4+1)-MAX($B5,AK$4))</f>
        <v/>
      </c>
      <c r="AL5">
        <f>MAX(0,MIN($C5,AL$4+1)-MAX($B5,AL$4))</f>
        <v/>
      </c>
      <c r="AM5">
        <f>MAX(0,MIN($C5,AM$4+1)-MAX($B5,AM$4))</f>
        <v/>
      </c>
      <c r="AN5" t="inlineStr">
        <is>
          <t>Graduación RN-BSN</t>
        </is>
      </c>
      <c r="AO5" s="3" t="n">
        <v>2027.5</v>
      </c>
      <c r="AP5" s="3" t="n">
        <v>0</v>
      </c>
    </row>
    <row r="6">
      <c r="A6" t="inlineStr">
        <is>
          <t>Estudio dedicado Step 1 (sin sueldo)</t>
        </is>
      </c>
      <c r="B6" s="3" t="n">
        <v>2027.5</v>
      </c>
      <c r="C6" s="3" t="n">
        <v>2027.67</v>
      </c>
      <c r="D6" t="inlineStr"/>
      <c r="E6" t="n">
        <v>0</v>
      </c>
      <c r="F6" t="n">
        <v>0</v>
      </c>
      <c r="G6" s="3" t="n">
        <v>1</v>
      </c>
      <c r="H6" s="3" t="n">
        <v>1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  <c r="T6">
        <f>MAX(0,MIN($C6,T$4+1)-MAX($B6,T$4))</f>
        <v/>
      </c>
      <c r="U6">
        <f>MAX(0,MIN($C6,U$4+1)-MAX($B6,U$4))</f>
        <v/>
      </c>
      <c r="V6">
        <f>MAX(0,MIN($C6,V$4+1)-MAX($B6,V$4))</f>
        <v/>
      </c>
      <c r="W6">
        <f>MAX(0,MIN($C6,W$4+1)-MAX($B6,W$4))</f>
        <v/>
      </c>
      <c r="X6">
        <f>MAX(0,MIN($C6,X$4+1)-MAX($B6,X$4))</f>
        <v/>
      </c>
      <c r="Y6">
        <f>MAX(0,MIN($C6,Y$4+1)-MAX($B6,Y$4))</f>
        <v/>
      </c>
      <c r="Z6">
        <f>MAX(0,MIN($C6,Z$4+1)-MAX($B6,Z$4))</f>
        <v/>
      </c>
      <c r="AA6">
        <f>MAX(0,MIN($C6,AA$4+1)-MAX($B6,AA$4))</f>
        <v/>
      </c>
      <c r="AB6">
        <f>MAX(0,MIN($C6,AB$4+1)-MAX($B6,AB$4))</f>
        <v/>
      </c>
      <c r="AC6">
        <f>MAX(0,MIN($C6,AC$4+1)-MAX($B6,AC$4))</f>
        <v/>
      </c>
      <c r="AD6">
        <f>MAX(0,MIN($C6,AD$4+1)-MAX($B6,AD$4))</f>
        <v/>
      </c>
      <c r="AE6">
        <f>MAX(0,MIN($C6,AE$4+1)-MAX($B6,AE$4))</f>
        <v/>
      </c>
      <c r="AF6">
        <f>MAX(0,MIN($C6,AF$4+1)-MAX($B6,AF$4))</f>
        <v/>
      </c>
      <c r="AG6">
        <f>MAX(0,MIN($C6,AG$4+1)-MAX($B6,AG$4))</f>
        <v/>
      </c>
      <c r="AH6">
        <f>MAX(0,MIN($C6,AH$4+1)-MAX($B6,AH$4))</f>
        <v/>
      </c>
      <c r="AI6">
        <f>MAX(0,MIN($C6,AI$4+1)-MAX($B6,AI$4))</f>
        <v/>
      </c>
      <c r="AJ6">
        <f>MAX(0,MIN($C6,AJ$4+1)-MAX($B6,AJ$4))</f>
        <v/>
      </c>
      <c r="AK6">
        <f>MAX(0,MIN($C6,AK$4+1)-MAX($B6,AK$4))</f>
        <v/>
      </c>
      <c r="AL6">
        <f>MAX(0,MIN($C6,AL$4+1)-MAX($B6,AL$4))</f>
        <v/>
      </c>
      <c r="AM6">
        <f>MAX(0,MIN($C6,AM$4+1)-MAX($B6,AM$4))</f>
        <v/>
      </c>
      <c r="AN6" t="inlineStr">
        <is>
          <t>Matrícula restante BSN</t>
        </is>
      </c>
      <c r="AO6" s="3" t="n">
        <v>2027</v>
      </c>
      <c r="AP6" s="3">
        <f>personal_bsnCostoRestante</f>
        <v/>
      </c>
    </row>
    <row r="7">
      <c r="A7" t="inlineStr">
        <is>
          <t>Case manager + estudio Step 2 CK (BSN)</t>
        </is>
      </c>
      <c r="B7" s="3" t="n">
        <v>2027.67</v>
      </c>
      <c r="C7" s="3" t="n">
        <v>2028.15</v>
      </c>
      <c r="D7" t="inlineStr">
        <is>
          <t>cm</t>
        </is>
      </c>
      <c r="E7">
        <f>personal_tarifaHora*2080*loc_factorRN/ubic_miami_factorRN</f>
        <v/>
      </c>
      <c r="F7">
        <f>roles_cm_aumento</f>
        <v/>
      </c>
      <c r="G7">
        <f>md_horasTrabajoEstudiando/40</f>
        <v/>
      </c>
      <c r="H7">
        <f>1+personal_bsnAumento</f>
        <v/>
      </c>
      <c r="I7" s="3" t="n">
        <v>0</v>
      </c>
      <c r="J7" s="3" t="n">
        <v>0</v>
      </c>
      <c r="K7" s="3" t="n">
        <v>0</v>
      </c>
      <c r="L7" s="3" t="n">
        <v>1</v>
      </c>
      <c r="M7" s="3" t="n">
        <v>1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T7">
        <f>MAX(0,MIN($C7,T$4+1)-MAX($B7,T$4))</f>
        <v/>
      </c>
      <c r="U7">
        <f>MAX(0,MIN($C7,U$4+1)-MAX($B7,U$4))</f>
        <v/>
      </c>
      <c r="V7">
        <f>MAX(0,MIN($C7,V$4+1)-MAX($B7,V$4))</f>
        <v/>
      </c>
      <c r="W7">
        <f>MAX(0,MIN($C7,W$4+1)-MAX($B7,W$4))</f>
        <v/>
      </c>
      <c r="X7">
        <f>MAX(0,MIN($C7,X$4+1)-MAX($B7,X$4))</f>
        <v/>
      </c>
      <c r="Y7">
        <f>MAX(0,MIN($C7,Y$4+1)-MAX($B7,Y$4))</f>
        <v/>
      </c>
      <c r="Z7">
        <f>MAX(0,MIN($C7,Z$4+1)-MAX($B7,Z$4))</f>
        <v/>
      </c>
      <c r="AA7">
        <f>MAX(0,MIN($C7,AA$4+1)-MAX($B7,AA$4))</f>
        <v/>
      </c>
      <c r="AB7">
        <f>MAX(0,MIN($C7,AB$4+1)-MAX($B7,AB$4))</f>
        <v/>
      </c>
      <c r="AC7">
        <f>MAX(0,MIN($C7,AC$4+1)-MAX($B7,AC$4))</f>
        <v/>
      </c>
      <c r="AD7">
        <f>MAX(0,MIN($C7,AD$4+1)-MAX($B7,AD$4))</f>
        <v/>
      </c>
      <c r="AE7">
        <f>MAX(0,MIN($C7,AE$4+1)-MAX($B7,AE$4))</f>
        <v/>
      </c>
      <c r="AF7">
        <f>MAX(0,MIN($C7,AF$4+1)-MAX($B7,AF$4))</f>
        <v/>
      </c>
      <c r="AG7">
        <f>MAX(0,MIN($C7,AG$4+1)-MAX($B7,AG$4))</f>
        <v/>
      </c>
      <c r="AH7">
        <f>MAX(0,MIN($C7,AH$4+1)-MAX($B7,AH$4))</f>
        <v/>
      </c>
      <c r="AI7">
        <f>MAX(0,MIN($C7,AI$4+1)-MAX($B7,AI$4))</f>
        <v/>
      </c>
      <c r="AJ7">
        <f>MAX(0,MIN($C7,AJ$4+1)-MAX($B7,AJ$4))</f>
        <v/>
      </c>
      <c r="AK7">
        <f>MAX(0,MIN($C7,AK$4+1)-MAX($B7,AK$4))</f>
        <v/>
      </c>
      <c r="AL7">
        <f>MAX(0,MIN($C7,AL$4+1)-MAX($B7,AL$4))</f>
        <v/>
      </c>
      <c r="AM7">
        <f>MAX(0,MIN($C7,AM$4+1)-MAX($B7,AM$4))</f>
        <v/>
      </c>
      <c r="AN7" t="inlineStr">
        <is>
          <t>Step 1</t>
        </is>
      </c>
      <c r="AO7" s="3" t="n">
        <v>2027.67</v>
      </c>
      <c r="AP7" s="3">
        <f>md_costoStep1+md_costoPrepUSMLE</f>
        <v/>
      </c>
    </row>
    <row r="8">
      <c r="A8" t="inlineStr">
        <is>
          <t>Estudio dedicado Step 2 CK (sin sueldo)</t>
        </is>
      </c>
      <c r="B8" s="3" t="n">
        <v>2028.15</v>
      </c>
      <c r="C8" s="3" t="n">
        <v>2028.27</v>
      </c>
      <c r="D8" t="inlineStr"/>
      <c r="E8" t="n">
        <v>0</v>
      </c>
      <c r="F8" t="n">
        <v>0</v>
      </c>
      <c r="G8" s="3" t="n">
        <v>1</v>
      </c>
      <c r="H8" s="3" t="n">
        <v>1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T8">
        <f>MAX(0,MIN($C8,T$4+1)-MAX($B8,T$4))</f>
        <v/>
      </c>
      <c r="U8">
        <f>MAX(0,MIN($C8,U$4+1)-MAX($B8,U$4))</f>
        <v/>
      </c>
      <c r="V8">
        <f>MAX(0,MIN($C8,V$4+1)-MAX($B8,V$4))</f>
        <v/>
      </c>
      <c r="W8">
        <f>MAX(0,MIN($C8,W$4+1)-MAX($B8,W$4))</f>
        <v/>
      </c>
      <c r="X8">
        <f>MAX(0,MIN($C8,X$4+1)-MAX($B8,X$4))</f>
        <v/>
      </c>
      <c r="Y8">
        <f>MAX(0,MIN($C8,Y$4+1)-MAX($B8,Y$4))</f>
        <v/>
      </c>
      <c r="Z8">
        <f>MAX(0,MIN($C8,Z$4+1)-MAX($B8,Z$4))</f>
        <v/>
      </c>
      <c r="AA8">
        <f>MAX(0,MIN($C8,AA$4+1)-MAX($B8,AA$4))</f>
        <v/>
      </c>
      <c r="AB8">
        <f>MAX(0,MIN($C8,AB$4+1)-MAX($B8,AB$4))</f>
        <v/>
      </c>
      <c r="AC8">
        <f>MAX(0,MIN($C8,AC$4+1)-MAX($B8,AC$4))</f>
        <v/>
      </c>
      <c r="AD8">
        <f>MAX(0,MIN($C8,AD$4+1)-MAX($B8,AD$4))</f>
        <v/>
      </c>
      <c r="AE8">
        <f>MAX(0,MIN($C8,AE$4+1)-MAX($B8,AE$4))</f>
        <v/>
      </c>
      <c r="AF8">
        <f>MAX(0,MIN($C8,AF$4+1)-MAX($B8,AF$4))</f>
        <v/>
      </c>
      <c r="AG8">
        <f>MAX(0,MIN($C8,AG$4+1)-MAX($B8,AG$4))</f>
        <v/>
      </c>
      <c r="AH8">
        <f>MAX(0,MIN($C8,AH$4+1)-MAX($B8,AH$4))</f>
        <v/>
      </c>
      <c r="AI8">
        <f>MAX(0,MIN($C8,AI$4+1)-MAX($B8,AI$4))</f>
        <v/>
      </c>
      <c r="AJ8">
        <f>MAX(0,MIN($C8,AJ$4+1)-MAX($B8,AJ$4))</f>
        <v/>
      </c>
      <c r="AK8">
        <f>MAX(0,MIN($C8,AK$4+1)-MAX($B8,AK$4))</f>
        <v/>
      </c>
      <c r="AL8">
        <f>MAX(0,MIN($C8,AL$4+1)-MAX($B8,AL$4))</f>
        <v/>
      </c>
      <c r="AM8">
        <f>MAX(0,MIN($C8,AM$4+1)-MAX($B8,AM$4))</f>
        <v/>
      </c>
      <c r="AN8" t="inlineStr">
        <is>
          <t>Step 2 CK + ECFMG/OET</t>
        </is>
      </c>
      <c r="AO8" s="3" t="n">
        <v>2028.27</v>
      </c>
      <c r="AP8" s="3">
        <f>md_costoStep2+md_costoECFMG</f>
        <v/>
      </c>
    </row>
    <row r="9">
      <c r="A9" t="inlineStr">
        <is>
          <t>USCE (observership/externship)</t>
        </is>
      </c>
      <c r="B9" s="3" t="n">
        <v>2028.27</v>
      </c>
      <c r="C9" s="3" t="n">
        <v>2028.52</v>
      </c>
      <c r="D9" t="inlineStr"/>
      <c r="E9" t="n">
        <v>0</v>
      </c>
      <c r="F9" t="n">
        <v>0</v>
      </c>
      <c r="G9" s="3" t="n">
        <v>1</v>
      </c>
      <c r="H9" s="3" t="n">
        <v>1</v>
      </c>
      <c r="I9" s="3" t="n">
        <v>0</v>
      </c>
      <c r="J9">
        <f>md_usceCostoMes*12*md_usceDuracion</f>
        <v/>
      </c>
      <c r="K9" s="3" t="n">
        <v>0</v>
      </c>
      <c r="L9" s="3" t="n">
        <v>0</v>
      </c>
      <c r="M9" s="3" t="n">
        <v>0</v>
      </c>
      <c r="N9" s="3" t="n">
        <v>0</v>
      </c>
      <c r="O9" s="3" t="n">
        <v>0</v>
      </c>
      <c r="P9" s="3" t="n">
        <v>0</v>
      </c>
      <c r="Q9" s="3" t="n">
        <v>0</v>
      </c>
      <c r="R9" s="3" t="n">
        <v>0</v>
      </c>
      <c r="T9">
        <f>MAX(0,MIN($C9,T$4+1)-MAX($B9,T$4))</f>
        <v/>
      </c>
      <c r="U9">
        <f>MAX(0,MIN($C9,U$4+1)-MAX($B9,U$4))</f>
        <v/>
      </c>
      <c r="V9">
        <f>MAX(0,MIN($C9,V$4+1)-MAX($B9,V$4))</f>
        <v/>
      </c>
      <c r="W9">
        <f>MAX(0,MIN($C9,W$4+1)-MAX($B9,W$4))</f>
        <v/>
      </c>
      <c r="X9">
        <f>MAX(0,MIN($C9,X$4+1)-MAX($B9,X$4))</f>
        <v/>
      </c>
      <c r="Y9">
        <f>MAX(0,MIN($C9,Y$4+1)-MAX($B9,Y$4))</f>
        <v/>
      </c>
      <c r="Z9">
        <f>MAX(0,MIN($C9,Z$4+1)-MAX($B9,Z$4))</f>
        <v/>
      </c>
      <c r="AA9">
        <f>MAX(0,MIN($C9,AA$4+1)-MAX($B9,AA$4))</f>
        <v/>
      </c>
      <c r="AB9">
        <f>MAX(0,MIN($C9,AB$4+1)-MAX($B9,AB$4))</f>
        <v/>
      </c>
      <c r="AC9">
        <f>MAX(0,MIN($C9,AC$4+1)-MAX($B9,AC$4))</f>
        <v/>
      </c>
      <c r="AD9">
        <f>MAX(0,MIN($C9,AD$4+1)-MAX($B9,AD$4))</f>
        <v/>
      </c>
      <c r="AE9">
        <f>MAX(0,MIN($C9,AE$4+1)-MAX($B9,AE$4))</f>
        <v/>
      </c>
      <c r="AF9">
        <f>MAX(0,MIN($C9,AF$4+1)-MAX($B9,AF$4))</f>
        <v/>
      </c>
      <c r="AG9">
        <f>MAX(0,MIN($C9,AG$4+1)-MAX($B9,AG$4))</f>
        <v/>
      </c>
      <c r="AH9">
        <f>MAX(0,MIN($C9,AH$4+1)-MAX($B9,AH$4))</f>
        <v/>
      </c>
      <c r="AI9">
        <f>MAX(0,MIN($C9,AI$4+1)-MAX($B9,AI$4))</f>
        <v/>
      </c>
      <c r="AJ9">
        <f>MAX(0,MIN($C9,AJ$4+1)-MAX($B9,AJ$4))</f>
        <v/>
      </c>
      <c r="AK9">
        <f>MAX(0,MIN($C9,AK$4+1)-MAX($B9,AK$4))</f>
        <v/>
      </c>
      <c r="AL9">
        <f>MAX(0,MIN($C9,AL$4+1)-MAX($B9,AL$4))</f>
        <v/>
      </c>
      <c r="AM9">
        <f>MAX(0,MIN($C9,AM$4+1)-MAX($B9,AM$4))</f>
        <v/>
      </c>
      <c r="AN9" t="inlineStr">
        <is>
          <t>ERAS</t>
        </is>
      </c>
      <c r="AO9" s="3" t="n">
        <v>2028.7</v>
      </c>
      <c r="AP9" s="3">
        <f>md_costoERAS+md_costoEntrevistas</f>
        <v/>
      </c>
    </row>
    <row r="10">
      <c r="A10" t="inlineStr">
        <is>
          <t>Case manager (temporada de entrevistas) (BSN)</t>
        </is>
      </c>
      <c r="B10" s="3" t="n">
        <v>2028.52</v>
      </c>
      <c r="C10" s="3" t="n">
        <v>2029.5</v>
      </c>
      <c r="D10" t="inlineStr">
        <is>
          <t>cm</t>
        </is>
      </c>
      <c r="E10">
        <f>personal_tarifaHora*2080*loc_factorRN/ubic_miami_factorRN</f>
        <v/>
      </c>
      <c r="F10">
        <f>roles_cm_aumento</f>
        <v/>
      </c>
      <c r="G10">
        <f>personal_horasSemana/40</f>
        <v/>
      </c>
      <c r="H10">
        <f>1+personal_bsnAumento</f>
        <v/>
      </c>
      <c r="I10" s="3" t="n">
        <v>0</v>
      </c>
      <c r="J10" s="3" t="n">
        <v>0</v>
      </c>
      <c r="K10" s="3" t="n">
        <v>0</v>
      </c>
      <c r="L10" s="3" t="n">
        <v>1</v>
      </c>
      <c r="M10" s="3" t="n">
        <v>1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T10">
        <f>MAX(0,MIN($C10,T$4+1)-MAX($B10,T$4))</f>
        <v/>
      </c>
      <c r="U10">
        <f>MAX(0,MIN($C10,U$4+1)-MAX($B10,U$4))</f>
        <v/>
      </c>
      <c r="V10">
        <f>MAX(0,MIN($C10,V$4+1)-MAX($B10,V$4))</f>
        <v/>
      </c>
      <c r="W10">
        <f>MAX(0,MIN($C10,W$4+1)-MAX($B10,W$4))</f>
        <v/>
      </c>
      <c r="X10">
        <f>MAX(0,MIN($C10,X$4+1)-MAX($B10,X$4))</f>
        <v/>
      </c>
      <c r="Y10">
        <f>MAX(0,MIN($C10,Y$4+1)-MAX($B10,Y$4))</f>
        <v/>
      </c>
      <c r="Z10">
        <f>MAX(0,MIN($C10,Z$4+1)-MAX($B10,Z$4))</f>
        <v/>
      </c>
      <c r="AA10">
        <f>MAX(0,MIN($C10,AA$4+1)-MAX($B10,AA$4))</f>
        <v/>
      </c>
      <c r="AB10">
        <f>MAX(0,MIN($C10,AB$4+1)-MAX($B10,AB$4))</f>
        <v/>
      </c>
      <c r="AC10">
        <f>MAX(0,MIN($C10,AC$4+1)-MAX($B10,AC$4))</f>
        <v/>
      </c>
      <c r="AD10">
        <f>MAX(0,MIN($C10,AD$4+1)-MAX($B10,AD$4))</f>
        <v/>
      </c>
      <c r="AE10">
        <f>MAX(0,MIN($C10,AE$4+1)-MAX($B10,AE$4))</f>
        <v/>
      </c>
      <c r="AF10">
        <f>MAX(0,MIN($C10,AF$4+1)-MAX($B10,AF$4))</f>
        <v/>
      </c>
      <c r="AG10">
        <f>MAX(0,MIN($C10,AG$4+1)-MAX($B10,AG$4))</f>
        <v/>
      </c>
      <c r="AH10">
        <f>MAX(0,MIN($C10,AH$4+1)-MAX($B10,AH$4))</f>
        <v/>
      </c>
      <c r="AI10">
        <f>MAX(0,MIN($C10,AI$4+1)-MAX($B10,AI$4))</f>
        <v/>
      </c>
      <c r="AJ10">
        <f>MAX(0,MIN($C10,AJ$4+1)-MAX($B10,AJ$4))</f>
        <v/>
      </c>
      <c r="AK10">
        <f>MAX(0,MIN($C10,AK$4+1)-MAX($B10,AK$4))</f>
        <v/>
      </c>
      <c r="AL10">
        <f>MAX(0,MIN($C10,AL$4+1)-MAX($B10,AL$4))</f>
        <v/>
      </c>
      <c r="AM10">
        <f>MAX(0,MIN($C10,AM$4+1)-MAX($B10,AM$4))</f>
        <v/>
      </c>
      <c r="AN10" t="inlineStr">
        <is>
          <t>Match ✔</t>
        </is>
      </c>
      <c r="AO10" s="3" t="n">
        <v>2029.21</v>
      </c>
      <c r="AP10" s="3" t="n">
        <v>0</v>
      </c>
    </row>
    <row r="11">
      <c r="A11" t="inlineStr">
        <is>
          <t>Residencia PGY-1</t>
        </is>
      </c>
      <c r="B11" s="3" t="n">
        <v>2029.5</v>
      </c>
      <c r="C11" s="3" t="n">
        <v>2030.5</v>
      </c>
      <c r="D11" t="inlineStr">
        <is>
          <t>residente</t>
        </is>
      </c>
      <c r="E11">
        <f>loc_residentePGY1</f>
        <v/>
      </c>
      <c r="F11">
        <f>g_inf+0.005</f>
        <v/>
      </c>
      <c r="G11" s="3" t="n">
        <v>1</v>
      </c>
      <c r="H11" s="3" t="n">
        <v>1</v>
      </c>
      <c r="I11" s="3" t="n">
        <v>0</v>
      </c>
      <c r="J11" s="3" t="n">
        <v>0</v>
      </c>
      <c r="K11" s="3" t="n">
        <v>0</v>
      </c>
      <c r="L11">
        <f>md_residentePslf</f>
        <v/>
      </c>
      <c r="M11" s="3" t="n">
        <v>0</v>
      </c>
      <c r="N11" s="3" t="n">
        <v>0</v>
      </c>
      <c r="O11" s="3" t="n">
        <v>0</v>
      </c>
      <c r="P11" s="3" t="n">
        <v>0</v>
      </c>
      <c r="Q11" s="3" t="n">
        <v>0</v>
      </c>
      <c r="R11" s="3" t="n">
        <v>0</v>
      </c>
      <c r="T11">
        <f>MAX(0,MIN($C11,T$4+1)-MAX($B11,T$4))</f>
        <v/>
      </c>
      <c r="U11">
        <f>MAX(0,MIN($C11,U$4+1)-MAX($B11,U$4))</f>
        <v/>
      </c>
      <c r="V11">
        <f>MAX(0,MIN($C11,V$4+1)-MAX($B11,V$4))</f>
        <v/>
      </c>
      <c r="W11">
        <f>MAX(0,MIN($C11,W$4+1)-MAX($B11,W$4))</f>
        <v/>
      </c>
      <c r="X11">
        <f>MAX(0,MIN($C11,X$4+1)-MAX($B11,X$4))</f>
        <v/>
      </c>
      <c r="Y11">
        <f>MAX(0,MIN($C11,Y$4+1)-MAX($B11,Y$4))</f>
        <v/>
      </c>
      <c r="Z11">
        <f>MAX(0,MIN($C11,Z$4+1)-MAX($B11,Z$4))</f>
        <v/>
      </c>
      <c r="AA11">
        <f>MAX(0,MIN($C11,AA$4+1)-MAX($B11,AA$4))</f>
        <v/>
      </c>
      <c r="AB11">
        <f>MAX(0,MIN($C11,AB$4+1)-MAX($B11,AB$4))</f>
        <v/>
      </c>
      <c r="AC11">
        <f>MAX(0,MIN($C11,AC$4+1)-MAX($B11,AC$4))</f>
        <v/>
      </c>
      <c r="AD11">
        <f>MAX(0,MIN($C11,AD$4+1)-MAX($B11,AD$4))</f>
        <v/>
      </c>
      <c r="AE11">
        <f>MAX(0,MIN($C11,AE$4+1)-MAX($B11,AE$4))</f>
        <v/>
      </c>
      <c r="AF11">
        <f>MAX(0,MIN($C11,AF$4+1)-MAX($B11,AF$4))</f>
        <v/>
      </c>
      <c r="AG11">
        <f>MAX(0,MIN($C11,AG$4+1)-MAX($B11,AG$4))</f>
        <v/>
      </c>
      <c r="AH11">
        <f>MAX(0,MIN($C11,AH$4+1)-MAX($B11,AH$4))</f>
        <v/>
      </c>
      <c r="AI11">
        <f>MAX(0,MIN($C11,AI$4+1)-MAX($B11,AI$4))</f>
        <v/>
      </c>
      <c r="AJ11">
        <f>MAX(0,MIN($C11,AJ$4+1)-MAX($B11,AJ$4))</f>
        <v/>
      </c>
      <c r="AK11">
        <f>MAX(0,MIN($C11,AK$4+1)-MAX($B11,AK$4))</f>
        <v/>
      </c>
      <c r="AL11">
        <f>MAX(0,MIN($C11,AL$4+1)-MAX($B11,AL$4))</f>
        <v/>
      </c>
      <c r="AM11">
        <f>MAX(0,MIN($C11,AM$4+1)-MAX($B11,AM$4))</f>
        <v/>
      </c>
      <c r="AN11" t="inlineStr">
        <is>
          <t>Mudanza a residencia</t>
        </is>
      </c>
      <c r="AO11" s="3" t="n">
        <v>2029.5</v>
      </c>
      <c r="AP11" s="3">
        <f>md_costoMudanza</f>
        <v/>
      </c>
    </row>
    <row r="12">
      <c r="A12" t="inlineStr">
        <is>
          <t>Residencia PGY-2</t>
        </is>
      </c>
      <c r="B12" s="3" t="n">
        <v>2030.5</v>
      </c>
      <c r="C12" s="3" t="n">
        <v>2031.5</v>
      </c>
      <c r="D12" t="inlineStr">
        <is>
          <t>residente</t>
        </is>
      </c>
      <c r="E12">
        <f>loc_residentePGY1</f>
        <v/>
      </c>
      <c r="F12">
        <f>g_inf+0.005</f>
        <v/>
      </c>
      <c r="G12" s="3" t="n">
        <v>1</v>
      </c>
      <c r="H12">
        <f>(1+roles_residente_aumento)^1</f>
        <v/>
      </c>
      <c r="I12" s="3" t="n">
        <v>0</v>
      </c>
      <c r="J12" s="3" t="n">
        <v>0</v>
      </c>
      <c r="K12" s="3" t="n">
        <v>0</v>
      </c>
      <c r="L12">
        <f>md_residentePslf</f>
        <v/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T12">
        <f>MAX(0,MIN($C12,T$4+1)-MAX($B12,T$4))</f>
        <v/>
      </c>
      <c r="U12">
        <f>MAX(0,MIN($C12,U$4+1)-MAX($B12,U$4))</f>
        <v/>
      </c>
      <c r="V12">
        <f>MAX(0,MIN($C12,V$4+1)-MAX($B12,V$4))</f>
        <v/>
      </c>
      <c r="W12">
        <f>MAX(0,MIN($C12,W$4+1)-MAX($B12,W$4))</f>
        <v/>
      </c>
      <c r="X12">
        <f>MAX(0,MIN($C12,X$4+1)-MAX($B12,X$4))</f>
        <v/>
      </c>
      <c r="Y12">
        <f>MAX(0,MIN($C12,Y$4+1)-MAX($B12,Y$4))</f>
        <v/>
      </c>
      <c r="Z12">
        <f>MAX(0,MIN($C12,Z$4+1)-MAX($B12,Z$4))</f>
        <v/>
      </c>
      <c r="AA12">
        <f>MAX(0,MIN($C12,AA$4+1)-MAX($B12,AA$4))</f>
        <v/>
      </c>
      <c r="AB12">
        <f>MAX(0,MIN($C12,AB$4+1)-MAX($B12,AB$4))</f>
        <v/>
      </c>
      <c r="AC12">
        <f>MAX(0,MIN($C12,AC$4+1)-MAX($B12,AC$4))</f>
        <v/>
      </c>
      <c r="AD12">
        <f>MAX(0,MIN($C12,AD$4+1)-MAX($B12,AD$4))</f>
        <v/>
      </c>
      <c r="AE12">
        <f>MAX(0,MIN($C12,AE$4+1)-MAX($B12,AE$4))</f>
        <v/>
      </c>
      <c r="AF12">
        <f>MAX(0,MIN($C12,AF$4+1)-MAX($B12,AF$4))</f>
        <v/>
      </c>
      <c r="AG12">
        <f>MAX(0,MIN($C12,AG$4+1)-MAX($B12,AG$4))</f>
        <v/>
      </c>
      <c r="AH12">
        <f>MAX(0,MIN($C12,AH$4+1)-MAX($B12,AH$4))</f>
        <v/>
      </c>
      <c r="AI12">
        <f>MAX(0,MIN($C12,AI$4+1)-MAX($B12,AI$4))</f>
        <v/>
      </c>
      <c r="AJ12">
        <f>MAX(0,MIN($C12,AJ$4+1)-MAX($B12,AJ$4))</f>
        <v/>
      </c>
      <c r="AK12">
        <f>MAX(0,MIN($C12,AK$4+1)-MAX($B12,AK$4))</f>
        <v/>
      </c>
      <c r="AL12">
        <f>MAX(0,MIN($C12,AL$4+1)-MAX($B12,AL$4))</f>
        <v/>
      </c>
      <c r="AM12">
        <f>MAX(0,MIN($C12,AM$4+1)-MAX($B12,AM$4))</f>
        <v/>
      </c>
      <c r="AN12" t="inlineStr">
        <is>
          <t>Step 3 + licencia + boards</t>
        </is>
      </c>
      <c r="AO12" s="3" t="n">
        <v>2032</v>
      </c>
      <c r="AP12" s="3">
        <f>md_costoLicencia</f>
        <v/>
      </c>
    </row>
    <row r="13">
      <c r="A13" t="inlineStr">
        <is>
          <t>Residencia PGY-3</t>
        </is>
      </c>
      <c r="B13" s="3" t="n">
        <v>2031.5</v>
      </c>
      <c r="C13" s="3" t="n">
        <v>2032.5</v>
      </c>
      <c r="D13" t="inlineStr">
        <is>
          <t>residente</t>
        </is>
      </c>
      <c r="E13">
        <f>loc_residentePGY1</f>
        <v/>
      </c>
      <c r="F13">
        <f>g_inf+0.005</f>
        <v/>
      </c>
      <c r="G13" s="3" t="n">
        <v>1</v>
      </c>
      <c r="H13">
        <f>(1+roles_residente_aumento)^2</f>
        <v/>
      </c>
      <c r="I13" s="3" t="n">
        <v>0</v>
      </c>
      <c r="J13" s="3" t="n">
        <v>0</v>
      </c>
      <c r="K13" s="3" t="n">
        <v>0</v>
      </c>
      <c r="L13">
        <f>md_residentePslf</f>
        <v/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T13">
        <f>MAX(0,MIN($C13,T$4+1)-MAX($B13,T$4))</f>
        <v/>
      </c>
      <c r="U13">
        <f>MAX(0,MIN($C13,U$4+1)-MAX($B13,U$4))</f>
        <v/>
      </c>
      <c r="V13">
        <f>MAX(0,MIN($C13,V$4+1)-MAX($B13,V$4))</f>
        <v/>
      </c>
      <c r="W13">
        <f>MAX(0,MIN($C13,W$4+1)-MAX($B13,W$4))</f>
        <v/>
      </c>
      <c r="X13">
        <f>MAX(0,MIN($C13,X$4+1)-MAX($B13,X$4))</f>
        <v/>
      </c>
      <c r="Y13">
        <f>MAX(0,MIN($C13,Y$4+1)-MAX($B13,Y$4))</f>
        <v/>
      </c>
      <c r="Z13">
        <f>MAX(0,MIN($C13,Z$4+1)-MAX($B13,Z$4))</f>
        <v/>
      </c>
      <c r="AA13">
        <f>MAX(0,MIN($C13,AA$4+1)-MAX($B13,AA$4))</f>
        <v/>
      </c>
      <c r="AB13">
        <f>MAX(0,MIN($C13,AB$4+1)-MAX($B13,AB$4))</f>
        <v/>
      </c>
      <c r="AC13">
        <f>MAX(0,MIN($C13,AC$4+1)-MAX($B13,AC$4))</f>
        <v/>
      </c>
      <c r="AD13">
        <f>MAX(0,MIN($C13,AD$4+1)-MAX($B13,AD$4))</f>
        <v/>
      </c>
      <c r="AE13">
        <f>MAX(0,MIN($C13,AE$4+1)-MAX($B13,AE$4))</f>
        <v/>
      </c>
      <c r="AF13">
        <f>MAX(0,MIN($C13,AF$4+1)-MAX($B13,AF$4))</f>
        <v/>
      </c>
      <c r="AG13">
        <f>MAX(0,MIN($C13,AG$4+1)-MAX($B13,AG$4))</f>
        <v/>
      </c>
      <c r="AH13">
        <f>MAX(0,MIN($C13,AH$4+1)-MAX($B13,AH$4))</f>
        <v/>
      </c>
      <c r="AI13">
        <f>MAX(0,MIN($C13,AI$4+1)-MAX($B13,AI$4))</f>
        <v/>
      </c>
      <c r="AJ13">
        <f>MAX(0,MIN($C13,AJ$4+1)-MAX($B13,AJ$4))</f>
        <v/>
      </c>
      <c r="AK13">
        <f>MAX(0,MIN($C13,AK$4+1)-MAX($B13,AK$4))</f>
        <v/>
      </c>
      <c r="AL13">
        <f>MAX(0,MIN($C13,AL$4+1)-MAX($B13,AL$4))</f>
        <v/>
      </c>
      <c r="AM13">
        <f>MAX(0,MIN($C13,AM$4+1)-MAX($B13,AM$4))</f>
        <v/>
      </c>
      <c r="AN13" t="inlineStr">
        <is>
          <t>Attending</t>
        </is>
      </c>
      <c r="AO13" s="3" t="n">
        <v>2032.5</v>
      </c>
      <c r="AP13" s="3" t="n">
        <v>0</v>
      </c>
    </row>
    <row r="14">
      <c r="A14" t="inlineStr">
        <is>
          <t>Attending hospitalista</t>
        </is>
      </c>
      <c r="B14" s="3" t="n">
        <v>2032.5</v>
      </c>
      <c r="C14" s="3" t="n">
        <v>2048</v>
      </c>
      <c r="D14" t="inlineStr">
        <is>
          <t>hospitalista</t>
        </is>
      </c>
      <c r="E14">
        <f>roles_hospitalista_base*loc_factorMD</f>
        <v/>
      </c>
      <c r="F14">
        <f>roles_hospitalista_aumento</f>
        <v/>
      </c>
      <c r="G14" s="3" t="n">
        <v>1</v>
      </c>
      <c r="H14" s="3" t="n">
        <v>1</v>
      </c>
      <c r="I14">
        <f>md_bonoFirmaAttending</f>
        <v/>
      </c>
      <c r="J14" s="3" t="n">
        <v>0</v>
      </c>
      <c r="K14" s="3" t="n">
        <v>0</v>
      </c>
      <c r="L14">
        <f>md_residentePslf</f>
        <v/>
      </c>
      <c r="M14" s="3" t="n">
        <v>1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1</v>
      </c>
      <c r="T14">
        <f>MAX(0,MIN($C14,T$4+1)-MAX($B14,T$4))</f>
        <v/>
      </c>
      <c r="U14">
        <f>MAX(0,MIN($C14,U$4+1)-MAX($B14,U$4))</f>
        <v/>
      </c>
      <c r="V14">
        <f>MAX(0,MIN($C14,V$4+1)-MAX($B14,V$4))</f>
        <v/>
      </c>
      <c r="W14">
        <f>MAX(0,MIN($C14,W$4+1)-MAX($B14,W$4))</f>
        <v/>
      </c>
      <c r="X14">
        <f>MAX(0,MIN($C14,X$4+1)-MAX($B14,X$4))</f>
        <v/>
      </c>
      <c r="Y14">
        <f>MAX(0,MIN($C14,Y$4+1)-MAX($B14,Y$4))</f>
        <v/>
      </c>
      <c r="Z14">
        <f>MAX(0,MIN($C14,Z$4+1)-MAX($B14,Z$4))</f>
        <v/>
      </c>
      <c r="AA14">
        <f>MAX(0,MIN($C14,AA$4+1)-MAX($B14,AA$4))</f>
        <v/>
      </c>
      <c r="AB14">
        <f>MAX(0,MIN($C14,AB$4+1)-MAX($B14,AB$4))</f>
        <v/>
      </c>
      <c r="AC14">
        <f>MAX(0,MIN($C14,AC$4+1)-MAX($B14,AC$4))</f>
        <v/>
      </c>
      <c r="AD14">
        <f>MAX(0,MIN($C14,AD$4+1)-MAX($B14,AD$4))</f>
        <v/>
      </c>
      <c r="AE14">
        <f>MAX(0,MIN($C14,AE$4+1)-MAX($B14,AE$4))</f>
        <v/>
      </c>
      <c r="AF14">
        <f>MAX(0,MIN($C14,AF$4+1)-MAX($B14,AF$4))</f>
        <v/>
      </c>
      <c r="AG14">
        <f>MAX(0,MIN($C14,AG$4+1)-MAX($B14,AG$4))</f>
        <v/>
      </c>
      <c r="AH14">
        <f>MAX(0,MIN($C14,AH$4+1)-MAX($B14,AH$4))</f>
        <v/>
      </c>
      <c r="AI14">
        <f>MAX(0,MIN($C14,AI$4+1)-MAX($B14,AI$4))</f>
        <v/>
      </c>
      <c r="AJ14">
        <f>MAX(0,MIN($C14,AJ$4+1)-MAX($B14,AJ$4))</f>
        <v/>
      </c>
      <c r="AK14">
        <f>MAX(0,MIN($C14,AK$4+1)-MAX($B14,AK$4))</f>
        <v/>
      </c>
      <c r="AL14">
        <f>MAX(0,MIN($C14,AL$4+1)-MAX($B14,AL$4))</f>
        <v/>
      </c>
      <c r="AM14">
        <f>MAX(0,MIN($C14,AM$4+1)-MAX($B14,AM$4))</f>
        <v/>
      </c>
      <c r="AO14" t="n">
        <v>0</v>
      </c>
      <c r="AP14" t="n">
        <v>0</v>
      </c>
    </row>
    <row r="15">
      <c r="A15" t="inlineStr">
        <is>
          <t>Locums vía S-corp</t>
        </is>
      </c>
      <c r="B15" s="3" t="n">
        <v>2033.5</v>
      </c>
      <c r="C15" s="3" t="n">
        <v>2048</v>
      </c>
      <c r="D15" t="inlineStr">
        <is>
          <t>locums</t>
        </is>
      </c>
      <c r="E15" t="n">
        <v>0</v>
      </c>
      <c r="F15">
        <f>roles_hospitalista_aumento</f>
        <v/>
      </c>
      <c r="G15" s="3" t="n">
        <v>1</v>
      </c>
      <c r="H15" s="3" t="n">
        <v>1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>
        <f>md_locumsTurnosMes*12*12*md_locumsTarifa*g_salMult</f>
        <v/>
      </c>
      <c r="Q15" s="3" t="n">
        <v>0</v>
      </c>
      <c r="R15" s="3" t="n">
        <v>0</v>
      </c>
      <c r="T15">
        <f>MAX(0,MIN($C15,T$4+1)-MAX($B15,T$4))</f>
        <v/>
      </c>
      <c r="U15">
        <f>MAX(0,MIN($C15,U$4+1)-MAX($B15,U$4))</f>
        <v/>
      </c>
      <c r="V15">
        <f>MAX(0,MIN($C15,V$4+1)-MAX($B15,V$4))</f>
        <v/>
      </c>
      <c r="W15">
        <f>MAX(0,MIN($C15,W$4+1)-MAX($B15,W$4))</f>
        <v/>
      </c>
      <c r="X15">
        <f>MAX(0,MIN($C15,X$4+1)-MAX($B15,X$4))</f>
        <v/>
      </c>
      <c r="Y15">
        <f>MAX(0,MIN($C15,Y$4+1)-MAX($B15,Y$4))</f>
        <v/>
      </c>
      <c r="Z15">
        <f>MAX(0,MIN($C15,Z$4+1)-MAX($B15,Z$4))</f>
        <v/>
      </c>
      <c r="AA15">
        <f>MAX(0,MIN($C15,AA$4+1)-MAX($B15,AA$4))</f>
        <v/>
      </c>
      <c r="AB15">
        <f>MAX(0,MIN($C15,AB$4+1)-MAX($B15,AB$4))</f>
        <v/>
      </c>
      <c r="AC15">
        <f>MAX(0,MIN($C15,AC$4+1)-MAX($B15,AC$4))</f>
        <v/>
      </c>
      <c r="AD15">
        <f>MAX(0,MIN($C15,AD$4+1)-MAX($B15,AD$4))</f>
        <v/>
      </c>
      <c r="AE15">
        <f>MAX(0,MIN($C15,AE$4+1)-MAX($B15,AE$4))</f>
        <v/>
      </c>
      <c r="AF15">
        <f>MAX(0,MIN($C15,AF$4+1)-MAX($B15,AF$4))</f>
        <v/>
      </c>
      <c r="AG15">
        <f>MAX(0,MIN($C15,AG$4+1)-MAX($B15,AG$4))</f>
        <v/>
      </c>
      <c r="AH15">
        <f>MAX(0,MIN($C15,AH$4+1)-MAX($B15,AH$4))</f>
        <v/>
      </c>
      <c r="AI15">
        <f>MAX(0,MIN($C15,AI$4+1)-MAX($B15,AI$4))</f>
        <v/>
      </c>
      <c r="AJ15">
        <f>MAX(0,MIN($C15,AJ$4+1)-MAX($B15,AJ$4))</f>
        <v/>
      </c>
      <c r="AK15">
        <f>MAX(0,MIN($C15,AK$4+1)-MAX($B15,AK$4))</f>
        <v/>
      </c>
      <c r="AL15">
        <f>MAX(0,MIN($C15,AL$4+1)-MAX($B15,AL$4))</f>
        <v/>
      </c>
      <c r="AM15">
        <f>MAX(0,MIN($C15,AM$4+1)-MAX($B15,AM$4))</f>
        <v/>
      </c>
      <c r="AO15" t="n">
        <v>0</v>
      </c>
      <c r="AP15" t="n">
        <v>0</v>
      </c>
    </row>
    <row r="16">
      <c r="A16" t="inlineStr"/>
      <c r="B16" s="3" t="n">
        <v>0</v>
      </c>
      <c r="C16" s="3" t="n">
        <v>0</v>
      </c>
      <c r="D16" t="inlineStr"/>
      <c r="E16" t="n">
        <v>0</v>
      </c>
      <c r="F16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0</v>
      </c>
      <c r="T16">
        <f>MAX(0,MIN($C16,T$4+1)-MAX($B16,T$4))</f>
        <v/>
      </c>
      <c r="U16">
        <f>MAX(0,MIN($C16,U$4+1)-MAX($B16,U$4))</f>
        <v/>
      </c>
      <c r="V16">
        <f>MAX(0,MIN($C16,V$4+1)-MAX($B16,V$4))</f>
        <v/>
      </c>
      <c r="W16">
        <f>MAX(0,MIN($C16,W$4+1)-MAX($B16,W$4))</f>
        <v/>
      </c>
      <c r="X16">
        <f>MAX(0,MIN($C16,X$4+1)-MAX($B16,X$4))</f>
        <v/>
      </c>
      <c r="Y16">
        <f>MAX(0,MIN($C16,Y$4+1)-MAX($B16,Y$4))</f>
        <v/>
      </c>
      <c r="Z16">
        <f>MAX(0,MIN($C16,Z$4+1)-MAX($B16,Z$4))</f>
        <v/>
      </c>
      <c r="AA16">
        <f>MAX(0,MIN($C16,AA$4+1)-MAX($B16,AA$4))</f>
        <v/>
      </c>
      <c r="AB16">
        <f>MAX(0,MIN($C16,AB$4+1)-MAX($B16,AB$4))</f>
        <v/>
      </c>
      <c r="AC16">
        <f>MAX(0,MIN($C16,AC$4+1)-MAX($B16,AC$4))</f>
        <v/>
      </c>
      <c r="AD16">
        <f>MAX(0,MIN($C16,AD$4+1)-MAX($B16,AD$4))</f>
        <v/>
      </c>
      <c r="AE16">
        <f>MAX(0,MIN($C16,AE$4+1)-MAX($B16,AE$4))</f>
        <v/>
      </c>
      <c r="AF16">
        <f>MAX(0,MIN($C16,AF$4+1)-MAX($B16,AF$4))</f>
        <v/>
      </c>
      <c r="AG16">
        <f>MAX(0,MIN($C16,AG$4+1)-MAX($B16,AG$4))</f>
        <v/>
      </c>
      <c r="AH16">
        <f>MAX(0,MIN($C16,AH$4+1)-MAX($B16,AH$4))</f>
        <v/>
      </c>
      <c r="AI16">
        <f>MAX(0,MIN($C16,AI$4+1)-MAX($B16,AI$4))</f>
        <v/>
      </c>
      <c r="AJ16">
        <f>MAX(0,MIN($C16,AJ$4+1)-MAX($B16,AJ$4))</f>
        <v/>
      </c>
      <c r="AK16">
        <f>MAX(0,MIN($C16,AK$4+1)-MAX($B16,AK$4))</f>
        <v/>
      </c>
      <c r="AL16">
        <f>MAX(0,MIN($C16,AL$4+1)-MAX($B16,AL$4))</f>
        <v/>
      </c>
      <c r="AM16">
        <f>MAX(0,MIN($C16,AM$4+1)-MAX($B16,AM$4))</f>
        <v/>
      </c>
      <c r="AO16" t="n">
        <v>0</v>
      </c>
      <c r="AP16" t="n">
        <v>0</v>
      </c>
    </row>
    <row r="17">
      <c r="A17" t="inlineStr"/>
      <c r="B17" s="3" t="n">
        <v>0</v>
      </c>
      <c r="C17" s="3" t="n">
        <v>0</v>
      </c>
      <c r="D17" t="inlineStr"/>
      <c r="E17" t="n">
        <v>0</v>
      </c>
      <c r="F17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T17">
        <f>MAX(0,MIN($C17,T$4+1)-MAX($B17,T$4))</f>
        <v/>
      </c>
      <c r="U17">
        <f>MAX(0,MIN($C17,U$4+1)-MAX($B17,U$4))</f>
        <v/>
      </c>
      <c r="V17">
        <f>MAX(0,MIN($C17,V$4+1)-MAX($B17,V$4))</f>
        <v/>
      </c>
      <c r="W17">
        <f>MAX(0,MIN($C17,W$4+1)-MAX($B17,W$4))</f>
        <v/>
      </c>
      <c r="X17">
        <f>MAX(0,MIN($C17,X$4+1)-MAX($B17,X$4))</f>
        <v/>
      </c>
      <c r="Y17">
        <f>MAX(0,MIN($C17,Y$4+1)-MAX($B17,Y$4))</f>
        <v/>
      </c>
      <c r="Z17">
        <f>MAX(0,MIN($C17,Z$4+1)-MAX($B17,Z$4))</f>
        <v/>
      </c>
      <c r="AA17">
        <f>MAX(0,MIN($C17,AA$4+1)-MAX($B17,AA$4))</f>
        <v/>
      </c>
      <c r="AB17">
        <f>MAX(0,MIN($C17,AB$4+1)-MAX($B17,AB$4))</f>
        <v/>
      </c>
      <c r="AC17">
        <f>MAX(0,MIN($C17,AC$4+1)-MAX($B17,AC$4))</f>
        <v/>
      </c>
      <c r="AD17">
        <f>MAX(0,MIN($C17,AD$4+1)-MAX($B17,AD$4))</f>
        <v/>
      </c>
      <c r="AE17">
        <f>MAX(0,MIN($C17,AE$4+1)-MAX($B17,AE$4))</f>
        <v/>
      </c>
      <c r="AF17">
        <f>MAX(0,MIN($C17,AF$4+1)-MAX($B17,AF$4))</f>
        <v/>
      </c>
      <c r="AG17">
        <f>MAX(0,MIN($C17,AG$4+1)-MAX($B17,AG$4))</f>
        <v/>
      </c>
      <c r="AH17">
        <f>MAX(0,MIN($C17,AH$4+1)-MAX($B17,AH$4))</f>
        <v/>
      </c>
      <c r="AI17">
        <f>MAX(0,MIN($C17,AI$4+1)-MAX($B17,AI$4))</f>
        <v/>
      </c>
      <c r="AJ17">
        <f>MAX(0,MIN($C17,AJ$4+1)-MAX($B17,AJ$4))</f>
        <v/>
      </c>
      <c r="AK17">
        <f>MAX(0,MIN($C17,AK$4+1)-MAX($B17,AK$4))</f>
        <v/>
      </c>
      <c r="AL17">
        <f>MAX(0,MIN($C17,AL$4+1)-MAX($B17,AL$4))</f>
        <v/>
      </c>
      <c r="AM17">
        <f>MAX(0,MIN($C17,AM$4+1)-MAX($B17,AM$4))</f>
        <v/>
      </c>
      <c r="AO17" t="n">
        <v>0</v>
      </c>
      <c r="AP17" t="n">
        <v>0</v>
      </c>
    </row>
    <row r="18">
      <c r="A18" t="inlineStr"/>
      <c r="B18" s="3" t="n">
        <v>0</v>
      </c>
      <c r="C18" s="3" t="n">
        <v>0</v>
      </c>
      <c r="D18" t="inlineStr"/>
      <c r="E18" t="n">
        <v>0</v>
      </c>
      <c r="F18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T18">
        <f>MAX(0,MIN($C18,T$4+1)-MAX($B18,T$4))</f>
        <v/>
      </c>
      <c r="U18">
        <f>MAX(0,MIN($C18,U$4+1)-MAX($B18,U$4))</f>
        <v/>
      </c>
      <c r="V18">
        <f>MAX(0,MIN($C18,V$4+1)-MAX($B18,V$4))</f>
        <v/>
      </c>
      <c r="W18">
        <f>MAX(0,MIN($C18,W$4+1)-MAX($B18,W$4))</f>
        <v/>
      </c>
      <c r="X18">
        <f>MAX(0,MIN($C18,X$4+1)-MAX($B18,X$4))</f>
        <v/>
      </c>
      <c r="Y18">
        <f>MAX(0,MIN($C18,Y$4+1)-MAX($B18,Y$4))</f>
        <v/>
      </c>
      <c r="Z18">
        <f>MAX(0,MIN($C18,Z$4+1)-MAX($B18,Z$4))</f>
        <v/>
      </c>
      <c r="AA18">
        <f>MAX(0,MIN($C18,AA$4+1)-MAX($B18,AA$4))</f>
        <v/>
      </c>
      <c r="AB18">
        <f>MAX(0,MIN($C18,AB$4+1)-MAX($B18,AB$4))</f>
        <v/>
      </c>
      <c r="AC18">
        <f>MAX(0,MIN($C18,AC$4+1)-MAX($B18,AC$4))</f>
        <v/>
      </c>
      <c r="AD18">
        <f>MAX(0,MIN($C18,AD$4+1)-MAX($B18,AD$4))</f>
        <v/>
      </c>
      <c r="AE18">
        <f>MAX(0,MIN($C18,AE$4+1)-MAX($B18,AE$4))</f>
        <v/>
      </c>
      <c r="AF18">
        <f>MAX(0,MIN($C18,AF$4+1)-MAX($B18,AF$4))</f>
        <v/>
      </c>
      <c r="AG18">
        <f>MAX(0,MIN($C18,AG$4+1)-MAX($B18,AG$4))</f>
        <v/>
      </c>
      <c r="AH18">
        <f>MAX(0,MIN($C18,AH$4+1)-MAX($B18,AH$4))</f>
        <v/>
      </c>
      <c r="AI18">
        <f>MAX(0,MIN($C18,AI$4+1)-MAX($B18,AI$4))</f>
        <v/>
      </c>
      <c r="AJ18">
        <f>MAX(0,MIN($C18,AJ$4+1)-MAX($B18,AJ$4))</f>
        <v/>
      </c>
      <c r="AK18">
        <f>MAX(0,MIN($C18,AK$4+1)-MAX($B18,AK$4))</f>
        <v/>
      </c>
      <c r="AL18">
        <f>MAX(0,MIN($C18,AL$4+1)-MAX($B18,AL$4))</f>
        <v/>
      </c>
      <c r="AM18">
        <f>MAX(0,MIN($C18,AM$4+1)-MAX($B18,AM$4))</f>
        <v/>
      </c>
      <c r="AO18" t="n">
        <v>0</v>
      </c>
      <c r="AP18" t="n">
        <v>0</v>
      </c>
    </row>
    <row r="19">
      <c r="A19" t="inlineStr"/>
      <c r="B19" s="3" t="n">
        <v>0</v>
      </c>
      <c r="C19" s="3" t="n">
        <v>0</v>
      </c>
      <c r="D19" t="inlineStr"/>
      <c r="E19" t="n">
        <v>0</v>
      </c>
      <c r="F19" t="n">
        <v>0</v>
      </c>
      <c r="G19" s="3" t="n">
        <v>0</v>
      </c>
      <c r="H19" s="3" t="n">
        <v>0</v>
      </c>
      <c r="I19" s="3" t="n">
        <v>0</v>
      </c>
      <c r="J19" s="3" t="n">
        <v>0</v>
      </c>
      <c r="K19" s="3" t="n">
        <v>0</v>
      </c>
      <c r="L19" s="3" t="n">
        <v>0</v>
      </c>
      <c r="M19" s="3" t="n">
        <v>0</v>
      </c>
      <c r="N19" s="3" t="n">
        <v>0</v>
      </c>
      <c r="O19" s="3" t="n">
        <v>0</v>
      </c>
      <c r="P19" s="3" t="n">
        <v>0</v>
      </c>
      <c r="Q19" s="3" t="n">
        <v>0</v>
      </c>
      <c r="R19" s="3" t="n">
        <v>0</v>
      </c>
      <c r="T19">
        <f>MAX(0,MIN($C19,T$4+1)-MAX($B19,T$4))</f>
        <v/>
      </c>
      <c r="U19">
        <f>MAX(0,MIN($C19,U$4+1)-MAX($B19,U$4))</f>
        <v/>
      </c>
      <c r="V19">
        <f>MAX(0,MIN($C19,V$4+1)-MAX($B19,V$4))</f>
        <v/>
      </c>
      <c r="W19">
        <f>MAX(0,MIN($C19,W$4+1)-MAX($B19,W$4))</f>
        <v/>
      </c>
      <c r="X19">
        <f>MAX(0,MIN($C19,X$4+1)-MAX($B19,X$4))</f>
        <v/>
      </c>
      <c r="Y19">
        <f>MAX(0,MIN($C19,Y$4+1)-MAX($B19,Y$4))</f>
        <v/>
      </c>
      <c r="Z19">
        <f>MAX(0,MIN($C19,Z$4+1)-MAX($B19,Z$4))</f>
        <v/>
      </c>
      <c r="AA19">
        <f>MAX(0,MIN($C19,AA$4+1)-MAX($B19,AA$4))</f>
        <v/>
      </c>
      <c r="AB19">
        <f>MAX(0,MIN($C19,AB$4+1)-MAX($B19,AB$4))</f>
        <v/>
      </c>
      <c r="AC19">
        <f>MAX(0,MIN($C19,AC$4+1)-MAX($B19,AC$4))</f>
        <v/>
      </c>
      <c r="AD19">
        <f>MAX(0,MIN($C19,AD$4+1)-MAX($B19,AD$4))</f>
        <v/>
      </c>
      <c r="AE19">
        <f>MAX(0,MIN($C19,AE$4+1)-MAX($B19,AE$4))</f>
        <v/>
      </c>
      <c r="AF19">
        <f>MAX(0,MIN($C19,AF$4+1)-MAX($B19,AF$4))</f>
        <v/>
      </c>
      <c r="AG19">
        <f>MAX(0,MIN($C19,AG$4+1)-MAX($B19,AG$4))</f>
        <v/>
      </c>
      <c r="AH19">
        <f>MAX(0,MIN($C19,AH$4+1)-MAX($B19,AH$4))</f>
        <v/>
      </c>
      <c r="AI19">
        <f>MAX(0,MIN($C19,AI$4+1)-MAX($B19,AI$4))</f>
        <v/>
      </c>
      <c r="AJ19">
        <f>MAX(0,MIN($C19,AJ$4+1)-MAX($B19,AJ$4))</f>
        <v/>
      </c>
      <c r="AK19">
        <f>MAX(0,MIN($C19,AK$4+1)-MAX($B19,AK$4))</f>
        <v/>
      </c>
      <c r="AL19">
        <f>MAX(0,MIN($C19,AL$4+1)-MAX($B19,AL$4))</f>
        <v/>
      </c>
      <c r="AM19">
        <f>MAX(0,MIN($C19,AM$4+1)-MAX($B19,AM$4))</f>
        <v/>
      </c>
      <c r="AO19" t="n">
        <v>0</v>
      </c>
      <c r="AP19" t="n">
        <v>0</v>
      </c>
    </row>
    <row r="20">
      <c r="A20" t="inlineStr"/>
      <c r="B20" s="3" t="n">
        <v>0</v>
      </c>
      <c r="C20" s="3" t="n">
        <v>0</v>
      </c>
      <c r="D20" t="inlineStr"/>
      <c r="E20" t="n">
        <v>0</v>
      </c>
      <c r="F20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T20">
        <f>MAX(0,MIN($C20,T$4+1)-MAX($B20,T$4))</f>
        <v/>
      </c>
      <c r="U20">
        <f>MAX(0,MIN($C20,U$4+1)-MAX($B20,U$4))</f>
        <v/>
      </c>
      <c r="V20">
        <f>MAX(0,MIN($C20,V$4+1)-MAX($B20,V$4))</f>
        <v/>
      </c>
      <c r="W20">
        <f>MAX(0,MIN($C20,W$4+1)-MAX($B20,W$4))</f>
        <v/>
      </c>
      <c r="X20">
        <f>MAX(0,MIN($C20,X$4+1)-MAX($B20,X$4))</f>
        <v/>
      </c>
      <c r="Y20">
        <f>MAX(0,MIN($C20,Y$4+1)-MAX($B20,Y$4))</f>
        <v/>
      </c>
      <c r="Z20">
        <f>MAX(0,MIN($C20,Z$4+1)-MAX($B20,Z$4))</f>
        <v/>
      </c>
      <c r="AA20">
        <f>MAX(0,MIN($C20,AA$4+1)-MAX($B20,AA$4))</f>
        <v/>
      </c>
      <c r="AB20">
        <f>MAX(0,MIN($C20,AB$4+1)-MAX($B20,AB$4))</f>
        <v/>
      </c>
      <c r="AC20">
        <f>MAX(0,MIN($C20,AC$4+1)-MAX($B20,AC$4))</f>
        <v/>
      </c>
      <c r="AD20">
        <f>MAX(0,MIN($C20,AD$4+1)-MAX($B20,AD$4))</f>
        <v/>
      </c>
      <c r="AE20">
        <f>MAX(0,MIN($C20,AE$4+1)-MAX($B20,AE$4))</f>
        <v/>
      </c>
      <c r="AF20">
        <f>MAX(0,MIN($C20,AF$4+1)-MAX($B20,AF$4))</f>
        <v/>
      </c>
      <c r="AG20">
        <f>MAX(0,MIN($C20,AG$4+1)-MAX($B20,AG$4))</f>
        <v/>
      </c>
      <c r="AH20">
        <f>MAX(0,MIN($C20,AH$4+1)-MAX($B20,AH$4))</f>
        <v/>
      </c>
      <c r="AI20">
        <f>MAX(0,MIN($C20,AI$4+1)-MAX($B20,AI$4))</f>
        <v/>
      </c>
      <c r="AJ20">
        <f>MAX(0,MIN($C20,AJ$4+1)-MAX($B20,AJ$4))</f>
        <v/>
      </c>
      <c r="AK20">
        <f>MAX(0,MIN($C20,AK$4+1)-MAX($B20,AK$4))</f>
        <v/>
      </c>
      <c r="AL20">
        <f>MAX(0,MIN($C20,AL$4+1)-MAX($B20,AL$4))</f>
        <v/>
      </c>
      <c r="AM20">
        <f>MAX(0,MIN($C20,AM$4+1)-MAX($B20,AM$4))</f>
        <v/>
      </c>
      <c r="AO20" t="n">
        <v>0</v>
      </c>
      <c r="AP20" t="n">
        <v>0</v>
      </c>
    </row>
    <row r="21">
      <c r="A21" t="inlineStr"/>
      <c r="B21" s="3" t="n">
        <v>0</v>
      </c>
      <c r="C21" s="3" t="n">
        <v>0</v>
      </c>
      <c r="D21" t="inlineStr"/>
      <c r="E21" t="n">
        <v>0</v>
      </c>
      <c r="F21" t="n">
        <v>0</v>
      </c>
      <c r="G21" s="3" t="n">
        <v>0</v>
      </c>
      <c r="H21" s="3" t="n">
        <v>0</v>
      </c>
      <c r="I21" s="3" t="n">
        <v>0</v>
      </c>
      <c r="J21" s="3" t="n">
        <v>0</v>
      </c>
      <c r="K21" s="3" t="n">
        <v>0</v>
      </c>
      <c r="L21" s="3" t="n">
        <v>0</v>
      </c>
      <c r="M21" s="3" t="n">
        <v>0</v>
      </c>
      <c r="N21" s="3" t="n">
        <v>0</v>
      </c>
      <c r="O21" s="3" t="n">
        <v>0</v>
      </c>
      <c r="P21" s="3" t="n">
        <v>0</v>
      </c>
      <c r="Q21" s="3" t="n">
        <v>0</v>
      </c>
      <c r="R21" s="3" t="n">
        <v>0</v>
      </c>
      <c r="T21">
        <f>MAX(0,MIN($C21,T$4+1)-MAX($B21,T$4))</f>
        <v/>
      </c>
      <c r="U21">
        <f>MAX(0,MIN($C21,U$4+1)-MAX($B21,U$4))</f>
        <v/>
      </c>
      <c r="V21">
        <f>MAX(0,MIN($C21,V$4+1)-MAX($B21,V$4))</f>
        <v/>
      </c>
      <c r="W21">
        <f>MAX(0,MIN($C21,W$4+1)-MAX($B21,W$4))</f>
        <v/>
      </c>
      <c r="X21">
        <f>MAX(0,MIN($C21,X$4+1)-MAX($B21,X$4))</f>
        <v/>
      </c>
      <c r="Y21">
        <f>MAX(0,MIN($C21,Y$4+1)-MAX($B21,Y$4))</f>
        <v/>
      </c>
      <c r="Z21">
        <f>MAX(0,MIN($C21,Z$4+1)-MAX($B21,Z$4))</f>
        <v/>
      </c>
      <c r="AA21">
        <f>MAX(0,MIN($C21,AA$4+1)-MAX($B21,AA$4))</f>
        <v/>
      </c>
      <c r="AB21">
        <f>MAX(0,MIN($C21,AB$4+1)-MAX($B21,AB$4))</f>
        <v/>
      </c>
      <c r="AC21">
        <f>MAX(0,MIN($C21,AC$4+1)-MAX($B21,AC$4))</f>
        <v/>
      </c>
      <c r="AD21">
        <f>MAX(0,MIN($C21,AD$4+1)-MAX($B21,AD$4))</f>
        <v/>
      </c>
      <c r="AE21">
        <f>MAX(0,MIN($C21,AE$4+1)-MAX($B21,AE$4))</f>
        <v/>
      </c>
      <c r="AF21">
        <f>MAX(0,MIN($C21,AF$4+1)-MAX($B21,AF$4))</f>
        <v/>
      </c>
      <c r="AG21">
        <f>MAX(0,MIN($C21,AG$4+1)-MAX($B21,AG$4))</f>
        <v/>
      </c>
      <c r="AH21">
        <f>MAX(0,MIN($C21,AH$4+1)-MAX($B21,AH$4))</f>
        <v/>
      </c>
      <c r="AI21">
        <f>MAX(0,MIN($C21,AI$4+1)-MAX($B21,AI$4))</f>
        <v/>
      </c>
      <c r="AJ21">
        <f>MAX(0,MIN($C21,AJ$4+1)-MAX($B21,AJ$4))</f>
        <v/>
      </c>
      <c r="AK21">
        <f>MAX(0,MIN($C21,AK$4+1)-MAX($B21,AK$4))</f>
        <v/>
      </c>
      <c r="AL21">
        <f>MAX(0,MIN($C21,AL$4+1)-MAX($B21,AL$4))</f>
        <v/>
      </c>
      <c r="AM21">
        <f>MAX(0,MIN($C21,AM$4+1)-MAX($B21,AM$4))</f>
        <v/>
      </c>
      <c r="AO21" t="n">
        <v>0</v>
      </c>
      <c r="AP21" t="n">
        <v>0</v>
      </c>
    </row>
    <row r="22">
      <c r="A22" t="inlineStr"/>
      <c r="B22" s="3" t="n">
        <v>0</v>
      </c>
      <c r="C22" s="3" t="n">
        <v>0</v>
      </c>
      <c r="D22" t="inlineStr"/>
      <c r="E22" t="n">
        <v>0</v>
      </c>
      <c r="F22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T22">
        <f>MAX(0,MIN($C22,T$4+1)-MAX($B22,T$4))</f>
        <v/>
      </c>
      <c r="U22">
        <f>MAX(0,MIN($C22,U$4+1)-MAX($B22,U$4))</f>
        <v/>
      </c>
      <c r="V22">
        <f>MAX(0,MIN($C22,V$4+1)-MAX($B22,V$4))</f>
        <v/>
      </c>
      <c r="W22">
        <f>MAX(0,MIN($C22,W$4+1)-MAX($B22,W$4))</f>
        <v/>
      </c>
      <c r="X22">
        <f>MAX(0,MIN($C22,X$4+1)-MAX($B22,X$4))</f>
        <v/>
      </c>
      <c r="Y22">
        <f>MAX(0,MIN($C22,Y$4+1)-MAX($B22,Y$4))</f>
        <v/>
      </c>
      <c r="Z22">
        <f>MAX(0,MIN($C22,Z$4+1)-MAX($B22,Z$4))</f>
        <v/>
      </c>
      <c r="AA22">
        <f>MAX(0,MIN($C22,AA$4+1)-MAX($B22,AA$4))</f>
        <v/>
      </c>
      <c r="AB22">
        <f>MAX(0,MIN($C22,AB$4+1)-MAX($B22,AB$4))</f>
        <v/>
      </c>
      <c r="AC22">
        <f>MAX(0,MIN($C22,AC$4+1)-MAX($B22,AC$4))</f>
        <v/>
      </c>
      <c r="AD22">
        <f>MAX(0,MIN($C22,AD$4+1)-MAX($B22,AD$4))</f>
        <v/>
      </c>
      <c r="AE22">
        <f>MAX(0,MIN($C22,AE$4+1)-MAX($B22,AE$4))</f>
        <v/>
      </c>
      <c r="AF22">
        <f>MAX(0,MIN($C22,AF$4+1)-MAX($B22,AF$4))</f>
        <v/>
      </c>
      <c r="AG22">
        <f>MAX(0,MIN($C22,AG$4+1)-MAX($B22,AG$4))</f>
        <v/>
      </c>
      <c r="AH22">
        <f>MAX(0,MIN($C22,AH$4+1)-MAX($B22,AH$4))</f>
        <v/>
      </c>
      <c r="AI22">
        <f>MAX(0,MIN($C22,AI$4+1)-MAX($B22,AI$4))</f>
        <v/>
      </c>
      <c r="AJ22">
        <f>MAX(0,MIN($C22,AJ$4+1)-MAX($B22,AJ$4))</f>
        <v/>
      </c>
      <c r="AK22">
        <f>MAX(0,MIN($C22,AK$4+1)-MAX($B22,AK$4))</f>
        <v/>
      </c>
      <c r="AL22">
        <f>MAX(0,MIN($C22,AL$4+1)-MAX($B22,AL$4))</f>
        <v/>
      </c>
      <c r="AM22">
        <f>MAX(0,MIN($C22,AM$4+1)-MAX($B22,AM$4))</f>
        <v/>
      </c>
      <c r="AO22" t="n">
        <v>0</v>
      </c>
      <c r="AP22" t="n">
        <v>0</v>
      </c>
    </row>
    <row r="23">
      <c r="A23" t="inlineStr"/>
      <c r="B23" s="3" t="n">
        <v>0</v>
      </c>
      <c r="C23" s="3" t="n">
        <v>0</v>
      </c>
      <c r="D23" t="inlineStr"/>
      <c r="E23" t="n">
        <v>0</v>
      </c>
      <c r="F2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T23">
        <f>MAX(0,MIN($C23,T$4+1)-MAX($B23,T$4))</f>
        <v/>
      </c>
      <c r="U23">
        <f>MAX(0,MIN($C23,U$4+1)-MAX($B23,U$4))</f>
        <v/>
      </c>
      <c r="V23">
        <f>MAX(0,MIN($C23,V$4+1)-MAX($B23,V$4))</f>
        <v/>
      </c>
      <c r="W23">
        <f>MAX(0,MIN($C23,W$4+1)-MAX($B23,W$4))</f>
        <v/>
      </c>
      <c r="X23">
        <f>MAX(0,MIN($C23,X$4+1)-MAX($B23,X$4))</f>
        <v/>
      </c>
      <c r="Y23">
        <f>MAX(0,MIN($C23,Y$4+1)-MAX($B23,Y$4))</f>
        <v/>
      </c>
      <c r="Z23">
        <f>MAX(0,MIN($C23,Z$4+1)-MAX($B23,Z$4))</f>
        <v/>
      </c>
      <c r="AA23">
        <f>MAX(0,MIN($C23,AA$4+1)-MAX($B23,AA$4))</f>
        <v/>
      </c>
      <c r="AB23">
        <f>MAX(0,MIN($C23,AB$4+1)-MAX($B23,AB$4))</f>
        <v/>
      </c>
      <c r="AC23">
        <f>MAX(0,MIN($C23,AC$4+1)-MAX($B23,AC$4))</f>
        <v/>
      </c>
      <c r="AD23">
        <f>MAX(0,MIN($C23,AD$4+1)-MAX($B23,AD$4))</f>
        <v/>
      </c>
      <c r="AE23">
        <f>MAX(0,MIN($C23,AE$4+1)-MAX($B23,AE$4))</f>
        <v/>
      </c>
      <c r="AF23">
        <f>MAX(0,MIN($C23,AF$4+1)-MAX($B23,AF$4))</f>
        <v/>
      </c>
      <c r="AG23">
        <f>MAX(0,MIN($C23,AG$4+1)-MAX($B23,AG$4))</f>
        <v/>
      </c>
      <c r="AH23">
        <f>MAX(0,MIN($C23,AH$4+1)-MAX($B23,AH$4))</f>
        <v/>
      </c>
      <c r="AI23">
        <f>MAX(0,MIN($C23,AI$4+1)-MAX($B23,AI$4))</f>
        <v/>
      </c>
      <c r="AJ23">
        <f>MAX(0,MIN($C23,AJ$4+1)-MAX($B23,AJ$4))</f>
        <v/>
      </c>
      <c r="AK23">
        <f>MAX(0,MIN($C23,AK$4+1)-MAX($B23,AK$4))</f>
        <v/>
      </c>
      <c r="AL23">
        <f>MAX(0,MIN($C23,AL$4+1)-MAX($B23,AL$4))</f>
        <v/>
      </c>
      <c r="AM23">
        <f>MAX(0,MIN($C23,AM$4+1)-MAX($B23,AM$4))</f>
        <v/>
      </c>
      <c r="AO23" t="n">
        <v>0</v>
      </c>
      <c r="AP23" t="n">
        <v>0</v>
      </c>
    </row>
    <row r="24">
      <c r="A24" t="inlineStr"/>
      <c r="B24" s="3" t="n">
        <v>0</v>
      </c>
      <c r="C24" s="3" t="n">
        <v>0</v>
      </c>
      <c r="D24" t="inlineStr"/>
      <c r="E24" t="n">
        <v>0</v>
      </c>
      <c r="F24" t="n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  <c r="P24" s="3" t="n">
        <v>0</v>
      </c>
      <c r="Q24" s="3" t="n">
        <v>0</v>
      </c>
      <c r="R24" s="3" t="n">
        <v>0</v>
      </c>
      <c r="T24">
        <f>MAX(0,MIN($C24,T$4+1)-MAX($B24,T$4))</f>
        <v/>
      </c>
      <c r="U24">
        <f>MAX(0,MIN($C24,U$4+1)-MAX($B24,U$4))</f>
        <v/>
      </c>
      <c r="V24">
        <f>MAX(0,MIN($C24,V$4+1)-MAX($B24,V$4))</f>
        <v/>
      </c>
      <c r="W24">
        <f>MAX(0,MIN($C24,W$4+1)-MAX($B24,W$4))</f>
        <v/>
      </c>
      <c r="X24">
        <f>MAX(0,MIN($C24,X$4+1)-MAX($B24,X$4))</f>
        <v/>
      </c>
      <c r="Y24">
        <f>MAX(0,MIN($C24,Y$4+1)-MAX($B24,Y$4))</f>
        <v/>
      </c>
      <c r="Z24">
        <f>MAX(0,MIN($C24,Z$4+1)-MAX($B24,Z$4))</f>
        <v/>
      </c>
      <c r="AA24">
        <f>MAX(0,MIN($C24,AA$4+1)-MAX($B24,AA$4))</f>
        <v/>
      </c>
      <c r="AB24">
        <f>MAX(0,MIN($C24,AB$4+1)-MAX($B24,AB$4))</f>
        <v/>
      </c>
      <c r="AC24">
        <f>MAX(0,MIN($C24,AC$4+1)-MAX($B24,AC$4))</f>
        <v/>
      </c>
      <c r="AD24">
        <f>MAX(0,MIN($C24,AD$4+1)-MAX($B24,AD$4))</f>
        <v/>
      </c>
      <c r="AE24">
        <f>MAX(0,MIN($C24,AE$4+1)-MAX($B24,AE$4))</f>
        <v/>
      </c>
      <c r="AF24">
        <f>MAX(0,MIN($C24,AF$4+1)-MAX($B24,AF$4))</f>
        <v/>
      </c>
      <c r="AG24">
        <f>MAX(0,MIN($C24,AG$4+1)-MAX($B24,AG$4))</f>
        <v/>
      </c>
      <c r="AH24">
        <f>MAX(0,MIN($C24,AH$4+1)-MAX($B24,AH$4))</f>
        <v/>
      </c>
      <c r="AI24">
        <f>MAX(0,MIN($C24,AI$4+1)-MAX($B24,AI$4))</f>
        <v/>
      </c>
      <c r="AJ24">
        <f>MAX(0,MIN($C24,AJ$4+1)-MAX($B24,AJ$4))</f>
        <v/>
      </c>
      <c r="AK24">
        <f>MAX(0,MIN($C24,AK$4+1)-MAX($B24,AK$4))</f>
        <v/>
      </c>
      <c r="AL24">
        <f>MAX(0,MIN($C24,AL$4+1)-MAX($B24,AL$4))</f>
        <v/>
      </c>
      <c r="AM24">
        <f>MAX(0,MIN($C24,AM$4+1)-MAX($B24,AM$4))</f>
        <v/>
      </c>
      <c r="AO24" t="n">
        <v>0</v>
      </c>
      <c r="AP24" t="n">
        <v>0</v>
      </c>
    </row>
    <row r="25">
      <c r="A25" t="inlineStr"/>
      <c r="B25" s="3" t="n">
        <v>0</v>
      </c>
      <c r="C25" s="3" t="n">
        <v>0</v>
      </c>
      <c r="D25" t="inlineStr"/>
      <c r="E25" t="n">
        <v>0</v>
      </c>
      <c r="F25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T25">
        <f>MAX(0,MIN($C25,T$4+1)-MAX($B25,T$4))</f>
        <v/>
      </c>
      <c r="U25">
        <f>MAX(0,MIN($C25,U$4+1)-MAX($B25,U$4))</f>
        <v/>
      </c>
      <c r="V25">
        <f>MAX(0,MIN($C25,V$4+1)-MAX($B25,V$4))</f>
        <v/>
      </c>
      <c r="W25">
        <f>MAX(0,MIN($C25,W$4+1)-MAX($B25,W$4))</f>
        <v/>
      </c>
      <c r="X25">
        <f>MAX(0,MIN($C25,X$4+1)-MAX($B25,X$4))</f>
        <v/>
      </c>
      <c r="Y25">
        <f>MAX(0,MIN($C25,Y$4+1)-MAX($B25,Y$4))</f>
        <v/>
      </c>
      <c r="Z25">
        <f>MAX(0,MIN($C25,Z$4+1)-MAX($B25,Z$4))</f>
        <v/>
      </c>
      <c r="AA25">
        <f>MAX(0,MIN($C25,AA$4+1)-MAX($B25,AA$4))</f>
        <v/>
      </c>
      <c r="AB25">
        <f>MAX(0,MIN($C25,AB$4+1)-MAX($B25,AB$4))</f>
        <v/>
      </c>
      <c r="AC25">
        <f>MAX(0,MIN($C25,AC$4+1)-MAX($B25,AC$4))</f>
        <v/>
      </c>
      <c r="AD25">
        <f>MAX(0,MIN($C25,AD$4+1)-MAX($B25,AD$4))</f>
        <v/>
      </c>
      <c r="AE25">
        <f>MAX(0,MIN($C25,AE$4+1)-MAX($B25,AE$4))</f>
        <v/>
      </c>
      <c r="AF25">
        <f>MAX(0,MIN($C25,AF$4+1)-MAX($B25,AF$4))</f>
        <v/>
      </c>
      <c r="AG25">
        <f>MAX(0,MIN($C25,AG$4+1)-MAX($B25,AG$4))</f>
        <v/>
      </c>
      <c r="AH25">
        <f>MAX(0,MIN($C25,AH$4+1)-MAX($B25,AH$4))</f>
        <v/>
      </c>
      <c r="AI25">
        <f>MAX(0,MIN($C25,AI$4+1)-MAX($B25,AI$4))</f>
        <v/>
      </c>
      <c r="AJ25">
        <f>MAX(0,MIN($C25,AJ$4+1)-MAX($B25,AJ$4))</f>
        <v/>
      </c>
      <c r="AK25">
        <f>MAX(0,MIN($C25,AK$4+1)-MAX($B25,AK$4))</f>
        <v/>
      </c>
      <c r="AL25">
        <f>MAX(0,MIN($C25,AL$4+1)-MAX($B25,AL$4))</f>
        <v/>
      </c>
      <c r="AM25">
        <f>MAX(0,MIN($C25,AM$4+1)-MAX($B25,AM$4))</f>
        <v/>
      </c>
    </row>
    <row r="26">
      <c r="A26" t="inlineStr"/>
      <c r="B26" s="3" t="n">
        <v>0</v>
      </c>
      <c r="C26" s="3" t="n">
        <v>0</v>
      </c>
      <c r="D26" t="inlineStr"/>
      <c r="E26" t="n">
        <v>0</v>
      </c>
      <c r="F26" t="n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  <c r="T26">
        <f>MAX(0,MIN($C26,T$4+1)-MAX($B26,T$4))</f>
        <v/>
      </c>
      <c r="U26">
        <f>MAX(0,MIN($C26,U$4+1)-MAX($B26,U$4))</f>
        <v/>
      </c>
      <c r="V26">
        <f>MAX(0,MIN($C26,V$4+1)-MAX($B26,V$4))</f>
        <v/>
      </c>
      <c r="W26">
        <f>MAX(0,MIN($C26,W$4+1)-MAX($B26,W$4))</f>
        <v/>
      </c>
      <c r="X26">
        <f>MAX(0,MIN($C26,X$4+1)-MAX($B26,X$4))</f>
        <v/>
      </c>
      <c r="Y26">
        <f>MAX(0,MIN($C26,Y$4+1)-MAX($B26,Y$4))</f>
        <v/>
      </c>
      <c r="Z26">
        <f>MAX(0,MIN($C26,Z$4+1)-MAX($B26,Z$4))</f>
        <v/>
      </c>
      <c r="AA26">
        <f>MAX(0,MIN($C26,AA$4+1)-MAX($B26,AA$4))</f>
        <v/>
      </c>
      <c r="AB26">
        <f>MAX(0,MIN($C26,AB$4+1)-MAX($B26,AB$4))</f>
        <v/>
      </c>
      <c r="AC26">
        <f>MAX(0,MIN($C26,AC$4+1)-MAX($B26,AC$4))</f>
        <v/>
      </c>
      <c r="AD26">
        <f>MAX(0,MIN($C26,AD$4+1)-MAX($B26,AD$4))</f>
        <v/>
      </c>
      <c r="AE26">
        <f>MAX(0,MIN($C26,AE$4+1)-MAX($B26,AE$4))</f>
        <v/>
      </c>
      <c r="AF26">
        <f>MAX(0,MIN($C26,AF$4+1)-MAX($B26,AF$4))</f>
        <v/>
      </c>
      <c r="AG26">
        <f>MAX(0,MIN($C26,AG$4+1)-MAX($B26,AG$4))</f>
        <v/>
      </c>
      <c r="AH26">
        <f>MAX(0,MIN($C26,AH$4+1)-MAX($B26,AH$4))</f>
        <v/>
      </c>
      <c r="AI26">
        <f>MAX(0,MIN($C26,AI$4+1)-MAX($B26,AI$4))</f>
        <v/>
      </c>
      <c r="AJ26">
        <f>MAX(0,MIN($C26,AJ$4+1)-MAX($B26,AJ$4))</f>
        <v/>
      </c>
      <c r="AK26">
        <f>MAX(0,MIN($C26,AK$4+1)-MAX($B26,AK$4))</f>
        <v/>
      </c>
      <c r="AL26">
        <f>MAX(0,MIN($C26,AL$4+1)-MAX($B26,AL$4))</f>
        <v/>
      </c>
      <c r="AM26">
        <f>MAX(0,MIN($C26,AM$4+1)-MAX($B26,AM$4))</f>
        <v/>
      </c>
    </row>
    <row r="27">
      <c r="A27" t="inlineStr"/>
      <c r="B27" s="3" t="n">
        <v>0</v>
      </c>
      <c r="C27" s="3" t="n">
        <v>0</v>
      </c>
      <c r="D27" t="inlineStr"/>
      <c r="E27" t="n">
        <v>0</v>
      </c>
      <c r="F27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T27">
        <f>MAX(0,MIN($C27,T$4+1)-MAX($B27,T$4))</f>
        <v/>
      </c>
      <c r="U27">
        <f>MAX(0,MIN($C27,U$4+1)-MAX($B27,U$4))</f>
        <v/>
      </c>
      <c r="V27">
        <f>MAX(0,MIN($C27,V$4+1)-MAX($B27,V$4))</f>
        <v/>
      </c>
      <c r="W27">
        <f>MAX(0,MIN($C27,W$4+1)-MAX($B27,W$4))</f>
        <v/>
      </c>
      <c r="X27">
        <f>MAX(0,MIN($C27,X$4+1)-MAX($B27,X$4))</f>
        <v/>
      </c>
      <c r="Y27">
        <f>MAX(0,MIN($C27,Y$4+1)-MAX($B27,Y$4))</f>
        <v/>
      </c>
      <c r="Z27">
        <f>MAX(0,MIN($C27,Z$4+1)-MAX($B27,Z$4))</f>
        <v/>
      </c>
      <c r="AA27">
        <f>MAX(0,MIN($C27,AA$4+1)-MAX($B27,AA$4))</f>
        <v/>
      </c>
      <c r="AB27">
        <f>MAX(0,MIN($C27,AB$4+1)-MAX($B27,AB$4))</f>
        <v/>
      </c>
      <c r="AC27">
        <f>MAX(0,MIN($C27,AC$4+1)-MAX($B27,AC$4))</f>
        <v/>
      </c>
      <c r="AD27">
        <f>MAX(0,MIN($C27,AD$4+1)-MAX($B27,AD$4))</f>
        <v/>
      </c>
      <c r="AE27">
        <f>MAX(0,MIN($C27,AE$4+1)-MAX($B27,AE$4))</f>
        <v/>
      </c>
      <c r="AF27">
        <f>MAX(0,MIN($C27,AF$4+1)-MAX($B27,AF$4))</f>
        <v/>
      </c>
      <c r="AG27">
        <f>MAX(0,MIN($C27,AG$4+1)-MAX($B27,AG$4))</f>
        <v/>
      </c>
      <c r="AH27">
        <f>MAX(0,MIN($C27,AH$4+1)-MAX($B27,AH$4))</f>
        <v/>
      </c>
      <c r="AI27">
        <f>MAX(0,MIN($C27,AI$4+1)-MAX($B27,AI$4))</f>
        <v/>
      </c>
      <c r="AJ27">
        <f>MAX(0,MIN($C27,AJ$4+1)-MAX($B27,AJ$4))</f>
        <v/>
      </c>
      <c r="AK27">
        <f>MAX(0,MIN($C27,AK$4+1)-MAX($B27,AK$4))</f>
        <v/>
      </c>
      <c r="AL27">
        <f>MAX(0,MIN($C27,AL$4+1)-MAX($B27,AL$4))</f>
        <v/>
      </c>
      <c r="AM27">
        <f>MAX(0,MIN($C27,AM$4+1)-MAX($B27,AM$4))</f>
        <v/>
      </c>
    </row>
    <row r="28">
      <c r="A28" t="inlineStr"/>
      <c r="B28" s="3" t="n">
        <v>0</v>
      </c>
      <c r="C28" s="3" t="n">
        <v>0</v>
      </c>
      <c r="D28" t="inlineStr"/>
      <c r="E28" t="n">
        <v>0</v>
      </c>
      <c r="F28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T28">
        <f>MAX(0,MIN($C28,T$4+1)-MAX($B28,T$4))</f>
        <v/>
      </c>
      <c r="U28">
        <f>MAX(0,MIN($C28,U$4+1)-MAX($B28,U$4))</f>
        <v/>
      </c>
      <c r="V28">
        <f>MAX(0,MIN($C28,V$4+1)-MAX($B28,V$4))</f>
        <v/>
      </c>
      <c r="W28">
        <f>MAX(0,MIN($C28,W$4+1)-MAX($B28,W$4))</f>
        <v/>
      </c>
      <c r="X28">
        <f>MAX(0,MIN($C28,X$4+1)-MAX($B28,X$4))</f>
        <v/>
      </c>
      <c r="Y28">
        <f>MAX(0,MIN($C28,Y$4+1)-MAX($B28,Y$4))</f>
        <v/>
      </c>
      <c r="Z28">
        <f>MAX(0,MIN($C28,Z$4+1)-MAX($B28,Z$4))</f>
        <v/>
      </c>
      <c r="AA28">
        <f>MAX(0,MIN($C28,AA$4+1)-MAX($B28,AA$4))</f>
        <v/>
      </c>
      <c r="AB28">
        <f>MAX(0,MIN($C28,AB$4+1)-MAX($B28,AB$4))</f>
        <v/>
      </c>
      <c r="AC28">
        <f>MAX(0,MIN($C28,AC$4+1)-MAX($B28,AC$4))</f>
        <v/>
      </c>
      <c r="AD28">
        <f>MAX(0,MIN($C28,AD$4+1)-MAX($B28,AD$4))</f>
        <v/>
      </c>
      <c r="AE28">
        <f>MAX(0,MIN($C28,AE$4+1)-MAX($B28,AE$4))</f>
        <v/>
      </c>
      <c r="AF28">
        <f>MAX(0,MIN($C28,AF$4+1)-MAX($B28,AF$4))</f>
        <v/>
      </c>
      <c r="AG28">
        <f>MAX(0,MIN($C28,AG$4+1)-MAX($B28,AG$4))</f>
        <v/>
      </c>
      <c r="AH28">
        <f>MAX(0,MIN($C28,AH$4+1)-MAX($B28,AH$4))</f>
        <v/>
      </c>
      <c r="AI28">
        <f>MAX(0,MIN($C28,AI$4+1)-MAX($B28,AI$4))</f>
        <v/>
      </c>
      <c r="AJ28">
        <f>MAX(0,MIN($C28,AJ$4+1)-MAX($B28,AJ$4))</f>
        <v/>
      </c>
      <c r="AK28">
        <f>MAX(0,MIN($C28,AK$4+1)-MAX($B28,AK$4))</f>
        <v/>
      </c>
      <c r="AL28">
        <f>MAX(0,MIN($C28,AL$4+1)-MAX($B28,AL$4))</f>
        <v/>
      </c>
      <c r="AM28">
        <f>MAX(0,MIN($C28,AM$4+1)-MAX($B28,AM$4))</f>
        <v/>
      </c>
    </row>
    <row r="29">
      <c r="A29" t="inlineStr"/>
      <c r="B29" s="3" t="n">
        <v>0</v>
      </c>
      <c r="C29" s="3" t="n">
        <v>0</v>
      </c>
      <c r="D29" t="inlineStr"/>
      <c r="E29" t="n">
        <v>0</v>
      </c>
      <c r="F29" t="n">
        <v>0</v>
      </c>
      <c r="G29" s="3" t="n">
        <v>0</v>
      </c>
      <c r="H29" s="3" t="n">
        <v>0</v>
      </c>
      <c r="I29" s="3" t="n">
        <v>0</v>
      </c>
      <c r="J29" s="3" t="n">
        <v>0</v>
      </c>
      <c r="K29" s="3" t="n">
        <v>0</v>
      </c>
      <c r="L29" s="3" t="n">
        <v>0</v>
      </c>
      <c r="M29" s="3" t="n">
        <v>0</v>
      </c>
      <c r="N29" s="3" t="n">
        <v>0</v>
      </c>
      <c r="O29" s="3" t="n">
        <v>0</v>
      </c>
      <c r="P29" s="3" t="n">
        <v>0</v>
      </c>
      <c r="Q29" s="3" t="n">
        <v>0</v>
      </c>
      <c r="R29" s="3" t="n">
        <v>0</v>
      </c>
      <c r="T29">
        <f>MAX(0,MIN($C29,T$4+1)-MAX($B29,T$4))</f>
        <v/>
      </c>
      <c r="U29">
        <f>MAX(0,MIN($C29,U$4+1)-MAX($B29,U$4))</f>
        <v/>
      </c>
      <c r="V29">
        <f>MAX(0,MIN($C29,V$4+1)-MAX($B29,V$4))</f>
        <v/>
      </c>
      <c r="W29">
        <f>MAX(0,MIN($C29,W$4+1)-MAX($B29,W$4))</f>
        <v/>
      </c>
      <c r="X29">
        <f>MAX(0,MIN($C29,X$4+1)-MAX($B29,X$4))</f>
        <v/>
      </c>
      <c r="Y29">
        <f>MAX(0,MIN($C29,Y$4+1)-MAX($B29,Y$4))</f>
        <v/>
      </c>
      <c r="Z29">
        <f>MAX(0,MIN($C29,Z$4+1)-MAX($B29,Z$4))</f>
        <v/>
      </c>
      <c r="AA29">
        <f>MAX(0,MIN($C29,AA$4+1)-MAX($B29,AA$4))</f>
        <v/>
      </c>
      <c r="AB29">
        <f>MAX(0,MIN($C29,AB$4+1)-MAX($B29,AB$4))</f>
        <v/>
      </c>
      <c r="AC29">
        <f>MAX(0,MIN($C29,AC$4+1)-MAX($B29,AC$4))</f>
        <v/>
      </c>
      <c r="AD29">
        <f>MAX(0,MIN($C29,AD$4+1)-MAX($B29,AD$4))</f>
        <v/>
      </c>
      <c r="AE29">
        <f>MAX(0,MIN($C29,AE$4+1)-MAX($B29,AE$4))</f>
        <v/>
      </c>
      <c r="AF29">
        <f>MAX(0,MIN($C29,AF$4+1)-MAX($B29,AF$4))</f>
        <v/>
      </c>
      <c r="AG29">
        <f>MAX(0,MIN($C29,AG$4+1)-MAX($B29,AG$4))</f>
        <v/>
      </c>
      <c r="AH29">
        <f>MAX(0,MIN($C29,AH$4+1)-MAX($B29,AH$4))</f>
        <v/>
      </c>
      <c r="AI29">
        <f>MAX(0,MIN($C29,AI$4+1)-MAX($B29,AI$4))</f>
        <v/>
      </c>
      <c r="AJ29">
        <f>MAX(0,MIN($C29,AJ$4+1)-MAX($B29,AJ$4))</f>
        <v/>
      </c>
      <c r="AK29">
        <f>MAX(0,MIN($C29,AK$4+1)-MAX($B29,AK$4))</f>
        <v/>
      </c>
      <c r="AL29">
        <f>MAX(0,MIN($C29,AL$4+1)-MAX($B29,AL$4))</f>
        <v/>
      </c>
      <c r="AM29">
        <f>MAX(0,MIN($C29,AM$4+1)-MAX($B29,AM$4))</f>
        <v/>
      </c>
    </row>
    <row r="31">
      <c r="A31" s="1" t="inlineStr">
        <is>
          <t>Simulación anual (todas las celdas son fórmulas)</t>
        </is>
      </c>
    </row>
    <row r="32">
      <c r="A32" s="5" t="inlineStr">
        <is>
          <t>Año</t>
        </is>
      </c>
      <c r="B32" s="5" t="inlineStr">
        <is>
          <t>k</t>
        </is>
      </c>
      <c r="C32" s="5" t="inlineStr">
        <is>
          <t>Índice inflación</t>
        </is>
      </c>
      <c r="D32" s="5" t="inlineStr">
        <is>
          <t>Salarios W-2</t>
        </is>
      </c>
      <c r="E32" s="5" t="inlineStr">
        <is>
          <t>W-2 con match</t>
        </is>
      </c>
      <c r="F32" s="5" t="inlineStr">
        <is>
          <t>Stipends libres</t>
        </is>
      </c>
      <c r="G32" s="5" t="inlineStr">
        <is>
          <t>Ingreso S-corp</t>
        </is>
      </c>
      <c r="H32" s="5" t="inlineStr">
        <is>
          <t>Autoempleo (LLC/tutoría)</t>
        </is>
      </c>
      <c r="I32" s="5" t="inlineStr">
        <is>
          <t>Matrícula</t>
        </is>
      </c>
      <c r="J32" s="5" t="inlineStr">
        <is>
          <t>Fracción estudio</t>
        </is>
      </c>
      <c r="K32" s="5" t="inlineStr">
        <is>
          <t>Fracción PSLF</t>
        </is>
      </c>
      <c r="L32" s="5" t="inlineStr">
        <is>
          <t>Fracción travel</t>
        </is>
      </c>
      <c r="M32" s="5" t="inlineStr">
        <is>
          <t>Attending</t>
        </is>
      </c>
      <c r="N32" s="5" t="inlineStr">
        <is>
          <t>Hitos (costos)</t>
        </is>
      </c>
      <c r="O32" s="5" t="inlineStr">
        <is>
          <t>Aporte 403b</t>
        </is>
      </c>
      <c r="P32" s="5" t="inlineStr">
        <is>
          <t>Match empleador</t>
        </is>
      </c>
      <c r="Q32" s="5" t="inlineStr">
        <is>
          <t>S-corp neto</t>
        </is>
      </c>
      <c r="R32" s="5" t="inlineStr">
        <is>
          <t>Salario S-corp</t>
        </is>
      </c>
      <c r="S32" s="5" t="inlineStr">
        <is>
          <t>FICA patronal S-corp</t>
        </is>
      </c>
      <c r="T32" s="5" t="inlineStr">
        <is>
          <t>Distribución S-corp</t>
        </is>
      </c>
      <c r="U32" s="5" t="inlineStr">
        <is>
          <t>Salarios totales</t>
        </is>
      </c>
      <c r="V32" s="5" t="inlineStr">
        <is>
          <t>Base autoempleo</t>
        </is>
      </c>
      <c r="W32" s="5" t="inlineStr">
        <is>
          <t>Impuesto autoempleo</t>
        </is>
      </c>
      <c r="X32" s="5" t="inlineStr">
        <is>
          <t>FICA empleado</t>
        </is>
      </c>
      <c r="Y32" s="5" t="inlineStr">
        <is>
          <t>AGI</t>
        </is>
      </c>
      <c r="Z32" s="5" t="inlineStr">
        <is>
          <t>Ingreso gravable antes QBI</t>
        </is>
      </c>
      <c r="AA32" s="5" t="inlineStr">
        <is>
          <t>Deducción QBI</t>
        </is>
      </c>
      <c r="AB32" s="5" t="inlineStr">
        <is>
          <t>Ingreso gravable</t>
        </is>
      </c>
      <c r="AC32" s="5" t="inlineStr">
        <is>
          <t>Impuesto federal</t>
        </is>
      </c>
      <c r="AD32" s="5" t="inlineStr">
        <is>
          <t>Gravable NY</t>
        </is>
      </c>
      <c r="AE32" s="5" t="inlineStr">
        <is>
          <t>Impuesto estatal/local</t>
        </is>
      </c>
      <c r="AF32" s="5" t="inlineStr">
        <is>
          <t>Impuestos totales</t>
        </is>
      </c>
      <c r="AG32" s="5" t="inlineStr">
        <is>
          <t>Ingreso personal bruto en efectivo</t>
        </is>
      </c>
      <c r="AH32" s="5" t="inlineStr">
        <is>
          <t>Efectivo neto (tras impuestos y 403b)</t>
        </is>
      </c>
      <c r="AI32" s="5" t="inlineStr">
        <is>
          <t>Ingreso bruto</t>
        </is>
      </c>
      <c r="AJ32" s="5" t="inlineStr">
        <is>
          <t>Gastos de vida</t>
        </is>
      </c>
      <c r="AK32" s="5" t="inlineStr">
        <is>
          <t>Ahorro líquido inicio</t>
        </is>
      </c>
      <c r="AL32" s="5" t="inlineStr">
        <is>
          <t>Ya era dueño</t>
        </is>
      </c>
      <c r="AM32" s="5" t="inlineStr">
        <is>
          <t>Precio base 2026</t>
        </is>
      </c>
      <c r="AN32" s="5" t="inlineStr">
        <is>
          <t>Precio en el año</t>
        </is>
      </c>
      <c r="AO32" s="5" t="inlineStr">
        <is>
          <t>Physician loan</t>
        </is>
      </c>
      <c r="AP32" s="5" t="inlineStr">
        <is>
          <t>% enganche</t>
        </is>
      </c>
      <c r="AQ32" s="5" t="inlineStr">
        <is>
          <t>Préstamo</t>
        </is>
      </c>
      <c r="AR32" s="5" t="inlineStr">
        <is>
          <t>Cuota P&amp;I mensual</t>
        </is>
      </c>
      <c r="AS32" s="5" t="inlineStr">
        <is>
          <t>Unidades rentadas</t>
        </is>
      </c>
      <c r="AT32" s="5" t="inlineStr">
        <is>
          <t>Renta mensual (cotización)</t>
        </is>
      </c>
      <c r="AU32" s="5" t="inlineStr">
        <is>
          <t>PITI mensual</t>
        </is>
      </c>
      <c r="AV32" s="5" t="inlineStr">
        <is>
          <t>Efectivo requerido</t>
        </is>
      </c>
      <c r="AW32" s="5" t="inlineStr">
        <is>
          <t>Otras deudas mensuales</t>
        </is>
      </c>
      <c r="AX32" s="5" t="inlineStr">
        <is>
          <t>Crédito aporte familiar</t>
        </is>
      </c>
      <c r="AY32" s="5" t="inlineStr">
        <is>
          <t>Carga mensual para DTI</t>
        </is>
      </c>
      <c r="AZ32" s="5" t="inlineStr">
        <is>
          <t>Ingreso mensual para DTI</t>
        </is>
      </c>
      <c r="BA32" s="5" t="inlineStr">
        <is>
          <t>Compra este año</t>
        </is>
      </c>
      <c r="BB32" s="5" t="inlineStr">
        <is>
          <t>Dueño</t>
        </is>
      </c>
      <c r="BC32" s="5" t="inlineStr">
        <is>
          <t>Año de compra</t>
        </is>
      </c>
      <c r="BD32" s="5" t="inlineStr">
        <is>
          <t>Ahorro tras enganche</t>
        </is>
      </c>
      <c r="BE32" s="5" t="inlineStr">
        <is>
          <t>Precio de compra</t>
        </is>
      </c>
      <c r="BF32" s="5" t="inlineStr">
        <is>
          <t>Cuota hipoteca</t>
        </is>
      </c>
      <c r="BG32" s="5" t="inlineStr">
        <is>
          <t>PMI activo (antes)</t>
        </is>
      </c>
      <c r="BH32" s="5" t="inlineStr">
        <is>
          <t>Config. con ADU</t>
        </is>
      </c>
      <c r="BI32" s="5" t="inlineStr">
        <is>
          <t>Construye ADU</t>
        </is>
      </c>
      <c r="BJ32" s="5" t="inlineStr">
        <is>
          <t>ADU construido</t>
        </is>
      </c>
      <c r="BK32" s="5" t="inlineStr">
        <is>
          <t>Cuota ADU</t>
        </is>
      </c>
      <c r="BL32" s="5" t="inlineStr">
        <is>
          <t>Valor vivienda inicio</t>
        </is>
      </c>
      <c r="BM32" s="5" t="inlineStr">
        <is>
          <t>Hipoteca inicio</t>
        </is>
      </c>
      <c r="BN32" s="5" t="inlineStr">
        <is>
          <t>Hipoteca tras 12 pagos</t>
        </is>
      </c>
      <c r="BO32" s="5" t="inlineStr">
        <is>
          <t>Pagado hipoteca</t>
        </is>
      </c>
      <c r="BP32" s="5" t="inlineStr">
        <is>
          <t>Hipoteca tras pagos</t>
        </is>
      </c>
      <c r="BQ32" s="5" t="inlineStr">
        <is>
          <t>ADU inicio</t>
        </is>
      </c>
      <c r="BR32" s="5" t="inlineStr">
        <is>
          <t>ADU tras 12 pagos</t>
        </is>
      </c>
      <c r="BS32" s="5" t="inlineStr">
        <is>
          <t>Pagado ADU</t>
        </is>
      </c>
      <c r="BT32" s="5" t="inlineStr">
        <is>
          <t>ADU tras pagos</t>
        </is>
      </c>
      <c r="BU32" s="5" t="inlineStr">
        <is>
          <t>Seguro</t>
        </is>
      </c>
      <c r="BV32" s="5" t="inlineStr">
        <is>
          <t>Impuesto predial</t>
        </is>
      </c>
      <c r="BW32" s="5" t="inlineStr">
        <is>
          <t>Mantenimiento</t>
        </is>
      </c>
      <c r="BX32" s="5" t="inlineStr">
        <is>
          <t>PMI</t>
        </is>
      </c>
      <c r="BY32" s="5" t="inlineStr">
        <is>
          <t>PMI activo (después)</t>
        </is>
      </c>
      <c r="BZ32" s="5" t="inlineStr">
        <is>
          <t>Renta recibida</t>
        </is>
      </c>
      <c r="CA32" s="5" t="inlineStr">
        <is>
          <t>Costo de vivienda</t>
        </is>
      </c>
      <c r="CB32" s="5" t="inlineStr">
        <is>
          <t>Aporte familiar</t>
        </is>
      </c>
      <c r="CC32" s="5" t="inlineStr">
        <is>
          <t>IRS pagado</t>
        </is>
      </c>
      <c r="CD32" s="5" t="inlineStr">
        <is>
          <t>IRS saldo</t>
        </is>
      </c>
      <c r="CE32" s="5" t="inlineStr">
        <is>
          <t>Federal inicio</t>
        </is>
      </c>
      <c r="CF32" s="5" t="inlineStr">
        <is>
          <t>Tasa federal</t>
        </is>
      </c>
      <c r="CG32" s="5" t="inlineStr">
        <is>
          <t>Años repago fed.</t>
        </is>
      </c>
      <c r="CH32" s="5" t="inlineStr">
        <is>
          <t>En estudios (≥50%)</t>
        </is>
      </c>
      <c r="CI32" s="5" t="inlineStr">
        <is>
          <t>Usa RAP/PSLF</t>
        </is>
      </c>
      <c r="CJ32" s="5" t="inlineStr">
        <is>
          <t>Interés federal</t>
        </is>
      </c>
      <c r="CK32" s="5" t="inlineStr">
        <is>
          <t>Pago RAP</t>
        </is>
      </c>
      <c r="CL32" s="5" t="inlineStr">
        <is>
          <t>Pago federal</t>
        </is>
      </c>
      <c r="CM32" s="5" t="inlineStr">
        <is>
          <t>Federal tras pago</t>
        </is>
      </c>
      <c r="CN32" s="5" t="inlineStr">
        <is>
          <t>Meses PSLF</t>
        </is>
      </c>
      <c r="CO32" s="5" t="inlineStr">
        <is>
          <t>Condonado PSLF</t>
        </is>
      </c>
      <c r="CP32" s="5" t="inlineStr">
        <is>
          <t>Federal tras PSLF</t>
        </is>
      </c>
      <c r="CQ32" s="5" t="inlineStr">
        <is>
          <t>Años repago (tras pago)</t>
        </is>
      </c>
      <c r="CR32" s="5" t="inlineStr">
        <is>
          <t>Privado inicio</t>
        </is>
      </c>
      <c r="CS32" s="5" t="inlineStr">
        <is>
          <t>Tasa privada</t>
        </is>
      </c>
      <c r="CT32" s="5" t="inlineStr">
        <is>
          <t>Años repago priv.</t>
        </is>
      </c>
      <c r="CU32" s="5" t="inlineStr">
        <is>
          <t>Pago privado</t>
        </is>
      </c>
      <c r="CV32" s="5" t="inlineStr">
        <is>
          <t>Privado tras pago</t>
        </is>
      </c>
      <c r="CW32" s="5" t="inlineStr">
        <is>
          <t>Años repago priv. (tras)</t>
        </is>
      </c>
      <c r="CX32" s="5" t="inlineStr">
        <is>
          <t>Consumo tras interés</t>
        </is>
      </c>
      <c r="CY32" s="5" t="inlineStr">
        <is>
          <t>Gasto extra travel</t>
        </is>
      </c>
      <c r="CZ32" s="5" t="inlineStr">
        <is>
          <t>Salidas</t>
        </is>
      </c>
      <c r="DA32" s="5" t="inlineStr">
        <is>
          <t>Excedente (déficit)</t>
        </is>
      </c>
      <c r="DB32" s="5" t="inlineStr">
        <is>
          <t>Flujo acumulado</t>
        </is>
      </c>
      <c r="DC32" s="5" t="inlineStr">
        <is>
          <t>Meta enganche</t>
        </is>
      </c>
      <c r="DD32" s="5" t="inlineStr">
        <is>
          <t>Retorno del ahorro líquido</t>
        </is>
      </c>
      <c r="DE32" s="5" t="inlineStr">
        <is>
          <t>Pago deuda consumo</t>
        </is>
      </c>
      <c r="DF32" s="5" t="inlineStr">
        <is>
          <t>Gasto discrecional</t>
        </is>
      </c>
      <c r="DG32" s="5" t="inlineStr">
        <is>
          <t>Ahorro</t>
        </is>
      </c>
      <c r="DH32" s="5" t="inlineStr">
        <is>
          <t>Roth</t>
        </is>
      </c>
      <c r="DI32" s="5" t="inlineStr">
        <is>
          <t>Prepago</t>
        </is>
      </c>
      <c r="DJ32" s="5" t="inlineStr">
        <is>
          <t>Prepago a hipoteca</t>
        </is>
      </c>
      <c r="DK32" s="5" t="inlineStr">
        <is>
          <t>Retiro del ahorro</t>
        </is>
      </c>
      <c r="DL32" s="5" t="inlineStr">
        <is>
          <t>Déficit por financiar</t>
        </is>
      </c>
      <c r="DM32" s="5" t="inlineStr">
        <is>
          <t>Federal acumulado (antes)</t>
        </is>
      </c>
      <c r="DN32" s="5" t="inlineStr">
        <is>
          <t>Nuevo préstamo federal</t>
        </is>
      </c>
      <c r="DO32" s="5" t="inlineStr">
        <is>
          <t>Nuevo préstamo privado</t>
        </is>
      </c>
      <c r="DP32" s="5" t="inlineStr">
        <is>
          <t>Nueva deuda consumo</t>
        </is>
      </c>
      <c r="DQ32" s="5" t="inlineStr">
        <is>
          <t>Flujo al ahorro líquido</t>
        </is>
      </c>
      <c r="DR32" s="5" t="inlineStr">
        <is>
          <t>Ahorro líquido fin</t>
        </is>
      </c>
      <c r="DS32" s="5" t="inlineStr">
        <is>
          <t>Retiro fin</t>
        </is>
      </c>
      <c r="DT32" s="5" t="inlineStr">
        <is>
          <t>Valor vivienda fin</t>
        </is>
      </c>
      <c r="DU32" s="5" t="inlineStr">
        <is>
          <t>Hipoteca fin</t>
        </is>
      </c>
      <c r="DV32" s="5" t="inlineStr">
        <is>
          <t>ADU fin</t>
        </is>
      </c>
      <c r="DW32" s="5" t="inlineStr">
        <is>
          <t>Federal fin</t>
        </is>
      </c>
      <c r="DX32" s="5" t="inlineStr">
        <is>
          <t>Tasa federal fin</t>
        </is>
      </c>
      <c r="DY32" s="5" t="inlineStr">
        <is>
          <t>Años repago fed. fin</t>
        </is>
      </c>
      <c r="DZ32" s="5" t="inlineStr">
        <is>
          <t>Federal acumulado</t>
        </is>
      </c>
      <c r="EA32" s="5" t="inlineStr">
        <is>
          <t>Privado fin</t>
        </is>
      </c>
      <c r="EB32" s="5" t="inlineStr">
        <is>
          <t>Tasa privada fin</t>
        </is>
      </c>
      <c r="EC32" s="5" t="inlineStr">
        <is>
          <t>Años repago priv. fin</t>
        </is>
      </c>
      <c r="ED32" s="5" t="inlineStr">
        <is>
          <t>Deuda consumo fin</t>
        </is>
      </c>
      <c r="EE32" s="5" t="inlineStr">
        <is>
          <t>Año vivienda pagada</t>
        </is>
      </c>
      <c r="EF32" s="5" t="inlineStr">
        <is>
          <t>Deuda total</t>
        </is>
      </c>
      <c r="EG32" s="9" t="inlineStr">
        <is>
          <t>PATRIMONIO NETO</t>
        </is>
      </c>
      <c r="EH32" s="5" t="inlineStr">
        <is>
          <t>Patrimonio (dólares 2026)</t>
        </is>
      </c>
    </row>
    <row r="33">
      <c r="A33" t="n">
        <v>2027</v>
      </c>
      <c r="B33" t="n">
        <v>0</v>
      </c>
      <c r="C33" s="7">
        <f>(1+g_inf)^(A33-2026)</f>
        <v/>
      </c>
      <c r="D33" s="7">
        <f>SUMPRODUCT($T$5:$T$29,$E$5:$E$29*(1+$F$5:$F$29)^(A33-2026)*$G$5:$G$29*$H$5:$H$29*(1-$N$5:$N$29*$O$5:$O$29))*g_salMult+SUMPRODUCT(($B$5:$B$29&gt;=A33)*($B$5:$B$29&lt;A33+1)*$I$5:$I$29)*g_salMult</f>
        <v/>
      </c>
      <c r="E33" s="7">
        <f>SUMPRODUCT($T$5:$T$29,$E$5:$E$29*(1+$F$5:$F$29)^(A33-2026)*$G$5:$G$29*$H$5:$H$29*$M$5:$M$29)*g_salMult</f>
        <v/>
      </c>
      <c r="F33" s="7">
        <f>SUMPRODUCT($T$5:$T$29,$E$5:$E$29*(1+$F$5:$F$29)^(A33-2026)*$G$5:$G$29*$H$5:$H$29*$N$5:$N$29*$O$5:$O$29)*g_salMult</f>
        <v/>
      </c>
      <c r="G33" s="7">
        <f>SUMPRODUCT($T$5:$T$29,$P$5:$P$29*(1+$F$5:$F$29)^(A33-2026))</f>
        <v/>
      </c>
      <c r="H33" s="7">
        <f>SUMPRODUCT($T$5:$T$29,$Q$5:$Q$29*(1+$F$5:$F$29)^(A33-2026))+IF(personal_llcActivo=1,personal_llcNeto*(1+personal_llcCrecimiento)^0,0)</f>
        <v/>
      </c>
      <c r="I33" s="7">
        <f>SUMPRODUCT($T$5:$T$29,$J$5:$J$29/($C$5:$C$29-$B$5:$B$29+($C$5:$C$29=$B$5:$B$29)))*C33</f>
        <v/>
      </c>
      <c r="J33" s="7">
        <f>SUMPRODUCT($T$5:$T$29,$K$5:$K$29)</f>
        <v/>
      </c>
      <c r="K33" s="7">
        <f>SUMPRODUCT($T$5:$T$29,$L$5:$L$29)</f>
        <v/>
      </c>
      <c r="L33" s="7">
        <f>SUMPRODUCT($T$5:$T$29,$N$5:$N$29)</f>
        <v/>
      </c>
      <c r="M33" s="7">
        <f>IF(SUMPRODUCT($T$5:$T$29,$R$5:$R$29)&gt;0,1,0)</f>
        <v/>
      </c>
      <c r="N33" s="7">
        <f>SUMPRODUCT(($AO$5:$AO$24&gt;=A33)*($AO$5:$AO$24&lt;A33+1)*$AP$5:$AP$24)*C33+IF(0=0,IF(sel_loc&lt;&gt;"miami",personal_costoMudanzaInicial,0),0)</f>
        <v/>
      </c>
      <c r="O33" s="7">
        <f>MIN(personal_aporte403bPct*D33,retiro_limite403b*C33)</f>
        <v/>
      </c>
      <c r="P33" s="7">
        <f>MIN(personal_aporte403bPct,personal_match403bPct)*E33</f>
        <v/>
      </c>
      <c r="Q33" s="7">
        <f>IF(G33&gt;0,MAX(0,G33-impuestos_scorpCostoAnual*C33),0)</f>
        <v/>
      </c>
      <c r="R33" s="7">
        <f>Q33*impuestos_scorpSalarioPct/(1+impuestos_ssTasa+impuestos_medicareTasa)</f>
        <v/>
      </c>
      <c r="S33" s="7">
        <f>impuestos_ssTasa*MIN(R33,MAX(0,impuestos_ssTope*C33-D33))+impuestos_medicareTasa*R33</f>
        <v/>
      </c>
      <c r="T33" s="7">
        <f>Q33-R33-S33</f>
        <v/>
      </c>
      <c r="U33" s="7">
        <f>D33+R33</f>
        <v/>
      </c>
      <c r="V33" s="7">
        <f>H33*0.9235</f>
        <v/>
      </c>
      <c r="W33" s="7">
        <f>IF(H33&gt;0,2*impuestos_ssTasa*MIN(V33,MAX(0,impuestos_ssTope*C33-U33))+2*impuestos_medicareTasa*V33,0)</f>
        <v/>
      </c>
      <c r="X33" s="7">
        <f>impuestos_ssTasa*MIN(U33,impuestos_ssTope*C33)+impuestos_medicareTasa*U33+impuestos_medicareAdicional*MAX(0,U33+H33*0.9235-impuestos_medicareUmbral)</f>
        <v/>
      </c>
      <c r="Y33" s="7">
        <f>MAX(0,D33-O33+R33+T33+H33-W33/2)</f>
        <v/>
      </c>
      <c r="Z33" s="7">
        <f>MAX(0,Y33-impuestos_deduccionEstandar*C33)</f>
        <v/>
      </c>
      <c r="AA33" s="7">
        <f>MIN(0.2*MAX(0,T33+H33-W33/2)*MAX(0,MIN(1,1-(Z33-impuestos_qbiUmbral*C33)/(impuestos_qbiRango*C33))),0.2*Z33)</f>
        <v/>
      </c>
      <c r="AB33" s="7">
        <f>MAX(0,Z33-AA33)</f>
        <v/>
      </c>
      <c r="AC33" s="7">
        <f>SUMPRODUCT((AB33&gt;tb_federalBrackets_lo*C33)*(AB33-tb_federalBrackets_lo*C33)*tb_federalBrackets_dr)</f>
        <v/>
      </c>
      <c r="AD33" s="7">
        <f>MAX(0,Y33-impuestos_nyDeduccion*C33)</f>
        <v/>
      </c>
      <c r="AE33" s="7">
        <f>CHOOSE(loc_taxcode,0,impuestos_ohTasa*MAX(0,Y33-impuestos_ohExento*C33)+impuestos_ohMunicipal*U33,SUMPRODUCT((AD33&gt;tb_nyBrackets_lo*C33)*(AD33-tb_nyBrackets_lo*C33)*tb_nyBrackets_dr)+loc_nyc*SUMPRODUCT((AD33&gt;tb_nycBrackets_lo*C33)*(AD33-tb_nycBrackets_lo*C33)*tb_nycBrackets_dr))</f>
        <v/>
      </c>
      <c r="AF33" s="7">
        <f>AC33+AE33+X33+W33</f>
        <v/>
      </c>
      <c r="AG33" s="7">
        <f>D33+F33+R33+T33+H33</f>
        <v/>
      </c>
      <c r="AH33" s="7">
        <f>AG33-AF33-O33</f>
        <v/>
      </c>
      <c r="AI33" s="7">
        <f>D33+F33+G33+H33</f>
        <v/>
      </c>
      <c r="AJ33" s="7">
        <f>loc_gastosVida*C33*g_gastos</f>
        <v/>
      </c>
      <c r="AK33" s="7">
        <f>IF(0=0,personal_liquidoInicial,DR32)</f>
        <v/>
      </c>
      <c r="AL33" s="7">
        <f>IF(0=0,0,BB32)</f>
        <v/>
      </c>
      <c r="AM33" s="7">
        <f>CHOOSE(sel_cfgIdx,loc_precio_duplex,loc_precio_inlaw,loc_precio_dosCasas,loc_precio_casaAdu,loc_precio_multi)</f>
        <v/>
      </c>
      <c r="AN33" s="7">
        <f>AM33*(1+g_appr)^(A33-2026)</f>
        <v/>
      </c>
      <c r="AO33" s="7">
        <f>IF(AND(M33=1,vivienda_prestamoMedico=1),1,0)</f>
        <v/>
      </c>
      <c r="AP33" s="7">
        <f>IF(AO33=1,0.05,vivienda_enganchePct)</f>
        <v/>
      </c>
      <c r="AQ33" s="7">
        <f>AN33*(1-AP33)</f>
        <v/>
      </c>
      <c r="AR33" s="7">
        <f>PMT(g_mortRate/12,vivienda_plazoHipoteca*12,-AQ33)</f>
        <v/>
      </c>
      <c r="AS33" s="7">
        <f>INDEX(cfg_units,sel_cfgIdx)</f>
        <v/>
      </c>
      <c r="AT33" s="7">
        <f>AS33*loc_rentaUnidad*(1+g_inf)^(A33-2026)*(1-vivienda_vacancia)</f>
        <v/>
      </c>
      <c r="AU33" s="7">
        <f>AR33+AN33*loc_impuestoPropPct/12+AM33*loc_seguroPct*(1+vivienda_inflacionSeguro)^(A33-2026)/12+IF(AND(AO33=0,AP33&lt;0.2),AQ33*vivienda_pmiTasa/12,0)</f>
        <v/>
      </c>
      <c r="AV33" s="7">
        <f>AN33*AP33+AN33*vivienda_cierrePct+general_reservaMeses/12*AJ33</f>
        <v/>
      </c>
      <c r="AW33" s="7">
        <f>(IF(0=0,MIN(personal_irsSaldo,personal_irsPagoMensual*12),MIN(CD32,personal_irsPagoMensual*12))+IF(CE33&gt;0,PMT(CF33,MAX(1,prestamos_plazoAnios-CG33),-CE33),0)+IF(CR33&gt;0,PMT(CS33,MAX(1,prestamos_plazoAnios-CT33),-CR33),0))/12</f>
        <v/>
      </c>
      <c r="AX33" s="7">
        <f>IF(OR(sel_cfg="duplex",sel_cfg="multi",sel_cfg="dosCasas"),0.75*personal_aporteFamiliaMensual,0)</f>
        <v/>
      </c>
      <c r="AY33" s="7">
        <f>AU33-0.75*AT33-AX33+AW33</f>
        <v/>
      </c>
      <c r="AZ33" s="7">
        <f>(D33+G33+H33+0.5*F33)/12</f>
        <v/>
      </c>
      <c r="BA33" s="7">
        <f>IF(AND(AL33=0,A33&gt;=vivienda_anioMinCompra,J33&lt;0.5,AI33&gt;0,AK33&gt;=AV33,AY33&lt;=vivienda_dtiMax*AZ33),1,0)</f>
        <v/>
      </c>
      <c r="BB33" s="7">
        <f>MAX(AL33,BA33)</f>
        <v/>
      </c>
      <c r="BC33" s="7">
        <f>IF(BA33=1,A33,IF(0=0,"",BC32))</f>
        <v/>
      </c>
      <c r="BD33" s="7">
        <f>AK33-IF(BA33=1,AN33*AP33+AN33*vivienda_cierrePct,0)</f>
        <v/>
      </c>
      <c r="BE33" s="7">
        <f>IF(BA33=1,AN33,IF(0=0,0,BE32))</f>
        <v/>
      </c>
      <c r="BF33" s="7">
        <f>IF(BA33=1,AR33,IF(0=0,0,BF32))</f>
        <v/>
      </c>
      <c r="BG33" s="7">
        <f>IF(BA33=1,IF(AND(AO33=0,AP33&lt;0.2),1,0),IF(0=0,0,BY32))</f>
        <v/>
      </c>
      <c r="BH33" s="7">
        <f>IF(sel_cfg="casaAdu",1,0)</f>
        <v/>
      </c>
      <c r="BI33" s="7">
        <f>IF(AND(BB33=1,BH33=1,IF(0=0,0,BJ32)=0,A33&gt;=IF(BC33="",9999,BC33)+vivienda_aduRetrasoAnios),1,0)</f>
        <v/>
      </c>
      <c r="BJ33" s="7">
        <f>MAX(IF(0=0,0,BJ32),BI33)</f>
        <v/>
      </c>
      <c r="BK33" s="7">
        <f>IF(BI33=1,PMT((g_mortRate+0.005)/12,180,-loc_precio_aduCosto*C33),IF(0=0,0,BK32))</f>
        <v/>
      </c>
      <c r="BL33" s="7">
        <f>IF(BA33=1,AN33,IF(0=0,0,DT32))+IF(BI33=1,loc_precio_aduCosto*C33,0)</f>
        <v/>
      </c>
      <c r="BM33" s="7">
        <f>IF(BA33=1,AQ33,IF(0=0,0,DU32))</f>
        <v/>
      </c>
      <c r="BN33" s="7">
        <f>IF(BM33&lt;=0,0,FV(g_mortRate/12,12,BF33,-BM33))</f>
        <v/>
      </c>
      <c r="BO33" s="7">
        <f>IF(BM33&lt;=0,0,12*BF33+MIN(0,BN33))</f>
        <v/>
      </c>
      <c r="BP33" s="7">
        <f>MAX(0,BN33)</f>
        <v/>
      </c>
      <c r="BQ33" s="7">
        <f>IF(BI33=1,loc_precio_aduCosto*C33,IF(0=0,0,DV32))</f>
        <v/>
      </c>
      <c r="BR33" s="7">
        <f>IF(BQ33&lt;=0,0,FV((g_mortRate+0.005)/12,12,BK33,-BQ33))</f>
        <v/>
      </c>
      <c r="BS33" s="7">
        <f>IF(BQ33&lt;=0,0,12*BK33+MIN(0,BR33))</f>
        <v/>
      </c>
      <c r="BT33" s="7">
        <f>MAX(0,BR33)</f>
        <v/>
      </c>
      <c r="BU33" s="7">
        <f>IF(BB33=1,AM33*loc_seguroPct*(1+vivienda_inflacionSeguro)^(A33-2026)*IF(BJ33=1,1+loc_precio_aduCosto/AM33,1),0)</f>
        <v/>
      </c>
      <c r="BV33" s="7">
        <f>BL33*loc_impuestoPropPct</f>
        <v/>
      </c>
      <c r="BW33" s="7">
        <f>BL33*vivienda_mantenimientoPct</f>
        <v/>
      </c>
      <c r="BX33" s="7">
        <f>IF(AND(BG33=1,BP33&gt;0.8*BE33),BE33*(1-vivienda_enganchePct)*vivienda_pmiTasa,0)</f>
        <v/>
      </c>
      <c r="BY33" s="7">
        <f>IF(AND(BG33=1,BP33&gt;0.8*BE33),1,0)</f>
        <v/>
      </c>
      <c r="BZ33" s="7">
        <f>IF(BB33=1,AS33*loc_rentaUnidad*12*C33*(1-vivienda_vacancia)*(1-vivienda_gestionPct),0)</f>
        <v/>
      </c>
      <c r="CA33" s="7">
        <f>IF(BB33=1,BO33+BS33+BU33+BV33+BW33+BX33,loc_rentaMensual*12*C33)</f>
        <v/>
      </c>
      <c r="CB33" s="7">
        <f>IF(BB33=1,personal_aporteFamiliaMensual*12,0)</f>
        <v/>
      </c>
      <c r="CC33" s="7">
        <f>MIN(IF(0=0,personal_irsSaldo,CD32),personal_irsPagoMensual*12)</f>
        <v/>
      </c>
      <c r="CD33" s="7">
        <f>IF(0=0,personal_irsSaldo,CD32)-CC33</f>
        <v/>
      </c>
      <c r="CE33" s="7">
        <f>IF(0=0,IF(personal_deudaEsFederal=1,personal_deudaEstudiantil,0),DW32)</f>
        <v/>
      </c>
      <c r="CF33" s="7">
        <f>IF(0=0,personal_tasaDeudaEstudiantil,DX32)</f>
        <v/>
      </c>
      <c r="CG33" s="7">
        <f>IF(0=0,0,DY32)</f>
        <v/>
      </c>
      <c r="CH33" s="7">
        <f>IF(J33&gt;=0.5,1,0)</f>
        <v/>
      </c>
      <c r="CI33" s="7">
        <f>IF(AND(CH33=0,prestamos_pslfActivo=1,K33&gt;=0.5,CE33&gt;0),1,0)</f>
        <v/>
      </c>
      <c r="CJ33" s="7">
        <f>CE33*CF33</f>
        <v/>
      </c>
      <c r="CK33" s="7">
        <f>MAX(prestamos_rapPagoMinimoAnual,IF(Y33&lt;10000,0,MIN(0.1,INT(Y33/10000)/100))*Y33)</f>
        <v/>
      </c>
      <c r="CL33" s="7">
        <f>IF(CE33&lt;=0,0,IF(CH33=1,0,IF(CI33=1,MIN(CE33+CJ33,CK33),PMT(CF33,MAX(1,prestamos_plazoAnios-CG33),-CE33))))</f>
        <v/>
      </c>
      <c r="CM33" s="7">
        <f>IF(CE33&lt;=0,0,IF(CH33=1,CE33+CJ33,IF(CI33=1,MAX(0,CE33-MAX(CL33-CJ33,MIN(600,CL33))),MAX(0,CE33*(1+CF33)-CL33))))</f>
        <v/>
      </c>
      <c r="CN33" s="7">
        <f>IF(0=0,0,CN32)+IF(CI33=1,12*MIN(1,K33),0)</f>
        <v/>
      </c>
      <c r="CO33" s="7">
        <f>IF(AND(CI33=1,CN33&gt;=prestamos_pslfPagos,CM33&gt;0),CM33,0)</f>
        <v/>
      </c>
      <c r="CP33" s="7">
        <f>CM33-CO33</f>
        <v/>
      </c>
      <c r="CQ33" s="7">
        <f>IF(AND(CE33&gt;0,CH33=0,CI33=0),CG33+1,CG33)</f>
        <v/>
      </c>
      <c r="CR33" s="7">
        <f>IF(0=0,IF(personal_deudaEsFederal=1,0,personal_deudaEstudiantil),EA32)</f>
        <v/>
      </c>
      <c r="CS33" s="7">
        <f>IF(0=0,IF(personal_deudaEsFederal=1,prestamos_tasaPrivada,personal_tasaDeudaEstudiantil),EB32)</f>
        <v/>
      </c>
      <c r="CT33" s="7">
        <f>IF(0=0,0,EC32)</f>
        <v/>
      </c>
      <c r="CU33" s="7">
        <f>IF(OR(CR33&lt;=0,CH33=1),0,PMT(CS33,MAX(1,prestamos_plazoAnios-CT33),-CR33))</f>
        <v/>
      </c>
      <c r="CV33" s="7">
        <f>IF(CR33&lt;=0,0,IF(CH33=1,CR33*(1+CS33),MAX(0,CR33*(1+CS33)-CU33)))</f>
        <v/>
      </c>
      <c r="CW33" s="7">
        <f>IF(AND(CR33&gt;0,CH33=0),CT33+1,CT33)</f>
        <v/>
      </c>
      <c r="CX33" s="7">
        <f>IF(0=0,0,ED32)*(1+general_tasaDeudaConsumo)</f>
        <v/>
      </c>
      <c r="CY33" s="7">
        <f>L33*12*tiempos_travelGastoExtraMes*C33</f>
        <v/>
      </c>
      <c r="CZ33" s="7">
        <f>AJ33+CY33+CA33+CC33+CL33+CU33+I33+N33-BZ33-CB33</f>
        <v/>
      </c>
      <c r="DA33" s="7">
        <f>AH33-CZ33</f>
        <v/>
      </c>
      <c r="DB33" s="7">
        <f>IF(0=0,0,DB32)+DA33</f>
        <v/>
      </c>
      <c r="DC33" s="7">
        <f>AN33*vivienda_enganchePct+AN33*vivienda_cierrePct+general_reservaMeses/12*AJ33</f>
        <v/>
      </c>
      <c r="DD33" s="7">
        <f>IF(BB33=1,g_ret,IF(BD33&gt;0,MIN(1,DC33/BD33),1)*g_cash+(1-IF(BD33&gt;0,MIN(1,DC33/BD33),1))*g_ret)</f>
        <v/>
      </c>
      <c r="DE33" s="7">
        <f>IF(DA33&gt;=0,MIN(CX33,DA33),0)</f>
        <v/>
      </c>
      <c r="DF33" s="7">
        <f>IF(DA33&gt;=0,(1-general_tasaAhorro)*(DA33-DE33),0)</f>
        <v/>
      </c>
      <c r="DG33" s="7">
        <f>IF(DA33&gt;=0,DA33-DE33-DF33,0)</f>
        <v/>
      </c>
      <c r="DH33" s="7">
        <f>MIN(personal_rothAnual,DG33)</f>
        <v/>
      </c>
      <c r="DI33" s="7">
        <f>IF(AND(DA33&gt;=0,BB33=1,BP33+BT33&gt;0),MIN(vivienda_prepagoPct*(DG33-DH33),BP33+BT33),0)</f>
        <v/>
      </c>
      <c r="DJ33" s="7">
        <f>MIN(DI33,BP33)</f>
        <v/>
      </c>
      <c r="DK33" s="7">
        <f>IF(DA33&lt;0,MIN(MAX(0,BD33),-DA33),0)</f>
        <v/>
      </c>
      <c r="DL33" s="7">
        <f>IF(DA33&lt;0,-DA33-DK33,0)</f>
        <v/>
      </c>
      <c r="DM33" s="7">
        <f>IF(0=0,0,DZ32)</f>
        <v/>
      </c>
      <c r="DN33" s="7">
        <f>IF(AND(DL33&gt;0,J33&gt;0),MIN(DL33,MIN(prestamos_topeAnualPosgrado*MIN(1,J33),MAX(0,prestamos_topeTotalPosgrado-DM33))),0)</f>
        <v/>
      </c>
      <c r="DO33" s="7">
        <f>IF(AND(DL33&gt;0,J33&gt;0),DL33-DN33,0)</f>
        <v/>
      </c>
      <c r="DP33" s="7">
        <f>IF(AND(DL33&gt;0,J33&lt;=0),DL33,0)</f>
        <v/>
      </c>
      <c r="DQ33" s="7">
        <f>IF(DA33&gt;=0,DG33-DH33-DI33,-DK33)</f>
        <v/>
      </c>
      <c r="DR33" s="7">
        <f>BD33*(1+DD33)+DQ33*(1+DD33/2)</f>
        <v/>
      </c>
      <c r="DS33" s="7">
        <f>IF(0=0,personal_retiroInicial,DS32)*(1+g_ret)+(O33+P33+DH33)*(1+g_ret/2)</f>
        <v/>
      </c>
      <c r="DT33" s="7">
        <f>IF(BB33=1,BL33*(1+g_appr),0)</f>
        <v/>
      </c>
      <c r="DU33" s="7">
        <f>BP33-DJ33</f>
        <v/>
      </c>
      <c r="DV33" s="7">
        <f>BT33-(DI33-DJ33)</f>
        <v/>
      </c>
      <c r="DW33" s="7">
        <f>CP33+DN33</f>
        <v/>
      </c>
      <c r="DX33" s="7">
        <f>IF(DN33&gt;0,(CP33*CF33+DN33*prestamos_tasaFederalPosgrado)/(CP33+DN33),CF33)</f>
        <v/>
      </c>
      <c r="DY33" s="7">
        <f>IF(DN33&gt;0,0,CQ33)</f>
        <v/>
      </c>
      <c r="DZ33" s="7">
        <f>DM33+DN33</f>
        <v/>
      </c>
      <c r="EA33" s="7">
        <f>CV33+DO33</f>
        <v/>
      </c>
      <c r="EB33" s="7">
        <f>IF(DO33&gt;0,(CV33*CS33+DO33*prestamos_tasaPrivada)/(CV33+DO33),CS33)</f>
        <v/>
      </c>
      <c r="EC33" s="7">
        <f>IF(DO33&gt;0,0,CW33)</f>
        <v/>
      </c>
      <c r="ED33" s="7">
        <f>CX33-DE33+DP33</f>
        <v/>
      </c>
      <c r="EE33" s="7">
        <f>IF(IF(0=0,"",EE32)&lt;&gt;"",EE32,IF(AND(BB33=1,DU33&lt;=0.5,DV33&lt;=0.5,OR(BH33=0,BJ33=1)),A33,""))</f>
        <v/>
      </c>
      <c r="EF33" s="7">
        <f>DU33+DV33+DW33+EA33+ED33+CD33</f>
        <v/>
      </c>
      <c r="EG33" s="7">
        <f>DR33+DS33+DT33-EF33</f>
        <v/>
      </c>
      <c r="EH33" s="7">
        <f>EG33/(1+g_inf)^(A33+1-2026)</f>
        <v/>
      </c>
    </row>
    <row r="34">
      <c r="A34" t="n">
        <v>2028</v>
      </c>
      <c r="B34" t="n">
        <v>1</v>
      </c>
      <c r="C34" s="7">
        <f>(1+g_inf)^(A34-2026)</f>
        <v/>
      </c>
      <c r="D34" s="7">
        <f>SUMPRODUCT($U$5:$U$29,$E$5:$E$29*(1+$F$5:$F$29)^(A34-2026)*$G$5:$G$29*$H$5:$H$29*(1-$N$5:$N$29*$O$5:$O$29))*g_salMult+SUMPRODUCT(($B$5:$B$29&gt;=A34)*($B$5:$B$29&lt;A34+1)*$I$5:$I$29)*g_salMult</f>
        <v/>
      </c>
      <c r="E34" s="7">
        <f>SUMPRODUCT($U$5:$U$29,$E$5:$E$29*(1+$F$5:$F$29)^(A34-2026)*$G$5:$G$29*$H$5:$H$29*$M$5:$M$29)*g_salMult</f>
        <v/>
      </c>
      <c r="F34" s="7">
        <f>SUMPRODUCT($U$5:$U$29,$E$5:$E$29*(1+$F$5:$F$29)^(A34-2026)*$G$5:$G$29*$H$5:$H$29*$N$5:$N$29*$O$5:$O$29)*g_salMult</f>
        <v/>
      </c>
      <c r="G34" s="7">
        <f>SUMPRODUCT($U$5:$U$29,$P$5:$P$29*(1+$F$5:$F$29)^(A34-2026))</f>
        <v/>
      </c>
      <c r="H34" s="7">
        <f>SUMPRODUCT($U$5:$U$29,$Q$5:$Q$29*(1+$F$5:$F$29)^(A34-2026))+IF(personal_llcActivo=1,personal_llcNeto*(1+personal_llcCrecimiento)^1,0)</f>
        <v/>
      </c>
      <c r="I34" s="7">
        <f>SUMPRODUCT($U$5:$U$29,$J$5:$J$29/($C$5:$C$29-$B$5:$B$29+($C$5:$C$29=$B$5:$B$29)))*C34</f>
        <v/>
      </c>
      <c r="J34" s="7">
        <f>SUMPRODUCT($U$5:$U$29,$K$5:$K$29)</f>
        <v/>
      </c>
      <c r="K34" s="7">
        <f>SUMPRODUCT($U$5:$U$29,$L$5:$L$29)</f>
        <v/>
      </c>
      <c r="L34" s="7">
        <f>SUMPRODUCT($U$5:$U$29,$N$5:$N$29)</f>
        <v/>
      </c>
      <c r="M34" s="7">
        <f>IF(SUMPRODUCT($U$5:$U$29,$R$5:$R$29)&gt;0,1,0)</f>
        <v/>
      </c>
      <c r="N34" s="7">
        <f>SUMPRODUCT(($AO$5:$AO$24&gt;=A34)*($AO$5:$AO$24&lt;A34+1)*$AP$5:$AP$24)*C34+IF(1=0,IF(sel_loc&lt;&gt;"miami",personal_costoMudanzaInicial,0),0)</f>
        <v/>
      </c>
      <c r="O34" s="7">
        <f>MIN(personal_aporte403bPct*D34,retiro_limite403b*C34)</f>
        <v/>
      </c>
      <c r="P34" s="7">
        <f>MIN(personal_aporte403bPct,personal_match403bPct)*E34</f>
        <v/>
      </c>
      <c r="Q34" s="7">
        <f>IF(G34&gt;0,MAX(0,G34-impuestos_scorpCostoAnual*C34),0)</f>
        <v/>
      </c>
      <c r="R34" s="7">
        <f>Q34*impuestos_scorpSalarioPct/(1+impuestos_ssTasa+impuestos_medicareTasa)</f>
        <v/>
      </c>
      <c r="S34" s="7">
        <f>impuestos_ssTasa*MIN(R34,MAX(0,impuestos_ssTope*C34-D34))+impuestos_medicareTasa*R34</f>
        <v/>
      </c>
      <c r="T34" s="7">
        <f>Q34-R34-S34</f>
        <v/>
      </c>
      <c r="U34" s="7">
        <f>D34+R34</f>
        <v/>
      </c>
      <c r="V34" s="7">
        <f>H34*0.9235</f>
        <v/>
      </c>
      <c r="W34" s="7">
        <f>IF(H34&gt;0,2*impuestos_ssTasa*MIN(V34,MAX(0,impuestos_ssTope*C34-U34))+2*impuestos_medicareTasa*V34,0)</f>
        <v/>
      </c>
      <c r="X34" s="7">
        <f>impuestos_ssTasa*MIN(U34,impuestos_ssTope*C34)+impuestos_medicareTasa*U34+impuestos_medicareAdicional*MAX(0,U34+H34*0.9235-impuestos_medicareUmbral)</f>
        <v/>
      </c>
      <c r="Y34" s="7">
        <f>MAX(0,D34-O34+R34+T34+H34-W34/2)</f>
        <v/>
      </c>
      <c r="Z34" s="7">
        <f>MAX(0,Y34-impuestos_deduccionEstandar*C34)</f>
        <v/>
      </c>
      <c r="AA34" s="7">
        <f>MIN(0.2*MAX(0,T34+H34-W34/2)*MAX(0,MIN(1,1-(Z34-impuestos_qbiUmbral*C34)/(impuestos_qbiRango*C34))),0.2*Z34)</f>
        <v/>
      </c>
      <c r="AB34" s="7">
        <f>MAX(0,Z34-AA34)</f>
        <v/>
      </c>
      <c r="AC34" s="7">
        <f>SUMPRODUCT((AB34&gt;tb_federalBrackets_lo*C34)*(AB34-tb_federalBrackets_lo*C34)*tb_federalBrackets_dr)</f>
        <v/>
      </c>
      <c r="AD34" s="7">
        <f>MAX(0,Y34-impuestos_nyDeduccion*C34)</f>
        <v/>
      </c>
      <c r="AE34" s="7">
        <f>CHOOSE(loc_taxcode,0,impuestos_ohTasa*MAX(0,Y34-impuestos_ohExento*C34)+impuestos_ohMunicipal*U34,SUMPRODUCT((AD34&gt;tb_nyBrackets_lo*C34)*(AD34-tb_nyBrackets_lo*C34)*tb_nyBrackets_dr)+loc_nyc*SUMPRODUCT((AD34&gt;tb_nycBrackets_lo*C34)*(AD34-tb_nycBrackets_lo*C34)*tb_nycBrackets_dr))</f>
        <v/>
      </c>
      <c r="AF34" s="7">
        <f>AC34+AE34+X34+W34</f>
        <v/>
      </c>
      <c r="AG34" s="7">
        <f>D34+F34+R34+T34+H34</f>
        <v/>
      </c>
      <c r="AH34" s="7">
        <f>AG34-AF34-O34</f>
        <v/>
      </c>
      <c r="AI34" s="7">
        <f>D34+F34+G34+H34</f>
        <v/>
      </c>
      <c r="AJ34" s="7">
        <f>loc_gastosVida*C34*g_gastos</f>
        <v/>
      </c>
      <c r="AK34" s="7">
        <f>IF(1=0,personal_liquidoInicial,DR33)</f>
        <v/>
      </c>
      <c r="AL34" s="7">
        <f>IF(1=0,0,BB33)</f>
        <v/>
      </c>
      <c r="AM34" s="7">
        <f>CHOOSE(sel_cfgIdx,loc_precio_duplex,loc_precio_inlaw,loc_precio_dosCasas,loc_precio_casaAdu,loc_precio_multi)</f>
        <v/>
      </c>
      <c r="AN34" s="7">
        <f>AM34*(1+g_appr)^(A34-2026)</f>
        <v/>
      </c>
      <c r="AO34" s="7">
        <f>IF(AND(M34=1,vivienda_prestamoMedico=1),1,0)</f>
        <v/>
      </c>
      <c r="AP34" s="7">
        <f>IF(AO34=1,0.05,vivienda_enganchePct)</f>
        <v/>
      </c>
      <c r="AQ34" s="7">
        <f>AN34*(1-AP34)</f>
        <v/>
      </c>
      <c r="AR34" s="7">
        <f>PMT(g_mortRate/12,vivienda_plazoHipoteca*12,-AQ34)</f>
        <v/>
      </c>
      <c r="AS34" s="7">
        <f>INDEX(cfg_units,sel_cfgIdx)</f>
        <v/>
      </c>
      <c r="AT34" s="7">
        <f>AS34*loc_rentaUnidad*(1+g_inf)^(A34-2026)*(1-vivienda_vacancia)</f>
        <v/>
      </c>
      <c r="AU34" s="7">
        <f>AR34+AN34*loc_impuestoPropPct/12+AM34*loc_seguroPct*(1+vivienda_inflacionSeguro)^(A34-2026)/12+IF(AND(AO34=0,AP34&lt;0.2),AQ34*vivienda_pmiTasa/12,0)</f>
        <v/>
      </c>
      <c r="AV34" s="7">
        <f>AN34*AP34+AN34*vivienda_cierrePct+general_reservaMeses/12*AJ34</f>
        <v/>
      </c>
      <c r="AW34" s="7">
        <f>(IF(1=0,MIN(personal_irsSaldo,personal_irsPagoMensual*12),MIN(CD33,personal_irsPagoMensual*12))+IF(CE34&gt;0,PMT(CF34,MAX(1,prestamos_plazoAnios-CG34),-CE34),0)+IF(CR34&gt;0,PMT(CS34,MAX(1,prestamos_plazoAnios-CT34),-CR34),0))/12</f>
        <v/>
      </c>
      <c r="AX34" s="7">
        <f>IF(OR(sel_cfg="duplex",sel_cfg="multi",sel_cfg="dosCasas"),0.75*personal_aporteFamiliaMensual,0)</f>
        <v/>
      </c>
      <c r="AY34" s="7">
        <f>AU34-0.75*AT34-AX34+AW34</f>
        <v/>
      </c>
      <c r="AZ34" s="7">
        <f>(D34+G34+H34+0.5*F34)/12</f>
        <v/>
      </c>
      <c r="BA34" s="7">
        <f>IF(AND(AL34=0,A34&gt;=vivienda_anioMinCompra,J34&lt;0.5,AI34&gt;0,AK34&gt;=AV34,AY34&lt;=vivienda_dtiMax*AZ34),1,0)</f>
        <v/>
      </c>
      <c r="BB34" s="7">
        <f>MAX(AL34,BA34)</f>
        <v/>
      </c>
      <c r="BC34" s="7">
        <f>IF(BA34=1,A34,IF(1=0,"",BC33))</f>
        <v/>
      </c>
      <c r="BD34" s="7">
        <f>AK34-IF(BA34=1,AN34*AP34+AN34*vivienda_cierrePct,0)</f>
        <v/>
      </c>
      <c r="BE34" s="7">
        <f>IF(BA34=1,AN34,IF(1=0,0,BE33))</f>
        <v/>
      </c>
      <c r="BF34" s="7">
        <f>IF(BA34=1,AR34,IF(1=0,0,BF33))</f>
        <v/>
      </c>
      <c r="BG34" s="7">
        <f>IF(BA34=1,IF(AND(AO34=0,AP34&lt;0.2),1,0),IF(1=0,0,BY33))</f>
        <v/>
      </c>
      <c r="BH34" s="7">
        <f>IF(sel_cfg="casaAdu",1,0)</f>
        <v/>
      </c>
      <c r="BI34" s="7">
        <f>IF(AND(BB34=1,BH34=1,IF(1=0,0,BJ33)=0,A34&gt;=IF(BC34="",9999,BC34)+vivienda_aduRetrasoAnios),1,0)</f>
        <v/>
      </c>
      <c r="BJ34" s="7">
        <f>MAX(IF(1=0,0,BJ33),BI34)</f>
        <v/>
      </c>
      <c r="BK34" s="7">
        <f>IF(BI34=1,PMT((g_mortRate+0.005)/12,180,-loc_precio_aduCosto*C34),IF(1=0,0,BK33))</f>
        <v/>
      </c>
      <c r="BL34" s="7">
        <f>IF(BA34=1,AN34,IF(1=0,0,DT33))+IF(BI34=1,loc_precio_aduCosto*C34,0)</f>
        <v/>
      </c>
      <c r="BM34" s="7">
        <f>IF(BA34=1,AQ34,IF(1=0,0,DU33))</f>
        <v/>
      </c>
      <c r="BN34" s="7">
        <f>IF(BM34&lt;=0,0,FV(g_mortRate/12,12,BF34,-BM34))</f>
        <v/>
      </c>
      <c r="BO34" s="7">
        <f>IF(BM34&lt;=0,0,12*BF34+MIN(0,BN34))</f>
        <v/>
      </c>
      <c r="BP34" s="7">
        <f>MAX(0,BN34)</f>
        <v/>
      </c>
      <c r="BQ34" s="7">
        <f>IF(BI34=1,loc_precio_aduCosto*C34,IF(1=0,0,DV33))</f>
        <v/>
      </c>
      <c r="BR34" s="7">
        <f>IF(BQ34&lt;=0,0,FV((g_mortRate+0.005)/12,12,BK34,-BQ34))</f>
        <v/>
      </c>
      <c r="BS34" s="7">
        <f>IF(BQ34&lt;=0,0,12*BK34+MIN(0,BR34))</f>
        <v/>
      </c>
      <c r="BT34" s="7">
        <f>MAX(0,BR34)</f>
        <v/>
      </c>
      <c r="BU34" s="7">
        <f>IF(BB34=1,AM34*loc_seguroPct*(1+vivienda_inflacionSeguro)^(A34-2026)*IF(BJ34=1,1+loc_precio_aduCosto/AM34,1),0)</f>
        <v/>
      </c>
      <c r="BV34" s="7">
        <f>BL34*loc_impuestoPropPct</f>
        <v/>
      </c>
      <c r="BW34" s="7">
        <f>BL34*vivienda_mantenimientoPct</f>
        <v/>
      </c>
      <c r="BX34" s="7">
        <f>IF(AND(BG34=1,BP34&gt;0.8*BE34),BE34*(1-vivienda_enganchePct)*vivienda_pmiTasa,0)</f>
        <v/>
      </c>
      <c r="BY34" s="7">
        <f>IF(AND(BG34=1,BP34&gt;0.8*BE34),1,0)</f>
        <v/>
      </c>
      <c r="BZ34" s="7">
        <f>IF(BB34=1,AS34*loc_rentaUnidad*12*C34*(1-vivienda_vacancia)*(1-vivienda_gestionPct),0)</f>
        <v/>
      </c>
      <c r="CA34" s="7">
        <f>IF(BB34=1,BO34+BS34+BU34+BV34+BW34+BX34,loc_rentaMensual*12*C34)</f>
        <v/>
      </c>
      <c r="CB34" s="7">
        <f>IF(BB34=1,personal_aporteFamiliaMensual*12,0)</f>
        <v/>
      </c>
      <c r="CC34" s="7">
        <f>MIN(IF(1=0,personal_irsSaldo,CD33),personal_irsPagoMensual*12)</f>
        <v/>
      </c>
      <c r="CD34" s="7">
        <f>IF(1=0,personal_irsSaldo,CD33)-CC34</f>
        <v/>
      </c>
      <c r="CE34" s="7">
        <f>IF(1=0,IF(personal_deudaEsFederal=1,personal_deudaEstudiantil,0),DW33)</f>
        <v/>
      </c>
      <c r="CF34" s="7">
        <f>IF(1=0,personal_tasaDeudaEstudiantil,DX33)</f>
        <v/>
      </c>
      <c r="CG34" s="7">
        <f>IF(1=0,0,DY33)</f>
        <v/>
      </c>
      <c r="CH34" s="7">
        <f>IF(J34&gt;=0.5,1,0)</f>
        <v/>
      </c>
      <c r="CI34" s="7">
        <f>IF(AND(CH34=0,prestamos_pslfActivo=1,K34&gt;=0.5,CE34&gt;0),1,0)</f>
        <v/>
      </c>
      <c r="CJ34" s="7">
        <f>CE34*CF34</f>
        <v/>
      </c>
      <c r="CK34" s="7">
        <f>MAX(prestamos_rapPagoMinimoAnual,IF(Y34&lt;10000,0,MIN(0.1,INT(Y34/10000)/100))*Y34)</f>
        <v/>
      </c>
      <c r="CL34" s="7">
        <f>IF(CE34&lt;=0,0,IF(CH34=1,0,IF(CI34=1,MIN(CE34+CJ34,CK34),PMT(CF34,MAX(1,prestamos_plazoAnios-CG34),-CE34))))</f>
        <v/>
      </c>
      <c r="CM34" s="7">
        <f>IF(CE34&lt;=0,0,IF(CH34=1,CE34+CJ34,IF(CI34=1,MAX(0,CE34-MAX(CL34-CJ34,MIN(600,CL34))),MAX(0,CE34*(1+CF34)-CL34))))</f>
        <v/>
      </c>
      <c r="CN34" s="7">
        <f>IF(1=0,0,CN33)+IF(CI34=1,12*MIN(1,K34),0)</f>
        <v/>
      </c>
      <c r="CO34" s="7">
        <f>IF(AND(CI34=1,CN34&gt;=prestamos_pslfPagos,CM34&gt;0),CM34,0)</f>
        <v/>
      </c>
      <c r="CP34" s="7">
        <f>CM34-CO34</f>
        <v/>
      </c>
      <c r="CQ34" s="7">
        <f>IF(AND(CE34&gt;0,CH34=0,CI34=0),CG34+1,CG34)</f>
        <v/>
      </c>
      <c r="CR34" s="7">
        <f>IF(1=0,IF(personal_deudaEsFederal=1,0,personal_deudaEstudiantil),EA33)</f>
        <v/>
      </c>
      <c r="CS34" s="7">
        <f>IF(1=0,IF(personal_deudaEsFederal=1,prestamos_tasaPrivada,personal_tasaDeudaEstudiantil),EB33)</f>
        <v/>
      </c>
      <c r="CT34" s="7">
        <f>IF(1=0,0,EC33)</f>
        <v/>
      </c>
      <c r="CU34" s="7">
        <f>IF(OR(CR34&lt;=0,CH34=1),0,PMT(CS34,MAX(1,prestamos_plazoAnios-CT34),-CR34))</f>
        <v/>
      </c>
      <c r="CV34" s="7">
        <f>IF(CR34&lt;=0,0,IF(CH34=1,CR34*(1+CS34),MAX(0,CR34*(1+CS34)-CU34)))</f>
        <v/>
      </c>
      <c r="CW34" s="7">
        <f>IF(AND(CR34&gt;0,CH34=0),CT34+1,CT34)</f>
        <v/>
      </c>
      <c r="CX34" s="7">
        <f>IF(1=0,0,ED33)*(1+general_tasaDeudaConsumo)</f>
        <v/>
      </c>
      <c r="CY34" s="7">
        <f>L34*12*tiempos_travelGastoExtraMes*C34</f>
        <v/>
      </c>
      <c r="CZ34" s="7">
        <f>AJ34+CY34+CA34+CC34+CL34+CU34+I34+N34-BZ34-CB34</f>
        <v/>
      </c>
      <c r="DA34" s="7">
        <f>AH34-CZ34</f>
        <v/>
      </c>
      <c r="DB34" s="7">
        <f>IF(1=0,0,DB33)+DA34</f>
        <v/>
      </c>
      <c r="DC34" s="7">
        <f>AN34*vivienda_enganchePct+AN34*vivienda_cierrePct+general_reservaMeses/12*AJ34</f>
        <v/>
      </c>
      <c r="DD34" s="7">
        <f>IF(BB34=1,g_ret,IF(BD34&gt;0,MIN(1,DC34/BD34),1)*g_cash+(1-IF(BD34&gt;0,MIN(1,DC34/BD34),1))*g_ret)</f>
        <v/>
      </c>
      <c r="DE34" s="7">
        <f>IF(DA34&gt;=0,MIN(CX34,DA34),0)</f>
        <v/>
      </c>
      <c r="DF34" s="7">
        <f>IF(DA34&gt;=0,(1-general_tasaAhorro)*(DA34-DE34),0)</f>
        <v/>
      </c>
      <c r="DG34" s="7">
        <f>IF(DA34&gt;=0,DA34-DE34-DF34,0)</f>
        <v/>
      </c>
      <c r="DH34" s="7">
        <f>MIN(personal_rothAnual,DG34)</f>
        <v/>
      </c>
      <c r="DI34" s="7">
        <f>IF(AND(DA34&gt;=0,BB34=1,BP34+BT34&gt;0),MIN(vivienda_prepagoPct*(DG34-DH34),BP34+BT34),0)</f>
        <v/>
      </c>
      <c r="DJ34" s="7">
        <f>MIN(DI34,BP34)</f>
        <v/>
      </c>
      <c r="DK34" s="7">
        <f>IF(DA34&lt;0,MIN(MAX(0,BD34),-DA34),0)</f>
        <v/>
      </c>
      <c r="DL34" s="7">
        <f>IF(DA34&lt;0,-DA34-DK34,0)</f>
        <v/>
      </c>
      <c r="DM34" s="7">
        <f>IF(1=0,0,DZ33)</f>
        <v/>
      </c>
      <c r="DN34" s="7">
        <f>IF(AND(DL34&gt;0,J34&gt;0),MIN(DL34,MIN(prestamos_topeAnualPosgrado*MIN(1,J34),MAX(0,prestamos_topeTotalPosgrado-DM34))),0)</f>
        <v/>
      </c>
      <c r="DO34" s="7">
        <f>IF(AND(DL34&gt;0,J34&gt;0),DL34-DN34,0)</f>
        <v/>
      </c>
      <c r="DP34" s="7">
        <f>IF(AND(DL34&gt;0,J34&lt;=0),DL34,0)</f>
        <v/>
      </c>
      <c r="DQ34" s="7">
        <f>IF(DA34&gt;=0,DG34-DH34-DI34,-DK34)</f>
        <v/>
      </c>
      <c r="DR34" s="7">
        <f>BD34*(1+DD34)+DQ34*(1+DD34/2)</f>
        <v/>
      </c>
      <c r="DS34" s="7">
        <f>IF(1=0,personal_retiroInicial,DS33)*(1+g_ret)+(O34+P34+DH34)*(1+g_ret/2)</f>
        <v/>
      </c>
      <c r="DT34" s="7">
        <f>IF(BB34=1,BL34*(1+g_appr),0)</f>
        <v/>
      </c>
      <c r="DU34" s="7">
        <f>BP34-DJ34</f>
        <v/>
      </c>
      <c r="DV34" s="7">
        <f>BT34-(DI34-DJ34)</f>
        <v/>
      </c>
      <c r="DW34" s="7">
        <f>CP34+DN34</f>
        <v/>
      </c>
      <c r="DX34" s="7">
        <f>IF(DN34&gt;0,(CP34*CF34+DN34*prestamos_tasaFederalPosgrado)/(CP34+DN34),CF34)</f>
        <v/>
      </c>
      <c r="DY34" s="7">
        <f>IF(DN34&gt;0,0,CQ34)</f>
        <v/>
      </c>
      <c r="DZ34" s="7">
        <f>DM34+DN34</f>
        <v/>
      </c>
      <c r="EA34" s="7">
        <f>CV34+DO34</f>
        <v/>
      </c>
      <c r="EB34" s="7">
        <f>IF(DO34&gt;0,(CV34*CS34+DO34*prestamos_tasaPrivada)/(CV34+DO34),CS34)</f>
        <v/>
      </c>
      <c r="EC34" s="7">
        <f>IF(DO34&gt;0,0,CW34)</f>
        <v/>
      </c>
      <c r="ED34" s="7">
        <f>CX34-DE34+DP34</f>
        <v/>
      </c>
      <c r="EE34" s="7">
        <f>IF(IF(1=0,"",EE33)&lt;&gt;"",EE33,IF(AND(BB34=1,DU34&lt;=0.5,DV34&lt;=0.5,OR(BH34=0,BJ34=1)),A34,""))</f>
        <v/>
      </c>
      <c r="EF34" s="7">
        <f>DU34+DV34+DW34+EA34+ED34+CD34</f>
        <v/>
      </c>
      <c r="EG34" s="7">
        <f>DR34+DS34+DT34-EF34</f>
        <v/>
      </c>
      <c r="EH34" s="7">
        <f>EG34/(1+g_inf)^(A34+1-2026)</f>
        <v/>
      </c>
    </row>
    <row r="35">
      <c r="A35" t="n">
        <v>2029</v>
      </c>
      <c r="B35" t="n">
        <v>2</v>
      </c>
      <c r="C35" s="7">
        <f>(1+g_inf)^(A35-2026)</f>
        <v/>
      </c>
      <c r="D35" s="7">
        <f>SUMPRODUCT($V$5:$V$29,$E$5:$E$29*(1+$F$5:$F$29)^(A35-2026)*$G$5:$G$29*$H$5:$H$29*(1-$N$5:$N$29*$O$5:$O$29))*g_salMult+SUMPRODUCT(($B$5:$B$29&gt;=A35)*($B$5:$B$29&lt;A35+1)*$I$5:$I$29)*g_salMult</f>
        <v/>
      </c>
      <c r="E35" s="7">
        <f>SUMPRODUCT($V$5:$V$29,$E$5:$E$29*(1+$F$5:$F$29)^(A35-2026)*$G$5:$G$29*$H$5:$H$29*$M$5:$M$29)*g_salMult</f>
        <v/>
      </c>
      <c r="F35" s="7">
        <f>SUMPRODUCT($V$5:$V$29,$E$5:$E$29*(1+$F$5:$F$29)^(A35-2026)*$G$5:$G$29*$H$5:$H$29*$N$5:$N$29*$O$5:$O$29)*g_salMult</f>
        <v/>
      </c>
      <c r="G35" s="7">
        <f>SUMPRODUCT($V$5:$V$29,$P$5:$P$29*(1+$F$5:$F$29)^(A35-2026))</f>
        <v/>
      </c>
      <c r="H35" s="7">
        <f>SUMPRODUCT($V$5:$V$29,$Q$5:$Q$29*(1+$F$5:$F$29)^(A35-2026))+IF(personal_llcActivo=1,personal_llcNeto*(1+personal_llcCrecimiento)^2,0)</f>
        <v/>
      </c>
      <c r="I35" s="7">
        <f>SUMPRODUCT($V$5:$V$29,$J$5:$J$29/($C$5:$C$29-$B$5:$B$29+($C$5:$C$29=$B$5:$B$29)))*C35</f>
        <v/>
      </c>
      <c r="J35" s="7">
        <f>SUMPRODUCT($V$5:$V$29,$K$5:$K$29)</f>
        <v/>
      </c>
      <c r="K35" s="7">
        <f>SUMPRODUCT($V$5:$V$29,$L$5:$L$29)</f>
        <v/>
      </c>
      <c r="L35" s="7">
        <f>SUMPRODUCT($V$5:$V$29,$N$5:$N$29)</f>
        <v/>
      </c>
      <c r="M35" s="7">
        <f>IF(SUMPRODUCT($V$5:$V$29,$R$5:$R$29)&gt;0,1,0)</f>
        <v/>
      </c>
      <c r="N35" s="7">
        <f>SUMPRODUCT(($AO$5:$AO$24&gt;=A35)*($AO$5:$AO$24&lt;A35+1)*$AP$5:$AP$24)*C35+IF(2=0,IF(sel_loc&lt;&gt;"miami",personal_costoMudanzaInicial,0),0)</f>
        <v/>
      </c>
      <c r="O35" s="7">
        <f>MIN(personal_aporte403bPct*D35,retiro_limite403b*C35)</f>
        <v/>
      </c>
      <c r="P35" s="7">
        <f>MIN(personal_aporte403bPct,personal_match403bPct)*E35</f>
        <v/>
      </c>
      <c r="Q35" s="7">
        <f>IF(G35&gt;0,MAX(0,G35-impuestos_scorpCostoAnual*C35),0)</f>
        <v/>
      </c>
      <c r="R35" s="7">
        <f>Q35*impuestos_scorpSalarioPct/(1+impuestos_ssTasa+impuestos_medicareTasa)</f>
        <v/>
      </c>
      <c r="S35" s="7">
        <f>impuestos_ssTasa*MIN(R35,MAX(0,impuestos_ssTope*C35-D35))+impuestos_medicareTasa*R35</f>
        <v/>
      </c>
      <c r="T35" s="7">
        <f>Q35-R35-S35</f>
        <v/>
      </c>
      <c r="U35" s="7">
        <f>D35+R35</f>
        <v/>
      </c>
      <c r="V35" s="7">
        <f>H35*0.9235</f>
        <v/>
      </c>
      <c r="W35" s="7">
        <f>IF(H35&gt;0,2*impuestos_ssTasa*MIN(V35,MAX(0,impuestos_ssTope*C35-U35))+2*impuestos_medicareTasa*V35,0)</f>
        <v/>
      </c>
      <c r="X35" s="7">
        <f>impuestos_ssTasa*MIN(U35,impuestos_ssTope*C35)+impuestos_medicareTasa*U35+impuestos_medicareAdicional*MAX(0,U35+H35*0.9235-impuestos_medicareUmbral)</f>
        <v/>
      </c>
      <c r="Y35" s="7">
        <f>MAX(0,D35-O35+R35+T35+H35-W35/2)</f>
        <v/>
      </c>
      <c r="Z35" s="7">
        <f>MAX(0,Y35-impuestos_deduccionEstandar*C35)</f>
        <v/>
      </c>
      <c r="AA35" s="7">
        <f>MIN(0.2*MAX(0,T35+H35-W35/2)*MAX(0,MIN(1,1-(Z35-impuestos_qbiUmbral*C35)/(impuestos_qbiRango*C35))),0.2*Z35)</f>
        <v/>
      </c>
      <c r="AB35" s="7">
        <f>MAX(0,Z35-AA35)</f>
        <v/>
      </c>
      <c r="AC35" s="7">
        <f>SUMPRODUCT((AB35&gt;tb_federalBrackets_lo*C35)*(AB35-tb_federalBrackets_lo*C35)*tb_federalBrackets_dr)</f>
        <v/>
      </c>
      <c r="AD35" s="7">
        <f>MAX(0,Y35-impuestos_nyDeduccion*C35)</f>
        <v/>
      </c>
      <c r="AE35" s="7">
        <f>CHOOSE(loc_taxcode,0,impuestos_ohTasa*MAX(0,Y35-impuestos_ohExento*C35)+impuestos_ohMunicipal*U35,SUMPRODUCT((AD35&gt;tb_nyBrackets_lo*C35)*(AD35-tb_nyBrackets_lo*C35)*tb_nyBrackets_dr)+loc_nyc*SUMPRODUCT((AD35&gt;tb_nycBrackets_lo*C35)*(AD35-tb_nycBrackets_lo*C35)*tb_nycBrackets_dr))</f>
        <v/>
      </c>
      <c r="AF35" s="7">
        <f>AC35+AE35+X35+W35</f>
        <v/>
      </c>
      <c r="AG35" s="7">
        <f>D35+F35+R35+T35+H35</f>
        <v/>
      </c>
      <c r="AH35" s="7">
        <f>AG35-AF35-O35</f>
        <v/>
      </c>
      <c r="AI35" s="7">
        <f>D35+F35+G35+H35</f>
        <v/>
      </c>
      <c r="AJ35" s="7">
        <f>loc_gastosVida*C35*g_gastos</f>
        <v/>
      </c>
      <c r="AK35" s="7">
        <f>IF(2=0,personal_liquidoInicial,DR34)</f>
        <v/>
      </c>
      <c r="AL35" s="7">
        <f>IF(2=0,0,BB34)</f>
        <v/>
      </c>
      <c r="AM35" s="7">
        <f>CHOOSE(sel_cfgIdx,loc_precio_duplex,loc_precio_inlaw,loc_precio_dosCasas,loc_precio_casaAdu,loc_precio_multi)</f>
        <v/>
      </c>
      <c r="AN35" s="7">
        <f>AM35*(1+g_appr)^(A35-2026)</f>
        <v/>
      </c>
      <c r="AO35" s="7">
        <f>IF(AND(M35=1,vivienda_prestamoMedico=1),1,0)</f>
        <v/>
      </c>
      <c r="AP35" s="7">
        <f>IF(AO35=1,0.05,vivienda_enganchePct)</f>
        <v/>
      </c>
      <c r="AQ35" s="7">
        <f>AN35*(1-AP35)</f>
        <v/>
      </c>
      <c r="AR35" s="7">
        <f>PMT(g_mortRate/12,vivienda_plazoHipoteca*12,-AQ35)</f>
        <v/>
      </c>
      <c r="AS35" s="7">
        <f>INDEX(cfg_units,sel_cfgIdx)</f>
        <v/>
      </c>
      <c r="AT35" s="7">
        <f>AS35*loc_rentaUnidad*(1+g_inf)^(A35-2026)*(1-vivienda_vacancia)</f>
        <v/>
      </c>
      <c r="AU35" s="7">
        <f>AR35+AN35*loc_impuestoPropPct/12+AM35*loc_seguroPct*(1+vivienda_inflacionSeguro)^(A35-2026)/12+IF(AND(AO35=0,AP35&lt;0.2),AQ35*vivienda_pmiTasa/12,0)</f>
        <v/>
      </c>
      <c r="AV35" s="7">
        <f>AN35*AP35+AN35*vivienda_cierrePct+general_reservaMeses/12*AJ35</f>
        <v/>
      </c>
      <c r="AW35" s="7">
        <f>(IF(2=0,MIN(personal_irsSaldo,personal_irsPagoMensual*12),MIN(CD34,personal_irsPagoMensual*12))+IF(CE35&gt;0,PMT(CF35,MAX(1,prestamos_plazoAnios-CG35),-CE35),0)+IF(CR35&gt;0,PMT(CS35,MAX(1,prestamos_plazoAnios-CT35),-CR35),0))/12</f>
        <v/>
      </c>
      <c r="AX35" s="7">
        <f>IF(OR(sel_cfg="duplex",sel_cfg="multi",sel_cfg="dosCasas"),0.75*personal_aporteFamiliaMensual,0)</f>
        <v/>
      </c>
      <c r="AY35" s="7">
        <f>AU35-0.75*AT35-AX35+AW35</f>
        <v/>
      </c>
      <c r="AZ35" s="7">
        <f>(D35+G35+H35+0.5*F35)/12</f>
        <v/>
      </c>
      <c r="BA35" s="7">
        <f>IF(AND(AL35=0,A35&gt;=vivienda_anioMinCompra,J35&lt;0.5,AI35&gt;0,AK35&gt;=AV35,AY35&lt;=vivienda_dtiMax*AZ35),1,0)</f>
        <v/>
      </c>
      <c r="BB35" s="7">
        <f>MAX(AL35,BA35)</f>
        <v/>
      </c>
      <c r="BC35" s="7">
        <f>IF(BA35=1,A35,IF(2=0,"",BC34))</f>
        <v/>
      </c>
      <c r="BD35" s="7">
        <f>AK35-IF(BA35=1,AN35*AP35+AN35*vivienda_cierrePct,0)</f>
        <v/>
      </c>
      <c r="BE35" s="7">
        <f>IF(BA35=1,AN35,IF(2=0,0,BE34))</f>
        <v/>
      </c>
      <c r="BF35" s="7">
        <f>IF(BA35=1,AR35,IF(2=0,0,BF34))</f>
        <v/>
      </c>
      <c r="BG35" s="7">
        <f>IF(BA35=1,IF(AND(AO35=0,AP35&lt;0.2),1,0),IF(2=0,0,BY34))</f>
        <v/>
      </c>
      <c r="BH35" s="7">
        <f>IF(sel_cfg="casaAdu",1,0)</f>
        <v/>
      </c>
      <c r="BI35" s="7">
        <f>IF(AND(BB35=1,BH35=1,IF(2=0,0,BJ34)=0,A35&gt;=IF(BC35="",9999,BC35)+vivienda_aduRetrasoAnios),1,0)</f>
        <v/>
      </c>
      <c r="BJ35" s="7">
        <f>MAX(IF(2=0,0,BJ34),BI35)</f>
        <v/>
      </c>
      <c r="BK35" s="7">
        <f>IF(BI35=1,PMT((g_mortRate+0.005)/12,180,-loc_precio_aduCosto*C35),IF(2=0,0,BK34))</f>
        <v/>
      </c>
      <c r="BL35" s="7">
        <f>IF(BA35=1,AN35,IF(2=0,0,DT34))+IF(BI35=1,loc_precio_aduCosto*C35,0)</f>
        <v/>
      </c>
      <c r="BM35" s="7">
        <f>IF(BA35=1,AQ35,IF(2=0,0,DU34))</f>
        <v/>
      </c>
      <c r="BN35" s="7">
        <f>IF(BM35&lt;=0,0,FV(g_mortRate/12,12,BF35,-BM35))</f>
        <v/>
      </c>
      <c r="BO35" s="7">
        <f>IF(BM35&lt;=0,0,12*BF35+MIN(0,BN35))</f>
        <v/>
      </c>
      <c r="BP35" s="7">
        <f>MAX(0,BN35)</f>
        <v/>
      </c>
      <c r="BQ35" s="7">
        <f>IF(BI35=1,loc_precio_aduCosto*C35,IF(2=0,0,DV34))</f>
        <v/>
      </c>
      <c r="BR35" s="7">
        <f>IF(BQ35&lt;=0,0,FV((g_mortRate+0.005)/12,12,BK35,-BQ35))</f>
        <v/>
      </c>
      <c r="BS35" s="7">
        <f>IF(BQ35&lt;=0,0,12*BK35+MIN(0,BR35))</f>
        <v/>
      </c>
      <c r="BT35" s="7">
        <f>MAX(0,BR35)</f>
        <v/>
      </c>
      <c r="BU35" s="7">
        <f>IF(BB35=1,AM35*loc_seguroPct*(1+vivienda_inflacionSeguro)^(A35-2026)*IF(BJ35=1,1+loc_precio_aduCosto/AM35,1),0)</f>
        <v/>
      </c>
      <c r="BV35" s="7">
        <f>BL35*loc_impuestoPropPct</f>
        <v/>
      </c>
      <c r="BW35" s="7">
        <f>BL35*vivienda_mantenimientoPct</f>
        <v/>
      </c>
      <c r="BX35" s="7">
        <f>IF(AND(BG35=1,BP35&gt;0.8*BE35),BE35*(1-vivienda_enganchePct)*vivienda_pmiTasa,0)</f>
        <v/>
      </c>
      <c r="BY35" s="7">
        <f>IF(AND(BG35=1,BP35&gt;0.8*BE35),1,0)</f>
        <v/>
      </c>
      <c r="BZ35" s="7">
        <f>IF(BB35=1,AS35*loc_rentaUnidad*12*C35*(1-vivienda_vacancia)*(1-vivienda_gestionPct),0)</f>
        <v/>
      </c>
      <c r="CA35" s="7">
        <f>IF(BB35=1,BO35+BS35+BU35+BV35+BW35+BX35,loc_rentaMensual*12*C35)</f>
        <v/>
      </c>
      <c r="CB35" s="7">
        <f>IF(BB35=1,personal_aporteFamiliaMensual*12,0)</f>
        <v/>
      </c>
      <c r="CC35" s="7">
        <f>MIN(IF(2=0,personal_irsSaldo,CD34),personal_irsPagoMensual*12)</f>
        <v/>
      </c>
      <c r="CD35" s="7">
        <f>IF(2=0,personal_irsSaldo,CD34)-CC35</f>
        <v/>
      </c>
      <c r="CE35" s="7">
        <f>IF(2=0,IF(personal_deudaEsFederal=1,personal_deudaEstudiantil,0),DW34)</f>
        <v/>
      </c>
      <c r="CF35" s="7">
        <f>IF(2=0,personal_tasaDeudaEstudiantil,DX34)</f>
        <v/>
      </c>
      <c r="CG35" s="7">
        <f>IF(2=0,0,DY34)</f>
        <v/>
      </c>
      <c r="CH35" s="7">
        <f>IF(J35&gt;=0.5,1,0)</f>
        <v/>
      </c>
      <c r="CI35" s="7">
        <f>IF(AND(CH35=0,prestamos_pslfActivo=1,K35&gt;=0.5,CE35&gt;0),1,0)</f>
        <v/>
      </c>
      <c r="CJ35" s="7">
        <f>CE35*CF35</f>
        <v/>
      </c>
      <c r="CK35" s="7">
        <f>MAX(prestamos_rapPagoMinimoAnual,IF(Y35&lt;10000,0,MIN(0.1,INT(Y35/10000)/100))*Y35)</f>
        <v/>
      </c>
      <c r="CL35" s="7">
        <f>IF(CE35&lt;=0,0,IF(CH35=1,0,IF(CI35=1,MIN(CE35+CJ35,CK35),PMT(CF35,MAX(1,prestamos_plazoAnios-CG35),-CE35))))</f>
        <v/>
      </c>
      <c r="CM35" s="7">
        <f>IF(CE35&lt;=0,0,IF(CH35=1,CE35+CJ35,IF(CI35=1,MAX(0,CE35-MAX(CL35-CJ35,MIN(600,CL35))),MAX(0,CE35*(1+CF35)-CL35))))</f>
        <v/>
      </c>
      <c r="CN35" s="7">
        <f>IF(2=0,0,CN34)+IF(CI35=1,12*MIN(1,K35),0)</f>
        <v/>
      </c>
      <c r="CO35" s="7">
        <f>IF(AND(CI35=1,CN35&gt;=prestamos_pslfPagos,CM35&gt;0),CM35,0)</f>
        <v/>
      </c>
      <c r="CP35" s="7">
        <f>CM35-CO35</f>
        <v/>
      </c>
      <c r="CQ35" s="7">
        <f>IF(AND(CE35&gt;0,CH35=0,CI35=0),CG35+1,CG35)</f>
        <v/>
      </c>
      <c r="CR35" s="7">
        <f>IF(2=0,IF(personal_deudaEsFederal=1,0,personal_deudaEstudiantil),EA34)</f>
        <v/>
      </c>
      <c r="CS35" s="7">
        <f>IF(2=0,IF(personal_deudaEsFederal=1,prestamos_tasaPrivada,personal_tasaDeudaEstudiantil),EB34)</f>
        <v/>
      </c>
      <c r="CT35" s="7">
        <f>IF(2=0,0,EC34)</f>
        <v/>
      </c>
      <c r="CU35" s="7">
        <f>IF(OR(CR35&lt;=0,CH35=1),0,PMT(CS35,MAX(1,prestamos_plazoAnios-CT35),-CR35))</f>
        <v/>
      </c>
      <c r="CV35" s="7">
        <f>IF(CR35&lt;=0,0,IF(CH35=1,CR35*(1+CS35),MAX(0,CR35*(1+CS35)-CU35)))</f>
        <v/>
      </c>
      <c r="CW35" s="7">
        <f>IF(AND(CR35&gt;0,CH35=0),CT35+1,CT35)</f>
        <v/>
      </c>
      <c r="CX35" s="7">
        <f>IF(2=0,0,ED34)*(1+general_tasaDeudaConsumo)</f>
        <v/>
      </c>
      <c r="CY35" s="7">
        <f>L35*12*tiempos_travelGastoExtraMes*C35</f>
        <v/>
      </c>
      <c r="CZ35" s="7">
        <f>AJ35+CY35+CA35+CC35+CL35+CU35+I35+N35-BZ35-CB35</f>
        <v/>
      </c>
      <c r="DA35" s="7">
        <f>AH35-CZ35</f>
        <v/>
      </c>
      <c r="DB35" s="7">
        <f>IF(2=0,0,DB34)+DA35</f>
        <v/>
      </c>
      <c r="DC35" s="7">
        <f>AN35*vivienda_enganchePct+AN35*vivienda_cierrePct+general_reservaMeses/12*AJ35</f>
        <v/>
      </c>
      <c r="DD35" s="7">
        <f>IF(BB35=1,g_ret,IF(BD35&gt;0,MIN(1,DC35/BD35),1)*g_cash+(1-IF(BD35&gt;0,MIN(1,DC35/BD35),1))*g_ret)</f>
        <v/>
      </c>
      <c r="DE35" s="7">
        <f>IF(DA35&gt;=0,MIN(CX35,DA35),0)</f>
        <v/>
      </c>
      <c r="DF35" s="7">
        <f>IF(DA35&gt;=0,(1-general_tasaAhorro)*(DA35-DE35),0)</f>
        <v/>
      </c>
      <c r="DG35" s="7">
        <f>IF(DA35&gt;=0,DA35-DE35-DF35,0)</f>
        <v/>
      </c>
      <c r="DH35" s="7">
        <f>MIN(personal_rothAnual,DG35)</f>
        <v/>
      </c>
      <c r="DI35" s="7">
        <f>IF(AND(DA35&gt;=0,BB35=1,BP35+BT35&gt;0),MIN(vivienda_prepagoPct*(DG35-DH35),BP35+BT35),0)</f>
        <v/>
      </c>
      <c r="DJ35" s="7">
        <f>MIN(DI35,BP35)</f>
        <v/>
      </c>
      <c r="DK35" s="7">
        <f>IF(DA35&lt;0,MIN(MAX(0,BD35),-DA35),0)</f>
        <v/>
      </c>
      <c r="DL35" s="7">
        <f>IF(DA35&lt;0,-DA35-DK35,0)</f>
        <v/>
      </c>
      <c r="DM35" s="7">
        <f>IF(2=0,0,DZ34)</f>
        <v/>
      </c>
      <c r="DN35" s="7">
        <f>IF(AND(DL35&gt;0,J35&gt;0),MIN(DL35,MIN(prestamos_topeAnualPosgrado*MIN(1,J35),MAX(0,prestamos_topeTotalPosgrado-DM35))),0)</f>
        <v/>
      </c>
      <c r="DO35" s="7">
        <f>IF(AND(DL35&gt;0,J35&gt;0),DL35-DN35,0)</f>
        <v/>
      </c>
      <c r="DP35" s="7">
        <f>IF(AND(DL35&gt;0,J35&lt;=0),DL35,0)</f>
        <v/>
      </c>
      <c r="DQ35" s="7">
        <f>IF(DA35&gt;=0,DG35-DH35-DI35,-DK35)</f>
        <v/>
      </c>
      <c r="DR35" s="7">
        <f>BD35*(1+DD35)+DQ35*(1+DD35/2)</f>
        <v/>
      </c>
      <c r="DS35" s="7">
        <f>IF(2=0,personal_retiroInicial,DS34)*(1+g_ret)+(O35+P35+DH35)*(1+g_ret/2)</f>
        <v/>
      </c>
      <c r="DT35" s="7">
        <f>IF(BB35=1,BL35*(1+g_appr),0)</f>
        <v/>
      </c>
      <c r="DU35" s="7">
        <f>BP35-DJ35</f>
        <v/>
      </c>
      <c r="DV35" s="7">
        <f>BT35-(DI35-DJ35)</f>
        <v/>
      </c>
      <c r="DW35" s="7">
        <f>CP35+DN35</f>
        <v/>
      </c>
      <c r="DX35" s="7">
        <f>IF(DN35&gt;0,(CP35*CF35+DN35*prestamos_tasaFederalPosgrado)/(CP35+DN35),CF35)</f>
        <v/>
      </c>
      <c r="DY35" s="7">
        <f>IF(DN35&gt;0,0,CQ35)</f>
        <v/>
      </c>
      <c r="DZ35" s="7">
        <f>DM35+DN35</f>
        <v/>
      </c>
      <c r="EA35" s="7">
        <f>CV35+DO35</f>
        <v/>
      </c>
      <c r="EB35" s="7">
        <f>IF(DO35&gt;0,(CV35*CS35+DO35*prestamos_tasaPrivada)/(CV35+DO35),CS35)</f>
        <v/>
      </c>
      <c r="EC35" s="7">
        <f>IF(DO35&gt;0,0,CW35)</f>
        <v/>
      </c>
      <c r="ED35" s="7">
        <f>CX35-DE35+DP35</f>
        <v/>
      </c>
      <c r="EE35" s="7">
        <f>IF(IF(2=0,"",EE34)&lt;&gt;"",EE34,IF(AND(BB35=1,DU35&lt;=0.5,DV35&lt;=0.5,OR(BH35=0,BJ35=1)),A35,""))</f>
        <v/>
      </c>
      <c r="EF35" s="7">
        <f>DU35+DV35+DW35+EA35+ED35+CD35</f>
        <v/>
      </c>
      <c r="EG35" s="7">
        <f>DR35+DS35+DT35-EF35</f>
        <v/>
      </c>
      <c r="EH35" s="7">
        <f>EG35/(1+g_inf)^(A35+1-2026)</f>
        <v/>
      </c>
    </row>
    <row r="36">
      <c r="A36" t="n">
        <v>2030</v>
      </c>
      <c r="B36" t="n">
        <v>3</v>
      </c>
      <c r="C36" s="7">
        <f>(1+g_inf)^(A36-2026)</f>
        <v/>
      </c>
      <c r="D36" s="7">
        <f>SUMPRODUCT($W$5:$W$29,$E$5:$E$29*(1+$F$5:$F$29)^(A36-2026)*$G$5:$G$29*$H$5:$H$29*(1-$N$5:$N$29*$O$5:$O$29))*g_salMult+SUMPRODUCT(($B$5:$B$29&gt;=A36)*($B$5:$B$29&lt;A36+1)*$I$5:$I$29)*g_salMult</f>
        <v/>
      </c>
      <c r="E36" s="7">
        <f>SUMPRODUCT($W$5:$W$29,$E$5:$E$29*(1+$F$5:$F$29)^(A36-2026)*$G$5:$G$29*$H$5:$H$29*$M$5:$M$29)*g_salMult</f>
        <v/>
      </c>
      <c r="F36" s="7">
        <f>SUMPRODUCT($W$5:$W$29,$E$5:$E$29*(1+$F$5:$F$29)^(A36-2026)*$G$5:$G$29*$H$5:$H$29*$N$5:$N$29*$O$5:$O$29)*g_salMult</f>
        <v/>
      </c>
      <c r="G36" s="7">
        <f>SUMPRODUCT($W$5:$W$29,$P$5:$P$29*(1+$F$5:$F$29)^(A36-2026))</f>
        <v/>
      </c>
      <c r="H36" s="7">
        <f>SUMPRODUCT($W$5:$W$29,$Q$5:$Q$29*(1+$F$5:$F$29)^(A36-2026))+IF(personal_llcActivo=1,personal_llcNeto*(1+personal_llcCrecimiento)^3,0)</f>
        <v/>
      </c>
      <c r="I36" s="7">
        <f>SUMPRODUCT($W$5:$W$29,$J$5:$J$29/($C$5:$C$29-$B$5:$B$29+($C$5:$C$29=$B$5:$B$29)))*C36</f>
        <v/>
      </c>
      <c r="J36" s="7">
        <f>SUMPRODUCT($W$5:$W$29,$K$5:$K$29)</f>
        <v/>
      </c>
      <c r="K36" s="7">
        <f>SUMPRODUCT($W$5:$W$29,$L$5:$L$29)</f>
        <v/>
      </c>
      <c r="L36" s="7">
        <f>SUMPRODUCT($W$5:$W$29,$N$5:$N$29)</f>
        <v/>
      </c>
      <c r="M36" s="7">
        <f>IF(SUMPRODUCT($W$5:$W$29,$R$5:$R$29)&gt;0,1,0)</f>
        <v/>
      </c>
      <c r="N36" s="7">
        <f>SUMPRODUCT(($AO$5:$AO$24&gt;=A36)*($AO$5:$AO$24&lt;A36+1)*$AP$5:$AP$24)*C36+IF(3=0,IF(sel_loc&lt;&gt;"miami",personal_costoMudanzaInicial,0),0)</f>
        <v/>
      </c>
      <c r="O36" s="7">
        <f>MIN(personal_aporte403bPct*D36,retiro_limite403b*C36)</f>
        <v/>
      </c>
      <c r="P36" s="7">
        <f>MIN(personal_aporte403bPct,personal_match403bPct)*E36</f>
        <v/>
      </c>
      <c r="Q36" s="7">
        <f>IF(G36&gt;0,MAX(0,G36-impuestos_scorpCostoAnual*C36),0)</f>
        <v/>
      </c>
      <c r="R36" s="7">
        <f>Q36*impuestos_scorpSalarioPct/(1+impuestos_ssTasa+impuestos_medicareTasa)</f>
        <v/>
      </c>
      <c r="S36" s="7">
        <f>impuestos_ssTasa*MIN(R36,MAX(0,impuestos_ssTope*C36-D36))+impuestos_medicareTasa*R36</f>
        <v/>
      </c>
      <c r="T36" s="7">
        <f>Q36-R36-S36</f>
        <v/>
      </c>
      <c r="U36" s="7">
        <f>D36+R36</f>
        <v/>
      </c>
      <c r="V36" s="7">
        <f>H36*0.9235</f>
        <v/>
      </c>
      <c r="W36" s="7">
        <f>IF(H36&gt;0,2*impuestos_ssTasa*MIN(V36,MAX(0,impuestos_ssTope*C36-U36))+2*impuestos_medicareTasa*V36,0)</f>
        <v/>
      </c>
      <c r="X36" s="7">
        <f>impuestos_ssTasa*MIN(U36,impuestos_ssTope*C36)+impuestos_medicareTasa*U36+impuestos_medicareAdicional*MAX(0,U36+H36*0.9235-impuestos_medicareUmbral)</f>
        <v/>
      </c>
      <c r="Y36" s="7">
        <f>MAX(0,D36-O36+R36+T36+H36-W36/2)</f>
        <v/>
      </c>
      <c r="Z36" s="7">
        <f>MAX(0,Y36-impuestos_deduccionEstandar*C36)</f>
        <v/>
      </c>
      <c r="AA36" s="7">
        <f>MIN(0.2*MAX(0,T36+H36-W36/2)*MAX(0,MIN(1,1-(Z36-impuestos_qbiUmbral*C36)/(impuestos_qbiRango*C36))),0.2*Z36)</f>
        <v/>
      </c>
      <c r="AB36" s="7">
        <f>MAX(0,Z36-AA36)</f>
        <v/>
      </c>
      <c r="AC36" s="7">
        <f>SUMPRODUCT((AB36&gt;tb_federalBrackets_lo*C36)*(AB36-tb_federalBrackets_lo*C36)*tb_federalBrackets_dr)</f>
        <v/>
      </c>
      <c r="AD36" s="7">
        <f>MAX(0,Y36-impuestos_nyDeduccion*C36)</f>
        <v/>
      </c>
      <c r="AE36" s="7">
        <f>CHOOSE(loc_taxcode,0,impuestos_ohTasa*MAX(0,Y36-impuestos_ohExento*C36)+impuestos_ohMunicipal*U36,SUMPRODUCT((AD36&gt;tb_nyBrackets_lo*C36)*(AD36-tb_nyBrackets_lo*C36)*tb_nyBrackets_dr)+loc_nyc*SUMPRODUCT((AD36&gt;tb_nycBrackets_lo*C36)*(AD36-tb_nycBrackets_lo*C36)*tb_nycBrackets_dr))</f>
        <v/>
      </c>
      <c r="AF36" s="7">
        <f>AC36+AE36+X36+W36</f>
        <v/>
      </c>
      <c r="AG36" s="7">
        <f>D36+F36+R36+T36+H36</f>
        <v/>
      </c>
      <c r="AH36" s="7">
        <f>AG36-AF36-O36</f>
        <v/>
      </c>
      <c r="AI36" s="7">
        <f>D36+F36+G36+H36</f>
        <v/>
      </c>
      <c r="AJ36" s="7">
        <f>loc_gastosVida*C36*g_gastos</f>
        <v/>
      </c>
      <c r="AK36" s="7">
        <f>IF(3=0,personal_liquidoInicial,DR35)</f>
        <v/>
      </c>
      <c r="AL36" s="7">
        <f>IF(3=0,0,BB35)</f>
        <v/>
      </c>
      <c r="AM36" s="7">
        <f>CHOOSE(sel_cfgIdx,loc_precio_duplex,loc_precio_inlaw,loc_precio_dosCasas,loc_precio_casaAdu,loc_precio_multi)</f>
        <v/>
      </c>
      <c r="AN36" s="7">
        <f>AM36*(1+g_appr)^(A36-2026)</f>
        <v/>
      </c>
      <c r="AO36" s="7">
        <f>IF(AND(M36=1,vivienda_prestamoMedico=1),1,0)</f>
        <v/>
      </c>
      <c r="AP36" s="7">
        <f>IF(AO36=1,0.05,vivienda_enganchePct)</f>
        <v/>
      </c>
      <c r="AQ36" s="7">
        <f>AN36*(1-AP36)</f>
        <v/>
      </c>
      <c r="AR36" s="7">
        <f>PMT(g_mortRate/12,vivienda_plazoHipoteca*12,-AQ36)</f>
        <v/>
      </c>
      <c r="AS36" s="7">
        <f>INDEX(cfg_units,sel_cfgIdx)</f>
        <v/>
      </c>
      <c r="AT36" s="7">
        <f>AS36*loc_rentaUnidad*(1+g_inf)^(A36-2026)*(1-vivienda_vacancia)</f>
        <v/>
      </c>
      <c r="AU36" s="7">
        <f>AR36+AN36*loc_impuestoPropPct/12+AM36*loc_seguroPct*(1+vivienda_inflacionSeguro)^(A36-2026)/12+IF(AND(AO36=0,AP36&lt;0.2),AQ36*vivienda_pmiTasa/12,0)</f>
        <v/>
      </c>
      <c r="AV36" s="7">
        <f>AN36*AP36+AN36*vivienda_cierrePct+general_reservaMeses/12*AJ36</f>
        <v/>
      </c>
      <c r="AW36" s="7">
        <f>(IF(3=0,MIN(personal_irsSaldo,personal_irsPagoMensual*12),MIN(CD35,personal_irsPagoMensual*12))+IF(CE36&gt;0,PMT(CF36,MAX(1,prestamos_plazoAnios-CG36),-CE36),0)+IF(CR36&gt;0,PMT(CS36,MAX(1,prestamos_plazoAnios-CT36),-CR36),0))/12</f>
        <v/>
      </c>
      <c r="AX36" s="7">
        <f>IF(OR(sel_cfg="duplex",sel_cfg="multi",sel_cfg="dosCasas"),0.75*personal_aporteFamiliaMensual,0)</f>
        <v/>
      </c>
      <c r="AY36" s="7">
        <f>AU36-0.75*AT36-AX36+AW36</f>
        <v/>
      </c>
      <c r="AZ36" s="7">
        <f>(D36+G36+H36+0.5*F36)/12</f>
        <v/>
      </c>
      <c r="BA36" s="7">
        <f>IF(AND(AL36=0,A36&gt;=vivienda_anioMinCompra,J36&lt;0.5,AI36&gt;0,AK36&gt;=AV36,AY36&lt;=vivienda_dtiMax*AZ36),1,0)</f>
        <v/>
      </c>
      <c r="BB36" s="7">
        <f>MAX(AL36,BA36)</f>
        <v/>
      </c>
      <c r="BC36" s="7">
        <f>IF(BA36=1,A36,IF(3=0,"",BC35))</f>
        <v/>
      </c>
      <c r="BD36" s="7">
        <f>AK36-IF(BA36=1,AN36*AP36+AN36*vivienda_cierrePct,0)</f>
        <v/>
      </c>
      <c r="BE36" s="7">
        <f>IF(BA36=1,AN36,IF(3=0,0,BE35))</f>
        <v/>
      </c>
      <c r="BF36" s="7">
        <f>IF(BA36=1,AR36,IF(3=0,0,BF35))</f>
        <v/>
      </c>
      <c r="BG36" s="7">
        <f>IF(BA36=1,IF(AND(AO36=0,AP36&lt;0.2),1,0),IF(3=0,0,BY35))</f>
        <v/>
      </c>
      <c r="BH36" s="7">
        <f>IF(sel_cfg="casaAdu",1,0)</f>
        <v/>
      </c>
      <c r="BI36" s="7">
        <f>IF(AND(BB36=1,BH36=1,IF(3=0,0,BJ35)=0,A36&gt;=IF(BC36="",9999,BC36)+vivienda_aduRetrasoAnios),1,0)</f>
        <v/>
      </c>
      <c r="BJ36" s="7">
        <f>MAX(IF(3=0,0,BJ35),BI36)</f>
        <v/>
      </c>
      <c r="BK36" s="7">
        <f>IF(BI36=1,PMT((g_mortRate+0.005)/12,180,-loc_precio_aduCosto*C36),IF(3=0,0,BK35))</f>
        <v/>
      </c>
      <c r="BL36" s="7">
        <f>IF(BA36=1,AN36,IF(3=0,0,DT35))+IF(BI36=1,loc_precio_aduCosto*C36,0)</f>
        <v/>
      </c>
      <c r="BM36" s="7">
        <f>IF(BA36=1,AQ36,IF(3=0,0,DU35))</f>
        <v/>
      </c>
      <c r="BN36" s="7">
        <f>IF(BM36&lt;=0,0,FV(g_mortRate/12,12,BF36,-BM36))</f>
        <v/>
      </c>
      <c r="BO36" s="7">
        <f>IF(BM36&lt;=0,0,12*BF36+MIN(0,BN36))</f>
        <v/>
      </c>
      <c r="BP36" s="7">
        <f>MAX(0,BN36)</f>
        <v/>
      </c>
      <c r="BQ36" s="7">
        <f>IF(BI36=1,loc_precio_aduCosto*C36,IF(3=0,0,DV35))</f>
        <v/>
      </c>
      <c r="BR36" s="7">
        <f>IF(BQ36&lt;=0,0,FV((g_mortRate+0.005)/12,12,BK36,-BQ36))</f>
        <v/>
      </c>
      <c r="BS36" s="7">
        <f>IF(BQ36&lt;=0,0,12*BK36+MIN(0,BR36))</f>
        <v/>
      </c>
      <c r="BT36" s="7">
        <f>MAX(0,BR36)</f>
        <v/>
      </c>
      <c r="BU36" s="7">
        <f>IF(BB36=1,AM36*loc_seguroPct*(1+vivienda_inflacionSeguro)^(A36-2026)*IF(BJ36=1,1+loc_precio_aduCosto/AM36,1),0)</f>
        <v/>
      </c>
      <c r="BV36" s="7">
        <f>BL36*loc_impuestoPropPct</f>
        <v/>
      </c>
      <c r="BW36" s="7">
        <f>BL36*vivienda_mantenimientoPct</f>
        <v/>
      </c>
      <c r="BX36" s="7">
        <f>IF(AND(BG36=1,BP36&gt;0.8*BE36),BE36*(1-vivienda_enganchePct)*vivienda_pmiTasa,0)</f>
        <v/>
      </c>
      <c r="BY36" s="7">
        <f>IF(AND(BG36=1,BP36&gt;0.8*BE36),1,0)</f>
        <v/>
      </c>
      <c r="BZ36" s="7">
        <f>IF(BB36=1,AS36*loc_rentaUnidad*12*C36*(1-vivienda_vacancia)*(1-vivienda_gestionPct),0)</f>
        <v/>
      </c>
      <c r="CA36" s="7">
        <f>IF(BB36=1,BO36+BS36+BU36+BV36+BW36+BX36,loc_rentaMensual*12*C36)</f>
        <v/>
      </c>
      <c r="CB36" s="7">
        <f>IF(BB36=1,personal_aporteFamiliaMensual*12,0)</f>
        <v/>
      </c>
      <c r="CC36" s="7">
        <f>MIN(IF(3=0,personal_irsSaldo,CD35),personal_irsPagoMensual*12)</f>
        <v/>
      </c>
      <c r="CD36" s="7">
        <f>IF(3=0,personal_irsSaldo,CD35)-CC36</f>
        <v/>
      </c>
      <c r="CE36" s="7">
        <f>IF(3=0,IF(personal_deudaEsFederal=1,personal_deudaEstudiantil,0),DW35)</f>
        <v/>
      </c>
      <c r="CF36" s="7">
        <f>IF(3=0,personal_tasaDeudaEstudiantil,DX35)</f>
        <v/>
      </c>
      <c r="CG36" s="7">
        <f>IF(3=0,0,DY35)</f>
        <v/>
      </c>
      <c r="CH36" s="7">
        <f>IF(J36&gt;=0.5,1,0)</f>
        <v/>
      </c>
      <c r="CI36" s="7">
        <f>IF(AND(CH36=0,prestamos_pslfActivo=1,K36&gt;=0.5,CE36&gt;0),1,0)</f>
        <v/>
      </c>
      <c r="CJ36" s="7">
        <f>CE36*CF36</f>
        <v/>
      </c>
      <c r="CK36" s="7">
        <f>MAX(prestamos_rapPagoMinimoAnual,IF(Y36&lt;10000,0,MIN(0.1,INT(Y36/10000)/100))*Y36)</f>
        <v/>
      </c>
      <c r="CL36" s="7">
        <f>IF(CE36&lt;=0,0,IF(CH36=1,0,IF(CI36=1,MIN(CE36+CJ36,CK36),PMT(CF36,MAX(1,prestamos_plazoAnios-CG36),-CE36))))</f>
        <v/>
      </c>
      <c r="CM36" s="7">
        <f>IF(CE36&lt;=0,0,IF(CH36=1,CE36+CJ36,IF(CI36=1,MAX(0,CE36-MAX(CL36-CJ36,MIN(600,CL36))),MAX(0,CE36*(1+CF36)-CL36))))</f>
        <v/>
      </c>
      <c r="CN36" s="7">
        <f>IF(3=0,0,CN35)+IF(CI36=1,12*MIN(1,K36),0)</f>
        <v/>
      </c>
      <c r="CO36" s="7">
        <f>IF(AND(CI36=1,CN36&gt;=prestamos_pslfPagos,CM36&gt;0),CM36,0)</f>
        <v/>
      </c>
      <c r="CP36" s="7">
        <f>CM36-CO36</f>
        <v/>
      </c>
      <c r="CQ36" s="7">
        <f>IF(AND(CE36&gt;0,CH36=0,CI36=0),CG36+1,CG36)</f>
        <v/>
      </c>
      <c r="CR36" s="7">
        <f>IF(3=0,IF(personal_deudaEsFederal=1,0,personal_deudaEstudiantil),EA35)</f>
        <v/>
      </c>
      <c r="CS36" s="7">
        <f>IF(3=0,IF(personal_deudaEsFederal=1,prestamos_tasaPrivada,personal_tasaDeudaEstudiantil),EB35)</f>
        <v/>
      </c>
      <c r="CT36" s="7">
        <f>IF(3=0,0,EC35)</f>
        <v/>
      </c>
      <c r="CU36" s="7">
        <f>IF(OR(CR36&lt;=0,CH36=1),0,PMT(CS36,MAX(1,prestamos_plazoAnios-CT36),-CR36))</f>
        <v/>
      </c>
      <c r="CV36" s="7">
        <f>IF(CR36&lt;=0,0,IF(CH36=1,CR36*(1+CS36),MAX(0,CR36*(1+CS36)-CU36)))</f>
        <v/>
      </c>
      <c r="CW36" s="7">
        <f>IF(AND(CR36&gt;0,CH36=0),CT36+1,CT36)</f>
        <v/>
      </c>
      <c r="CX36" s="7">
        <f>IF(3=0,0,ED35)*(1+general_tasaDeudaConsumo)</f>
        <v/>
      </c>
      <c r="CY36" s="7">
        <f>L36*12*tiempos_travelGastoExtraMes*C36</f>
        <v/>
      </c>
      <c r="CZ36" s="7">
        <f>AJ36+CY36+CA36+CC36+CL36+CU36+I36+N36-BZ36-CB36</f>
        <v/>
      </c>
      <c r="DA36" s="7">
        <f>AH36-CZ36</f>
        <v/>
      </c>
      <c r="DB36" s="7">
        <f>IF(3=0,0,DB35)+DA36</f>
        <v/>
      </c>
      <c r="DC36" s="7">
        <f>AN36*vivienda_enganchePct+AN36*vivienda_cierrePct+general_reservaMeses/12*AJ36</f>
        <v/>
      </c>
      <c r="DD36" s="7">
        <f>IF(BB36=1,g_ret,IF(BD36&gt;0,MIN(1,DC36/BD36),1)*g_cash+(1-IF(BD36&gt;0,MIN(1,DC36/BD36),1))*g_ret)</f>
        <v/>
      </c>
      <c r="DE36" s="7">
        <f>IF(DA36&gt;=0,MIN(CX36,DA36),0)</f>
        <v/>
      </c>
      <c r="DF36" s="7">
        <f>IF(DA36&gt;=0,(1-general_tasaAhorro)*(DA36-DE36),0)</f>
        <v/>
      </c>
      <c r="DG36" s="7">
        <f>IF(DA36&gt;=0,DA36-DE36-DF36,0)</f>
        <v/>
      </c>
      <c r="DH36" s="7">
        <f>MIN(personal_rothAnual,DG36)</f>
        <v/>
      </c>
      <c r="DI36" s="7">
        <f>IF(AND(DA36&gt;=0,BB36=1,BP36+BT36&gt;0),MIN(vivienda_prepagoPct*(DG36-DH36),BP36+BT36),0)</f>
        <v/>
      </c>
      <c r="DJ36" s="7">
        <f>MIN(DI36,BP36)</f>
        <v/>
      </c>
      <c r="DK36" s="7">
        <f>IF(DA36&lt;0,MIN(MAX(0,BD36),-DA36),0)</f>
        <v/>
      </c>
      <c r="DL36" s="7">
        <f>IF(DA36&lt;0,-DA36-DK36,0)</f>
        <v/>
      </c>
      <c r="DM36" s="7">
        <f>IF(3=0,0,DZ35)</f>
        <v/>
      </c>
      <c r="DN36" s="7">
        <f>IF(AND(DL36&gt;0,J36&gt;0),MIN(DL36,MIN(prestamos_topeAnualPosgrado*MIN(1,J36),MAX(0,prestamos_topeTotalPosgrado-DM36))),0)</f>
        <v/>
      </c>
      <c r="DO36" s="7">
        <f>IF(AND(DL36&gt;0,J36&gt;0),DL36-DN36,0)</f>
        <v/>
      </c>
      <c r="DP36" s="7">
        <f>IF(AND(DL36&gt;0,J36&lt;=0),DL36,0)</f>
        <v/>
      </c>
      <c r="DQ36" s="7">
        <f>IF(DA36&gt;=0,DG36-DH36-DI36,-DK36)</f>
        <v/>
      </c>
      <c r="DR36" s="7">
        <f>BD36*(1+DD36)+DQ36*(1+DD36/2)</f>
        <v/>
      </c>
      <c r="DS36" s="7">
        <f>IF(3=0,personal_retiroInicial,DS35)*(1+g_ret)+(O36+P36+DH36)*(1+g_ret/2)</f>
        <v/>
      </c>
      <c r="DT36" s="7">
        <f>IF(BB36=1,BL36*(1+g_appr),0)</f>
        <v/>
      </c>
      <c r="DU36" s="7">
        <f>BP36-DJ36</f>
        <v/>
      </c>
      <c r="DV36" s="7">
        <f>BT36-(DI36-DJ36)</f>
        <v/>
      </c>
      <c r="DW36" s="7">
        <f>CP36+DN36</f>
        <v/>
      </c>
      <c r="DX36" s="7">
        <f>IF(DN36&gt;0,(CP36*CF36+DN36*prestamos_tasaFederalPosgrado)/(CP36+DN36),CF36)</f>
        <v/>
      </c>
      <c r="DY36" s="7">
        <f>IF(DN36&gt;0,0,CQ36)</f>
        <v/>
      </c>
      <c r="DZ36" s="7">
        <f>DM36+DN36</f>
        <v/>
      </c>
      <c r="EA36" s="7">
        <f>CV36+DO36</f>
        <v/>
      </c>
      <c r="EB36" s="7">
        <f>IF(DO36&gt;0,(CV36*CS36+DO36*prestamos_tasaPrivada)/(CV36+DO36),CS36)</f>
        <v/>
      </c>
      <c r="EC36" s="7">
        <f>IF(DO36&gt;0,0,CW36)</f>
        <v/>
      </c>
      <c r="ED36" s="7">
        <f>CX36-DE36+DP36</f>
        <v/>
      </c>
      <c r="EE36" s="7">
        <f>IF(IF(3=0,"",EE35)&lt;&gt;"",EE35,IF(AND(BB36=1,DU36&lt;=0.5,DV36&lt;=0.5,OR(BH36=0,BJ36=1)),A36,""))</f>
        <v/>
      </c>
      <c r="EF36" s="7">
        <f>DU36+DV36+DW36+EA36+ED36+CD36</f>
        <v/>
      </c>
      <c r="EG36" s="7">
        <f>DR36+DS36+DT36-EF36</f>
        <v/>
      </c>
      <c r="EH36" s="7">
        <f>EG36/(1+g_inf)^(A36+1-2026)</f>
        <v/>
      </c>
    </row>
    <row r="37">
      <c r="A37" t="n">
        <v>2031</v>
      </c>
      <c r="B37" t="n">
        <v>4</v>
      </c>
      <c r="C37" s="7">
        <f>(1+g_inf)^(A37-2026)</f>
        <v/>
      </c>
      <c r="D37" s="7">
        <f>SUMPRODUCT($X$5:$X$29,$E$5:$E$29*(1+$F$5:$F$29)^(A37-2026)*$G$5:$G$29*$H$5:$H$29*(1-$N$5:$N$29*$O$5:$O$29))*g_salMult+SUMPRODUCT(($B$5:$B$29&gt;=A37)*($B$5:$B$29&lt;A37+1)*$I$5:$I$29)*g_salMult</f>
        <v/>
      </c>
      <c r="E37" s="7">
        <f>SUMPRODUCT($X$5:$X$29,$E$5:$E$29*(1+$F$5:$F$29)^(A37-2026)*$G$5:$G$29*$H$5:$H$29*$M$5:$M$29)*g_salMult</f>
        <v/>
      </c>
      <c r="F37" s="7">
        <f>SUMPRODUCT($X$5:$X$29,$E$5:$E$29*(1+$F$5:$F$29)^(A37-2026)*$G$5:$G$29*$H$5:$H$29*$N$5:$N$29*$O$5:$O$29)*g_salMult</f>
        <v/>
      </c>
      <c r="G37" s="7">
        <f>SUMPRODUCT($X$5:$X$29,$P$5:$P$29*(1+$F$5:$F$29)^(A37-2026))</f>
        <v/>
      </c>
      <c r="H37" s="7">
        <f>SUMPRODUCT($X$5:$X$29,$Q$5:$Q$29*(1+$F$5:$F$29)^(A37-2026))+IF(personal_llcActivo=1,personal_llcNeto*(1+personal_llcCrecimiento)^4,0)</f>
        <v/>
      </c>
      <c r="I37" s="7">
        <f>SUMPRODUCT($X$5:$X$29,$J$5:$J$29/($C$5:$C$29-$B$5:$B$29+($C$5:$C$29=$B$5:$B$29)))*C37</f>
        <v/>
      </c>
      <c r="J37" s="7">
        <f>SUMPRODUCT($X$5:$X$29,$K$5:$K$29)</f>
        <v/>
      </c>
      <c r="K37" s="7">
        <f>SUMPRODUCT($X$5:$X$29,$L$5:$L$29)</f>
        <v/>
      </c>
      <c r="L37" s="7">
        <f>SUMPRODUCT($X$5:$X$29,$N$5:$N$29)</f>
        <v/>
      </c>
      <c r="M37" s="7">
        <f>IF(SUMPRODUCT($X$5:$X$29,$R$5:$R$29)&gt;0,1,0)</f>
        <v/>
      </c>
      <c r="N37" s="7">
        <f>SUMPRODUCT(($AO$5:$AO$24&gt;=A37)*($AO$5:$AO$24&lt;A37+1)*$AP$5:$AP$24)*C37+IF(4=0,IF(sel_loc&lt;&gt;"miami",personal_costoMudanzaInicial,0),0)</f>
        <v/>
      </c>
      <c r="O37" s="7">
        <f>MIN(personal_aporte403bPct*D37,retiro_limite403b*C37)</f>
        <v/>
      </c>
      <c r="P37" s="7">
        <f>MIN(personal_aporte403bPct,personal_match403bPct)*E37</f>
        <v/>
      </c>
      <c r="Q37" s="7">
        <f>IF(G37&gt;0,MAX(0,G37-impuestos_scorpCostoAnual*C37),0)</f>
        <v/>
      </c>
      <c r="R37" s="7">
        <f>Q37*impuestos_scorpSalarioPct/(1+impuestos_ssTasa+impuestos_medicareTasa)</f>
        <v/>
      </c>
      <c r="S37" s="7">
        <f>impuestos_ssTasa*MIN(R37,MAX(0,impuestos_ssTope*C37-D37))+impuestos_medicareTasa*R37</f>
        <v/>
      </c>
      <c r="T37" s="7">
        <f>Q37-R37-S37</f>
        <v/>
      </c>
      <c r="U37" s="7">
        <f>D37+R37</f>
        <v/>
      </c>
      <c r="V37" s="7">
        <f>H37*0.9235</f>
        <v/>
      </c>
      <c r="W37" s="7">
        <f>IF(H37&gt;0,2*impuestos_ssTasa*MIN(V37,MAX(0,impuestos_ssTope*C37-U37))+2*impuestos_medicareTasa*V37,0)</f>
        <v/>
      </c>
      <c r="X37" s="7">
        <f>impuestos_ssTasa*MIN(U37,impuestos_ssTope*C37)+impuestos_medicareTasa*U37+impuestos_medicareAdicional*MAX(0,U37+H37*0.9235-impuestos_medicareUmbral)</f>
        <v/>
      </c>
      <c r="Y37" s="7">
        <f>MAX(0,D37-O37+R37+T37+H37-W37/2)</f>
        <v/>
      </c>
      <c r="Z37" s="7">
        <f>MAX(0,Y37-impuestos_deduccionEstandar*C37)</f>
        <v/>
      </c>
      <c r="AA37" s="7">
        <f>MIN(0.2*MAX(0,T37+H37-W37/2)*MAX(0,MIN(1,1-(Z37-impuestos_qbiUmbral*C37)/(impuestos_qbiRango*C37))),0.2*Z37)</f>
        <v/>
      </c>
      <c r="AB37" s="7">
        <f>MAX(0,Z37-AA37)</f>
        <v/>
      </c>
      <c r="AC37" s="7">
        <f>SUMPRODUCT((AB37&gt;tb_federalBrackets_lo*C37)*(AB37-tb_federalBrackets_lo*C37)*tb_federalBrackets_dr)</f>
        <v/>
      </c>
      <c r="AD37" s="7">
        <f>MAX(0,Y37-impuestos_nyDeduccion*C37)</f>
        <v/>
      </c>
      <c r="AE37" s="7">
        <f>CHOOSE(loc_taxcode,0,impuestos_ohTasa*MAX(0,Y37-impuestos_ohExento*C37)+impuestos_ohMunicipal*U37,SUMPRODUCT((AD37&gt;tb_nyBrackets_lo*C37)*(AD37-tb_nyBrackets_lo*C37)*tb_nyBrackets_dr)+loc_nyc*SUMPRODUCT((AD37&gt;tb_nycBrackets_lo*C37)*(AD37-tb_nycBrackets_lo*C37)*tb_nycBrackets_dr))</f>
        <v/>
      </c>
      <c r="AF37" s="7">
        <f>AC37+AE37+X37+W37</f>
        <v/>
      </c>
      <c r="AG37" s="7">
        <f>D37+F37+R37+T37+H37</f>
        <v/>
      </c>
      <c r="AH37" s="7">
        <f>AG37-AF37-O37</f>
        <v/>
      </c>
      <c r="AI37" s="7">
        <f>D37+F37+G37+H37</f>
        <v/>
      </c>
      <c r="AJ37" s="7">
        <f>loc_gastosVida*C37*g_gastos</f>
        <v/>
      </c>
      <c r="AK37" s="7">
        <f>IF(4=0,personal_liquidoInicial,DR36)</f>
        <v/>
      </c>
      <c r="AL37" s="7">
        <f>IF(4=0,0,BB36)</f>
        <v/>
      </c>
      <c r="AM37" s="7">
        <f>CHOOSE(sel_cfgIdx,loc_precio_duplex,loc_precio_inlaw,loc_precio_dosCasas,loc_precio_casaAdu,loc_precio_multi)</f>
        <v/>
      </c>
      <c r="AN37" s="7">
        <f>AM37*(1+g_appr)^(A37-2026)</f>
        <v/>
      </c>
      <c r="AO37" s="7">
        <f>IF(AND(M37=1,vivienda_prestamoMedico=1),1,0)</f>
        <v/>
      </c>
      <c r="AP37" s="7">
        <f>IF(AO37=1,0.05,vivienda_enganchePct)</f>
        <v/>
      </c>
      <c r="AQ37" s="7">
        <f>AN37*(1-AP37)</f>
        <v/>
      </c>
      <c r="AR37" s="7">
        <f>PMT(g_mortRate/12,vivienda_plazoHipoteca*12,-AQ37)</f>
        <v/>
      </c>
      <c r="AS37" s="7">
        <f>INDEX(cfg_units,sel_cfgIdx)</f>
        <v/>
      </c>
      <c r="AT37" s="7">
        <f>AS37*loc_rentaUnidad*(1+g_inf)^(A37-2026)*(1-vivienda_vacancia)</f>
        <v/>
      </c>
      <c r="AU37" s="7">
        <f>AR37+AN37*loc_impuestoPropPct/12+AM37*loc_seguroPct*(1+vivienda_inflacionSeguro)^(A37-2026)/12+IF(AND(AO37=0,AP37&lt;0.2),AQ37*vivienda_pmiTasa/12,0)</f>
        <v/>
      </c>
      <c r="AV37" s="7">
        <f>AN37*AP37+AN37*vivienda_cierrePct+general_reservaMeses/12*AJ37</f>
        <v/>
      </c>
      <c r="AW37" s="7">
        <f>(IF(4=0,MIN(personal_irsSaldo,personal_irsPagoMensual*12),MIN(CD36,personal_irsPagoMensual*12))+IF(CE37&gt;0,PMT(CF37,MAX(1,prestamos_plazoAnios-CG37),-CE37),0)+IF(CR37&gt;0,PMT(CS37,MAX(1,prestamos_plazoAnios-CT37),-CR37),0))/12</f>
        <v/>
      </c>
      <c r="AX37" s="7">
        <f>IF(OR(sel_cfg="duplex",sel_cfg="multi",sel_cfg="dosCasas"),0.75*personal_aporteFamiliaMensual,0)</f>
        <v/>
      </c>
      <c r="AY37" s="7">
        <f>AU37-0.75*AT37-AX37+AW37</f>
        <v/>
      </c>
      <c r="AZ37" s="7">
        <f>(D37+G37+H37+0.5*F37)/12</f>
        <v/>
      </c>
      <c r="BA37" s="7">
        <f>IF(AND(AL37=0,A37&gt;=vivienda_anioMinCompra,J37&lt;0.5,AI37&gt;0,AK37&gt;=AV37,AY37&lt;=vivienda_dtiMax*AZ37),1,0)</f>
        <v/>
      </c>
      <c r="BB37" s="7">
        <f>MAX(AL37,BA37)</f>
        <v/>
      </c>
      <c r="BC37" s="7">
        <f>IF(BA37=1,A37,IF(4=0,"",BC36))</f>
        <v/>
      </c>
      <c r="BD37" s="7">
        <f>AK37-IF(BA37=1,AN37*AP37+AN37*vivienda_cierrePct,0)</f>
        <v/>
      </c>
      <c r="BE37" s="7">
        <f>IF(BA37=1,AN37,IF(4=0,0,BE36))</f>
        <v/>
      </c>
      <c r="BF37" s="7">
        <f>IF(BA37=1,AR37,IF(4=0,0,BF36))</f>
        <v/>
      </c>
      <c r="BG37" s="7">
        <f>IF(BA37=1,IF(AND(AO37=0,AP37&lt;0.2),1,0),IF(4=0,0,BY36))</f>
        <v/>
      </c>
      <c r="BH37" s="7">
        <f>IF(sel_cfg="casaAdu",1,0)</f>
        <v/>
      </c>
      <c r="BI37" s="7">
        <f>IF(AND(BB37=1,BH37=1,IF(4=0,0,BJ36)=0,A37&gt;=IF(BC37="",9999,BC37)+vivienda_aduRetrasoAnios),1,0)</f>
        <v/>
      </c>
      <c r="BJ37" s="7">
        <f>MAX(IF(4=0,0,BJ36),BI37)</f>
        <v/>
      </c>
      <c r="BK37" s="7">
        <f>IF(BI37=1,PMT((g_mortRate+0.005)/12,180,-loc_precio_aduCosto*C37),IF(4=0,0,BK36))</f>
        <v/>
      </c>
      <c r="BL37" s="7">
        <f>IF(BA37=1,AN37,IF(4=0,0,DT36))+IF(BI37=1,loc_precio_aduCosto*C37,0)</f>
        <v/>
      </c>
      <c r="BM37" s="7">
        <f>IF(BA37=1,AQ37,IF(4=0,0,DU36))</f>
        <v/>
      </c>
      <c r="BN37" s="7">
        <f>IF(BM37&lt;=0,0,FV(g_mortRate/12,12,BF37,-BM37))</f>
        <v/>
      </c>
      <c r="BO37" s="7">
        <f>IF(BM37&lt;=0,0,12*BF37+MIN(0,BN37))</f>
        <v/>
      </c>
      <c r="BP37" s="7">
        <f>MAX(0,BN37)</f>
        <v/>
      </c>
      <c r="BQ37" s="7">
        <f>IF(BI37=1,loc_precio_aduCosto*C37,IF(4=0,0,DV36))</f>
        <v/>
      </c>
      <c r="BR37" s="7">
        <f>IF(BQ37&lt;=0,0,FV((g_mortRate+0.005)/12,12,BK37,-BQ37))</f>
        <v/>
      </c>
      <c r="BS37" s="7">
        <f>IF(BQ37&lt;=0,0,12*BK37+MIN(0,BR37))</f>
        <v/>
      </c>
      <c r="BT37" s="7">
        <f>MAX(0,BR37)</f>
        <v/>
      </c>
      <c r="BU37" s="7">
        <f>IF(BB37=1,AM37*loc_seguroPct*(1+vivienda_inflacionSeguro)^(A37-2026)*IF(BJ37=1,1+loc_precio_aduCosto/AM37,1),0)</f>
        <v/>
      </c>
      <c r="BV37" s="7">
        <f>BL37*loc_impuestoPropPct</f>
        <v/>
      </c>
      <c r="BW37" s="7">
        <f>BL37*vivienda_mantenimientoPct</f>
        <v/>
      </c>
      <c r="BX37" s="7">
        <f>IF(AND(BG37=1,BP37&gt;0.8*BE37),BE37*(1-vivienda_enganchePct)*vivienda_pmiTasa,0)</f>
        <v/>
      </c>
      <c r="BY37" s="7">
        <f>IF(AND(BG37=1,BP37&gt;0.8*BE37),1,0)</f>
        <v/>
      </c>
      <c r="BZ37" s="7">
        <f>IF(BB37=1,AS37*loc_rentaUnidad*12*C37*(1-vivienda_vacancia)*(1-vivienda_gestionPct),0)</f>
        <v/>
      </c>
      <c r="CA37" s="7">
        <f>IF(BB37=1,BO37+BS37+BU37+BV37+BW37+BX37,loc_rentaMensual*12*C37)</f>
        <v/>
      </c>
      <c r="CB37" s="7">
        <f>IF(BB37=1,personal_aporteFamiliaMensual*12,0)</f>
        <v/>
      </c>
      <c r="CC37" s="7">
        <f>MIN(IF(4=0,personal_irsSaldo,CD36),personal_irsPagoMensual*12)</f>
        <v/>
      </c>
      <c r="CD37" s="7">
        <f>IF(4=0,personal_irsSaldo,CD36)-CC37</f>
        <v/>
      </c>
      <c r="CE37" s="7">
        <f>IF(4=0,IF(personal_deudaEsFederal=1,personal_deudaEstudiantil,0),DW36)</f>
        <v/>
      </c>
      <c r="CF37" s="7">
        <f>IF(4=0,personal_tasaDeudaEstudiantil,DX36)</f>
        <v/>
      </c>
      <c r="CG37" s="7">
        <f>IF(4=0,0,DY36)</f>
        <v/>
      </c>
      <c r="CH37" s="7">
        <f>IF(J37&gt;=0.5,1,0)</f>
        <v/>
      </c>
      <c r="CI37" s="7">
        <f>IF(AND(CH37=0,prestamos_pslfActivo=1,K37&gt;=0.5,CE37&gt;0),1,0)</f>
        <v/>
      </c>
      <c r="CJ37" s="7">
        <f>CE37*CF37</f>
        <v/>
      </c>
      <c r="CK37" s="7">
        <f>MAX(prestamos_rapPagoMinimoAnual,IF(Y37&lt;10000,0,MIN(0.1,INT(Y37/10000)/100))*Y37)</f>
        <v/>
      </c>
      <c r="CL37" s="7">
        <f>IF(CE37&lt;=0,0,IF(CH37=1,0,IF(CI37=1,MIN(CE37+CJ37,CK37),PMT(CF37,MAX(1,prestamos_plazoAnios-CG37),-CE37))))</f>
        <v/>
      </c>
      <c r="CM37" s="7">
        <f>IF(CE37&lt;=0,0,IF(CH37=1,CE37+CJ37,IF(CI37=1,MAX(0,CE37-MAX(CL37-CJ37,MIN(600,CL37))),MAX(0,CE37*(1+CF37)-CL37))))</f>
        <v/>
      </c>
      <c r="CN37" s="7">
        <f>IF(4=0,0,CN36)+IF(CI37=1,12*MIN(1,K37),0)</f>
        <v/>
      </c>
      <c r="CO37" s="7">
        <f>IF(AND(CI37=1,CN37&gt;=prestamos_pslfPagos,CM37&gt;0),CM37,0)</f>
        <v/>
      </c>
      <c r="CP37" s="7">
        <f>CM37-CO37</f>
        <v/>
      </c>
      <c r="CQ37" s="7">
        <f>IF(AND(CE37&gt;0,CH37=0,CI37=0),CG37+1,CG37)</f>
        <v/>
      </c>
      <c r="CR37" s="7">
        <f>IF(4=0,IF(personal_deudaEsFederal=1,0,personal_deudaEstudiantil),EA36)</f>
        <v/>
      </c>
      <c r="CS37" s="7">
        <f>IF(4=0,IF(personal_deudaEsFederal=1,prestamos_tasaPrivada,personal_tasaDeudaEstudiantil),EB36)</f>
        <v/>
      </c>
      <c r="CT37" s="7">
        <f>IF(4=0,0,EC36)</f>
        <v/>
      </c>
      <c r="CU37" s="7">
        <f>IF(OR(CR37&lt;=0,CH37=1),0,PMT(CS37,MAX(1,prestamos_plazoAnios-CT37),-CR37))</f>
        <v/>
      </c>
      <c r="CV37" s="7">
        <f>IF(CR37&lt;=0,0,IF(CH37=1,CR37*(1+CS37),MAX(0,CR37*(1+CS37)-CU37)))</f>
        <v/>
      </c>
      <c r="CW37" s="7">
        <f>IF(AND(CR37&gt;0,CH37=0),CT37+1,CT37)</f>
        <v/>
      </c>
      <c r="CX37" s="7">
        <f>IF(4=0,0,ED36)*(1+general_tasaDeudaConsumo)</f>
        <v/>
      </c>
      <c r="CY37" s="7">
        <f>L37*12*tiempos_travelGastoExtraMes*C37</f>
        <v/>
      </c>
      <c r="CZ37" s="7">
        <f>AJ37+CY37+CA37+CC37+CL37+CU37+I37+N37-BZ37-CB37</f>
        <v/>
      </c>
      <c r="DA37" s="7">
        <f>AH37-CZ37</f>
        <v/>
      </c>
      <c r="DB37" s="7">
        <f>IF(4=0,0,DB36)+DA37</f>
        <v/>
      </c>
      <c r="DC37" s="7">
        <f>AN37*vivienda_enganchePct+AN37*vivienda_cierrePct+general_reservaMeses/12*AJ37</f>
        <v/>
      </c>
      <c r="DD37" s="7">
        <f>IF(BB37=1,g_ret,IF(BD37&gt;0,MIN(1,DC37/BD37),1)*g_cash+(1-IF(BD37&gt;0,MIN(1,DC37/BD37),1))*g_ret)</f>
        <v/>
      </c>
      <c r="DE37" s="7">
        <f>IF(DA37&gt;=0,MIN(CX37,DA37),0)</f>
        <v/>
      </c>
      <c r="DF37" s="7">
        <f>IF(DA37&gt;=0,(1-general_tasaAhorro)*(DA37-DE37),0)</f>
        <v/>
      </c>
      <c r="DG37" s="7">
        <f>IF(DA37&gt;=0,DA37-DE37-DF37,0)</f>
        <v/>
      </c>
      <c r="DH37" s="7">
        <f>MIN(personal_rothAnual,DG37)</f>
        <v/>
      </c>
      <c r="DI37" s="7">
        <f>IF(AND(DA37&gt;=0,BB37=1,BP37+BT37&gt;0),MIN(vivienda_prepagoPct*(DG37-DH37),BP37+BT37),0)</f>
        <v/>
      </c>
      <c r="DJ37" s="7">
        <f>MIN(DI37,BP37)</f>
        <v/>
      </c>
      <c r="DK37" s="7">
        <f>IF(DA37&lt;0,MIN(MAX(0,BD37),-DA37),0)</f>
        <v/>
      </c>
      <c r="DL37" s="7">
        <f>IF(DA37&lt;0,-DA37-DK37,0)</f>
        <v/>
      </c>
      <c r="DM37" s="7">
        <f>IF(4=0,0,DZ36)</f>
        <v/>
      </c>
      <c r="DN37" s="7">
        <f>IF(AND(DL37&gt;0,J37&gt;0),MIN(DL37,MIN(prestamos_topeAnualPosgrado*MIN(1,J37),MAX(0,prestamos_topeTotalPosgrado-DM37))),0)</f>
        <v/>
      </c>
      <c r="DO37" s="7">
        <f>IF(AND(DL37&gt;0,J37&gt;0),DL37-DN37,0)</f>
        <v/>
      </c>
      <c r="DP37" s="7">
        <f>IF(AND(DL37&gt;0,J37&lt;=0),DL37,0)</f>
        <v/>
      </c>
      <c r="DQ37" s="7">
        <f>IF(DA37&gt;=0,DG37-DH37-DI37,-DK37)</f>
        <v/>
      </c>
      <c r="DR37" s="7">
        <f>BD37*(1+DD37)+DQ37*(1+DD37/2)</f>
        <v/>
      </c>
      <c r="DS37" s="7">
        <f>IF(4=0,personal_retiroInicial,DS36)*(1+g_ret)+(O37+P37+DH37)*(1+g_ret/2)</f>
        <v/>
      </c>
      <c r="DT37" s="7">
        <f>IF(BB37=1,BL37*(1+g_appr),0)</f>
        <v/>
      </c>
      <c r="DU37" s="7">
        <f>BP37-DJ37</f>
        <v/>
      </c>
      <c r="DV37" s="7">
        <f>BT37-(DI37-DJ37)</f>
        <v/>
      </c>
      <c r="DW37" s="7">
        <f>CP37+DN37</f>
        <v/>
      </c>
      <c r="DX37" s="7">
        <f>IF(DN37&gt;0,(CP37*CF37+DN37*prestamos_tasaFederalPosgrado)/(CP37+DN37),CF37)</f>
        <v/>
      </c>
      <c r="DY37" s="7">
        <f>IF(DN37&gt;0,0,CQ37)</f>
        <v/>
      </c>
      <c r="DZ37" s="7">
        <f>DM37+DN37</f>
        <v/>
      </c>
      <c r="EA37" s="7">
        <f>CV37+DO37</f>
        <v/>
      </c>
      <c r="EB37" s="7">
        <f>IF(DO37&gt;0,(CV37*CS37+DO37*prestamos_tasaPrivada)/(CV37+DO37),CS37)</f>
        <v/>
      </c>
      <c r="EC37" s="7">
        <f>IF(DO37&gt;0,0,CW37)</f>
        <v/>
      </c>
      <c r="ED37" s="7">
        <f>CX37-DE37+DP37</f>
        <v/>
      </c>
      <c r="EE37" s="7">
        <f>IF(IF(4=0,"",EE36)&lt;&gt;"",EE36,IF(AND(BB37=1,DU37&lt;=0.5,DV37&lt;=0.5,OR(BH37=0,BJ37=1)),A37,""))</f>
        <v/>
      </c>
      <c r="EF37" s="7">
        <f>DU37+DV37+DW37+EA37+ED37+CD37</f>
        <v/>
      </c>
      <c r="EG37" s="7">
        <f>DR37+DS37+DT37-EF37</f>
        <v/>
      </c>
      <c r="EH37" s="7">
        <f>EG37/(1+g_inf)^(A37+1-2026)</f>
        <v/>
      </c>
    </row>
    <row r="38">
      <c r="A38" t="n">
        <v>2032</v>
      </c>
      <c r="B38" t="n">
        <v>5</v>
      </c>
      <c r="C38" s="7">
        <f>(1+g_inf)^(A38-2026)</f>
        <v/>
      </c>
      <c r="D38" s="7">
        <f>SUMPRODUCT($Y$5:$Y$29,$E$5:$E$29*(1+$F$5:$F$29)^(A38-2026)*$G$5:$G$29*$H$5:$H$29*(1-$N$5:$N$29*$O$5:$O$29))*g_salMult+SUMPRODUCT(($B$5:$B$29&gt;=A38)*($B$5:$B$29&lt;A38+1)*$I$5:$I$29)*g_salMult</f>
        <v/>
      </c>
      <c r="E38" s="7">
        <f>SUMPRODUCT($Y$5:$Y$29,$E$5:$E$29*(1+$F$5:$F$29)^(A38-2026)*$G$5:$G$29*$H$5:$H$29*$M$5:$M$29)*g_salMult</f>
        <v/>
      </c>
      <c r="F38" s="7">
        <f>SUMPRODUCT($Y$5:$Y$29,$E$5:$E$29*(1+$F$5:$F$29)^(A38-2026)*$G$5:$G$29*$H$5:$H$29*$N$5:$N$29*$O$5:$O$29)*g_salMult</f>
        <v/>
      </c>
      <c r="G38" s="7">
        <f>SUMPRODUCT($Y$5:$Y$29,$P$5:$P$29*(1+$F$5:$F$29)^(A38-2026))</f>
        <v/>
      </c>
      <c r="H38" s="7">
        <f>SUMPRODUCT($Y$5:$Y$29,$Q$5:$Q$29*(1+$F$5:$F$29)^(A38-2026))+IF(personal_llcActivo=1,personal_llcNeto*(1+personal_llcCrecimiento)^5,0)</f>
        <v/>
      </c>
      <c r="I38" s="7">
        <f>SUMPRODUCT($Y$5:$Y$29,$J$5:$J$29/($C$5:$C$29-$B$5:$B$29+($C$5:$C$29=$B$5:$B$29)))*C38</f>
        <v/>
      </c>
      <c r="J38" s="7">
        <f>SUMPRODUCT($Y$5:$Y$29,$K$5:$K$29)</f>
        <v/>
      </c>
      <c r="K38" s="7">
        <f>SUMPRODUCT($Y$5:$Y$29,$L$5:$L$29)</f>
        <v/>
      </c>
      <c r="L38" s="7">
        <f>SUMPRODUCT($Y$5:$Y$29,$N$5:$N$29)</f>
        <v/>
      </c>
      <c r="M38" s="7">
        <f>IF(SUMPRODUCT($Y$5:$Y$29,$R$5:$R$29)&gt;0,1,0)</f>
        <v/>
      </c>
      <c r="N38" s="7">
        <f>SUMPRODUCT(($AO$5:$AO$24&gt;=A38)*($AO$5:$AO$24&lt;A38+1)*$AP$5:$AP$24)*C38+IF(5=0,IF(sel_loc&lt;&gt;"miami",personal_costoMudanzaInicial,0),0)</f>
        <v/>
      </c>
      <c r="O38" s="7">
        <f>MIN(personal_aporte403bPct*D38,retiro_limite403b*C38)</f>
        <v/>
      </c>
      <c r="P38" s="7">
        <f>MIN(personal_aporte403bPct,personal_match403bPct)*E38</f>
        <v/>
      </c>
      <c r="Q38" s="7">
        <f>IF(G38&gt;0,MAX(0,G38-impuestos_scorpCostoAnual*C38),0)</f>
        <v/>
      </c>
      <c r="R38" s="7">
        <f>Q38*impuestos_scorpSalarioPct/(1+impuestos_ssTasa+impuestos_medicareTasa)</f>
        <v/>
      </c>
      <c r="S38" s="7">
        <f>impuestos_ssTasa*MIN(R38,MAX(0,impuestos_ssTope*C38-D38))+impuestos_medicareTasa*R38</f>
        <v/>
      </c>
      <c r="T38" s="7">
        <f>Q38-R38-S38</f>
        <v/>
      </c>
      <c r="U38" s="7">
        <f>D38+R38</f>
        <v/>
      </c>
      <c r="V38" s="7">
        <f>H38*0.9235</f>
        <v/>
      </c>
      <c r="W38" s="7">
        <f>IF(H38&gt;0,2*impuestos_ssTasa*MIN(V38,MAX(0,impuestos_ssTope*C38-U38))+2*impuestos_medicareTasa*V38,0)</f>
        <v/>
      </c>
      <c r="X38" s="7">
        <f>impuestos_ssTasa*MIN(U38,impuestos_ssTope*C38)+impuestos_medicareTasa*U38+impuestos_medicareAdicional*MAX(0,U38+H38*0.9235-impuestos_medicareUmbral)</f>
        <v/>
      </c>
      <c r="Y38" s="7">
        <f>MAX(0,D38-O38+R38+T38+H38-W38/2)</f>
        <v/>
      </c>
      <c r="Z38" s="7">
        <f>MAX(0,Y38-impuestos_deduccionEstandar*C38)</f>
        <v/>
      </c>
      <c r="AA38" s="7">
        <f>MIN(0.2*MAX(0,T38+H38-W38/2)*MAX(0,MIN(1,1-(Z38-impuestos_qbiUmbral*C38)/(impuestos_qbiRango*C38))),0.2*Z38)</f>
        <v/>
      </c>
      <c r="AB38" s="7">
        <f>MAX(0,Z38-AA38)</f>
        <v/>
      </c>
      <c r="AC38" s="7">
        <f>SUMPRODUCT((AB38&gt;tb_federalBrackets_lo*C38)*(AB38-tb_federalBrackets_lo*C38)*tb_federalBrackets_dr)</f>
        <v/>
      </c>
      <c r="AD38" s="7">
        <f>MAX(0,Y38-impuestos_nyDeduccion*C38)</f>
        <v/>
      </c>
      <c r="AE38" s="7">
        <f>CHOOSE(loc_taxcode,0,impuestos_ohTasa*MAX(0,Y38-impuestos_ohExento*C38)+impuestos_ohMunicipal*U38,SUMPRODUCT((AD38&gt;tb_nyBrackets_lo*C38)*(AD38-tb_nyBrackets_lo*C38)*tb_nyBrackets_dr)+loc_nyc*SUMPRODUCT((AD38&gt;tb_nycBrackets_lo*C38)*(AD38-tb_nycBrackets_lo*C38)*tb_nycBrackets_dr))</f>
        <v/>
      </c>
      <c r="AF38" s="7">
        <f>AC38+AE38+X38+W38</f>
        <v/>
      </c>
      <c r="AG38" s="7">
        <f>D38+F38+R38+T38+H38</f>
        <v/>
      </c>
      <c r="AH38" s="7">
        <f>AG38-AF38-O38</f>
        <v/>
      </c>
      <c r="AI38" s="7">
        <f>D38+F38+G38+H38</f>
        <v/>
      </c>
      <c r="AJ38" s="7">
        <f>loc_gastosVida*C38*g_gastos</f>
        <v/>
      </c>
      <c r="AK38" s="7">
        <f>IF(5=0,personal_liquidoInicial,DR37)</f>
        <v/>
      </c>
      <c r="AL38" s="7">
        <f>IF(5=0,0,BB37)</f>
        <v/>
      </c>
      <c r="AM38" s="7">
        <f>CHOOSE(sel_cfgIdx,loc_precio_duplex,loc_precio_inlaw,loc_precio_dosCasas,loc_precio_casaAdu,loc_precio_multi)</f>
        <v/>
      </c>
      <c r="AN38" s="7">
        <f>AM38*(1+g_appr)^(A38-2026)</f>
        <v/>
      </c>
      <c r="AO38" s="7">
        <f>IF(AND(M38=1,vivienda_prestamoMedico=1),1,0)</f>
        <v/>
      </c>
      <c r="AP38" s="7">
        <f>IF(AO38=1,0.05,vivienda_enganchePct)</f>
        <v/>
      </c>
      <c r="AQ38" s="7">
        <f>AN38*(1-AP38)</f>
        <v/>
      </c>
      <c r="AR38" s="7">
        <f>PMT(g_mortRate/12,vivienda_plazoHipoteca*12,-AQ38)</f>
        <v/>
      </c>
      <c r="AS38" s="7">
        <f>INDEX(cfg_units,sel_cfgIdx)</f>
        <v/>
      </c>
      <c r="AT38" s="7">
        <f>AS38*loc_rentaUnidad*(1+g_inf)^(A38-2026)*(1-vivienda_vacancia)</f>
        <v/>
      </c>
      <c r="AU38" s="7">
        <f>AR38+AN38*loc_impuestoPropPct/12+AM38*loc_seguroPct*(1+vivienda_inflacionSeguro)^(A38-2026)/12+IF(AND(AO38=0,AP38&lt;0.2),AQ38*vivienda_pmiTasa/12,0)</f>
        <v/>
      </c>
      <c r="AV38" s="7">
        <f>AN38*AP38+AN38*vivienda_cierrePct+general_reservaMeses/12*AJ38</f>
        <v/>
      </c>
      <c r="AW38" s="7">
        <f>(IF(5=0,MIN(personal_irsSaldo,personal_irsPagoMensual*12),MIN(CD37,personal_irsPagoMensual*12))+IF(CE38&gt;0,PMT(CF38,MAX(1,prestamos_plazoAnios-CG38),-CE38),0)+IF(CR38&gt;0,PMT(CS38,MAX(1,prestamos_plazoAnios-CT38),-CR38),0))/12</f>
        <v/>
      </c>
      <c r="AX38" s="7">
        <f>IF(OR(sel_cfg="duplex",sel_cfg="multi",sel_cfg="dosCasas"),0.75*personal_aporteFamiliaMensual,0)</f>
        <v/>
      </c>
      <c r="AY38" s="7">
        <f>AU38-0.75*AT38-AX38+AW38</f>
        <v/>
      </c>
      <c r="AZ38" s="7">
        <f>(D38+G38+H38+0.5*F38)/12</f>
        <v/>
      </c>
      <c r="BA38" s="7">
        <f>IF(AND(AL38=0,A38&gt;=vivienda_anioMinCompra,J38&lt;0.5,AI38&gt;0,AK38&gt;=AV38,AY38&lt;=vivienda_dtiMax*AZ38),1,0)</f>
        <v/>
      </c>
      <c r="BB38" s="7">
        <f>MAX(AL38,BA38)</f>
        <v/>
      </c>
      <c r="BC38" s="7">
        <f>IF(BA38=1,A38,IF(5=0,"",BC37))</f>
        <v/>
      </c>
      <c r="BD38" s="7">
        <f>AK38-IF(BA38=1,AN38*AP38+AN38*vivienda_cierrePct,0)</f>
        <v/>
      </c>
      <c r="BE38" s="7">
        <f>IF(BA38=1,AN38,IF(5=0,0,BE37))</f>
        <v/>
      </c>
      <c r="BF38" s="7">
        <f>IF(BA38=1,AR38,IF(5=0,0,BF37))</f>
        <v/>
      </c>
      <c r="BG38" s="7">
        <f>IF(BA38=1,IF(AND(AO38=0,AP38&lt;0.2),1,0),IF(5=0,0,BY37))</f>
        <v/>
      </c>
      <c r="BH38" s="7">
        <f>IF(sel_cfg="casaAdu",1,0)</f>
        <v/>
      </c>
      <c r="BI38" s="7">
        <f>IF(AND(BB38=1,BH38=1,IF(5=0,0,BJ37)=0,A38&gt;=IF(BC38="",9999,BC38)+vivienda_aduRetrasoAnios),1,0)</f>
        <v/>
      </c>
      <c r="BJ38" s="7">
        <f>MAX(IF(5=0,0,BJ37),BI38)</f>
        <v/>
      </c>
      <c r="BK38" s="7">
        <f>IF(BI38=1,PMT((g_mortRate+0.005)/12,180,-loc_precio_aduCosto*C38),IF(5=0,0,BK37))</f>
        <v/>
      </c>
      <c r="BL38" s="7">
        <f>IF(BA38=1,AN38,IF(5=0,0,DT37))+IF(BI38=1,loc_precio_aduCosto*C38,0)</f>
        <v/>
      </c>
      <c r="BM38" s="7">
        <f>IF(BA38=1,AQ38,IF(5=0,0,DU37))</f>
        <v/>
      </c>
      <c r="BN38" s="7">
        <f>IF(BM38&lt;=0,0,FV(g_mortRate/12,12,BF38,-BM38))</f>
        <v/>
      </c>
      <c r="BO38" s="7">
        <f>IF(BM38&lt;=0,0,12*BF38+MIN(0,BN38))</f>
        <v/>
      </c>
      <c r="BP38" s="7">
        <f>MAX(0,BN38)</f>
        <v/>
      </c>
      <c r="BQ38" s="7">
        <f>IF(BI38=1,loc_precio_aduCosto*C38,IF(5=0,0,DV37))</f>
        <v/>
      </c>
      <c r="BR38" s="7">
        <f>IF(BQ38&lt;=0,0,FV((g_mortRate+0.005)/12,12,BK38,-BQ38))</f>
        <v/>
      </c>
      <c r="BS38" s="7">
        <f>IF(BQ38&lt;=0,0,12*BK38+MIN(0,BR38))</f>
        <v/>
      </c>
      <c r="BT38" s="7">
        <f>MAX(0,BR38)</f>
        <v/>
      </c>
      <c r="BU38" s="7">
        <f>IF(BB38=1,AM38*loc_seguroPct*(1+vivienda_inflacionSeguro)^(A38-2026)*IF(BJ38=1,1+loc_precio_aduCosto/AM38,1),0)</f>
        <v/>
      </c>
      <c r="BV38" s="7">
        <f>BL38*loc_impuestoPropPct</f>
        <v/>
      </c>
      <c r="BW38" s="7">
        <f>BL38*vivienda_mantenimientoPct</f>
        <v/>
      </c>
      <c r="BX38" s="7">
        <f>IF(AND(BG38=1,BP38&gt;0.8*BE38),BE38*(1-vivienda_enganchePct)*vivienda_pmiTasa,0)</f>
        <v/>
      </c>
      <c r="BY38" s="7">
        <f>IF(AND(BG38=1,BP38&gt;0.8*BE38),1,0)</f>
        <v/>
      </c>
      <c r="BZ38" s="7">
        <f>IF(BB38=1,AS38*loc_rentaUnidad*12*C38*(1-vivienda_vacancia)*(1-vivienda_gestionPct),0)</f>
        <v/>
      </c>
      <c r="CA38" s="7">
        <f>IF(BB38=1,BO38+BS38+BU38+BV38+BW38+BX38,loc_rentaMensual*12*C38)</f>
        <v/>
      </c>
      <c r="CB38" s="7">
        <f>IF(BB38=1,personal_aporteFamiliaMensual*12,0)</f>
        <v/>
      </c>
      <c r="CC38" s="7">
        <f>MIN(IF(5=0,personal_irsSaldo,CD37),personal_irsPagoMensual*12)</f>
        <v/>
      </c>
      <c r="CD38" s="7">
        <f>IF(5=0,personal_irsSaldo,CD37)-CC38</f>
        <v/>
      </c>
      <c r="CE38" s="7">
        <f>IF(5=0,IF(personal_deudaEsFederal=1,personal_deudaEstudiantil,0),DW37)</f>
        <v/>
      </c>
      <c r="CF38" s="7">
        <f>IF(5=0,personal_tasaDeudaEstudiantil,DX37)</f>
        <v/>
      </c>
      <c r="CG38" s="7">
        <f>IF(5=0,0,DY37)</f>
        <v/>
      </c>
      <c r="CH38" s="7">
        <f>IF(J38&gt;=0.5,1,0)</f>
        <v/>
      </c>
      <c r="CI38" s="7">
        <f>IF(AND(CH38=0,prestamos_pslfActivo=1,K38&gt;=0.5,CE38&gt;0),1,0)</f>
        <v/>
      </c>
      <c r="CJ38" s="7">
        <f>CE38*CF38</f>
        <v/>
      </c>
      <c r="CK38" s="7">
        <f>MAX(prestamos_rapPagoMinimoAnual,IF(Y38&lt;10000,0,MIN(0.1,INT(Y38/10000)/100))*Y38)</f>
        <v/>
      </c>
      <c r="CL38" s="7">
        <f>IF(CE38&lt;=0,0,IF(CH38=1,0,IF(CI38=1,MIN(CE38+CJ38,CK38),PMT(CF38,MAX(1,prestamos_plazoAnios-CG38),-CE38))))</f>
        <v/>
      </c>
      <c r="CM38" s="7">
        <f>IF(CE38&lt;=0,0,IF(CH38=1,CE38+CJ38,IF(CI38=1,MAX(0,CE38-MAX(CL38-CJ38,MIN(600,CL38))),MAX(0,CE38*(1+CF38)-CL38))))</f>
        <v/>
      </c>
      <c r="CN38" s="7">
        <f>IF(5=0,0,CN37)+IF(CI38=1,12*MIN(1,K38),0)</f>
        <v/>
      </c>
      <c r="CO38" s="7">
        <f>IF(AND(CI38=1,CN38&gt;=prestamos_pslfPagos,CM38&gt;0),CM38,0)</f>
        <v/>
      </c>
      <c r="CP38" s="7">
        <f>CM38-CO38</f>
        <v/>
      </c>
      <c r="CQ38" s="7">
        <f>IF(AND(CE38&gt;0,CH38=0,CI38=0),CG38+1,CG38)</f>
        <v/>
      </c>
      <c r="CR38" s="7">
        <f>IF(5=0,IF(personal_deudaEsFederal=1,0,personal_deudaEstudiantil),EA37)</f>
        <v/>
      </c>
      <c r="CS38" s="7">
        <f>IF(5=0,IF(personal_deudaEsFederal=1,prestamos_tasaPrivada,personal_tasaDeudaEstudiantil),EB37)</f>
        <v/>
      </c>
      <c r="CT38" s="7">
        <f>IF(5=0,0,EC37)</f>
        <v/>
      </c>
      <c r="CU38" s="7">
        <f>IF(OR(CR38&lt;=0,CH38=1),0,PMT(CS38,MAX(1,prestamos_plazoAnios-CT38),-CR38))</f>
        <v/>
      </c>
      <c r="CV38" s="7">
        <f>IF(CR38&lt;=0,0,IF(CH38=1,CR38*(1+CS38),MAX(0,CR38*(1+CS38)-CU38)))</f>
        <v/>
      </c>
      <c r="CW38" s="7">
        <f>IF(AND(CR38&gt;0,CH38=0),CT38+1,CT38)</f>
        <v/>
      </c>
      <c r="CX38" s="7">
        <f>IF(5=0,0,ED37)*(1+general_tasaDeudaConsumo)</f>
        <v/>
      </c>
      <c r="CY38" s="7">
        <f>L38*12*tiempos_travelGastoExtraMes*C38</f>
        <v/>
      </c>
      <c r="CZ38" s="7">
        <f>AJ38+CY38+CA38+CC38+CL38+CU38+I38+N38-BZ38-CB38</f>
        <v/>
      </c>
      <c r="DA38" s="7">
        <f>AH38-CZ38</f>
        <v/>
      </c>
      <c r="DB38" s="7">
        <f>IF(5=0,0,DB37)+DA38</f>
        <v/>
      </c>
      <c r="DC38" s="7">
        <f>AN38*vivienda_enganchePct+AN38*vivienda_cierrePct+general_reservaMeses/12*AJ38</f>
        <v/>
      </c>
      <c r="DD38" s="7">
        <f>IF(BB38=1,g_ret,IF(BD38&gt;0,MIN(1,DC38/BD38),1)*g_cash+(1-IF(BD38&gt;0,MIN(1,DC38/BD38),1))*g_ret)</f>
        <v/>
      </c>
      <c r="DE38" s="7">
        <f>IF(DA38&gt;=0,MIN(CX38,DA38),0)</f>
        <v/>
      </c>
      <c r="DF38" s="7">
        <f>IF(DA38&gt;=0,(1-general_tasaAhorro)*(DA38-DE38),0)</f>
        <v/>
      </c>
      <c r="DG38" s="7">
        <f>IF(DA38&gt;=0,DA38-DE38-DF38,0)</f>
        <v/>
      </c>
      <c r="DH38" s="7">
        <f>MIN(personal_rothAnual,DG38)</f>
        <v/>
      </c>
      <c r="DI38" s="7">
        <f>IF(AND(DA38&gt;=0,BB38=1,BP38+BT38&gt;0),MIN(vivienda_prepagoPct*(DG38-DH38),BP38+BT38),0)</f>
        <v/>
      </c>
      <c r="DJ38" s="7">
        <f>MIN(DI38,BP38)</f>
        <v/>
      </c>
      <c r="DK38" s="7">
        <f>IF(DA38&lt;0,MIN(MAX(0,BD38),-DA38),0)</f>
        <v/>
      </c>
      <c r="DL38" s="7">
        <f>IF(DA38&lt;0,-DA38-DK38,0)</f>
        <v/>
      </c>
      <c r="DM38" s="7">
        <f>IF(5=0,0,DZ37)</f>
        <v/>
      </c>
      <c r="DN38" s="7">
        <f>IF(AND(DL38&gt;0,J38&gt;0),MIN(DL38,MIN(prestamos_topeAnualPosgrado*MIN(1,J38),MAX(0,prestamos_topeTotalPosgrado-DM38))),0)</f>
        <v/>
      </c>
      <c r="DO38" s="7">
        <f>IF(AND(DL38&gt;0,J38&gt;0),DL38-DN38,0)</f>
        <v/>
      </c>
      <c r="DP38" s="7">
        <f>IF(AND(DL38&gt;0,J38&lt;=0),DL38,0)</f>
        <v/>
      </c>
      <c r="DQ38" s="7">
        <f>IF(DA38&gt;=0,DG38-DH38-DI38,-DK38)</f>
        <v/>
      </c>
      <c r="DR38" s="7">
        <f>BD38*(1+DD38)+DQ38*(1+DD38/2)</f>
        <v/>
      </c>
      <c r="DS38" s="7">
        <f>IF(5=0,personal_retiroInicial,DS37)*(1+g_ret)+(O38+P38+DH38)*(1+g_ret/2)</f>
        <v/>
      </c>
      <c r="DT38" s="7">
        <f>IF(BB38=1,BL38*(1+g_appr),0)</f>
        <v/>
      </c>
      <c r="DU38" s="7">
        <f>BP38-DJ38</f>
        <v/>
      </c>
      <c r="DV38" s="7">
        <f>BT38-(DI38-DJ38)</f>
        <v/>
      </c>
      <c r="DW38" s="7">
        <f>CP38+DN38</f>
        <v/>
      </c>
      <c r="DX38" s="7">
        <f>IF(DN38&gt;0,(CP38*CF38+DN38*prestamos_tasaFederalPosgrado)/(CP38+DN38),CF38)</f>
        <v/>
      </c>
      <c r="DY38" s="7">
        <f>IF(DN38&gt;0,0,CQ38)</f>
        <v/>
      </c>
      <c r="DZ38" s="7">
        <f>DM38+DN38</f>
        <v/>
      </c>
      <c r="EA38" s="7">
        <f>CV38+DO38</f>
        <v/>
      </c>
      <c r="EB38" s="7">
        <f>IF(DO38&gt;0,(CV38*CS38+DO38*prestamos_tasaPrivada)/(CV38+DO38),CS38)</f>
        <v/>
      </c>
      <c r="EC38" s="7">
        <f>IF(DO38&gt;0,0,CW38)</f>
        <v/>
      </c>
      <c r="ED38" s="7">
        <f>CX38-DE38+DP38</f>
        <v/>
      </c>
      <c r="EE38" s="7">
        <f>IF(IF(5=0,"",EE37)&lt;&gt;"",EE37,IF(AND(BB38=1,DU38&lt;=0.5,DV38&lt;=0.5,OR(BH38=0,BJ38=1)),A38,""))</f>
        <v/>
      </c>
      <c r="EF38" s="7">
        <f>DU38+DV38+DW38+EA38+ED38+CD38</f>
        <v/>
      </c>
      <c r="EG38" s="7">
        <f>DR38+DS38+DT38-EF38</f>
        <v/>
      </c>
      <c r="EH38" s="7">
        <f>EG38/(1+g_inf)^(A38+1-2026)</f>
        <v/>
      </c>
    </row>
    <row r="39">
      <c r="A39" t="n">
        <v>2033</v>
      </c>
      <c r="B39" t="n">
        <v>6</v>
      </c>
      <c r="C39" s="7">
        <f>(1+g_inf)^(A39-2026)</f>
        <v/>
      </c>
      <c r="D39" s="7">
        <f>SUMPRODUCT($Z$5:$Z$29,$E$5:$E$29*(1+$F$5:$F$29)^(A39-2026)*$G$5:$G$29*$H$5:$H$29*(1-$N$5:$N$29*$O$5:$O$29))*g_salMult+SUMPRODUCT(($B$5:$B$29&gt;=A39)*($B$5:$B$29&lt;A39+1)*$I$5:$I$29)*g_salMult</f>
        <v/>
      </c>
      <c r="E39" s="7">
        <f>SUMPRODUCT($Z$5:$Z$29,$E$5:$E$29*(1+$F$5:$F$29)^(A39-2026)*$G$5:$G$29*$H$5:$H$29*$M$5:$M$29)*g_salMult</f>
        <v/>
      </c>
      <c r="F39" s="7">
        <f>SUMPRODUCT($Z$5:$Z$29,$E$5:$E$29*(1+$F$5:$F$29)^(A39-2026)*$G$5:$G$29*$H$5:$H$29*$N$5:$N$29*$O$5:$O$29)*g_salMult</f>
        <v/>
      </c>
      <c r="G39" s="7">
        <f>SUMPRODUCT($Z$5:$Z$29,$P$5:$P$29*(1+$F$5:$F$29)^(A39-2026))</f>
        <v/>
      </c>
      <c r="H39" s="7">
        <f>SUMPRODUCT($Z$5:$Z$29,$Q$5:$Q$29*(1+$F$5:$F$29)^(A39-2026))+IF(personal_llcActivo=1,personal_llcNeto*(1+personal_llcCrecimiento)^6,0)</f>
        <v/>
      </c>
      <c r="I39" s="7">
        <f>SUMPRODUCT($Z$5:$Z$29,$J$5:$J$29/($C$5:$C$29-$B$5:$B$29+($C$5:$C$29=$B$5:$B$29)))*C39</f>
        <v/>
      </c>
      <c r="J39" s="7">
        <f>SUMPRODUCT($Z$5:$Z$29,$K$5:$K$29)</f>
        <v/>
      </c>
      <c r="K39" s="7">
        <f>SUMPRODUCT($Z$5:$Z$29,$L$5:$L$29)</f>
        <v/>
      </c>
      <c r="L39" s="7">
        <f>SUMPRODUCT($Z$5:$Z$29,$N$5:$N$29)</f>
        <v/>
      </c>
      <c r="M39" s="7">
        <f>IF(SUMPRODUCT($Z$5:$Z$29,$R$5:$R$29)&gt;0,1,0)</f>
        <v/>
      </c>
      <c r="N39" s="7">
        <f>SUMPRODUCT(($AO$5:$AO$24&gt;=A39)*($AO$5:$AO$24&lt;A39+1)*$AP$5:$AP$24)*C39+IF(6=0,IF(sel_loc&lt;&gt;"miami",personal_costoMudanzaInicial,0),0)</f>
        <v/>
      </c>
      <c r="O39" s="7">
        <f>MIN(personal_aporte403bPct*D39,retiro_limite403b*C39)</f>
        <v/>
      </c>
      <c r="P39" s="7">
        <f>MIN(personal_aporte403bPct,personal_match403bPct)*E39</f>
        <v/>
      </c>
      <c r="Q39" s="7">
        <f>IF(G39&gt;0,MAX(0,G39-impuestos_scorpCostoAnual*C39),0)</f>
        <v/>
      </c>
      <c r="R39" s="7">
        <f>Q39*impuestos_scorpSalarioPct/(1+impuestos_ssTasa+impuestos_medicareTasa)</f>
        <v/>
      </c>
      <c r="S39" s="7">
        <f>impuestos_ssTasa*MIN(R39,MAX(0,impuestos_ssTope*C39-D39))+impuestos_medicareTasa*R39</f>
        <v/>
      </c>
      <c r="T39" s="7">
        <f>Q39-R39-S39</f>
        <v/>
      </c>
      <c r="U39" s="7">
        <f>D39+R39</f>
        <v/>
      </c>
      <c r="V39" s="7">
        <f>H39*0.9235</f>
        <v/>
      </c>
      <c r="W39" s="7">
        <f>IF(H39&gt;0,2*impuestos_ssTasa*MIN(V39,MAX(0,impuestos_ssTope*C39-U39))+2*impuestos_medicareTasa*V39,0)</f>
        <v/>
      </c>
      <c r="X39" s="7">
        <f>impuestos_ssTasa*MIN(U39,impuestos_ssTope*C39)+impuestos_medicareTasa*U39+impuestos_medicareAdicional*MAX(0,U39+H39*0.9235-impuestos_medicareUmbral)</f>
        <v/>
      </c>
      <c r="Y39" s="7">
        <f>MAX(0,D39-O39+R39+T39+H39-W39/2)</f>
        <v/>
      </c>
      <c r="Z39" s="7">
        <f>MAX(0,Y39-impuestos_deduccionEstandar*C39)</f>
        <v/>
      </c>
      <c r="AA39" s="7">
        <f>MIN(0.2*MAX(0,T39+H39-W39/2)*MAX(0,MIN(1,1-(Z39-impuestos_qbiUmbral*C39)/(impuestos_qbiRango*C39))),0.2*Z39)</f>
        <v/>
      </c>
      <c r="AB39" s="7">
        <f>MAX(0,Z39-AA39)</f>
        <v/>
      </c>
      <c r="AC39" s="7">
        <f>SUMPRODUCT((AB39&gt;tb_federalBrackets_lo*C39)*(AB39-tb_federalBrackets_lo*C39)*tb_federalBrackets_dr)</f>
        <v/>
      </c>
      <c r="AD39" s="7">
        <f>MAX(0,Y39-impuestos_nyDeduccion*C39)</f>
        <v/>
      </c>
      <c r="AE39" s="7">
        <f>CHOOSE(loc_taxcode,0,impuestos_ohTasa*MAX(0,Y39-impuestos_ohExento*C39)+impuestos_ohMunicipal*U39,SUMPRODUCT((AD39&gt;tb_nyBrackets_lo*C39)*(AD39-tb_nyBrackets_lo*C39)*tb_nyBrackets_dr)+loc_nyc*SUMPRODUCT((AD39&gt;tb_nycBrackets_lo*C39)*(AD39-tb_nycBrackets_lo*C39)*tb_nycBrackets_dr))</f>
        <v/>
      </c>
      <c r="AF39" s="7">
        <f>AC39+AE39+X39+W39</f>
        <v/>
      </c>
      <c r="AG39" s="7">
        <f>D39+F39+R39+T39+H39</f>
        <v/>
      </c>
      <c r="AH39" s="7">
        <f>AG39-AF39-O39</f>
        <v/>
      </c>
      <c r="AI39" s="7">
        <f>D39+F39+G39+H39</f>
        <v/>
      </c>
      <c r="AJ39" s="7">
        <f>loc_gastosVida*C39*g_gastos</f>
        <v/>
      </c>
      <c r="AK39" s="7">
        <f>IF(6=0,personal_liquidoInicial,DR38)</f>
        <v/>
      </c>
      <c r="AL39" s="7">
        <f>IF(6=0,0,BB38)</f>
        <v/>
      </c>
      <c r="AM39" s="7">
        <f>CHOOSE(sel_cfgIdx,loc_precio_duplex,loc_precio_inlaw,loc_precio_dosCasas,loc_precio_casaAdu,loc_precio_multi)</f>
        <v/>
      </c>
      <c r="AN39" s="7">
        <f>AM39*(1+g_appr)^(A39-2026)</f>
        <v/>
      </c>
      <c r="AO39" s="7">
        <f>IF(AND(M39=1,vivienda_prestamoMedico=1),1,0)</f>
        <v/>
      </c>
      <c r="AP39" s="7">
        <f>IF(AO39=1,0.05,vivienda_enganchePct)</f>
        <v/>
      </c>
      <c r="AQ39" s="7">
        <f>AN39*(1-AP39)</f>
        <v/>
      </c>
      <c r="AR39" s="7">
        <f>PMT(g_mortRate/12,vivienda_plazoHipoteca*12,-AQ39)</f>
        <v/>
      </c>
      <c r="AS39" s="7">
        <f>INDEX(cfg_units,sel_cfgIdx)</f>
        <v/>
      </c>
      <c r="AT39" s="7">
        <f>AS39*loc_rentaUnidad*(1+g_inf)^(A39-2026)*(1-vivienda_vacancia)</f>
        <v/>
      </c>
      <c r="AU39" s="7">
        <f>AR39+AN39*loc_impuestoPropPct/12+AM39*loc_seguroPct*(1+vivienda_inflacionSeguro)^(A39-2026)/12+IF(AND(AO39=0,AP39&lt;0.2),AQ39*vivienda_pmiTasa/12,0)</f>
        <v/>
      </c>
      <c r="AV39" s="7">
        <f>AN39*AP39+AN39*vivienda_cierrePct+general_reservaMeses/12*AJ39</f>
        <v/>
      </c>
      <c r="AW39" s="7">
        <f>(IF(6=0,MIN(personal_irsSaldo,personal_irsPagoMensual*12),MIN(CD38,personal_irsPagoMensual*12))+IF(CE39&gt;0,PMT(CF39,MAX(1,prestamos_plazoAnios-CG39),-CE39),0)+IF(CR39&gt;0,PMT(CS39,MAX(1,prestamos_plazoAnios-CT39),-CR39),0))/12</f>
        <v/>
      </c>
      <c r="AX39" s="7">
        <f>IF(OR(sel_cfg="duplex",sel_cfg="multi",sel_cfg="dosCasas"),0.75*personal_aporteFamiliaMensual,0)</f>
        <v/>
      </c>
      <c r="AY39" s="7">
        <f>AU39-0.75*AT39-AX39+AW39</f>
        <v/>
      </c>
      <c r="AZ39" s="7">
        <f>(D39+G39+H39+0.5*F39)/12</f>
        <v/>
      </c>
      <c r="BA39" s="7">
        <f>IF(AND(AL39=0,A39&gt;=vivienda_anioMinCompra,J39&lt;0.5,AI39&gt;0,AK39&gt;=AV39,AY39&lt;=vivienda_dtiMax*AZ39),1,0)</f>
        <v/>
      </c>
      <c r="BB39" s="7">
        <f>MAX(AL39,BA39)</f>
        <v/>
      </c>
      <c r="BC39" s="7">
        <f>IF(BA39=1,A39,IF(6=0,"",BC38))</f>
        <v/>
      </c>
      <c r="BD39" s="7">
        <f>AK39-IF(BA39=1,AN39*AP39+AN39*vivienda_cierrePct,0)</f>
        <v/>
      </c>
      <c r="BE39" s="7">
        <f>IF(BA39=1,AN39,IF(6=0,0,BE38))</f>
        <v/>
      </c>
      <c r="BF39" s="7">
        <f>IF(BA39=1,AR39,IF(6=0,0,BF38))</f>
        <v/>
      </c>
      <c r="BG39" s="7">
        <f>IF(BA39=1,IF(AND(AO39=0,AP39&lt;0.2),1,0),IF(6=0,0,BY38))</f>
        <v/>
      </c>
      <c r="BH39" s="7">
        <f>IF(sel_cfg="casaAdu",1,0)</f>
        <v/>
      </c>
      <c r="BI39" s="7">
        <f>IF(AND(BB39=1,BH39=1,IF(6=0,0,BJ38)=0,A39&gt;=IF(BC39="",9999,BC39)+vivienda_aduRetrasoAnios),1,0)</f>
        <v/>
      </c>
      <c r="BJ39" s="7">
        <f>MAX(IF(6=0,0,BJ38),BI39)</f>
        <v/>
      </c>
      <c r="BK39" s="7">
        <f>IF(BI39=1,PMT((g_mortRate+0.005)/12,180,-loc_precio_aduCosto*C39),IF(6=0,0,BK38))</f>
        <v/>
      </c>
      <c r="BL39" s="7">
        <f>IF(BA39=1,AN39,IF(6=0,0,DT38))+IF(BI39=1,loc_precio_aduCosto*C39,0)</f>
        <v/>
      </c>
      <c r="BM39" s="7">
        <f>IF(BA39=1,AQ39,IF(6=0,0,DU38))</f>
        <v/>
      </c>
      <c r="BN39" s="7">
        <f>IF(BM39&lt;=0,0,FV(g_mortRate/12,12,BF39,-BM39))</f>
        <v/>
      </c>
      <c r="BO39" s="7">
        <f>IF(BM39&lt;=0,0,12*BF39+MIN(0,BN39))</f>
        <v/>
      </c>
      <c r="BP39" s="7">
        <f>MAX(0,BN39)</f>
        <v/>
      </c>
      <c r="BQ39" s="7">
        <f>IF(BI39=1,loc_precio_aduCosto*C39,IF(6=0,0,DV38))</f>
        <v/>
      </c>
      <c r="BR39" s="7">
        <f>IF(BQ39&lt;=0,0,FV((g_mortRate+0.005)/12,12,BK39,-BQ39))</f>
        <v/>
      </c>
      <c r="BS39" s="7">
        <f>IF(BQ39&lt;=0,0,12*BK39+MIN(0,BR39))</f>
        <v/>
      </c>
      <c r="BT39" s="7">
        <f>MAX(0,BR39)</f>
        <v/>
      </c>
      <c r="BU39" s="7">
        <f>IF(BB39=1,AM39*loc_seguroPct*(1+vivienda_inflacionSeguro)^(A39-2026)*IF(BJ39=1,1+loc_precio_aduCosto/AM39,1),0)</f>
        <v/>
      </c>
      <c r="BV39" s="7">
        <f>BL39*loc_impuestoPropPct</f>
        <v/>
      </c>
      <c r="BW39" s="7">
        <f>BL39*vivienda_mantenimientoPct</f>
        <v/>
      </c>
      <c r="BX39" s="7">
        <f>IF(AND(BG39=1,BP39&gt;0.8*BE39),BE39*(1-vivienda_enganchePct)*vivienda_pmiTasa,0)</f>
        <v/>
      </c>
      <c r="BY39" s="7">
        <f>IF(AND(BG39=1,BP39&gt;0.8*BE39),1,0)</f>
        <v/>
      </c>
      <c r="BZ39" s="7">
        <f>IF(BB39=1,AS39*loc_rentaUnidad*12*C39*(1-vivienda_vacancia)*(1-vivienda_gestionPct),0)</f>
        <v/>
      </c>
      <c r="CA39" s="7">
        <f>IF(BB39=1,BO39+BS39+BU39+BV39+BW39+BX39,loc_rentaMensual*12*C39)</f>
        <v/>
      </c>
      <c r="CB39" s="7">
        <f>IF(BB39=1,personal_aporteFamiliaMensual*12,0)</f>
        <v/>
      </c>
      <c r="CC39" s="7">
        <f>MIN(IF(6=0,personal_irsSaldo,CD38),personal_irsPagoMensual*12)</f>
        <v/>
      </c>
      <c r="CD39" s="7">
        <f>IF(6=0,personal_irsSaldo,CD38)-CC39</f>
        <v/>
      </c>
      <c r="CE39" s="7">
        <f>IF(6=0,IF(personal_deudaEsFederal=1,personal_deudaEstudiantil,0),DW38)</f>
        <v/>
      </c>
      <c r="CF39" s="7">
        <f>IF(6=0,personal_tasaDeudaEstudiantil,DX38)</f>
        <v/>
      </c>
      <c r="CG39" s="7">
        <f>IF(6=0,0,DY38)</f>
        <v/>
      </c>
      <c r="CH39" s="7">
        <f>IF(J39&gt;=0.5,1,0)</f>
        <v/>
      </c>
      <c r="CI39" s="7">
        <f>IF(AND(CH39=0,prestamos_pslfActivo=1,K39&gt;=0.5,CE39&gt;0),1,0)</f>
        <v/>
      </c>
      <c r="CJ39" s="7">
        <f>CE39*CF39</f>
        <v/>
      </c>
      <c r="CK39" s="7">
        <f>MAX(prestamos_rapPagoMinimoAnual,IF(Y39&lt;10000,0,MIN(0.1,INT(Y39/10000)/100))*Y39)</f>
        <v/>
      </c>
      <c r="CL39" s="7">
        <f>IF(CE39&lt;=0,0,IF(CH39=1,0,IF(CI39=1,MIN(CE39+CJ39,CK39),PMT(CF39,MAX(1,prestamos_plazoAnios-CG39),-CE39))))</f>
        <v/>
      </c>
      <c r="CM39" s="7">
        <f>IF(CE39&lt;=0,0,IF(CH39=1,CE39+CJ39,IF(CI39=1,MAX(0,CE39-MAX(CL39-CJ39,MIN(600,CL39))),MAX(0,CE39*(1+CF39)-CL39))))</f>
        <v/>
      </c>
      <c r="CN39" s="7">
        <f>IF(6=0,0,CN38)+IF(CI39=1,12*MIN(1,K39),0)</f>
        <v/>
      </c>
      <c r="CO39" s="7">
        <f>IF(AND(CI39=1,CN39&gt;=prestamos_pslfPagos,CM39&gt;0),CM39,0)</f>
        <v/>
      </c>
      <c r="CP39" s="7">
        <f>CM39-CO39</f>
        <v/>
      </c>
      <c r="CQ39" s="7">
        <f>IF(AND(CE39&gt;0,CH39=0,CI39=0),CG39+1,CG39)</f>
        <v/>
      </c>
      <c r="CR39" s="7">
        <f>IF(6=0,IF(personal_deudaEsFederal=1,0,personal_deudaEstudiantil),EA38)</f>
        <v/>
      </c>
      <c r="CS39" s="7">
        <f>IF(6=0,IF(personal_deudaEsFederal=1,prestamos_tasaPrivada,personal_tasaDeudaEstudiantil),EB38)</f>
        <v/>
      </c>
      <c r="CT39" s="7">
        <f>IF(6=0,0,EC38)</f>
        <v/>
      </c>
      <c r="CU39" s="7">
        <f>IF(OR(CR39&lt;=0,CH39=1),0,PMT(CS39,MAX(1,prestamos_plazoAnios-CT39),-CR39))</f>
        <v/>
      </c>
      <c r="CV39" s="7">
        <f>IF(CR39&lt;=0,0,IF(CH39=1,CR39*(1+CS39),MAX(0,CR39*(1+CS39)-CU39)))</f>
        <v/>
      </c>
      <c r="CW39" s="7">
        <f>IF(AND(CR39&gt;0,CH39=0),CT39+1,CT39)</f>
        <v/>
      </c>
      <c r="CX39" s="7">
        <f>IF(6=0,0,ED38)*(1+general_tasaDeudaConsumo)</f>
        <v/>
      </c>
      <c r="CY39" s="7">
        <f>L39*12*tiempos_travelGastoExtraMes*C39</f>
        <v/>
      </c>
      <c r="CZ39" s="7">
        <f>AJ39+CY39+CA39+CC39+CL39+CU39+I39+N39-BZ39-CB39</f>
        <v/>
      </c>
      <c r="DA39" s="7">
        <f>AH39-CZ39</f>
        <v/>
      </c>
      <c r="DB39" s="7">
        <f>IF(6=0,0,DB38)+DA39</f>
        <v/>
      </c>
      <c r="DC39" s="7">
        <f>AN39*vivienda_enganchePct+AN39*vivienda_cierrePct+general_reservaMeses/12*AJ39</f>
        <v/>
      </c>
      <c r="DD39" s="7">
        <f>IF(BB39=1,g_ret,IF(BD39&gt;0,MIN(1,DC39/BD39),1)*g_cash+(1-IF(BD39&gt;0,MIN(1,DC39/BD39),1))*g_ret)</f>
        <v/>
      </c>
      <c r="DE39" s="7">
        <f>IF(DA39&gt;=0,MIN(CX39,DA39),0)</f>
        <v/>
      </c>
      <c r="DF39" s="7">
        <f>IF(DA39&gt;=0,(1-general_tasaAhorro)*(DA39-DE39),0)</f>
        <v/>
      </c>
      <c r="DG39" s="7">
        <f>IF(DA39&gt;=0,DA39-DE39-DF39,0)</f>
        <v/>
      </c>
      <c r="DH39" s="7">
        <f>MIN(personal_rothAnual,DG39)</f>
        <v/>
      </c>
      <c r="DI39" s="7">
        <f>IF(AND(DA39&gt;=0,BB39=1,BP39+BT39&gt;0),MIN(vivienda_prepagoPct*(DG39-DH39),BP39+BT39),0)</f>
        <v/>
      </c>
      <c r="DJ39" s="7">
        <f>MIN(DI39,BP39)</f>
        <v/>
      </c>
      <c r="DK39" s="7">
        <f>IF(DA39&lt;0,MIN(MAX(0,BD39),-DA39),0)</f>
        <v/>
      </c>
      <c r="DL39" s="7">
        <f>IF(DA39&lt;0,-DA39-DK39,0)</f>
        <v/>
      </c>
      <c r="DM39" s="7">
        <f>IF(6=0,0,DZ38)</f>
        <v/>
      </c>
      <c r="DN39" s="7">
        <f>IF(AND(DL39&gt;0,J39&gt;0),MIN(DL39,MIN(prestamos_topeAnualPosgrado*MIN(1,J39),MAX(0,prestamos_topeTotalPosgrado-DM39))),0)</f>
        <v/>
      </c>
      <c r="DO39" s="7">
        <f>IF(AND(DL39&gt;0,J39&gt;0),DL39-DN39,0)</f>
        <v/>
      </c>
      <c r="DP39" s="7">
        <f>IF(AND(DL39&gt;0,J39&lt;=0),DL39,0)</f>
        <v/>
      </c>
      <c r="DQ39" s="7">
        <f>IF(DA39&gt;=0,DG39-DH39-DI39,-DK39)</f>
        <v/>
      </c>
      <c r="DR39" s="7">
        <f>BD39*(1+DD39)+DQ39*(1+DD39/2)</f>
        <v/>
      </c>
      <c r="DS39" s="7">
        <f>IF(6=0,personal_retiroInicial,DS38)*(1+g_ret)+(O39+P39+DH39)*(1+g_ret/2)</f>
        <v/>
      </c>
      <c r="DT39" s="7">
        <f>IF(BB39=1,BL39*(1+g_appr),0)</f>
        <v/>
      </c>
      <c r="DU39" s="7">
        <f>BP39-DJ39</f>
        <v/>
      </c>
      <c r="DV39" s="7">
        <f>BT39-(DI39-DJ39)</f>
        <v/>
      </c>
      <c r="DW39" s="7">
        <f>CP39+DN39</f>
        <v/>
      </c>
      <c r="DX39" s="7">
        <f>IF(DN39&gt;0,(CP39*CF39+DN39*prestamos_tasaFederalPosgrado)/(CP39+DN39),CF39)</f>
        <v/>
      </c>
      <c r="DY39" s="7">
        <f>IF(DN39&gt;0,0,CQ39)</f>
        <v/>
      </c>
      <c r="DZ39" s="7">
        <f>DM39+DN39</f>
        <v/>
      </c>
      <c r="EA39" s="7">
        <f>CV39+DO39</f>
        <v/>
      </c>
      <c r="EB39" s="7">
        <f>IF(DO39&gt;0,(CV39*CS39+DO39*prestamos_tasaPrivada)/(CV39+DO39),CS39)</f>
        <v/>
      </c>
      <c r="EC39" s="7">
        <f>IF(DO39&gt;0,0,CW39)</f>
        <v/>
      </c>
      <c r="ED39" s="7">
        <f>CX39-DE39+DP39</f>
        <v/>
      </c>
      <c r="EE39" s="7">
        <f>IF(IF(6=0,"",EE38)&lt;&gt;"",EE38,IF(AND(BB39=1,DU39&lt;=0.5,DV39&lt;=0.5,OR(BH39=0,BJ39=1)),A39,""))</f>
        <v/>
      </c>
      <c r="EF39" s="7">
        <f>DU39+DV39+DW39+EA39+ED39+CD39</f>
        <v/>
      </c>
      <c r="EG39" s="7">
        <f>DR39+DS39+DT39-EF39</f>
        <v/>
      </c>
      <c r="EH39" s="7">
        <f>EG39/(1+g_inf)^(A39+1-2026)</f>
        <v/>
      </c>
    </row>
    <row r="40">
      <c r="A40" t="n">
        <v>2034</v>
      </c>
      <c r="B40" t="n">
        <v>7</v>
      </c>
      <c r="C40" s="7">
        <f>(1+g_inf)^(A40-2026)</f>
        <v/>
      </c>
      <c r="D40" s="7">
        <f>SUMPRODUCT($AA$5:$AA$29,$E$5:$E$29*(1+$F$5:$F$29)^(A40-2026)*$G$5:$G$29*$H$5:$H$29*(1-$N$5:$N$29*$O$5:$O$29))*g_salMult+SUMPRODUCT(($B$5:$B$29&gt;=A40)*($B$5:$B$29&lt;A40+1)*$I$5:$I$29)*g_salMult</f>
        <v/>
      </c>
      <c r="E40" s="7">
        <f>SUMPRODUCT($AA$5:$AA$29,$E$5:$E$29*(1+$F$5:$F$29)^(A40-2026)*$G$5:$G$29*$H$5:$H$29*$M$5:$M$29)*g_salMult</f>
        <v/>
      </c>
      <c r="F40" s="7">
        <f>SUMPRODUCT($AA$5:$AA$29,$E$5:$E$29*(1+$F$5:$F$29)^(A40-2026)*$G$5:$G$29*$H$5:$H$29*$N$5:$N$29*$O$5:$O$29)*g_salMult</f>
        <v/>
      </c>
      <c r="G40" s="7">
        <f>SUMPRODUCT($AA$5:$AA$29,$P$5:$P$29*(1+$F$5:$F$29)^(A40-2026))</f>
        <v/>
      </c>
      <c r="H40" s="7">
        <f>SUMPRODUCT($AA$5:$AA$29,$Q$5:$Q$29*(1+$F$5:$F$29)^(A40-2026))+IF(personal_llcActivo=1,personal_llcNeto*(1+personal_llcCrecimiento)^7,0)</f>
        <v/>
      </c>
      <c r="I40" s="7">
        <f>SUMPRODUCT($AA$5:$AA$29,$J$5:$J$29/($C$5:$C$29-$B$5:$B$29+($C$5:$C$29=$B$5:$B$29)))*C40</f>
        <v/>
      </c>
      <c r="J40" s="7">
        <f>SUMPRODUCT($AA$5:$AA$29,$K$5:$K$29)</f>
        <v/>
      </c>
      <c r="K40" s="7">
        <f>SUMPRODUCT($AA$5:$AA$29,$L$5:$L$29)</f>
        <v/>
      </c>
      <c r="L40" s="7">
        <f>SUMPRODUCT($AA$5:$AA$29,$N$5:$N$29)</f>
        <v/>
      </c>
      <c r="M40" s="7">
        <f>IF(SUMPRODUCT($AA$5:$AA$29,$R$5:$R$29)&gt;0,1,0)</f>
        <v/>
      </c>
      <c r="N40" s="7">
        <f>SUMPRODUCT(($AO$5:$AO$24&gt;=A40)*($AO$5:$AO$24&lt;A40+1)*$AP$5:$AP$24)*C40+IF(7=0,IF(sel_loc&lt;&gt;"miami",personal_costoMudanzaInicial,0),0)</f>
        <v/>
      </c>
      <c r="O40" s="7">
        <f>MIN(personal_aporte403bPct*D40,retiro_limite403b*C40)</f>
        <v/>
      </c>
      <c r="P40" s="7">
        <f>MIN(personal_aporte403bPct,personal_match403bPct)*E40</f>
        <v/>
      </c>
      <c r="Q40" s="7">
        <f>IF(G40&gt;0,MAX(0,G40-impuestos_scorpCostoAnual*C40),0)</f>
        <v/>
      </c>
      <c r="R40" s="7">
        <f>Q40*impuestos_scorpSalarioPct/(1+impuestos_ssTasa+impuestos_medicareTasa)</f>
        <v/>
      </c>
      <c r="S40" s="7">
        <f>impuestos_ssTasa*MIN(R40,MAX(0,impuestos_ssTope*C40-D40))+impuestos_medicareTasa*R40</f>
        <v/>
      </c>
      <c r="T40" s="7">
        <f>Q40-R40-S40</f>
        <v/>
      </c>
      <c r="U40" s="7">
        <f>D40+R40</f>
        <v/>
      </c>
      <c r="V40" s="7">
        <f>H40*0.9235</f>
        <v/>
      </c>
      <c r="W40" s="7">
        <f>IF(H40&gt;0,2*impuestos_ssTasa*MIN(V40,MAX(0,impuestos_ssTope*C40-U40))+2*impuestos_medicareTasa*V40,0)</f>
        <v/>
      </c>
      <c r="X40" s="7">
        <f>impuestos_ssTasa*MIN(U40,impuestos_ssTope*C40)+impuestos_medicareTasa*U40+impuestos_medicareAdicional*MAX(0,U40+H40*0.9235-impuestos_medicareUmbral)</f>
        <v/>
      </c>
      <c r="Y40" s="7">
        <f>MAX(0,D40-O40+R40+T40+H40-W40/2)</f>
        <v/>
      </c>
      <c r="Z40" s="7">
        <f>MAX(0,Y40-impuestos_deduccionEstandar*C40)</f>
        <v/>
      </c>
      <c r="AA40" s="7">
        <f>MIN(0.2*MAX(0,T40+H40-W40/2)*MAX(0,MIN(1,1-(Z40-impuestos_qbiUmbral*C40)/(impuestos_qbiRango*C40))),0.2*Z40)</f>
        <v/>
      </c>
      <c r="AB40" s="7">
        <f>MAX(0,Z40-AA40)</f>
        <v/>
      </c>
      <c r="AC40" s="7">
        <f>SUMPRODUCT((AB40&gt;tb_federalBrackets_lo*C40)*(AB40-tb_federalBrackets_lo*C40)*tb_federalBrackets_dr)</f>
        <v/>
      </c>
      <c r="AD40" s="7">
        <f>MAX(0,Y40-impuestos_nyDeduccion*C40)</f>
        <v/>
      </c>
      <c r="AE40" s="7">
        <f>CHOOSE(loc_taxcode,0,impuestos_ohTasa*MAX(0,Y40-impuestos_ohExento*C40)+impuestos_ohMunicipal*U40,SUMPRODUCT((AD40&gt;tb_nyBrackets_lo*C40)*(AD40-tb_nyBrackets_lo*C40)*tb_nyBrackets_dr)+loc_nyc*SUMPRODUCT((AD40&gt;tb_nycBrackets_lo*C40)*(AD40-tb_nycBrackets_lo*C40)*tb_nycBrackets_dr))</f>
        <v/>
      </c>
      <c r="AF40" s="7">
        <f>AC40+AE40+X40+W40</f>
        <v/>
      </c>
      <c r="AG40" s="7">
        <f>D40+F40+R40+T40+H40</f>
        <v/>
      </c>
      <c r="AH40" s="7">
        <f>AG40-AF40-O40</f>
        <v/>
      </c>
      <c r="AI40" s="7">
        <f>D40+F40+G40+H40</f>
        <v/>
      </c>
      <c r="AJ40" s="7">
        <f>loc_gastosVida*C40*g_gastos</f>
        <v/>
      </c>
      <c r="AK40" s="7">
        <f>IF(7=0,personal_liquidoInicial,DR39)</f>
        <v/>
      </c>
      <c r="AL40" s="7">
        <f>IF(7=0,0,BB39)</f>
        <v/>
      </c>
      <c r="AM40" s="7">
        <f>CHOOSE(sel_cfgIdx,loc_precio_duplex,loc_precio_inlaw,loc_precio_dosCasas,loc_precio_casaAdu,loc_precio_multi)</f>
        <v/>
      </c>
      <c r="AN40" s="7">
        <f>AM40*(1+g_appr)^(A40-2026)</f>
        <v/>
      </c>
      <c r="AO40" s="7">
        <f>IF(AND(M40=1,vivienda_prestamoMedico=1),1,0)</f>
        <v/>
      </c>
      <c r="AP40" s="7">
        <f>IF(AO40=1,0.05,vivienda_enganchePct)</f>
        <v/>
      </c>
      <c r="AQ40" s="7">
        <f>AN40*(1-AP40)</f>
        <v/>
      </c>
      <c r="AR40" s="7">
        <f>PMT(g_mortRate/12,vivienda_plazoHipoteca*12,-AQ40)</f>
        <v/>
      </c>
      <c r="AS40" s="7">
        <f>INDEX(cfg_units,sel_cfgIdx)</f>
        <v/>
      </c>
      <c r="AT40" s="7">
        <f>AS40*loc_rentaUnidad*(1+g_inf)^(A40-2026)*(1-vivienda_vacancia)</f>
        <v/>
      </c>
      <c r="AU40" s="7">
        <f>AR40+AN40*loc_impuestoPropPct/12+AM40*loc_seguroPct*(1+vivienda_inflacionSeguro)^(A40-2026)/12+IF(AND(AO40=0,AP40&lt;0.2),AQ40*vivienda_pmiTasa/12,0)</f>
        <v/>
      </c>
      <c r="AV40" s="7">
        <f>AN40*AP40+AN40*vivienda_cierrePct+general_reservaMeses/12*AJ40</f>
        <v/>
      </c>
      <c r="AW40" s="7">
        <f>(IF(7=0,MIN(personal_irsSaldo,personal_irsPagoMensual*12),MIN(CD39,personal_irsPagoMensual*12))+IF(CE40&gt;0,PMT(CF40,MAX(1,prestamos_plazoAnios-CG40),-CE40),0)+IF(CR40&gt;0,PMT(CS40,MAX(1,prestamos_plazoAnios-CT40),-CR40),0))/12</f>
        <v/>
      </c>
      <c r="AX40" s="7">
        <f>IF(OR(sel_cfg="duplex",sel_cfg="multi",sel_cfg="dosCasas"),0.75*personal_aporteFamiliaMensual,0)</f>
        <v/>
      </c>
      <c r="AY40" s="7">
        <f>AU40-0.75*AT40-AX40+AW40</f>
        <v/>
      </c>
      <c r="AZ40" s="7">
        <f>(D40+G40+H40+0.5*F40)/12</f>
        <v/>
      </c>
      <c r="BA40" s="7">
        <f>IF(AND(AL40=0,A40&gt;=vivienda_anioMinCompra,J40&lt;0.5,AI40&gt;0,AK40&gt;=AV40,AY40&lt;=vivienda_dtiMax*AZ40),1,0)</f>
        <v/>
      </c>
      <c r="BB40" s="7">
        <f>MAX(AL40,BA40)</f>
        <v/>
      </c>
      <c r="BC40" s="7">
        <f>IF(BA40=1,A40,IF(7=0,"",BC39))</f>
        <v/>
      </c>
      <c r="BD40" s="7">
        <f>AK40-IF(BA40=1,AN40*AP40+AN40*vivienda_cierrePct,0)</f>
        <v/>
      </c>
      <c r="BE40" s="7">
        <f>IF(BA40=1,AN40,IF(7=0,0,BE39))</f>
        <v/>
      </c>
      <c r="BF40" s="7">
        <f>IF(BA40=1,AR40,IF(7=0,0,BF39))</f>
        <v/>
      </c>
      <c r="BG40" s="7">
        <f>IF(BA40=1,IF(AND(AO40=0,AP40&lt;0.2),1,0),IF(7=0,0,BY39))</f>
        <v/>
      </c>
      <c r="BH40" s="7">
        <f>IF(sel_cfg="casaAdu",1,0)</f>
        <v/>
      </c>
      <c r="BI40" s="7">
        <f>IF(AND(BB40=1,BH40=1,IF(7=0,0,BJ39)=0,A40&gt;=IF(BC40="",9999,BC40)+vivienda_aduRetrasoAnios),1,0)</f>
        <v/>
      </c>
      <c r="BJ40" s="7">
        <f>MAX(IF(7=0,0,BJ39),BI40)</f>
        <v/>
      </c>
      <c r="BK40" s="7">
        <f>IF(BI40=1,PMT((g_mortRate+0.005)/12,180,-loc_precio_aduCosto*C40),IF(7=0,0,BK39))</f>
        <v/>
      </c>
      <c r="BL40" s="7">
        <f>IF(BA40=1,AN40,IF(7=0,0,DT39))+IF(BI40=1,loc_precio_aduCosto*C40,0)</f>
        <v/>
      </c>
      <c r="BM40" s="7">
        <f>IF(BA40=1,AQ40,IF(7=0,0,DU39))</f>
        <v/>
      </c>
      <c r="BN40" s="7">
        <f>IF(BM40&lt;=0,0,FV(g_mortRate/12,12,BF40,-BM40))</f>
        <v/>
      </c>
      <c r="BO40" s="7">
        <f>IF(BM40&lt;=0,0,12*BF40+MIN(0,BN40))</f>
        <v/>
      </c>
      <c r="BP40" s="7">
        <f>MAX(0,BN40)</f>
        <v/>
      </c>
      <c r="BQ40" s="7">
        <f>IF(BI40=1,loc_precio_aduCosto*C40,IF(7=0,0,DV39))</f>
        <v/>
      </c>
      <c r="BR40" s="7">
        <f>IF(BQ40&lt;=0,0,FV((g_mortRate+0.005)/12,12,BK40,-BQ40))</f>
        <v/>
      </c>
      <c r="BS40" s="7">
        <f>IF(BQ40&lt;=0,0,12*BK40+MIN(0,BR40))</f>
        <v/>
      </c>
      <c r="BT40" s="7">
        <f>MAX(0,BR40)</f>
        <v/>
      </c>
      <c r="BU40" s="7">
        <f>IF(BB40=1,AM40*loc_seguroPct*(1+vivienda_inflacionSeguro)^(A40-2026)*IF(BJ40=1,1+loc_precio_aduCosto/AM40,1),0)</f>
        <v/>
      </c>
      <c r="BV40" s="7">
        <f>BL40*loc_impuestoPropPct</f>
        <v/>
      </c>
      <c r="BW40" s="7">
        <f>BL40*vivienda_mantenimientoPct</f>
        <v/>
      </c>
      <c r="BX40" s="7">
        <f>IF(AND(BG40=1,BP40&gt;0.8*BE40),BE40*(1-vivienda_enganchePct)*vivienda_pmiTasa,0)</f>
        <v/>
      </c>
      <c r="BY40" s="7">
        <f>IF(AND(BG40=1,BP40&gt;0.8*BE40),1,0)</f>
        <v/>
      </c>
      <c r="BZ40" s="7">
        <f>IF(BB40=1,AS40*loc_rentaUnidad*12*C40*(1-vivienda_vacancia)*(1-vivienda_gestionPct),0)</f>
        <v/>
      </c>
      <c r="CA40" s="7">
        <f>IF(BB40=1,BO40+BS40+BU40+BV40+BW40+BX40,loc_rentaMensual*12*C40)</f>
        <v/>
      </c>
      <c r="CB40" s="7">
        <f>IF(BB40=1,personal_aporteFamiliaMensual*12,0)</f>
        <v/>
      </c>
      <c r="CC40" s="7">
        <f>MIN(IF(7=0,personal_irsSaldo,CD39),personal_irsPagoMensual*12)</f>
        <v/>
      </c>
      <c r="CD40" s="7">
        <f>IF(7=0,personal_irsSaldo,CD39)-CC40</f>
        <v/>
      </c>
      <c r="CE40" s="7">
        <f>IF(7=0,IF(personal_deudaEsFederal=1,personal_deudaEstudiantil,0),DW39)</f>
        <v/>
      </c>
      <c r="CF40" s="7">
        <f>IF(7=0,personal_tasaDeudaEstudiantil,DX39)</f>
        <v/>
      </c>
      <c r="CG40" s="7">
        <f>IF(7=0,0,DY39)</f>
        <v/>
      </c>
      <c r="CH40" s="7">
        <f>IF(J40&gt;=0.5,1,0)</f>
        <v/>
      </c>
      <c r="CI40" s="7">
        <f>IF(AND(CH40=0,prestamos_pslfActivo=1,K40&gt;=0.5,CE40&gt;0),1,0)</f>
        <v/>
      </c>
      <c r="CJ40" s="7">
        <f>CE40*CF40</f>
        <v/>
      </c>
      <c r="CK40" s="7">
        <f>MAX(prestamos_rapPagoMinimoAnual,IF(Y40&lt;10000,0,MIN(0.1,INT(Y40/10000)/100))*Y40)</f>
        <v/>
      </c>
      <c r="CL40" s="7">
        <f>IF(CE40&lt;=0,0,IF(CH40=1,0,IF(CI40=1,MIN(CE40+CJ40,CK40),PMT(CF40,MAX(1,prestamos_plazoAnios-CG40),-CE40))))</f>
        <v/>
      </c>
      <c r="CM40" s="7">
        <f>IF(CE40&lt;=0,0,IF(CH40=1,CE40+CJ40,IF(CI40=1,MAX(0,CE40-MAX(CL40-CJ40,MIN(600,CL40))),MAX(0,CE40*(1+CF40)-CL40))))</f>
        <v/>
      </c>
      <c r="CN40" s="7">
        <f>IF(7=0,0,CN39)+IF(CI40=1,12*MIN(1,K40),0)</f>
        <v/>
      </c>
      <c r="CO40" s="7">
        <f>IF(AND(CI40=1,CN40&gt;=prestamos_pslfPagos,CM40&gt;0),CM40,0)</f>
        <v/>
      </c>
      <c r="CP40" s="7">
        <f>CM40-CO40</f>
        <v/>
      </c>
      <c r="CQ40" s="7">
        <f>IF(AND(CE40&gt;0,CH40=0,CI40=0),CG40+1,CG40)</f>
        <v/>
      </c>
      <c r="CR40" s="7">
        <f>IF(7=0,IF(personal_deudaEsFederal=1,0,personal_deudaEstudiantil),EA39)</f>
        <v/>
      </c>
      <c r="CS40" s="7">
        <f>IF(7=0,IF(personal_deudaEsFederal=1,prestamos_tasaPrivada,personal_tasaDeudaEstudiantil),EB39)</f>
        <v/>
      </c>
      <c r="CT40" s="7">
        <f>IF(7=0,0,EC39)</f>
        <v/>
      </c>
      <c r="CU40" s="7">
        <f>IF(OR(CR40&lt;=0,CH40=1),0,PMT(CS40,MAX(1,prestamos_plazoAnios-CT40),-CR40))</f>
        <v/>
      </c>
      <c r="CV40" s="7">
        <f>IF(CR40&lt;=0,0,IF(CH40=1,CR40*(1+CS40),MAX(0,CR40*(1+CS40)-CU40)))</f>
        <v/>
      </c>
      <c r="CW40" s="7">
        <f>IF(AND(CR40&gt;0,CH40=0),CT40+1,CT40)</f>
        <v/>
      </c>
      <c r="CX40" s="7">
        <f>IF(7=0,0,ED39)*(1+general_tasaDeudaConsumo)</f>
        <v/>
      </c>
      <c r="CY40" s="7">
        <f>L40*12*tiempos_travelGastoExtraMes*C40</f>
        <v/>
      </c>
      <c r="CZ40" s="7">
        <f>AJ40+CY40+CA40+CC40+CL40+CU40+I40+N40-BZ40-CB40</f>
        <v/>
      </c>
      <c r="DA40" s="7">
        <f>AH40-CZ40</f>
        <v/>
      </c>
      <c r="DB40" s="7">
        <f>IF(7=0,0,DB39)+DA40</f>
        <v/>
      </c>
      <c r="DC40" s="7">
        <f>AN40*vivienda_enganchePct+AN40*vivienda_cierrePct+general_reservaMeses/12*AJ40</f>
        <v/>
      </c>
      <c r="DD40" s="7">
        <f>IF(BB40=1,g_ret,IF(BD40&gt;0,MIN(1,DC40/BD40),1)*g_cash+(1-IF(BD40&gt;0,MIN(1,DC40/BD40),1))*g_ret)</f>
        <v/>
      </c>
      <c r="DE40" s="7">
        <f>IF(DA40&gt;=0,MIN(CX40,DA40),0)</f>
        <v/>
      </c>
      <c r="DF40" s="7">
        <f>IF(DA40&gt;=0,(1-general_tasaAhorro)*(DA40-DE40),0)</f>
        <v/>
      </c>
      <c r="DG40" s="7">
        <f>IF(DA40&gt;=0,DA40-DE40-DF40,0)</f>
        <v/>
      </c>
      <c r="DH40" s="7">
        <f>MIN(personal_rothAnual,DG40)</f>
        <v/>
      </c>
      <c r="DI40" s="7">
        <f>IF(AND(DA40&gt;=0,BB40=1,BP40+BT40&gt;0),MIN(vivienda_prepagoPct*(DG40-DH40),BP40+BT40),0)</f>
        <v/>
      </c>
      <c r="DJ40" s="7">
        <f>MIN(DI40,BP40)</f>
        <v/>
      </c>
      <c r="DK40" s="7">
        <f>IF(DA40&lt;0,MIN(MAX(0,BD40),-DA40),0)</f>
        <v/>
      </c>
      <c r="DL40" s="7">
        <f>IF(DA40&lt;0,-DA40-DK40,0)</f>
        <v/>
      </c>
      <c r="DM40" s="7">
        <f>IF(7=0,0,DZ39)</f>
        <v/>
      </c>
      <c r="DN40" s="7">
        <f>IF(AND(DL40&gt;0,J40&gt;0),MIN(DL40,MIN(prestamos_topeAnualPosgrado*MIN(1,J40),MAX(0,prestamos_topeTotalPosgrado-DM40))),0)</f>
        <v/>
      </c>
      <c r="DO40" s="7">
        <f>IF(AND(DL40&gt;0,J40&gt;0),DL40-DN40,0)</f>
        <v/>
      </c>
      <c r="DP40" s="7">
        <f>IF(AND(DL40&gt;0,J40&lt;=0),DL40,0)</f>
        <v/>
      </c>
      <c r="DQ40" s="7">
        <f>IF(DA40&gt;=0,DG40-DH40-DI40,-DK40)</f>
        <v/>
      </c>
      <c r="DR40" s="7">
        <f>BD40*(1+DD40)+DQ40*(1+DD40/2)</f>
        <v/>
      </c>
      <c r="DS40" s="7">
        <f>IF(7=0,personal_retiroInicial,DS39)*(1+g_ret)+(O40+P40+DH40)*(1+g_ret/2)</f>
        <v/>
      </c>
      <c r="DT40" s="7">
        <f>IF(BB40=1,BL40*(1+g_appr),0)</f>
        <v/>
      </c>
      <c r="DU40" s="7">
        <f>BP40-DJ40</f>
        <v/>
      </c>
      <c r="DV40" s="7">
        <f>BT40-(DI40-DJ40)</f>
        <v/>
      </c>
      <c r="DW40" s="7">
        <f>CP40+DN40</f>
        <v/>
      </c>
      <c r="DX40" s="7">
        <f>IF(DN40&gt;0,(CP40*CF40+DN40*prestamos_tasaFederalPosgrado)/(CP40+DN40),CF40)</f>
        <v/>
      </c>
      <c r="DY40" s="7">
        <f>IF(DN40&gt;0,0,CQ40)</f>
        <v/>
      </c>
      <c r="DZ40" s="7">
        <f>DM40+DN40</f>
        <v/>
      </c>
      <c r="EA40" s="7">
        <f>CV40+DO40</f>
        <v/>
      </c>
      <c r="EB40" s="7">
        <f>IF(DO40&gt;0,(CV40*CS40+DO40*prestamos_tasaPrivada)/(CV40+DO40),CS40)</f>
        <v/>
      </c>
      <c r="EC40" s="7">
        <f>IF(DO40&gt;0,0,CW40)</f>
        <v/>
      </c>
      <c r="ED40" s="7">
        <f>CX40-DE40+DP40</f>
        <v/>
      </c>
      <c r="EE40" s="7">
        <f>IF(IF(7=0,"",EE39)&lt;&gt;"",EE39,IF(AND(BB40=1,DU40&lt;=0.5,DV40&lt;=0.5,OR(BH40=0,BJ40=1)),A40,""))</f>
        <v/>
      </c>
      <c r="EF40" s="7">
        <f>DU40+DV40+DW40+EA40+ED40+CD40</f>
        <v/>
      </c>
      <c r="EG40" s="7">
        <f>DR40+DS40+DT40-EF40</f>
        <v/>
      </c>
      <c r="EH40" s="7">
        <f>EG40/(1+g_inf)^(A40+1-2026)</f>
        <v/>
      </c>
    </row>
    <row r="41">
      <c r="A41" t="n">
        <v>2035</v>
      </c>
      <c r="B41" t="n">
        <v>8</v>
      </c>
      <c r="C41" s="7">
        <f>(1+g_inf)^(A41-2026)</f>
        <v/>
      </c>
      <c r="D41" s="7">
        <f>SUMPRODUCT($AB$5:$AB$29,$E$5:$E$29*(1+$F$5:$F$29)^(A41-2026)*$G$5:$G$29*$H$5:$H$29*(1-$N$5:$N$29*$O$5:$O$29))*g_salMult+SUMPRODUCT(($B$5:$B$29&gt;=A41)*($B$5:$B$29&lt;A41+1)*$I$5:$I$29)*g_salMult</f>
        <v/>
      </c>
      <c r="E41" s="7">
        <f>SUMPRODUCT($AB$5:$AB$29,$E$5:$E$29*(1+$F$5:$F$29)^(A41-2026)*$G$5:$G$29*$H$5:$H$29*$M$5:$M$29)*g_salMult</f>
        <v/>
      </c>
      <c r="F41" s="7">
        <f>SUMPRODUCT($AB$5:$AB$29,$E$5:$E$29*(1+$F$5:$F$29)^(A41-2026)*$G$5:$G$29*$H$5:$H$29*$N$5:$N$29*$O$5:$O$29)*g_salMult</f>
        <v/>
      </c>
      <c r="G41" s="7">
        <f>SUMPRODUCT($AB$5:$AB$29,$P$5:$P$29*(1+$F$5:$F$29)^(A41-2026))</f>
        <v/>
      </c>
      <c r="H41" s="7">
        <f>SUMPRODUCT($AB$5:$AB$29,$Q$5:$Q$29*(1+$F$5:$F$29)^(A41-2026))+IF(personal_llcActivo=1,personal_llcNeto*(1+personal_llcCrecimiento)^8,0)</f>
        <v/>
      </c>
      <c r="I41" s="7">
        <f>SUMPRODUCT($AB$5:$AB$29,$J$5:$J$29/($C$5:$C$29-$B$5:$B$29+($C$5:$C$29=$B$5:$B$29)))*C41</f>
        <v/>
      </c>
      <c r="J41" s="7">
        <f>SUMPRODUCT($AB$5:$AB$29,$K$5:$K$29)</f>
        <v/>
      </c>
      <c r="K41" s="7">
        <f>SUMPRODUCT($AB$5:$AB$29,$L$5:$L$29)</f>
        <v/>
      </c>
      <c r="L41" s="7">
        <f>SUMPRODUCT($AB$5:$AB$29,$N$5:$N$29)</f>
        <v/>
      </c>
      <c r="M41" s="7">
        <f>IF(SUMPRODUCT($AB$5:$AB$29,$R$5:$R$29)&gt;0,1,0)</f>
        <v/>
      </c>
      <c r="N41" s="7">
        <f>SUMPRODUCT(($AO$5:$AO$24&gt;=A41)*($AO$5:$AO$24&lt;A41+1)*$AP$5:$AP$24)*C41+IF(8=0,IF(sel_loc&lt;&gt;"miami",personal_costoMudanzaInicial,0),0)</f>
        <v/>
      </c>
      <c r="O41" s="7">
        <f>MIN(personal_aporte403bPct*D41,retiro_limite403b*C41)</f>
        <v/>
      </c>
      <c r="P41" s="7">
        <f>MIN(personal_aporte403bPct,personal_match403bPct)*E41</f>
        <v/>
      </c>
      <c r="Q41" s="7">
        <f>IF(G41&gt;0,MAX(0,G41-impuestos_scorpCostoAnual*C41),0)</f>
        <v/>
      </c>
      <c r="R41" s="7">
        <f>Q41*impuestos_scorpSalarioPct/(1+impuestos_ssTasa+impuestos_medicareTasa)</f>
        <v/>
      </c>
      <c r="S41" s="7">
        <f>impuestos_ssTasa*MIN(R41,MAX(0,impuestos_ssTope*C41-D41))+impuestos_medicareTasa*R41</f>
        <v/>
      </c>
      <c r="T41" s="7">
        <f>Q41-R41-S41</f>
        <v/>
      </c>
      <c r="U41" s="7">
        <f>D41+R41</f>
        <v/>
      </c>
      <c r="V41" s="7">
        <f>H41*0.9235</f>
        <v/>
      </c>
      <c r="W41" s="7">
        <f>IF(H41&gt;0,2*impuestos_ssTasa*MIN(V41,MAX(0,impuestos_ssTope*C41-U41))+2*impuestos_medicareTasa*V41,0)</f>
        <v/>
      </c>
      <c r="X41" s="7">
        <f>impuestos_ssTasa*MIN(U41,impuestos_ssTope*C41)+impuestos_medicareTasa*U41+impuestos_medicareAdicional*MAX(0,U41+H41*0.9235-impuestos_medicareUmbral)</f>
        <v/>
      </c>
      <c r="Y41" s="7">
        <f>MAX(0,D41-O41+R41+T41+H41-W41/2)</f>
        <v/>
      </c>
      <c r="Z41" s="7">
        <f>MAX(0,Y41-impuestos_deduccionEstandar*C41)</f>
        <v/>
      </c>
      <c r="AA41" s="7">
        <f>MIN(0.2*MAX(0,T41+H41-W41/2)*MAX(0,MIN(1,1-(Z41-impuestos_qbiUmbral*C41)/(impuestos_qbiRango*C41))),0.2*Z41)</f>
        <v/>
      </c>
      <c r="AB41" s="7">
        <f>MAX(0,Z41-AA41)</f>
        <v/>
      </c>
      <c r="AC41" s="7">
        <f>SUMPRODUCT((AB41&gt;tb_federalBrackets_lo*C41)*(AB41-tb_federalBrackets_lo*C41)*tb_federalBrackets_dr)</f>
        <v/>
      </c>
      <c r="AD41" s="7">
        <f>MAX(0,Y41-impuestos_nyDeduccion*C41)</f>
        <v/>
      </c>
      <c r="AE41" s="7">
        <f>CHOOSE(loc_taxcode,0,impuestos_ohTasa*MAX(0,Y41-impuestos_ohExento*C41)+impuestos_ohMunicipal*U41,SUMPRODUCT((AD41&gt;tb_nyBrackets_lo*C41)*(AD41-tb_nyBrackets_lo*C41)*tb_nyBrackets_dr)+loc_nyc*SUMPRODUCT((AD41&gt;tb_nycBrackets_lo*C41)*(AD41-tb_nycBrackets_lo*C41)*tb_nycBrackets_dr))</f>
        <v/>
      </c>
      <c r="AF41" s="7">
        <f>AC41+AE41+X41+W41</f>
        <v/>
      </c>
      <c r="AG41" s="7">
        <f>D41+F41+R41+T41+H41</f>
        <v/>
      </c>
      <c r="AH41" s="7">
        <f>AG41-AF41-O41</f>
        <v/>
      </c>
      <c r="AI41" s="7">
        <f>D41+F41+G41+H41</f>
        <v/>
      </c>
      <c r="AJ41" s="7">
        <f>loc_gastosVida*C41*g_gastos</f>
        <v/>
      </c>
      <c r="AK41" s="7">
        <f>IF(8=0,personal_liquidoInicial,DR40)</f>
        <v/>
      </c>
      <c r="AL41" s="7">
        <f>IF(8=0,0,BB40)</f>
        <v/>
      </c>
      <c r="AM41" s="7">
        <f>CHOOSE(sel_cfgIdx,loc_precio_duplex,loc_precio_inlaw,loc_precio_dosCasas,loc_precio_casaAdu,loc_precio_multi)</f>
        <v/>
      </c>
      <c r="AN41" s="7">
        <f>AM41*(1+g_appr)^(A41-2026)</f>
        <v/>
      </c>
      <c r="AO41" s="7">
        <f>IF(AND(M41=1,vivienda_prestamoMedico=1),1,0)</f>
        <v/>
      </c>
      <c r="AP41" s="7">
        <f>IF(AO41=1,0.05,vivienda_enganchePct)</f>
        <v/>
      </c>
      <c r="AQ41" s="7">
        <f>AN41*(1-AP41)</f>
        <v/>
      </c>
      <c r="AR41" s="7">
        <f>PMT(g_mortRate/12,vivienda_plazoHipoteca*12,-AQ41)</f>
        <v/>
      </c>
      <c r="AS41" s="7">
        <f>INDEX(cfg_units,sel_cfgIdx)</f>
        <v/>
      </c>
      <c r="AT41" s="7">
        <f>AS41*loc_rentaUnidad*(1+g_inf)^(A41-2026)*(1-vivienda_vacancia)</f>
        <v/>
      </c>
      <c r="AU41" s="7">
        <f>AR41+AN41*loc_impuestoPropPct/12+AM41*loc_seguroPct*(1+vivienda_inflacionSeguro)^(A41-2026)/12+IF(AND(AO41=0,AP41&lt;0.2),AQ41*vivienda_pmiTasa/12,0)</f>
        <v/>
      </c>
      <c r="AV41" s="7">
        <f>AN41*AP41+AN41*vivienda_cierrePct+general_reservaMeses/12*AJ41</f>
        <v/>
      </c>
      <c r="AW41" s="7">
        <f>(IF(8=0,MIN(personal_irsSaldo,personal_irsPagoMensual*12),MIN(CD40,personal_irsPagoMensual*12))+IF(CE41&gt;0,PMT(CF41,MAX(1,prestamos_plazoAnios-CG41),-CE41),0)+IF(CR41&gt;0,PMT(CS41,MAX(1,prestamos_plazoAnios-CT41),-CR41),0))/12</f>
        <v/>
      </c>
      <c r="AX41" s="7">
        <f>IF(OR(sel_cfg="duplex",sel_cfg="multi",sel_cfg="dosCasas"),0.75*personal_aporteFamiliaMensual,0)</f>
        <v/>
      </c>
      <c r="AY41" s="7">
        <f>AU41-0.75*AT41-AX41+AW41</f>
        <v/>
      </c>
      <c r="AZ41" s="7">
        <f>(D41+G41+H41+0.5*F41)/12</f>
        <v/>
      </c>
      <c r="BA41" s="7">
        <f>IF(AND(AL41=0,A41&gt;=vivienda_anioMinCompra,J41&lt;0.5,AI41&gt;0,AK41&gt;=AV41,AY41&lt;=vivienda_dtiMax*AZ41),1,0)</f>
        <v/>
      </c>
      <c r="BB41" s="7">
        <f>MAX(AL41,BA41)</f>
        <v/>
      </c>
      <c r="BC41" s="7">
        <f>IF(BA41=1,A41,IF(8=0,"",BC40))</f>
        <v/>
      </c>
      <c r="BD41" s="7">
        <f>AK41-IF(BA41=1,AN41*AP41+AN41*vivienda_cierrePct,0)</f>
        <v/>
      </c>
      <c r="BE41" s="7">
        <f>IF(BA41=1,AN41,IF(8=0,0,BE40))</f>
        <v/>
      </c>
      <c r="BF41" s="7">
        <f>IF(BA41=1,AR41,IF(8=0,0,BF40))</f>
        <v/>
      </c>
      <c r="BG41" s="7">
        <f>IF(BA41=1,IF(AND(AO41=0,AP41&lt;0.2),1,0),IF(8=0,0,BY40))</f>
        <v/>
      </c>
      <c r="BH41" s="7">
        <f>IF(sel_cfg="casaAdu",1,0)</f>
        <v/>
      </c>
      <c r="BI41" s="7">
        <f>IF(AND(BB41=1,BH41=1,IF(8=0,0,BJ40)=0,A41&gt;=IF(BC41="",9999,BC41)+vivienda_aduRetrasoAnios),1,0)</f>
        <v/>
      </c>
      <c r="BJ41" s="7">
        <f>MAX(IF(8=0,0,BJ40),BI41)</f>
        <v/>
      </c>
      <c r="BK41" s="7">
        <f>IF(BI41=1,PMT((g_mortRate+0.005)/12,180,-loc_precio_aduCosto*C41),IF(8=0,0,BK40))</f>
        <v/>
      </c>
      <c r="BL41" s="7">
        <f>IF(BA41=1,AN41,IF(8=0,0,DT40))+IF(BI41=1,loc_precio_aduCosto*C41,0)</f>
        <v/>
      </c>
      <c r="BM41" s="7">
        <f>IF(BA41=1,AQ41,IF(8=0,0,DU40))</f>
        <v/>
      </c>
      <c r="BN41" s="7">
        <f>IF(BM41&lt;=0,0,FV(g_mortRate/12,12,BF41,-BM41))</f>
        <v/>
      </c>
      <c r="BO41" s="7">
        <f>IF(BM41&lt;=0,0,12*BF41+MIN(0,BN41))</f>
        <v/>
      </c>
      <c r="BP41" s="7">
        <f>MAX(0,BN41)</f>
        <v/>
      </c>
      <c r="BQ41" s="7">
        <f>IF(BI41=1,loc_precio_aduCosto*C41,IF(8=0,0,DV40))</f>
        <v/>
      </c>
      <c r="BR41" s="7">
        <f>IF(BQ41&lt;=0,0,FV((g_mortRate+0.005)/12,12,BK41,-BQ41))</f>
        <v/>
      </c>
      <c r="BS41" s="7">
        <f>IF(BQ41&lt;=0,0,12*BK41+MIN(0,BR41))</f>
        <v/>
      </c>
      <c r="BT41" s="7">
        <f>MAX(0,BR41)</f>
        <v/>
      </c>
      <c r="BU41" s="7">
        <f>IF(BB41=1,AM41*loc_seguroPct*(1+vivienda_inflacionSeguro)^(A41-2026)*IF(BJ41=1,1+loc_precio_aduCosto/AM41,1),0)</f>
        <v/>
      </c>
      <c r="BV41" s="7">
        <f>BL41*loc_impuestoPropPct</f>
        <v/>
      </c>
      <c r="BW41" s="7">
        <f>BL41*vivienda_mantenimientoPct</f>
        <v/>
      </c>
      <c r="BX41" s="7">
        <f>IF(AND(BG41=1,BP41&gt;0.8*BE41),BE41*(1-vivienda_enganchePct)*vivienda_pmiTasa,0)</f>
        <v/>
      </c>
      <c r="BY41" s="7">
        <f>IF(AND(BG41=1,BP41&gt;0.8*BE41),1,0)</f>
        <v/>
      </c>
      <c r="BZ41" s="7">
        <f>IF(BB41=1,AS41*loc_rentaUnidad*12*C41*(1-vivienda_vacancia)*(1-vivienda_gestionPct),0)</f>
        <v/>
      </c>
      <c r="CA41" s="7">
        <f>IF(BB41=1,BO41+BS41+BU41+BV41+BW41+BX41,loc_rentaMensual*12*C41)</f>
        <v/>
      </c>
      <c r="CB41" s="7">
        <f>IF(BB41=1,personal_aporteFamiliaMensual*12,0)</f>
        <v/>
      </c>
      <c r="CC41" s="7">
        <f>MIN(IF(8=0,personal_irsSaldo,CD40),personal_irsPagoMensual*12)</f>
        <v/>
      </c>
      <c r="CD41" s="7">
        <f>IF(8=0,personal_irsSaldo,CD40)-CC41</f>
        <v/>
      </c>
      <c r="CE41" s="7">
        <f>IF(8=0,IF(personal_deudaEsFederal=1,personal_deudaEstudiantil,0),DW40)</f>
        <v/>
      </c>
      <c r="CF41" s="7">
        <f>IF(8=0,personal_tasaDeudaEstudiantil,DX40)</f>
        <v/>
      </c>
      <c r="CG41" s="7">
        <f>IF(8=0,0,DY40)</f>
        <v/>
      </c>
      <c r="CH41" s="7">
        <f>IF(J41&gt;=0.5,1,0)</f>
        <v/>
      </c>
      <c r="CI41" s="7">
        <f>IF(AND(CH41=0,prestamos_pslfActivo=1,K41&gt;=0.5,CE41&gt;0),1,0)</f>
        <v/>
      </c>
      <c r="CJ41" s="7">
        <f>CE41*CF41</f>
        <v/>
      </c>
      <c r="CK41" s="7">
        <f>MAX(prestamos_rapPagoMinimoAnual,IF(Y41&lt;10000,0,MIN(0.1,INT(Y41/10000)/100))*Y41)</f>
        <v/>
      </c>
      <c r="CL41" s="7">
        <f>IF(CE41&lt;=0,0,IF(CH41=1,0,IF(CI41=1,MIN(CE41+CJ41,CK41),PMT(CF41,MAX(1,prestamos_plazoAnios-CG41),-CE41))))</f>
        <v/>
      </c>
      <c r="CM41" s="7">
        <f>IF(CE41&lt;=0,0,IF(CH41=1,CE41+CJ41,IF(CI41=1,MAX(0,CE41-MAX(CL41-CJ41,MIN(600,CL41))),MAX(0,CE41*(1+CF41)-CL41))))</f>
        <v/>
      </c>
      <c r="CN41" s="7">
        <f>IF(8=0,0,CN40)+IF(CI41=1,12*MIN(1,K41),0)</f>
        <v/>
      </c>
      <c r="CO41" s="7">
        <f>IF(AND(CI41=1,CN41&gt;=prestamos_pslfPagos,CM41&gt;0),CM41,0)</f>
        <v/>
      </c>
      <c r="CP41" s="7">
        <f>CM41-CO41</f>
        <v/>
      </c>
      <c r="CQ41" s="7">
        <f>IF(AND(CE41&gt;0,CH41=0,CI41=0),CG41+1,CG41)</f>
        <v/>
      </c>
      <c r="CR41" s="7">
        <f>IF(8=0,IF(personal_deudaEsFederal=1,0,personal_deudaEstudiantil),EA40)</f>
        <v/>
      </c>
      <c r="CS41" s="7">
        <f>IF(8=0,IF(personal_deudaEsFederal=1,prestamos_tasaPrivada,personal_tasaDeudaEstudiantil),EB40)</f>
        <v/>
      </c>
      <c r="CT41" s="7">
        <f>IF(8=0,0,EC40)</f>
        <v/>
      </c>
      <c r="CU41" s="7">
        <f>IF(OR(CR41&lt;=0,CH41=1),0,PMT(CS41,MAX(1,prestamos_plazoAnios-CT41),-CR41))</f>
        <v/>
      </c>
      <c r="CV41" s="7">
        <f>IF(CR41&lt;=0,0,IF(CH41=1,CR41*(1+CS41),MAX(0,CR41*(1+CS41)-CU41)))</f>
        <v/>
      </c>
      <c r="CW41" s="7">
        <f>IF(AND(CR41&gt;0,CH41=0),CT41+1,CT41)</f>
        <v/>
      </c>
      <c r="CX41" s="7">
        <f>IF(8=0,0,ED40)*(1+general_tasaDeudaConsumo)</f>
        <v/>
      </c>
      <c r="CY41" s="7">
        <f>L41*12*tiempos_travelGastoExtraMes*C41</f>
        <v/>
      </c>
      <c r="CZ41" s="7">
        <f>AJ41+CY41+CA41+CC41+CL41+CU41+I41+N41-BZ41-CB41</f>
        <v/>
      </c>
      <c r="DA41" s="7">
        <f>AH41-CZ41</f>
        <v/>
      </c>
      <c r="DB41" s="7">
        <f>IF(8=0,0,DB40)+DA41</f>
        <v/>
      </c>
      <c r="DC41" s="7">
        <f>AN41*vivienda_enganchePct+AN41*vivienda_cierrePct+general_reservaMeses/12*AJ41</f>
        <v/>
      </c>
      <c r="DD41" s="7">
        <f>IF(BB41=1,g_ret,IF(BD41&gt;0,MIN(1,DC41/BD41),1)*g_cash+(1-IF(BD41&gt;0,MIN(1,DC41/BD41),1))*g_ret)</f>
        <v/>
      </c>
      <c r="DE41" s="7">
        <f>IF(DA41&gt;=0,MIN(CX41,DA41),0)</f>
        <v/>
      </c>
      <c r="DF41" s="7">
        <f>IF(DA41&gt;=0,(1-general_tasaAhorro)*(DA41-DE41),0)</f>
        <v/>
      </c>
      <c r="DG41" s="7">
        <f>IF(DA41&gt;=0,DA41-DE41-DF41,0)</f>
        <v/>
      </c>
      <c r="DH41" s="7">
        <f>MIN(personal_rothAnual,DG41)</f>
        <v/>
      </c>
      <c r="DI41" s="7">
        <f>IF(AND(DA41&gt;=0,BB41=1,BP41+BT41&gt;0),MIN(vivienda_prepagoPct*(DG41-DH41),BP41+BT41),0)</f>
        <v/>
      </c>
      <c r="DJ41" s="7">
        <f>MIN(DI41,BP41)</f>
        <v/>
      </c>
      <c r="DK41" s="7">
        <f>IF(DA41&lt;0,MIN(MAX(0,BD41),-DA41),0)</f>
        <v/>
      </c>
      <c r="DL41" s="7">
        <f>IF(DA41&lt;0,-DA41-DK41,0)</f>
        <v/>
      </c>
      <c r="DM41" s="7">
        <f>IF(8=0,0,DZ40)</f>
        <v/>
      </c>
      <c r="DN41" s="7">
        <f>IF(AND(DL41&gt;0,J41&gt;0),MIN(DL41,MIN(prestamos_topeAnualPosgrado*MIN(1,J41),MAX(0,prestamos_topeTotalPosgrado-DM41))),0)</f>
        <v/>
      </c>
      <c r="DO41" s="7">
        <f>IF(AND(DL41&gt;0,J41&gt;0),DL41-DN41,0)</f>
        <v/>
      </c>
      <c r="DP41" s="7">
        <f>IF(AND(DL41&gt;0,J41&lt;=0),DL41,0)</f>
        <v/>
      </c>
      <c r="DQ41" s="7">
        <f>IF(DA41&gt;=0,DG41-DH41-DI41,-DK41)</f>
        <v/>
      </c>
      <c r="DR41" s="7">
        <f>BD41*(1+DD41)+DQ41*(1+DD41/2)</f>
        <v/>
      </c>
      <c r="DS41" s="7">
        <f>IF(8=0,personal_retiroInicial,DS40)*(1+g_ret)+(O41+P41+DH41)*(1+g_ret/2)</f>
        <v/>
      </c>
      <c r="DT41" s="7">
        <f>IF(BB41=1,BL41*(1+g_appr),0)</f>
        <v/>
      </c>
      <c r="DU41" s="7">
        <f>BP41-DJ41</f>
        <v/>
      </c>
      <c r="DV41" s="7">
        <f>BT41-(DI41-DJ41)</f>
        <v/>
      </c>
      <c r="DW41" s="7">
        <f>CP41+DN41</f>
        <v/>
      </c>
      <c r="DX41" s="7">
        <f>IF(DN41&gt;0,(CP41*CF41+DN41*prestamos_tasaFederalPosgrado)/(CP41+DN41),CF41)</f>
        <v/>
      </c>
      <c r="DY41" s="7">
        <f>IF(DN41&gt;0,0,CQ41)</f>
        <v/>
      </c>
      <c r="DZ41" s="7">
        <f>DM41+DN41</f>
        <v/>
      </c>
      <c r="EA41" s="7">
        <f>CV41+DO41</f>
        <v/>
      </c>
      <c r="EB41" s="7">
        <f>IF(DO41&gt;0,(CV41*CS41+DO41*prestamos_tasaPrivada)/(CV41+DO41),CS41)</f>
        <v/>
      </c>
      <c r="EC41" s="7">
        <f>IF(DO41&gt;0,0,CW41)</f>
        <v/>
      </c>
      <c r="ED41" s="7">
        <f>CX41-DE41+DP41</f>
        <v/>
      </c>
      <c r="EE41" s="7">
        <f>IF(IF(8=0,"",EE40)&lt;&gt;"",EE40,IF(AND(BB41=1,DU41&lt;=0.5,DV41&lt;=0.5,OR(BH41=0,BJ41=1)),A41,""))</f>
        <v/>
      </c>
      <c r="EF41" s="7">
        <f>DU41+DV41+DW41+EA41+ED41+CD41</f>
        <v/>
      </c>
      <c r="EG41" s="7">
        <f>DR41+DS41+DT41-EF41</f>
        <v/>
      </c>
      <c r="EH41" s="7">
        <f>EG41/(1+g_inf)^(A41+1-2026)</f>
        <v/>
      </c>
    </row>
    <row r="42">
      <c r="A42" t="n">
        <v>2036</v>
      </c>
      <c r="B42" t="n">
        <v>9</v>
      </c>
      <c r="C42" s="7">
        <f>(1+g_inf)^(A42-2026)</f>
        <v/>
      </c>
      <c r="D42" s="7">
        <f>SUMPRODUCT($AC$5:$AC$29,$E$5:$E$29*(1+$F$5:$F$29)^(A42-2026)*$G$5:$G$29*$H$5:$H$29*(1-$N$5:$N$29*$O$5:$O$29))*g_salMult+SUMPRODUCT(($B$5:$B$29&gt;=A42)*($B$5:$B$29&lt;A42+1)*$I$5:$I$29)*g_salMult</f>
        <v/>
      </c>
      <c r="E42" s="7">
        <f>SUMPRODUCT($AC$5:$AC$29,$E$5:$E$29*(1+$F$5:$F$29)^(A42-2026)*$G$5:$G$29*$H$5:$H$29*$M$5:$M$29)*g_salMult</f>
        <v/>
      </c>
      <c r="F42" s="7">
        <f>SUMPRODUCT($AC$5:$AC$29,$E$5:$E$29*(1+$F$5:$F$29)^(A42-2026)*$G$5:$G$29*$H$5:$H$29*$N$5:$N$29*$O$5:$O$29)*g_salMult</f>
        <v/>
      </c>
      <c r="G42" s="7">
        <f>SUMPRODUCT($AC$5:$AC$29,$P$5:$P$29*(1+$F$5:$F$29)^(A42-2026))</f>
        <v/>
      </c>
      <c r="H42" s="7">
        <f>SUMPRODUCT($AC$5:$AC$29,$Q$5:$Q$29*(1+$F$5:$F$29)^(A42-2026))+IF(personal_llcActivo=1,personal_llcNeto*(1+personal_llcCrecimiento)^9,0)</f>
        <v/>
      </c>
      <c r="I42" s="7">
        <f>SUMPRODUCT($AC$5:$AC$29,$J$5:$J$29/($C$5:$C$29-$B$5:$B$29+($C$5:$C$29=$B$5:$B$29)))*C42</f>
        <v/>
      </c>
      <c r="J42" s="7">
        <f>SUMPRODUCT($AC$5:$AC$29,$K$5:$K$29)</f>
        <v/>
      </c>
      <c r="K42" s="7">
        <f>SUMPRODUCT($AC$5:$AC$29,$L$5:$L$29)</f>
        <v/>
      </c>
      <c r="L42" s="7">
        <f>SUMPRODUCT($AC$5:$AC$29,$N$5:$N$29)</f>
        <v/>
      </c>
      <c r="M42" s="7">
        <f>IF(SUMPRODUCT($AC$5:$AC$29,$R$5:$R$29)&gt;0,1,0)</f>
        <v/>
      </c>
      <c r="N42" s="7">
        <f>SUMPRODUCT(($AO$5:$AO$24&gt;=A42)*($AO$5:$AO$24&lt;A42+1)*$AP$5:$AP$24)*C42+IF(9=0,IF(sel_loc&lt;&gt;"miami",personal_costoMudanzaInicial,0),0)</f>
        <v/>
      </c>
      <c r="O42" s="7">
        <f>MIN(personal_aporte403bPct*D42,retiro_limite403b*C42)</f>
        <v/>
      </c>
      <c r="P42" s="7">
        <f>MIN(personal_aporte403bPct,personal_match403bPct)*E42</f>
        <v/>
      </c>
      <c r="Q42" s="7">
        <f>IF(G42&gt;0,MAX(0,G42-impuestos_scorpCostoAnual*C42),0)</f>
        <v/>
      </c>
      <c r="R42" s="7">
        <f>Q42*impuestos_scorpSalarioPct/(1+impuestos_ssTasa+impuestos_medicareTasa)</f>
        <v/>
      </c>
      <c r="S42" s="7">
        <f>impuestos_ssTasa*MIN(R42,MAX(0,impuestos_ssTope*C42-D42))+impuestos_medicareTasa*R42</f>
        <v/>
      </c>
      <c r="T42" s="7">
        <f>Q42-R42-S42</f>
        <v/>
      </c>
      <c r="U42" s="7">
        <f>D42+R42</f>
        <v/>
      </c>
      <c r="V42" s="7">
        <f>H42*0.9235</f>
        <v/>
      </c>
      <c r="W42" s="7">
        <f>IF(H42&gt;0,2*impuestos_ssTasa*MIN(V42,MAX(0,impuestos_ssTope*C42-U42))+2*impuestos_medicareTasa*V42,0)</f>
        <v/>
      </c>
      <c r="X42" s="7">
        <f>impuestos_ssTasa*MIN(U42,impuestos_ssTope*C42)+impuestos_medicareTasa*U42+impuestos_medicareAdicional*MAX(0,U42+H42*0.9235-impuestos_medicareUmbral)</f>
        <v/>
      </c>
      <c r="Y42" s="7">
        <f>MAX(0,D42-O42+R42+T42+H42-W42/2)</f>
        <v/>
      </c>
      <c r="Z42" s="7">
        <f>MAX(0,Y42-impuestos_deduccionEstandar*C42)</f>
        <v/>
      </c>
      <c r="AA42" s="7">
        <f>MIN(0.2*MAX(0,T42+H42-W42/2)*MAX(0,MIN(1,1-(Z42-impuestos_qbiUmbral*C42)/(impuestos_qbiRango*C42))),0.2*Z42)</f>
        <v/>
      </c>
      <c r="AB42" s="7">
        <f>MAX(0,Z42-AA42)</f>
        <v/>
      </c>
      <c r="AC42" s="7">
        <f>SUMPRODUCT((AB42&gt;tb_federalBrackets_lo*C42)*(AB42-tb_federalBrackets_lo*C42)*tb_federalBrackets_dr)</f>
        <v/>
      </c>
      <c r="AD42" s="7">
        <f>MAX(0,Y42-impuestos_nyDeduccion*C42)</f>
        <v/>
      </c>
      <c r="AE42" s="7">
        <f>CHOOSE(loc_taxcode,0,impuestos_ohTasa*MAX(0,Y42-impuestos_ohExento*C42)+impuestos_ohMunicipal*U42,SUMPRODUCT((AD42&gt;tb_nyBrackets_lo*C42)*(AD42-tb_nyBrackets_lo*C42)*tb_nyBrackets_dr)+loc_nyc*SUMPRODUCT((AD42&gt;tb_nycBrackets_lo*C42)*(AD42-tb_nycBrackets_lo*C42)*tb_nycBrackets_dr))</f>
        <v/>
      </c>
      <c r="AF42" s="7">
        <f>AC42+AE42+X42+W42</f>
        <v/>
      </c>
      <c r="AG42" s="7">
        <f>D42+F42+R42+T42+H42</f>
        <v/>
      </c>
      <c r="AH42" s="7">
        <f>AG42-AF42-O42</f>
        <v/>
      </c>
      <c r="AI42" s="7">
        <f>D42+F42+G42+H42</f>
        <v/>
      </c>
      <c r="AJ42" s="7">
        <f>loc_gastosVida*C42*g_gastos</f>
        <v/>
      </c>
      <c r="AK42" s="7">
        <f>IF(9=0,personal_liquidoInicial,DR41)</f>
        <v/>
      </c>
      <c r="AL42" s="7">
        <f>IF(9=0,0,BB41)</f>
        <v/>
      </c>
      <c r="AM42" s="7">
        <f>CHOOSE(sel_cfgIdx,loc_precio_duplex,loc_precio_inlaw,loc_precio_dosCasas,loc_precio_casaAdu,loc_precio_multi)</f>
        <v/>
      </c>
      <c r="AN42" s="7">
        <f>AM42*(1+g_appr)^(A42-2026)</f>
        <v/>
      </c>
      <c r="AO42" s="7">
        <f>IF(AND(M42=1,vivienda_prestamoMedico=1),1,0)</f>
        <v/>
      </c>
      <c r="AP42" s="7">
        <f>IF(AO42=1,0.05,vivienda_enganchePct)</f>
        <v/>
      </c>
      <c r="AQ42" s="7">
        <f>AN42*(1-AP42)</f>
        <v/>
      </c>
      <c r="AR42" s="7">
        <f>PMT(g_mortRate/12,vivienda_plazoHipoteca*12,-AQ42)</f>
        <v/>
      </c>
      <c r="AS42" s="7">
        <f>INDEX(cfg_units,sel_cfgIdx)</f>
        <v/>
      </c>
      <c r="AT42" s="7">
        <f>AS42*loc_rentaUnidad*(1+g_inf)^(A42-2026)*(1-vivienda_vacancia)</f>
        <v/>
      </c>
      <c r="AU42" s="7">
        <f>AR42+AN42*loc_impuestoPropPct/12+AM42*loc_seguroPct*(1+vivienda_inflacionSeguro)^(A42-2026)/12+IF(AND(AO42=0,AP42&lt;0.2),AQ42*vivienda_pmiTasa/12,0)</f>
        <v/>
      </c>
      <c r="AV42" s="7">
        <f>AN42*AP42+AN42*vivienda_cierrePct+general_reservaMeses/12*AJ42</f>
        <v/>
      </c>
      <c r="AW42" s="7">
        <f>(IF(9=0,MIN(personal_irsSaldo,personal_irsPagoMensual*12),MIN(CD41,personal_irsPagoMensual*12))+IF(CE42&gt;0,PMT(CF42,MAX(1,prestamos_plazoAnios-CG42),-CE42),0)+IF(CR42&gt;0,PMT(CS42,MAX(1,prestamos_plazoAnios-CT42),-CR42),0))/12</f>
        <v/>
      </c>
      <c r="AX42" s="7">
        <f>IF(OR(sel_cfg="duplex",sel_cfg="multi",sel_cfg="dosCasas"),0.75*personal_aporteFamiliaMensual,0)</f>
        <v/>
      </c>
      <c r="AY42" s="7">
        <f>AU42-0.75*AT42-AX42+AW42</f>
        <v/>
      </c>
      <c r="AZ42" s="7">
        <f>(D42+G42+H42+0.5*F42)/12</f>
        <v/>
      </c>
      <c r="BA42" s="7">
        <f>IF(AND(AL42=0,A42&gt;=vivienda_anioMinCompra,J42&lt;0.5,AI42&gt;0,AK42&gt;=AV42,AY42&lt;=vivienda_dtiMax*AZ42),1,0)</f>
        <v/>
      </c>
      <c r="BB42" s="7">
        <f>MAX(AL42,BA42)</f>
        <v/>
      </c>
      <c r="BC42" s="7">
        <f>IF(BA42=1,A42,IF(9=0,"",BC41))</f>
        <v/>
      </c>
      <c r="BD42" s="7">
        <f>AK42-IF(BA42=1,AN42*AP42+AN42*vivienda_cierrePct,0)</f>
        <v/>
      </c>
      <c r="BE42" s="7">
        <f>IF(BA42=1,AN42,IF(9=0,0,BE41))</f>
        <v/>
      </c>
      <c r="BF42" s="7">
        <f>IF(BA42=1,AR42,IF(9=0,0,BF41))</f>
        <v/>
      </c>
      <c r="BG42" s="7">
        <f>IF(BA42=1,IF(AND(AO42=0,AP42&lt;0.2),1,0),IF(9=0,0,BY41))</f>
        <v/>
      </c>
      <c r="BH42" s="7">
        <f>IF(sel_cfg="casaAdu",1,0)</f>
        <v/>
      </c>
      <c r="BI42" s="7">
        <f>IF(AND(BB42=1,BH42=1,IF(9=0,0,BJ41)=0,A42&gt;=IF(BC42="",9999,BC42)+vivienda_aduRetrasoAnios),1,0)</f>
        <v/>
      </c>
      <c r="BJ42" s="7">
        <f>MAX(IF(9=0,0,BJ41),BI42)</f>
        <v/>
      </c>
      <c r="BK42" s="7">
        <f>IF(BI42=1,PMT((g_mortRate+0.005)/12,180,-loc_precio_aduCosto*C42),IF(9=0,0,BK41))</f>
        <v/>
      </c>
      <c r="BL42" s="7">
        <f>IF(BA42=1,AN42,IF(9=0,0,DT41))+IF(BI42=1,loc_precio_aduCosto*C42,0)</f>
        <v/>
      </c>
      <c r="BM42" s="7">
        <f>IF(BA42=1,AQ42,IF(9=0,0,DU41))</f>
        <v/>
      </c>
      <c r="BN42" s="7">
        <f>IF(BM42&lt;=0,0,FV(g_mortRate/12,12,BF42,-BM42))</f>
        <v/>
      </c>
      <c r="BO42" s="7">
        <f>IF(BM42&lt;=0,0,12*BF42+MIN(0,BN42))</f>
        <v/>
      </c>
      <c r="BP42" s="7">
        <f>MAX(0,BN42)</f>
        <v/>
      </c>
      <c r="BQ42" s="7">
        <f>IF(BI42=1,loc_precio_aduCosto*C42,IF(9=0,0,DV41))</f>
        <v/>
      </c>
      <c r="BR42" s="7">
        <f>IF(BQ42&lt;=0,0,FV((g_mortRate+0.005)/12,12,BK42,-BQ42))</f>
        <v/>
      </c>
      <c r="BS42" s="7">
        <f>IF(BQ42&lt;=0,0,12*BK42+MIN(0,BR42))</f>
        <v/>
      </c>
      <c r="BT42" s="7">
        <f>MAX(0,BR42)</f>
        <v/>
      </c>
      <c r="BU42" s="7">
        <f>IF(BB42=1,AM42*loc_seguroPct*(1+vivienda_inflacionSeguro)^(A42-2026)*IF(BJ42=1,1+loc_precio_aduCosto/AM42,1),0)</f>
        <v/>
      </c>
      <c r="BV42" s="7">
        <f>BL42*loc_impuestoPropPct</f>
        <v/>
      </c>
      <c r="BW42" s="7">
        <f>BL42*vivienda_mantenimientoPct</f>
        <v/>
      </c>
      <c r="BX42" s="7">
        <f>IF(AND(BG42=1,BP42&gt;0.8*BE42),BE42*(1-vivienda_enganchePct)*vivienda_pmiTasa,0)</f>
        <v/>
      </c>
      <c r="BY42" s="7">
        <f>IF(AND(BG42=1,BP42&gt;0.8*BE42),1,0)</f>
        <v/>
      </c>
      <c r="BZ42" s="7">
        <f>IF(BB42=1,AS42*loc_rentaUnidad*12*C42*(1-vivienda_vacancia)*(1-vivienda_gestionPct),0)</f>
        <v/>
      </c>
      <c r="CA42" s="7">
        <f>IF(BB42=1,BO42+BS42+BU42+BV42+BW42+BX42,loc_rentaMensual*12*C42)</f>
        <v/>
      </c>
      <c r="CB42" s="7">
        <f>IF(BB42=1,personal_aporteFamiliaMensual*12,0)</f>
        <v/>
      </c>
      <c r="CC42" s="7">
        <f>MIN(IF(9=0,personal_irsSaldo,CD41),personal_irsPagoMensual*12)</f>
        <v/>
      </c>
      <c r="CD42" s="7">
        <f>IF(9=0,personal_irsSaldo,CD41)-CC42</f>
        <v/>
      </c>
      <c r="CE42" s="7">
        <f>IF(9=0,IF(personal_deudaEsFederal=1,personal_deudaEstudiantil,0),DW41)</f>
        <v/>
      </c>
      <c r="CF42" s="7">
        <f>IF(9=0,personal_tasaDeudaEstudiantil,DX41)</f>
        <v/>
      </c>
      <c r="CG42" s="7">
        <f>IF(9=0,0,DY41)</f>
        <v/>
      </c>
      <c r="CH42" s="7">
        <f>IF(J42&gt;=0.5,1,0)</f>
        <v/>
      </c>
      <c r="CI42" s="7">
        <f>IF(AND(CH42=0,prestamos_pslfActivo=1,K42&gt;=0.5,CE42&gt;0),1,0)</f>
        <v/>
      </c>
      <c r="CJ42" s="7">
        <f>CE42*CF42</f>
        <v/>
      </c>
      <c r="CK42" s="7">
        <f>MAX(prestamos_rapPagoMinimoAnual,IF(Y42&lt;10000,0,MIN(0.1,INT(Y42/10000)/100))*Y42)</f>
        <v/>
      </c>
      <c r="CL42" s="7">
        <f>IF(CE42&lt;=0,0,IF(CH42=1,0,IF(CI42=1,MIN(CE42+CJ42,CK42),PMT(CF42,MAX(1,prestamos_plazoAnios-CG42),-CE42))))</f>
        <v/>
      </c>
      <c r="CM42" s="7">
        <f>IF(CE42&lt;=0,0,IF(CH42=1,CE42+CJ42,IF(CI42=1,MAX(0,CE42-MAX(CL42-CJ42,MIN(600,CL42))),MAX(0,CE42*(1+CF42)-CL42))))</f>
        <v/>
      </c>
      <c r="CN42" s="7">
        <f>IF(9=0,0,CN41)+IF(CI42=1,12*MIN(1,K42),0)</f>
        <v/>
      </c>
      <c r="CO42" s="7">
        <f>IF(AND(CI42=1,CN42&gt;=prestamos_pslfPagos,CM42&gt;0),CM42,0)</f>
        <v/>
      </c>
      <c r="CP42" s="7">
        <f>CM42-CO42</f>
        <v/>
      </c>
      <c r="CQ42" s="7">
        <f>IF(AND(CE42&gt;0,CH42=0,CI42=0),CG42+1,CG42)</f>
        <v/>
      </c>
      <c r="CR42" s="7">
        <f>IF(9=0,IF(personal_deudaEsFederal=1,0,personal_deudaEstudiantil),EA41)</f>
        <v/>
      </c>
      <c r="CS42" s="7">
        <f>IF(9=0,IF(personal_deudaEsFederal=1,prestamos_tasaPrivada,personal_tasaDeudaEstudiantil),EB41)</f>
        <v/>
      </c>
      <c r="CT42" s="7">
        <f>IF(9=0,0,EC41)</f>
        <v/>
      </c>
      <c r="CU42" s="7">
        <f>IF(OR(CR42&lt;=0,CH42=1),0,PMT(CS42,MAX(1,prestamos_plazoAnios-CT42),-CR42))</f>
        <v/>
      </c>
      <c r="CV42" s="7">
        <f>IF(CR42&lt;=0,0,IF(CH42=1,CR42*(1+CS42),MAX(0,CR42*(1+CS42)-CU42)))</f>
        <v/>
      </c>
      <c r="CW42" s="7">
        <f>IF(AND(CR42&gt;0,CH42=0),CT42+1,CT42)</f>
        <v/>
      </c>
      <c r="CX42" s="7">
        <f>IF(9=0,0,ED41)*(1+general_tasaDeudaConsumo)</f>
        <v/>
      </c>
      <c r="CY42" s="7">
        <f>L42*12*tiempos_travelGastoExtraMes*C42</f>
        <v/>
      </c>
      <c r="CZ42" s="7">
        <f>AJ42+CY42+CA42+CC42+CL42+CU42+I42+N42-BZ42-CB42</f>
        <v/>
      </c>
      <c r="DA42" s="7">
        <f>AH42-CZ42</f>
        <v/>
      </c>
      <c r="DB42" s="7">
        <f>IF(9=0,0,DB41)+DA42</f>
        <v/>
      </c>
      <c r="DC42" s="7">
        <f>AN42*vivienda_enganchePct+AN42*vivienda_cierrePct+general_reservaMeses/12*AJ42</f>
        <v/>
      </c>
      <c r="DD42" s="7">
        <f>IF(BB42=1,g_ret,IF(BD42&gt;0,MIN(1,DC42/BD42),1)*g_cash+(1-IF(BD42&gt;0,MIN(1,DC42/BD42),1))*g_ret)</f>
        <v/>
      </c>
      <c r="DE42" s="7">
        <f>IF(DA42&gt;=0,MIN(CX42,DA42),0)</f>
        <v/>
      </c>
      <c r="DF42" s="7">
        <f>IF(DA42&gt;=0,(1-general_tasaAhorro)*(DA42-DE42),0)</f>
        <v/>
      </c>
      <c r="DG42" s="7">
        <f>IF(DA42&gt;=0,DA42-DE42-DF42,0)</f>
        <v/>
      </c>
      <c r="DH42" s="7">
        <f>MIN(personal_rothAnual,DG42)</f>
        <v/>
      </c>
      <c r="DI42" s="7">
        <f>IF(AND(DA42&gt;=0,BB42=1,BP42+BT42&gt;0),MIN(vivienda_prepagoPct*(DG42-DH42),BP42+BT42),0)</f>
        <v/>
      </c>
      <c r="DJ42" s="7">
        <f>MIN(DI42,BP42)</f>
        <v/>
      </c>
      <c r="DK42" s="7">
        <f>IF(DA42&lt;0,MIN(MAX(0,BD42),-DA42),0)</f>
        <v/>
      </c>
      <c r="DL42" s="7">
        <f>IF(DA42&lt;0,-DA42-DK42,0)</f>
        <v/>
      </c>
      <c r="DM42" s="7">
        <f>IF(9=0,0,DZ41)</f>
        <v/>
      </c>
      <c r="DN42" s="7">
        <f>IF(AND(DL42&gt;0,J42&gt;0),MIN(DL42,MIN(prestamos_topeAnualPosgrado*MIN(1,J42),MAX(0,prestamos_topeTotalPosgrado-DM42))),0)</f>
        <v/>
      </c>
      <c r="DO42" s="7">
        <f>IF(AND(DL42&gt;0,J42&gt;0),DL42-DN42,0)</f>
        <v/>
      </c>
      <c r="DP42" s="7">
        <f>IF(AND(DL42&gt;0,J42&lt;=0),DL42,0)</f>
        <v/>
      </c>
      <c r="DQ42" s="7">
        <f>IF(DA42&gt;=0,DG42-DH42-DI42,-DK42)</f>
        <v/>
      </c>
      <c r="DR42" s="7">
        <f>BD42*(1+DD42)+DQ42*(1+DD42/2)</f>
        <v/>
      </c>
      <c r="DS42" s="7">
        <f>IF(9=0,personal_retiroInicial,DS41)*(1+g_ret)+(O42+P42+DH42)*(1+g_ret/2)</f>
        <v/>
      </c>
      <c r="DT42" s="7">
        <f>IF(BB42=1,BL42*(1+g_appr),0)</f>
        <v/>
      </c>
      <c r="DU42" s="7">
        <f>BP42-DJ42</f>
        <v/>
      </c>
      <c r="DV42" s="7">
        <f>BT42-(DI42-DJ42)</f>
        <v/>
      </c>
      <c r="DW42" s="7">
        <f>CP42+DN42</f>
        <v/>
      </c>
      <c r="DX42" s="7">
        <f>IF(DN42&gt;0,(CP42*CF42+DN42*prestamos_tasaFederalPosgrado)/(CP42+DN42),CF42)</f>
        <v/>
      </c>
      <c r="DY42" s="7">
        <f>IF(DN42&gt;0,0,CQ42)</f>
        <v/>
      </c>
      <c r="DZ42" s="7">
        <f>DM42+DN42</f>
        <v/>
      </c>
      <c r="EA42" s="7">
        <f>CV42+DO42</f>
        <v/>
      </c>
      <c r="EB42" s="7">
        <f>IF(DO42&gt;0,(CV42*CS42+DO42*prestamos_tasaPrivada)/(CV42+DO42),CS42)</f>
        <v/>
      </c>
      <c r="EC42" s="7">
        <f>IF(DO42&gt;0,0,CW42)</f>
        <v/>
      </c>
      <c r="ED42" s="7">
        <f>CX42-DE42+DP42</f>
        <v/>
      </c>
      <c r="EE42" s="7">
        <f>IF(IF(9=0,"",EE41)&lt;&gt;"",EE41,IF(AND(BB42=1,DU42&lt;=0.5,DV42&lt;=0.5,OR(BH42=0,BJ42=1)),A42,""))</f>
        <v/>
      </c>
      <c r="EF42" s="7">
        <f>DU42+DV42+DW42+EA42+ED42+CD42</f>
        <v/>
      </c>
      <c r="EG42" s="7">
        <f>DR42+DS42+DT42-EF42</f>
        <v/>
      </c>
      <c r="EH42" s="7">
        <f>EG42/(1+g_inf)^(A42+1-2026)</f>
        <v/>
      </c>
    </row>
    <row r="43">
      <c r="A43" t="n">
        <v>2037</v>
      </c>
      <c r="B43" t="n">
        <v>10</v>
      </c>
      <c r="C43" s="7">
        <f>(1+g_inf)^(A43-2026)</f>
        <v/>
      </c>
      <c r="D43" s="7">
        <f>SUMPRODUCT($AD$5:$AD$29,$E$5:$E$29*(1+$F$5:$F$29)^(A43-2026)*$G$5:$G$29*$H$5:$H$29*(1-$N$5:$N$29*$O$5:$O$29))*g_salMult+SUMPRODUCT(($B$5:$B$29&gt;=A43)*($B$5:$B$29&lt;A43+1)*$I$5:$I$29)*g_salMult</f>
        <v/>
      </c>
      <c r="E43" s="7">
        <f>SUMPRODUCT($AD$5:$AD$29,$E$5:$E$29*(1+$F$5:$F$29)^(A43-2026)*$G$5:$G$29*$H$5:$H$29*$M$5:$M$29)*g_salMult</f>
        <v/>
      </c>
      <c r="F43" s="7">
        <f>SUMPRODUCT($AD$5:$AD$29,$E$5:$E$29*(1+$F$5:$F$29)^(A43-2026)*$G$5:$G$29*$H$5:$H$29*$N$5:$N$29*$O$5:$O$29)*g_salMult</f>
        <v/>
      </c>
      <c r="G43" s="7">
        <f>SUMPRODUCT($AD$5:$AD$29,$P$5:$P$29*(1+$F$5:$F$29)^(A43-2026))</f>
        <v/>
      </c>
      <c r="H43" s="7">
        <f>SUMPRODUCT($AD$5:$AD$29,$Q$5:$Q$29*(1+$F$5:$F$29)^(A43-2026))+IF(personal_llcActivo=1,personal_llcNeto*(1+personal_llcCrecimiento)^10,0)</f>
        <v/>
      </c>
      <c r="I43" s="7">
        <f>SUMPRODUCT($AD$5:$AD$29,$J$5:$J$29/($C$5:$C$29-$B$5:$B$29+($C$5:$C$29=$B$5:$B$29)))*C43</f>
        <v/>
      </c>
      <c r="J43" s="7">
        <f>SUMPRODUCT($AD$5:$AD$29,$K$5:$K$29)</f>
        <v/>
      </c>
      <c r="K43" s="7">
        <f>SUMPRODUCT($AD$5:$AD$29,$L$5:$L$29)</f>
        <v/>
      </c>
      <c r="L43" s="7">
        <f>SUMPRODUCT($AD$5:$AD$29,$N$5:$N$29)</f>
        <v/>
      </c>
      <c r="M43" s="7">
        <f>IF(SUMPRODUCT($AD$5:$AD$29,$R$5:$R$29)&gt;0,1,0)</f>
        <v/>
      </c>
      <c r="N43" s="7">
        <f>SUMPRODUCT(($AO$5:$AO$24&gt;=A43)*($AO$5:$AO$24&lt;A43+1)*$AP$5:$AP$24)*C43+IF(10=0,IF(sel_loc&lt;&gt;"miami",personal_costoMudanzaInicial,0),0)</f>
        <v/>
      </c>
      <c r="O43" s="7">
        <f>MIN(personal_aporte403bPct*D43,retiro_limite403b*C43)</f>
        <v/>
      </c>
      <c r="P43" s="7">
        <f>MIN(personal_aporte403bPct,personal_match403bPct)*E43</f>
        <v/>
      </c>
      <c r="Q43" s="7">
        <f>IF(G43&gt;0,MAX(0,G43-impuestos_scorpCostoAnual*C43),0)</f>
        <v/>
      </c>
      <c r="R43" s="7">
        <f>Q43*impuestos_scorpSalarioPct/(1+impuestos_ssTasa+impuestos_medicareTasa)</f>
        <v/>
      </c>
      <c r="S43" s="7">
        <f>impuestos_ssTasa*MIN(R43,MAX(0,impuestos_ssTope*C43-D43))+impuestos_medicareTasa*R43</f>
        <v/>
      </c>
      <c r="T43" s="7">
        <f>Q43-R43-S43</f>
        <v/>
      </c>
      <c r="U43" s="7">
        <f>D43+R43</f>
        <v/>
      </c>
      <c r="V43" s="7">
        <f>H43*0.9235</f>
        <v/>
      </c>
      <c r="W43" s="7">
        <f>IF(H43&gt;0,2*impuestos_ssTasa*MIN(V43,MAX(0,impuestos_ssTope*C43-U43))+2*impuestos_medicareTasa*V43,0)</f>
        <v/>
      </c>
      <c r="X43" s="7">
        <f>impuestos_ssTasa*MIN(U43,impuestos_ssTope*C43)+impuestos_medicareTasa*U43+impuestos_medicareAdicional*MAX(0,U43+H43*0.9235-impuestos_medicareUmbral)</f>
        <v/>
      </c>
      <c r="Y43" s="7">
        <f>MAX(0,D43-O43+R43+T43+H43-W43/2)</f>
        <v/>
      </c>
      <c r="Z43" s="7">
        <f>MAX(0,Y43-impuestos_deduccionEstandar*C43)</f>
        <v/>
      </c>
      <c r="AA43" s="7">
        <f>MIN(0.2*MAX(0,T43+H43-W43/2)*MAX(0,MIN(1,1-(Z43-impuestos_qbiUmbral*C43)/(impuestos_qbiRango*C43))),0.2*Z43)</f>
        <v/>
      </c>
      <c r="AB43" s="7">
        <f>MAX(0,Z43-AA43)</f>
        <v/>
      </c>
      <c r="AC43" s="7">
        <f>SUMPRODUCT((AB43&gt;tb_federalBrackets_lo*C43)*(AB43-tb_federalBrackets_lo*C43)*tb_federalBrackets_dr)</f>
        <v/>
      </c>
      <c r="AD43" s="7">
        <f>MAX(0,Y43-impuestos_nyDeduccion*C43)</f>
        <v/>
      </c>
      <c r="AE43" s="7">
        <f>CHOOSE(loc_taxcode,0,impuestos_ohTasa*MAX(0,Y43-impuestos_ohExento*C43)+impuestos_ohMunicipal*U43,SUMPRODUCT((AD43&gt;tb_nyBrackets_lo*C43)*(AD43-tb_nyBrackets_lo*C43)*tb_nyBrackets_dr)+loc_nyc*SUMPRODUCT((AD43&gt;tb_nycBrackets_lo*C43)*(AD43-tb_nycBrackets_lo*C43)*tb_nycBrackets_dr))</f>
        <v/>
      </c>
      <c r="AF43" s="7">
        <f>AC43+AE43+X43+W43</f>
        <v/>
      </c>
      <c r="AG43" s="7">
        <f>D43+F43+R43+T43+H43</f>
        <v/>
      </c>
      <c r="AH43" s="7">
        <f>AG43-AF43-O43</f>
        <v/>
      </c>
      <c r="AI43" s="7">
        <f>D43+F43+G43+H43</f>
        <v/>
      </c>
      <c r="AJ43" s="7">
        <f>loc_gastosVida*C43*g_gastos</f>
        <v/>
      </c>
      <c r="AK43" s="7">
        <f>IF(10=0,personal_liquidoInicial,DR42)</f>
        <v/>
      </c>
      <c r="AL43" s="7">
        <f>IF(10=0,0,BB42)</f>
        <v/>
      </c>
      <c r="AM43" s="7">
        <f>CHOOSE(sel_cfgIdx,loc_precio_duplex,loc_precio_inlaw,loc_precio_dosCasas,loc_precio_casaAdu,loc_precio_multi)</f>
        <v/>
      </c>
      <c r="AN43" s="7">
        <f>AM43*(1+g_appr)^(A43-2026)</f>
        <v/>
      </c>
      <c r="AO43" s="7">
        <f>IF(AND(M43=1,vivienda_prestamoMedico=1),1,0)</f>
        <v/>
      </c>
      <c r="AP43" s="7">
        <f>IF(AO43=1,0.05,vivienda_enganchePct)</f>
        <v/>
      </c>
      <c r="AQ43" s="7">
        <f>AN43*(1-AP43)</f>
        <v/>
      </c>
      <c r="AR43" s="7">
        <f>PMT(g_mortRate/12,vivienda_plazoHipoteca*12,-AQ43)</f>
        <v/>
      </c>
      <c r="AS43" s="7">
        <f>INDEX(cfg_units,sel_cfgIdx)</f>
        <v/>
      </c>
      <c r="AT43" s="7">
        <f>AS43*loc_rentaUnidad*(1+g_inf)^(A43-2026)*(1-vivienda_vacancia)</f>
        <v/>
      </c>
      <c r="AU43" s="7">
        <f>AR43+AN43*loc_impuestoPropPct/12+AM43*loc_seguroPct*(1+vivienda_inflacionSeguro)^(A43-2026)/12+IF(AND(AO43=0,AP43&lt;0.2),AQ43*vivienda_pmiTasa/12,0)</f>
        <v/>
      </c>
      <c r="AV43" s="7">
        <f>AN43*AP43+AN43*vivienda_cierrePct+general_reservaMeses/12*AJ43</f>
        <v/>
      </c>
      <c r="AW43" s="7">
        <f>(IF(10=0,MIN(personal_irsSaldo,personal_irsPagoMensual*12),MIN(CD42,personal_irsPagoMensual*12))+IF(CE43&gt;0,PMT(CF43,MAX(1,prestamos_plazoAnios-CG43),-CE43),0)+IF(CR43&gt;0,PMT(CS43,MAX(1,prestamos_plazoAnios-CT43),-CR43),0))/12</f>
        <v/>
      </c>
      <c r="AX43" s="7">
        <f>IF(OR(sel_cfg="duplex",sel_cfg="multi",sel_cfg="dosCasas"),0.75*personal_aporteFamiliaMensual,0)</f>
        <v/>
      </c>
      <c r="AY43" s="7">
        <f>AU43-0.75*AT43-AX43+AW43</f>
        <v/>
      </c>
      <c r="AZ43" s="7">
        <f>(D43+G43+H43+0.5*F43)/12</f>
        <v/>
      </c>
      <c r="BA43" s="7">
        <f>IF(AND(AL43=0,A43&gt;=vivienda_anioMinCompra,J43&lt;0.5,AI43&gt;0,AK43&gt;=AV43,AY43&lt;=vivienda_dtiMax*AZ43),1,0)</f>
        <v/>
      </c>
      <c r="BB43" s="7">
        <f>MAX(AL43,BA43)</f>
        <v/>
      </c>
      <c r="BC43" s="7">
        <f>IF(BA43=1,A43,IF(10=0,"",BC42))</f>
        <v/>
      </c>
      <c r="BD43" s="7">
        <f>AK43-IF(BA43=1,AN43*AP43+AN43*vivienda_cierrePct,0)</f>
        <v/>
      </c>
      <c r="BE43" s="7">
        <f>IF(BA43=1,AN43,IF(10=0,0,BE42))</f>
        <v/>
      </c>
      <c r="BF43" s="7">
        <f>IF(BA43=1,AR43,IF(10=0,0,BF42))</f>
        <v/>
      </c>
      <c r="BG43" s="7">
        <f>IF(BA43=1,IF(AND(AO43=0,AP43&lt;0.2),1,0),IF(10=0,0,BY42))</f>
        <v/>
      </c>
      <c r="BH43" s="7">
        <f>IF(sel_cfg="casaAdu",1,0)</f>
        <v/>
      </c>
      <c r="BI43" s="7">
        <f>IF(AND(BB43=1,BH43=1,IF(10=0,0,BJ42)=0,A43&gt;=IF(BC43="",9999,BC43)+vivienda_aduRetrasoAnios),1,0)</f>
        <v/>
      </c>
      <c r="BJ43" s="7">
        <f>MAX(IF(10=0,0,BJ42),BI43)</f>
        <v/>
      </c>
      <c r="BK43" s="7">
        <f>IF(BI43=1,PMT((g_mortRate+0.005)/12,180,-loc_precio_aduCosto*C43),IF(10=0,0,BK42))</f>
        <v/>
      </c>
      <c r="BL43" s="7">
        <f>IF(BA43=1,AN43,IF(10=0,0,DT42))+IF(BI43=1,loc_precio_aduCosto*C43,0)</f>
        <v/>
      </c>
      <c r="BM43" s="7">
        <f>IF(BA43=1,AQ43,IF(10=0,0,DU42))</f>
        <v/>
      </c>
      <c r="BN43" s="7">
        <f>IF(BM43&lt;=0,0,FV(g_mortRate/12,12,BF43,-BM43))</f>
        <v/>
      </c>
      <c r="BO43" s="7">
        <f>IF(BM43&lt;=0,0,12*BF43+MIN(0,BN43))</f>
        <v/>
      </c>
      <c r="BP43" s="7">
        <f>MAX(0,BN43)</f>
        <v/>
      </c>
      <c r="BQ43" s="7">
        <f>IF(BI43=1,loc_precio_aduCosto*C43,IF(10=0,0,DV42))</f>
        <v/>
      </c>
      <c r="BR43" s="7">
        <f>IF(BQ43&lt;=0,0,FV((g_mortRate+0.005)/12,12,BK43,-BQ43))</f>
        <v/>
      </c>
      <c r="BS43" s="7">
        <f>IF(BQ43&lt;=0,0,12*BK43+MIN(0,BR43))</f>
        <v/>
      </c>
      <c r="BT43" s="7">
        <f>MAX(0,BR43)</f>
        <v/>
      </c>
      <c r="BU43" s="7">
        <f>IF(BB43=1,AM43*loc_seguroPct*(1+vivienda_inflacionSeguro)^(A43-2026)*IF(BJ43=1,1+loc_precio_aduCosto/AM43,1),0)</f>
        <v/>
      </c>
      <c r="BV43" s="7">
        <f>BL43*loc_impuestoPropPct</f>
        <v/>
      </c>
      <c r="BW43" s="7">
        <f>BL43*vivienda_mantenimientoPct</f>
        <v/>
      </c>
      <c r="BX43" s="7">
        <f>IF(AND(BG43=1,BP43&gt;0.8*BE43),BE43*(1-vivienda_enganchePct)*vivienda_pmiTasa,0)</f>
        <v/>
      </c>
      <c r="BY43" s="7">
        <f>IF(AND(BG43=1,BP43&gt;0.8*BE43),1,0)</f>
        <v/>
      </c>
      <c r="BZ43" s="7">
        <f>IF(BB43=1,AS43*loc_rentaUnidad*12*C43*(1-vivienda_vacancia)*(1-vivienda_gestionPct),0)</f>
        <v/>
      </c>
      <c r="CA43" s="7">
        <f>IF(BB43=1,BO43+BS43+BU43+BV43+BW43+BX43,loc_rentaMensual*12*C43)</f>
        <v/>
      </c>
      <c r="CB43" s="7">
        <f>IF(BB43=1,personal_aporteFamiliaMensual*12,0)</f>
        <v/>
      </c>
      <c r="CC43" s="7">
        <f>MIN(IF(10=0,personal_irsSaldo,CD42),personal_irsPagoMensual*12)</f>
        <v/>
      </c>
      <c r="CD43" s="7">
        <f>IF(10=0,personal_irsSaldo,CD42)-CC43</f>
        <v/>
      </c>
      <c r="CE43" s="7">
        <f>IF(10=0,IF(personal_deudaEsFederal=1,personal_deudaEstudiantil,0),DW42)</f>
        <v/>
      </c>
      <c r="CF43" s="7">
        <f>IF(10=0,personal_tasaDeudaEstudiantil,DX42)</f>
        <v/>
      </c>
      <c r="CG43" s="7">
        <f>IF(10=0,0,DY42)</f>
        <v/>
      </c>
      <c r="CH43" s="7">
        <f>IF(J43&gt;=0.5,1,0)</f>
        <v/>
      </c>
      <c r="CI43" s="7">
        <f>IF(AND(CH43=0,prestamos_pslfActivo=1,K43&gt;=0.5,CE43&gt;0),1,0)</f>
        <v/>
      </c>
      <c r="CJ43" s="7">
        <f>CE43*CF43</f>
        <v/>
      </c>
      <c r="CK43" s="7">
        <f>MAX(prestamos_rapPagoMinimoAnual,IF(Y43&lt;10000,0,MIN(0.1,INT(Y43/10000)/100))*Y43)</f>
        <v/>
      </c>
      <c r="CL43" s="7">
        <f>IF(CE43&lt;=0,0,IF(CH43=1,0,IF(CI43=1,MIN(CE43+CJ43,CK43),PMT(CF43,MAX(1,prestamos_plazoAnios-CG43),-CE43))))</f>
        <v/>
      </c>
      <c r="CM43" s="7">
        <f>IF(CE43&lt;=0,0,IF(CH43=1,CE43+CJ43,IF(CI43=1,MAX(0,CE43-MAX(CL43-CJ43,MIN(600,CL43))),MAX(0,CE43*(1+CF43)-CL43))))</f>
        <v/>
      </c>
      <c r="CN43" s="7">
        <f>IF(10=0,0,CN42)+IF(CI43=1,12*MIN(1,K43),0)</f>
        <v/>
      </c>
      <c r="CO43" s="7">
        <f>IF(AND(CI43=1,CN43&gt;=prestamos_pslfPagos,CM43&gt;0),CM43,0)</f>
        <v/>
      </c>
      <c r="CP43" s="7">
        <f>CM43-CO43</f>
        <v/>
      </c>
      <c r="CQ43" s="7">
        <f>IF(AND(CE43&gt;0,CH43=0,CI43=0),CG43+1,CG43)</f>
        <v/>
      </c>
      <c r="CR43" s="7">
        <f>IF(10=0,IF(personal_deudaEsFederal=1,0,personal_deudaEstudiantil),EA42)</f>
        <v/>
      </c>
      <c r="CS43" s="7">
        <f>IF(10=0,IF(personal_deudaEsFederal=1,prestamos_tasaPrivada,personal_tasaDeudaEstudiantil),EB42)</f>
        <v/>
      </c>
      <c r="CT43" s="7">
        <f>IF(10=0,0,EC42)</f>
        <v/>
      </c>
      <c r="CU43" s="7">
        <f>IF(OR(CR43&lt;=0,CH43=1),0,PMT(CS43,MAX(1,prestamos_plazoAnios-CT43),-CR43))</f>
        <v/>
      </c>
      <c r="CV43" s="7">
        <f>IF(CR43&lt;=0,0,IF(CH43=1,CR43*(1+CS43),MAX(0,CR43*(1+CS43)-CU43)))</f>
        <v/>
      </c>
      <c r="CW43" s="7">
        <f>IF(AND(CR43&gt;0,CH43=0),CT43+1,CT43)</f>
        <v/>
      </c>
      <c r="CX43" s="7">
        <f>IF(10=0,0,ED42)*(1+general_tasaDeudaConsumo)</f>
        <v/>
      </c>
      <c r="CY43" s="7">
        <f>L43*12*tiempos_travelGastoExtraMes*C43</f>
        <v/>
      </c>
      <c r="CZ43" s="7">
        <f>AJ43+CY43+CA43+CC43+CL43+CU43+I43+N43-BZ43-CB43</f>
        <v/>
      </c>
      <c r="DA43" s="7">
        <f>AH43-CZ43</f>
        <v/>
      </c>
      <c r="DB43" s="7">
        <f>IF(10=0,0,DB42)+DA43</f>
        <v/>
      </c>
      <c r="DC43" s="7">
        <f>AN43*vivienda_enganchePct+AN43*vivienda_cierrePct+general_reservaMeses/12*AJ43</f>
        <v/>
      </c>
      <c r="DD43" s="7">
        <f>IF(BB43=1,g_ret,IF(BD43&gt;0,MIN(1,DC43/BD43),1)*g_cash+(1-IF(BD43&gt;0,MIN(1,DC43/BD43),1))*g_ret)</f>
        <v/>
      </c>
      <c r="DE43" s="7">
        <f>IF(DA43&gt;=0,MIN(CX43,DA43),0)</f>
        <v/>
      </c>
      <c r="DF43" s="7">
        <f>IF(DA43&gt;=0,(1-general_tasaAhorro)*(DA43-DE43),0)</f>
        <v/>
      </c>
      <c r="DG43" s="7">
        <f>IF(DA43&gt;=0,DA43-DE43-DF43,0)</f>
        <v/>
      </c>
      <c r="DH43" s="7">
        <f>MIN(personal_rothAnual,DG43)</f>
        <v/>
      </c>
      <c r="DI43" s="7">
        <f>IF(AND(DA43&gt;=0,BB43=1,BP43+BT43&gt;0),MIN(vivienda_prepagoPct*(DG43-DH43),BP43+BT43),0)</f>
        <v/>
      </c>
      <c r="DJ43" s="7">
        <f>MIN(DI43,BP43)</f>
        <v/>
      </c>
      <c r="DK43" s="7">
        <f>IF(DA43&lt;0,MIN(MAX(0,BD43),-DA43),0)</f>
        <v/>
      </c>
      <c r="DL43" s="7">
        <f>IF(DA43&lt;0,-DA43-DK43,0)</f>
        <v/>
      </c>
      <c r="DM43" s="7">
        <f>IF(10=0,0,DZ42)</f>
        <v/>
      </c>
      <c r="DN43" s="7">
        <f>IF(AND(DL43&gt;0,J43&gt;0),MIN(DL43,MIN(prestamos_topeAnualPosgrado*MIN(1,J43),MAX(0,prestamos_topeTotalPosgrado-DM43))),0)</f>
        <v/>
      </c>
      <c r="DO43" s="7">
        <f>IF(AND(DL43&gt;0,J43&gt;0),DL43-DN43,0)</f>
        <v/>
      </c>
      <c r="DP43" s="7">
        <f>IF(AND(DL43&gt;0,J43&lt;=0),DL43,0)</f>
        <v/>
      </c>
      <c r="DQ43" s="7">
        <f>IF(DA43&gt;=0,DG43-DH43-DI43,-DK43)</f>
        <v/>
      </c>
      <c r="DR43" s="7">
        <f>BD43*(1+DD43)+DQ43*(1+DD43/2)</f>
        <v/>
      </c>
      <c r="DS43" s="7">
        <f>IF(10=0,personal_retiroInicial,DS42)*(1+g_ret)+(O43+P43+DH43)*(1+g_ret/2)</f>
        <v/>
      </c>
      <c r="DT43" s="7">
        <f>IF(BB43=1,BL43*(1+g_appr),0)</f>
        <v/>
      </c>
      <c r="DU43" s="7">
        <f>BP43-DJ43</f>
        <v/>
      </c>
      <c r="DV43" s="7">
        <f>BT43-(DI43-DJ43)</f>
        <v/>
      </c>
      <c r="DW43" s="7">
        <f>CP43+DN43</f>
        <v/>
      </c>
      <c r="DX43" s="7">
        <f>IF(DN43&gt;0,(CP43*CF43+DN43*prestamos_tasaFederalPosgrado)/(CP43+DN43),CF43)</f>
        <v/>
      </c>
      <c r="DY43" s="7">
        <f>IF(DN43&gt;0,0,CQ43)</f>
        <v/>
      </c>
      <c r="DZ43" s="7">
        <f>DM43+DN43</f>
        <v/>
      </c>
      <c r="EA43" s="7">
        <f>CV43+DO43</f>
        <v/>
      </c>
      <c r="EB43" s="7">
        <f>IF(DO43&gt;0,(CV43*CS43+DO43*prestamos_tasaPrivada)/(CV43+DO43),CS43)</f>
        <v/>
      </c>
      <c r="EC43" s="7">
        <f>IF(DO43&gt;0,0,CW43)</f>
        <v/>
      </c>
      <c r="ED43" s="7">
        <f>CX43-DE43+DP43</f>
        <v/>
      </c>
      <c r="EE43" s="7">
        <f>IF(IF(10=0,"",EE42)&lt;&gt;"",EE42,IF(AND(BB43=1,DU43&lt;=0.5,DV43&lt;=0.5,OR(BH43=0,BJ43=1)),A43,""))</f>
        <v/>
      </c>
      <c r="EF43" s="7">
        <f>DU43+DV43+DW43+EA43+ED43+CD43</f>
        <v/>
      </c>
      <c r="EG43" s="7">
        <f>DR43+DS43+DT43-EF43</f>
        <v/>
      </c>
      <c r="EH43" s="7">
        <f>EG43/(1+g_inf)^(A43+1-2026)</f>
        <v/>
      </c>
    </row>
    <row r="44">
      <c r="A44" t="n">
        <v>2038</v>
      </c>
      <c r="B44" t="n">
        <v>11</v>
      </c>
      <c r="C44" s="7">
        <f>(1+g_inf)^(A44-2026)</f>
        <v/>
      </c>
      <c r="D44" s="7">
        <f>SUMPRODUCT($AE$5:$AE$29,$E$5:$E$29*(1+$F$5:$F$29)^(A44-2026)*$G$5:$G$29*$H$5:$H$29*(1-$N$5:$N$29*$O$5:$O$29))*g_salMult+SUMPRODUCT(($B$5:$B$29&gt;=A44)*($B$5:$B$29&lt;A44+1)*$I$5:$I$29)*g_salMult</f>
        <v/>
      </c>
      <c r="E44" s="7">
        <f>SUMPRODUCT($AE$5:$AE$29,$E$5:$E$29*(1+$F$5:$F$29)^(A44-2026)*$G$5:$G$29*$H$5:$H$29*$M$5:$M$29)*g_salMult</f>
        <v/>
      </c>
      <c r="F44" s="7">
        <f>SUMPRODUCT($AE$5:$AE$29,$E$5:$E$29*(1+$F$5:$F$29)^(A44-2026)*$G$5:$G$29*$H$5:$H$29*$N$5:$N$29*$O$5:$O$29)*g_salMult</f>
        <v/>
      </c>
      <c r="G44" s="7">
        <f>SUMPRODUCT($AE$5:$AE$29,$P$5:$P$29*(1+$F$5:$F$29)^(A44-2026))</f>
        <v/>
      </c>
      <c r="H44" s="7">
        <f>SUMPRODUCT($AE$5:$AE$29,$Q$5:$Q$29*(1+$F$5:$F$29)^(A44-2026))+IF(personal_llcActivo=1,personal_llcNeto*(1+personal_llcCrecimiento)^11,0)</f>
        <v/>
      </c>
      <c r="I44" s="7">
        <f>SUMPRODUCT($AE$5:$AE$29,$J$5:$J$29/($C$5:$C$29-$B$5:$B$29+($C$5:$C$29=$B$5:$B$29)))*C44</f>
        <v/>
      </c>
      <c r="J44" s="7">
        <f>SUMPRODUCT($AE$5:$AE$29,$K$5:$K$29)</f>
        <v/>
      </c>
      <c r="K44" s="7">
        <f>SUMPRODUCT($AE$5:$AE$29,$L$5:$L$29)</f>
        <v/>
      </c>
      <c r="L44" s="7">
        <f>SUMPRODUCT($AE$5:$AE$29,$N$5:$N$29)</f>
        <v/>
      </c>
      <c r="M44" s="7">
        <f>IF(SUMPRODUCT($AE$5:$AE$29,$R$5:$R$29)&gt;0,1,0)</f>
        <v/>
      </c>
      <c r="N44" s="7">
        <f>SUMPRODUCT(($AO$5:$AO$24&gt;=A44)*($AO$5:$AO$24&lt;A44+1)*$AP$5:$AP$24)*C44+IF(11=0,IF(sel_loc&lt;&gt;"miami",personal_costoMudanzaInicial,0),0)</f>
        <v/>
      </c>
      <c r="O44" s="7">
        <f>MIN(personal_aporte403bPct*D44,retiro_limite403b*C44)</f>
        <v/>
      </c>
      <c r="P44" s="7">
        <f>MIN(personal_aporte403bPct,personal_match403bPct)*E44</f>
        <v/>
      </c>
      <c r="Q44" s="7">
        <f>IF(G44&gt;0,MAX(0,G44-impuestos_scorpCostoAnual*C44),0)</f>
        <v/>
      </c>
      <c r="R44" s="7">
        <f>Q44*impuestos_scorpSalarioPct/(1+impuestos_ssTasa+impuestos_medicareTasa)</f>
        <v/>
      </c>
      <c r="S44" s="7">
        <f>impuestos_ssTasa*MIN(R44,MAX(0,impuestos_ssTope*C44-D44))+impuestos_medicareTasa*R44</f>
        <v/>
      </c>
      <c r="T44" s="7">
        <f>Q44-R44-S44</f>
        <v/>
      </c>
      <c r="U44" s="7">
        <f>D44+R44</f>
        <v/>
      </c>
      <c r="V44" s="7">
        <f>H44*0.9235</f>
        <v/>
      </c>
      <c r="W44" s="7">
        <f>IF(H44&gt;0,2*impuestos_ssTasa*MIN(V44,MAX(0,impuestos_ssTope*C44-U44))+2*impuestos_medicareTasa*V44,0)</f>
        <v/>
      </c>
      <c r="X44" s="7">
        <f>impuestos_ssTasa*MIN(U44,impuestos_ssTope*C44)+impuestos_medicareTasa*U44+impuestos_medicareAdicional*MAX(0,U44+H44*0.9235-impuestos_medicareUmbral)</f>
        <v/>
      </c>
      <c r="Y44" s="7">
        <f>MAX(0,D44-O44+R44+T44+H44-W44/2)</f>
        <v/>
      </c>
      <c r="Z44" s="7">
        <f>MAX(0,Y44-impuestos_deduccionEstandar*C44)</f>
        <v/>
      </c>
      <c r="AA44" s="7">
        <f>MIN(0.2*MAX(0,T44+H44-W44/2)*MAX(0,MIN(1,1-(Z44-impuestos_qbiUmbral*C44)/(impuestos_qbiRango*C44))),0.2*Z44)</f>
        <v/>
      </c>
      <c r="AB44" s="7">
        <f>MAX(0,Z44-AA44)</f>
        <v/>
      </c>
      <c r="AC44" s="7">
        <f>SUMPRODUCT((AB44&gt;tb_federalBrackets_lo*C44)*(AB44-tb_federalBrackets_lo*C44)*tb_federalBrackets_dr)</f>
        <v/>
      </c>
      <c r="AD44" s="7">
        <f>MAX(0,Y44-impuestos_nyDeduccion*C44)</f>
        <v/>
      </c>
      <c r="AE44" s="7">
        <f>CHOOSE(loc_taxcode,0,impuestos_ohTasa*MAX(0,Y44-impuestos_ohExento*C44)+impuestos_ohMunicipal*U44,SUMPRODUCT((AD44&gt;tb_nyBrackets_lo*C44)*(AD44-tb_nyBrackets_lo*C44)*tb_nyBrackets_dr)+loc_nyc*SUMPRODUCT((AD44&gt;tb_nycBrackets_lo*C44)*(AD44-tb_nycBrackets_lo*C44)*tb_nycBrackets_dr))</f>
        <v/>
      </c>
      <c r="AF44" s="7">
        <f>AC44+AE44+X44+W44</f>
        <v/>
      </c>
      <c r="AG44" s="7">
        <f>D44+F44+R44+T44+H44</f>
        <v/>
      </c>
      <c r="AH44" s="7">
        <f>AG44-AF44-O44</f>
        <v/>
      </c>
      <c r="AI44" s="7">
        <f>D44+F44+G44+H44</f>
        <v/>
      </c>
      <c r="AJ44" s="7">
        <f>loc_gastosVida*C44*g_gastos</f>
        <v/>
      </c>
      <c r="AK44" s="7">
        <f>IF(11=0,personal_liquidoInicial,DR43)</f>
        <v/>
      </c>
      <c r="AL44" s="7">
        <f>IF(11=0,0,BB43)</f>
        <v/>
      </c>
      <c r="AM44" s="7">
        <f>CHOOSE(sel_cfgIdx,loc_precio_duplex,loc_precio_inlaw,loc_precio_dosCasas,loc_precio_casaAdu,loc_precio_multi)</f>
        <v/>
      </c>
      <c r="AN44" s="7">
        <f>AM44*(1+g_appr)^(A44-2026)</f>
        <v/>
      </c>
      <c r="AO44" s="7">
        <f>IF(AND(M44=1,vivienda_prestamoMedico=1),1,0)</f>
        <v/>
      </c>
      <c r="AP44" s="7">
        <f>IF(AO44=1,0.05,vivienda_enganchePct)</f>
        <v/>
      </c>
      <c r="AQ44" s="7">
        <f>AN44*(1-AP44)</f>
        <v/>
      </c>
      <c r="AR44" s="7">
        <f>PMT(g_mortRate/12,vivienda_plazoHipoteca*12,-AQ44)</f>
        <v/>
      </c>
      <c r="AS44" s="7">
        <f>INDEX(cfg_units,sel_cfgIdx)</f>
        <v/>
      </c>
      <c r="AT44" s="7">
        <f>AS44*loc_rentaUnidad*(1+g_inf)^(A44-2026)*(1-vivienda_vacancia)</f>
        <v/>
      </c>
      <c r="AU44" s="7">
        <f>AR44+AN44*loc_impuestoPropPct/12+AM44*loc_seguroPct*(1+vivienda_inflacionSeguro)^(A44-2026)/12+IF(AND(AO44=0,AP44&lt;0.2),AQ44*vivienda_pmiTasa/12,0)</f>
        <v/>
      </c>
      <c r="AV44" s="7">
        <f>AN44*AP44+AN44*vivienda_cierrePct+general_reservaMeses/12*AJ44</f>
        <v/>
      </c>
      <c r="AW44" s="7">
        <f>(IF(11=0,MIN(personal_irsSaldo,personal_irsPagoMensual*12),MIN(CD43,personal_irsPagoMensual*12))+IF(CE44&gt;0,PMT(CF44,MAX(1,prestamos_plazoAnios-CG44),-CE44),0)+IF(CR44&gt;0,PMT(CS44,MAX(1,prestamos_plazoAnios-CT44),-CR44),0))/12</f>
        <v/>
      </c>
      <c r="AX44" s="7">
        <f>IF(OR(sel_cfg="duplex",sel_cfg="multi",sel_cfg="dosCasas"),0.75*personal_aporteFamiliaMensual,0)</f>
        <v/>
      </c>
      <c r="AY44" s="7">
        <f>AU44-0.75*AT44-AX44+AW44</f>
        <v/>
      </c>
      <c r="AZ44" s="7">
        <f>(D44+G44+H44+0.5*F44)/12</f>
        <v/>
      </c>
      <c r="BA44" s="7">
        <f>IF(AND(AL44=0,A44&gt;=vivienda_anioMinCompra,J44&lt;0.5,AI44&gt;0,AK44&gt;=AV44,AY44&lt;=vivienda_dtiMax*AZ44),1,0)</f>
        <v/>
      </c>
      <c r="BB44" s="7">
        <f>MAX(AL44,BA44)</f>
        <v/>
      </c>
      <c r="BC44" s="7">
        <f>IF(BA44=1,A44,IF(11=0,"",BC43))</f>
        <v/>
      </c>
      <c r="BD44" s="7">
        <f>AK44-IF(BA44=1,AN44*AP44+AN44*vivienda_cierrePct,0)</f>
        <v/>
      </c>
      <c r="BE44" s="7">
        <f>IF(BA44=1,AN44,IF(11=0,0,BE43))</f>
        <v/>
      </c>
      <c r="BF44" s="7">
        <f>IF(BA44=1,AR44,IF(11=0,0,BF43))</f>
        <v/>
      </c>
      <c r="BG44" s="7">
        <f>IF(BA44=1,IF(AND(AO44=0,AP44&lt;0.2),1,0),IF(11=0,0,BY43))</f>
        <v/>
      </c>
      <c r="BH44" s="7">
        <f>IF(sel_cfg="casaAdu",1,0)</f>
        <v/>
      </c>
      <c r="BI44" s="7">
        <f>IF(AND(BB44=1,BH44=1,IF(11=0,0,BJ43)=0,A44&gt;=IF(BC44="",9999,BC44)+vivienda_aduRetrasoAnios),1,0)</f>
        <v/>
      </c>
      <c r="BJ44" s="7">
        <f>MAX(IF(11=0,0,BJ43),BI44)</f>
        <v/>
      </c>
      <c r="BK44" s="7">
        <f>IF(BI44=1,PMT((g_mortRate+0.005)/12,180,-loc_precio_aduCosto*C44),IF(11=0,0,BK43))</f>
        <v/>
      </c>
      <c r="BL44" s="7">
        <f>IF(BA44=1,AN44,IF(11=0,0,DT43))+IF(BI44=1,loc_precio_aduCosto*C44,0)</f>
        <v/>
      </c>
      <c r="BM44" s="7">
        <f>IF(BA44=1,AQ44,IF(11=0,0,DU43))</f>
        <v/>
      </c>
      <c r="BN44" s="7">
        <f>IF(BM44&lt;=0,0,FV(g_mortRate/12,12,BF44,-BM44))</f>
        <v/>
      </c>
      <c r="BO44" s="7">
        <f>IF(BM44&lt;=0,0,12*BF44+MIN(0,BN44))</f>
        <v/>
      </c>
      <c r="BP44" s="7">
        <f>MAX(0,BN44)</f>
        <v/>
      </c>
      <c r="BQ44" s="7">
        <f>IF(BI44=1,loc_precio_aduCosto*C44,IF(11=0,0,DV43))</f>
        <v/>
      </c>
      <c r="BR44" s="7">
        <f>IF(BQ44&lt;=0,0,FV((g_mortRate+0.005)/12,12,BK44,-BQ44))</f>
        <v/>
      </c>
      <c r="BS44" s="7">
        <f>IF(BQ44&lt;=0,0,12*BK44+MIN(0,BR44))</f>
        <v/>
      </c>
      <c r="BT44" s="7">
        <f>MAX(0,BR44)</f>
        <v/>
      </c>
      <c r="BU44" s="7">
        <f>IF(BB44=1,AM44*loc_seguroPct*(1+vivienda_inflacionSeguro)^(A44-2026)*IF(BJ44=1,1+loc_precio_aduCosto/AM44,1),0)</f>
        <v/>
      </c>
      <c r="BV44" s="7">
        <f>BL44*loc_impuestoPropPct</f>
        <v/>
      </c>
      <c r="BW44" s="7">
        <f>BL44*vivienda_mantenimientoPct</f>
        <v/>
      </c>
      <c r="BX44" s="7">
        <f>IF(AND(BG44=1,BP44&gt;0.8*BE44),BE44*(1-vivienda_enganchePct)*vivienda_pmiTasa,0)</f>
        <v/>
      </c>
      <c r="BY44" s="7">
        <f>IF(AND(BG44=1,BP44&gt;0.8*BE44),1,0)</f>
        <v/>
      </c>
      <c r="BZ44" s="7">
        <f>IF(BB44=1,AS44*loc_rentaUnidad*12*C44*(1-vivienda_vacancia)*(1-vivienda_gestionPct),0)</f>
        <v/>
      </c>
      <c r="CA44" s="7">
        <f>IF(BB44=1,BO44+BS44+BU44+BV44+BW44+BX44,loc_rentaMensual*12*C44)</f>
        <v/>
      </c>
      <c r="CB44" s="7">
        <f>IF(BB44=1,personal_aporteFamiliaMensual*12,0)</f>
        <v/>
      </c>
      <c r="CC44" s="7">
        <f>MIN(IF(11=0,personal_irsSaldo,CD43),personal_irsPagoMensual*12)</f>
        <v/>
      </c>
      <c r="CD44" s="7">
        <f>IF(11=0,personal_irsSaldo,CD43)-CC44</f>
        <v/>
      </c>
      <c r="CE44" s="7">
        <f>IF(11=0,IF(personal_deudaEsFederal=1,personal_deudaEstudiantil,0),DW43)</f>
        <v/>
      </c>
      <c r="CF44" s="7">
        <f>IF(11=0,personal_tasaDeudaEstudiantil,DX43)</f>
        <v/>
      </c>
      <c r="CG44" s="7">
        <f>IF(11=0,0,DY43)</f>
        <v/>
      </c>
      <c r="CH44" s="7">
        <f>IF(J44&gt;=0.5,1,0)</f>
        <v/>
      </c>
      <c r="CI44" s="7">
        <f>IF(AND(CH44=0,prestamos_pslfActivo=1,K44&gt;=0.5,CE44&gt;0),1,0)</f>
        <v/>
      </c>
      <c r="CJ44" s="7">
        <f>CE44*CF44</f>
        <v/>
      </c>
      <c r="CK44" s="7">
        <f>MAX(prestamos_rapPagoMinimoAnual,IF(Y44&lt;10000,0,MIN(0.1,INT(Y44/10000)/100))*Y44)</f>
        <v/>
      </c>
      <c r="CL44" s="7">
        <f>IF(CE44&lt;=0,0,IF(CH44=1,0,IF(CI44=1,MIN(CE44+CJ44,CK44),PMT(CF44,MAX(1,prestamos_plazoAnios-CG44),-CE44))))</f>
        <v/>
      </c>
      <c r="CM44" s="7">
        <f>IF(CE44&lt;=0,0,IF(CH44=1,CE44+CJ44,IF(CI44=1,MAX(0,CE44-MAX(CL44-CJ44,MIN(600,CL44))),MAX(0,CE44*(1+CF44)-CL44))))</f>
        <v/>
      </c>
      <c r="CN44" s="7">
        <f>IF(11=0,0,CN43)+IF(CI44=1,12*MIN(1,K44),0)</f>
        <v/>
      </c>
      <c r="CO44" s="7">
        <f>IF(AND(CI44=1,CN44&gt;=prestamos_pslfPagos,CM44&gt;0),CM44,0)</f>
        <v/>
      </c>
      <c r="CP44" s="7">
        <f>CM44-CO44</f>
        <v/>
      </c>
      <c r="CQ44" s="7">
        <f>IF(AND(CE44&gt;0,CH44=0,CI44=0),CG44+1,CG44)</f>
        <v/>
      </c>
      <c r="CR44" s="7">
        <f>IF(11=0,IF(personal_deudaEsFederal=1,0,personal_deudaEstudiantil),EA43)</f>
        <v/>
      </c>
      <c r="CS44" s="7">
        <f>IF(11=0,IF(personal_deudaEsFederal=1,prestamos_tasaPrivada,personal_tasaDeudaEstudiantil),EB43)</f>
        <v/>
      </c>
      <c r="CT44" s="7">
        <f>IF(11=0,0,EC43)</f>
        <v/>
      </c>
      <c r="CU44" s="7">
        <f>IF(OR(CR44&lt;=0,CH44=1),0,PMT(CS44,MAX(1,prestamos_plazoAnios-CT44),-CR44))</f>
        <v/>
      </c>
      <c r="CV44" s="7">
        <f>IF(CR44&lt;=0,0,IF(CH44=1,CR44*(1+CS44),MAX(0,CR44*(1+CS44)-CU44)))</f>
        <v/>
      </c>
      <c r="CW44" s="7">
        <f>IF(AND(CR44&gt;0,CH44=0),CT44+1,CT44)</f>
        <v/>
      </c>
      <c r="CX44" s="7">
        <f>IF(11=0,0,ED43)*(1+general_tasaDeudaConsumo)</f>
        <v/>
      </c>
      <c r="CY44" s="7">
        <f>L44*12*tiempos_travelGastoExtraMes*C44</f>
        <v/>
      </c>
      <c r="CZ44" s="7">
        <f>AJ44+CY44+CA44+CC44+CL44+CU44+I44+N44-BZ44-CB44</f>
        <v/>
      </c>
      <c r="DA44" s="7">
        <f>AH44-CZ44</f>
        <v/>
      </c>
      <c r="DB44" s="7">
        <f>IF(11=0,0,DB43)+DA44</f>
        <v/>
      </c>
      <c r="DC44" s="7">
        <f>AN44*vivienda_enganchePct+AN44*vivienda_cierrePct+general_reservaMeses/12*AJ44</f>
        <v/>
      </c>
      <c r="DD44" s="7">
        <f>IF(BB44=1,g_ret,IF(BD44&gt;0,MIN(1,DC44/BD44),1)*g_cash+(1-IF(BD44&gt;0,MIN(1,DC44/BD44),1))*g_ret)</f>
        <v/>
      </c>
      <c r="DE44" s="7">
        <f>IF(DA44&gt;=0,MIN(CX44,DA44),0)</f>
        <v/>
      </c>
      <c r="DF44" s="7">
        <f>IF(DA44&gt;=0,(1-general_tasaAhorro)*(DA44-DE44),0)</f>
        <v/>
      </c>
      <c r="DG44" s="7">
        <f>IF(DA44&gt;=0,DA44-DE44-DF44,0)</f>
        <v/>
      </c>
      <c r="DH44" s="7">
        <f>MIN(personal_rothAnual,DG44)</f>
        <v/>
      </c>
      <c r="DI44" s="7">
        <f>IF(AND(DA44&gt;=0,BB44=1,BP44+BT44&gt;0),MIN(vivienda_prepagoPct*(DG44-DH44),BP44+BT44),0)</f>
        <v/>
      </c>
      <c r="DJ44" s="7">
        <f>MIN(DI44,BP44)</f>
        <v/>
      </c>
      <c r="DK44" s="7">
        <f>IF(DA44&lt;0,MIN(MAX(0,BD44),-DA44),0)</f>
        <v/>
      </c>
      <c r="DL44" s="7">
        <f>IF(DA44&lt;0,-DA44-DK44,0)</f>
        <v/>
      </c>
      <c r="DM44" s="7">
        <f>IF(11=0,0,DZ43)</f>
        <v/>
      </c>
      <c r="DN44" s="7">
        <f>IF(AND(DL44&gt;0,J44&gt;0),MIN(DL44,MIN(prestamos_topeAnualPosgrado*MIN(1,J44),MAX(0,prestamos_topeTotalPosgrado-DM44))),0)</f>
        <v/>
      </c>
      <c r="DO44" s="7">
        <f>IF(AND(DL44&gt;0,J44&gt;0),DL44-DN44,0)</f>
        <v/>
      </c>
      <c r="DP44" s="7">
        <f>IF(AND(DL44&gt;0,J44&lt;=0),DL44,0)</f>
        <v/>
      </c>
      <c r="DQ44" s="7">
        <f>IF(DA44&gt;=0,DG44-DH44-DI44,-DK44)</f>
        <v/>
      </c>
      <c r="DR44" s="7">
        <f>BD44*(1+DD44)+DQ44*(1+DD44/2)</f>
        <v/>
      </c>
      <c r="DS44" s="7">
        <f>IF(11=0,personal_retiroInicial,DS43)*(1+g_ret)+(O44+P44+DH44)*(1+g_ret/2)</f>
        <v/>
      </c>
      <c r="DT44" s="7">
        <f>IF(BB44=1,BL44*(1+g_appr),0)</f>
        <v/>
      </c>
      <c r="DU44" s="7">
        <f>BP44-DJ44</f>
        <v/>
      </c>
      <c r="DV44" s="7">
        <f>BT44-(DI44-DJ44)</f>
        <v/>
      </c>
      <c r="DW44" s="7">
        <f>CP44+DN44</f>
        <v/>
      </c>
      <c r="DX44" s="7">
        <f>IF(DN44&gt;0,(CP44*CF44+DN44*prestamos_tasaFederalPosgrado)/(CP44+DN44),CF44)</f>
        <v/>
      </c>
      <c r="DY44" s="7">
        <f>IF(DN44&gt;0,0,CQ44)</f>
        <v/>
      </c>
      <c r="DZ44" s="7">
        <f>DM44+DN44</f>
        <v/>
      </c>
      <c r="EA44" s="7">
        <f>CV44+DO44</f>
        <v/>
      </c>
      <c r="EB44" s="7">
        <f>IF(DO44&gt;0,(CV44*CS44+DO44*prestamos_tasaPrivada)/(CV44+DO44),CS44)</f>
        <v/>
      </c>
      <c r="EC44" s="7">
        <f>IF(DO44&gt;0,0,CW44)</f>
        <v/>
      </c>
      <c r="ED44" s="7">
        <f>CX44-DE44+DP44</f>
        <v/>
      </c>
      <c r="EE44" s="7">
        <f>IF(IF(11=0,"",EE43)&lt;&gt;"",EE43,IF(AND(BB44=1,DU44&lt;=0.5,DV44&lt;=0.5,OR(BH44=0,BJ44=1)),A44,""))</f>
        <v/>
      </c>
      <c r="EF44" s="7">
        <f>DU44+DV44+DW44+EA44+ED44+CD44</f>
        <v/>
      </c>
      <c r="EG44" s="7">
        <f>DR44+DS44+DT44-EF44</f>
        <v/>
      </c>
      <c r="EH44" s="7">
        <f>EG44/(1+g_inf)^(A44+1-2026)</f>
        <v/>
      </c>
    </row>
    <row r="45">
      <c r="A45" t="n">
        <v>2039</v>
      </c>
      <c r="B45" t="n">
        <v>12</v>
      </c>
      <c r="C45" s="7">
        <f>(1+g_inf)^(A45-2026)</f>
        <v/>
      </c>
      <c r="D45" s="7">
        <f>SUMPRODUCT($AF$5:$AF$29,$E$5:$E$29*(1+$F$5:$F$29)^(A45-2026)*$G$5:$G$29*$H$5:$H$29*(1-$N$5:$N$29*$O$5:$O$29))*g_salMult+SUMPRODUCT(($B$5:$B$29&gt;=A45)*($B$5:$B$29&lt;A45+1)*$I$5:$I$29)*g_salMult</f>
        <v/>
      </c>
      <c r="E45" s="7">
        <f>SUMPRODUCT($AF$5:$AF$29,$E$5:$E$29*(1+$F$5:$F$29)^(A45-2026)*$G$5:$G$29*$H$5:$H$29*$M$5:$M$29)*g_salMult</f>
        <v/>
      </c>
      <c r="F45" s="7">
        <f>SUMPRODUCT($AF$5:$AF$29,$E$5:$E$29*(1+$F$5:$F$29)^(A45-2026)*$G$5:$G$29*$H$5:$H$29*$N$5:$N$29*$O$5:$O$29)*g_salMult</f>
        <v/>
      </c>
      <c r="G45" s="7">
        <f>SUMPRODUCT($AF$5:$AF$29,$P$5:$P$29*(1+$F$5:$F$29)^(A45-2026))</f>
        <v/>
      </c>
      <c r="H45" s="7">
        <f>SUMPRODUCT($AF$5:$AF$29,$Q$5:$Q$29*(1+$F$5:$F$29)^(A45-2026))+IF(personal_llcActivo=1,personal_llcNeto*(1+personal_llcCrecimiento)^12,0)</f>
        <v/>
      </c>
      <c r="I45" s="7">
        <f>SUMPRODUCT($AF$5:$AF$29,$J$5:$J$29/($C$5:$C$29-$B$5:$B$29+($C$5:$C$29=$B$5:$B$29)))*C45</f>
        <v/>
      </c>
      <c r="J45" s="7">
        <f>SUMPRODUCT($AF$5:$AF$29,$K$5:$K$29)</f>
        <v/>
      </c>
      <c r="K45" s="7">
        <f>SUMPRODUCT($AF$5:$AF$29,$L$5:$L$29)</f>
        <v/>
      </c>
      <c r="L45" s="7">
        <f>SUMPRODUCT($AF$5:$AF$29,$N$5:$N$29)</f>
        <v/>
      </c>
      <c r="M45" s="7">
        <f>IF(SUMPRODUCT($AF$5:$AF$29,$R$5:$R$29)&gt;0,1,0)</f>
        <v/>
      </c>
      <c r="N45" s="7">
        <f>SUMPRODUCT(($AO$5:$AO$24&gt;=A45)*($AO$5:$AO$24&lt;A45+1)*$AP$5:$AP$24)*C45+IF(12=0,IF(sel_loc&lt;&gt;"miami",personal_costoMudanzaInicial,0),0)</f>
        <v/>
      </c>
      <c r="O45" s="7">
        <f>MIN(personal_aporte403bPct*D45,retiro_limite403b*C45)</f>
        <v/>
      </c>
      <c r="P45" s="7">
        <f>MIN(personal_aporte403bPct,personal_match403bPct)*E45</f>
        <v/>
      </c>
      <c r="Q45" s="7">
        <f>IF(G45&gt;0,MAX(0,G45-impuestos_scorpCostoAnual*C45),0)</f>
        <v/>
      </c>
      <c r="R45" s="7">
        <f>Q45*impuestos_scorpSalarioPct/(1+impuestos_ssTasa+impuestos_medicareTasa)</f>
        <v/>
      </c>
      <c r="S45" s="7">
        <f>impuestos_ssTasa*MIN(R45,MAX(0,impuestos_ssTope*C45-D45))+impuestos_medicareTasa*R45</f>
        <v/>
      </c>
      <c r="T45" s="7">
        <f>Q45-R45-S45</f>
        <v/>
      </c>
      <c r="U45" s="7">
        <f>D45+R45</f>
        <v/>
      </c>
      <c r="V45" s="7">
        <f>H45*0.9235</f>
        <v/>
      </c>
      <c r="W45" s="7">
        <f>IF(H45&gt;0,2*impuestos_ssTasa*MIN(V45,MAX(0,impuestos_ssTope*C45-U45))+2*impuestos_medicareTasa*V45,0)</f>
        <v/>
      </c>
      <c r="X45" s="7">
        <f>impuestos_ssTasa*MIN(U45,impuestos_ssTope*C45)+impuestos_medicareTasa*U45+impuestos_medicareAdicional*MAX(0,U45+H45*0.9235-impuestos_medicareUmbral)</f>
        <v/>
      </c>
      <c r="Y45" s="7">
        <f>MAX(0,D45-O45+R45+T45+H45-W45/2)</f>
        <v/>
      </c>
      <c r="Z45" s="7">
        <f>MAX(0,Y45-impuestos_deduccionEstandar*C45)</f>
        <v/>
      </c>
      <c r="AA45" s="7">
        <f>MIN(0.2*MAX(0,T45+H45-W45/2)*MAX(0,MIN(1,1-(Z45-impuestos_qbiUmbral*C45)/(impuestos_qbiRango*C45))),0.2*Z45)</f>
        <v/>
      </c>
      <c r="AB45" s="7">
        <f>MAX(0,Z45-AA45)</f>
        <v/>
      </c>
      <c r="AC45" s="7">
        <f>SUMPRODUCT((AB45&gt;tb_federalBrackets_lo*C45)*(AB45-tb_federalBrackets_lo*C45)*tb_federalBrackets_dr)</f>
        <v/>
      </c>
      <c r="AD45" s="7">
        <f>MAX(0,Y45-impuestos_nyDeduccion*C45)</f>
        <v/>
      </c>
      <c r="AE45" s="7">
        <f>CHOOSE(loc_taxcode,0,impuestos_ohTasa*MAX(0,Y45-impuestos_ohExento*C45)+impuestos_ohMunicipal*U45,SUMPRODUCT((AD45&gt;tb_nyBrackets_lo*C45)*(AD45-tb_nyBrackets_lo*C45)*tb_nyBrackets_dr)+loc_nyc*SUMPRODUCT((AD45&gt;tb_nycBrackets_lo*C45)*(AD45-tb_nycBrackets_lo*C45)*tb_nycBrackets_dr))</f>
        <v/>
      </c>
      <c r="AF45" s="7">
        <f>AC45+AE45+X45+W45</f>
        <v/>
      </c>
      <c r="AG45" s="7">
        <f>D45+F45+R45+T45+H45</f>
        <v/>
      </c>
      <c r="AH45" s="7">
        <f>AG45-AF45-O45</f>
        <v/>
      </c>
      <c r="AI45" s="7">
        <f>D45+F45+G45+H45</f>
        <v/>
      </c>
      <c r="AJ45" s="7">
        <f>loc_gastosVida*C45*g_gastos</f>
        <v/>
      </c>
      <c r="AK45" s="7">
        <f>IF(12=0,personal_liquidoInicial,DR44)</f>
        <v/>
      </c>
      <c r="AL45" s="7">
        <f>IF(12=0,0,BB44)</f>
        <v/>
      </c>
      <c r="AM45" s="7">
        <f>CHOOSE(sel_cfgIdx,loc_precio_duplex,loc_precio_inlaw,loc_precio_dosCasas,loc_precio_casaAdu,loc_precio_multi)</f>
        <v/>
      </c>
      <c r="AN45" s="7">
        <f>AM45*(1+g_appr)^(A45-2026)</f>
        <v/>
      </c>
      <c r="AO45" s="7">
        <f>IF(AND(M45=1,vivienda_prestamoMedico=1),1,0)</f>
        <v/>
      </c>
      <c r="AP45" s="7">
        <f>IF(AO45=1,0.05,vivienda_enganchePct)</f>
        <v/>
      </c>
      <c r="AQ45" s="7">
        <f>AN45*(1-AP45)</f>
        <v/>
      </c>
      <c r="AR45" s="7">
        <f>PMT(g_mortRate/12,vivienda_plazoHipoteca*12,-AQ45)</f>
        <v/>
      </c>
      <c r="AS45" s="7">
        <f>INDEX(cfg_units,sel_cfgIdx)</f>
        <v/>
      </c>
      <c r="AT45" s="7">
        <f>AS45*loc_rentaUnidad*(1+g_inf)^(A45-2026)*(1-vivienda_vacancia)</f>
        <v/>
      </c>
      <c r="AU45" s="7">
        <f>AR45+AN45*loc_impuestoPropPct/12+AM45*loc_seguroPct*(1+vivienda_inflacionSeguro)^(A45-2026)/12+IF(AND(AO45=0,AP45&lt;0.2),AQ45*vivienda_pmiTasa/12,0)</f>
        <v/>
      </c>
      <c r="AV45" s="7">
        <f>AN45*AP45+AN45*vivienda_cierrePct+general_reservaMeses/12*AJ45</f>
        <v/>
      </c>
      <c r="AW45" s="7">
        <f>(IF(12=0,MIN(personal_irsSaldo,personal_irsPagoMensual*12),MIN(CD44,personal_irsPagoMensual*12))+IF(CE45&gt;0,PMT(CF45,MAX(1,prestamos_plazoAnios-CG45),-CE45),0)+IF(CR45&gt;0,PMT(CS45,MAX(1,prestamos_plazoAnios-CT45),-CR45),0))/12</f>
        <v/>
      </c>
      <c r="AX45" s="7">
        <f>IF(OR(sel_cfg="duplex",sel_cfg="multi",sel_cfg="dosCasas"),0.75*personal_aporteFamiliaMensual,0)</f>
        <v/>
      </c>
      <c r="AY45" s="7">
        <f>AU45-0.75*AT45-AX45+AW45</f>
        <v/>
      </c>
      <c r="AZ45" s="7">
        <f>(D45+G45+H45+0.5*F45)/12</f>
        <v/>
      </c>
      <c r="BA45" s="7">
        <f>IF(AND(AL45=0,A45&gt;=vivienda_anioMinCompra,J45&lt;0.5,AI45&gt;0,AK45&gt;=AV45,AY45&lt;=vivienda_dtiMax*AZ45),1,0)</f>
        <v/>
      </c>
      <c r="BB45" s="7">
        <f>MAX(AL45,BA45)</f>
        <v/>
      </c>
      <c r="BC45" s="7">
        <f>IF(BA45=1,A45,IF(12=0,"",BC44))</f>
        <v/>
      </c>
      <c r="BD45" s="7">
        <f>AK45-IF(BA45=1,AN45*AP45+AN45*vivienda_cierrePct,0)</f>
        <v/>
      </c>
      <c r="BE45" s="7">
        <f>IF(BA45=1,AN45,IF(12=0,0,BE44))</f>
        <v/>
      </c>
      <c r="BF45" s="7">
        <f>IF(BA45=1,AR45,IF(12=0,0,BF44))</f>
        <v/>
      </c>
      <c r="BG45" s="7">
        <f>IF(BA45=1,IF(AND(AO45=0,AP45&lt;0.2),1,0),IF(12=0,0,BY44))</f>
        <v/>
      </c>
      <c r="BH45" s="7">
        <f>IF(sel_cfg="casaAdu",1,0)</f>
        <v/>
      </c>
      <c r="BI45" s="7">
        <f>IF(AND(BB45=1,BH45=1,IF(12=0,0,BJ44)=0,A45&gt;=IF(BC45="",9999,BC45)+vivienda_aduRetrasoAnios),1,0)</f>
        <v/>
      </c>
      <c r="BJ45" s="7">
        <f>MAX(IF(12=0,0,BJ44),BI45)</f>
        <v/>
      </c>
      <c r="BK45" s="7">
        <f>IF(BI45=1,PMT((g_mortRate+0.005)/12,180,-loc_precio_aduCosto*C45),IF(12=0,0,BK44))</f>
        <v/>
      </c>
      <c r="BL45" s="7">
        <f>IF(BA45=1,AN45,IF(12=0,0,DT44))+IF(BI45=1,loc_precio_aduCosto*C45,0)</f>
        <v/>
      </c>
      <c r="BM45" s="7">
        <f>IF(BA45=1,AQ45,IF(12=0,0,DU44))</f>
        <v/>
      </c>
      <c r="BN45" s="7">
        <f>IF(BM45&lt;=0,0,FV(g_mortRate/12,12,BF45,-BM45))</f>
        <v/>
      </c>
      <c r="BO45" s="7">
        <f>IF(BM45&lt;=0,0,12*BF45+MIN(0,BN45))</f>
        <v/>
      </c>
      <c r="BP45" s="7">
        <f>MAX(0,BN45)</f>
        <v/>
      </c>
      <c r="BQ45" s="7">
        <f>IF(BI45=1,loc_precio_aduCosto*C45,IF(12=0,0,DV44))</f>
        <v/>
      </c>
      <c r="BR45" s="7">
        <f>IF(BQ45&lt;=0,0,FV((g_mortRate+0.005)/12,12,BK45,-BQ45))</f>
        <v/>
      </c>
      <c r="BS45" s="7">
        <f>IF(BQ45&lt;=0,0,12*BK45+MIN(0,BR45))</f>
        <v/>
      </c>
      <c r="BT45" s="7">
        <f>MAX(0,BR45)</f>
        <v/>
      </c>
      <c r="BU45" s="7">
        <f>IF(BB45=1,AM45*loc_seguroPct*(1+vivienda_inflacionSeguro)^(A45-2026)*IF(BJ45=1,1+loc_precio_aduCosto/AM45,1),0)</f>
        <v/>
      </c>
      <c r="BV45" s="7">
        <f>BL45*loc_impuestoPropPct</f>
        <v/>
      </c>
      <c r="BW45" s="7">
        <f>BL45*vivienda_mantenimientoPct</f>
        <v/>
      </c>
      <c r="BX45" s="7">
        <f>IF(AND(BG45=1,BP45&gt;0.8*BE45),BE45*(1-vivienda_enganchePct)*vivienda_pmiTasa,0)</f>
        <v/>
      </c>
      <c r="BY45" s="7">
        <f>IF(AND(BG45=1,BP45&gt;0.8*BE45),1,0)</f>
        <v/>
      </c>
      <c r="BZ45" s="7">
        <f>IF(BB45=1,AS45*loc_rentaUnidad*12*C45*(1-vivienda_vacancia)*(1-vivienda_gestionPct),0)</f>
        <v/>
      </c>
      <c r="CA45" s="7">
        <f>IF(BB45=1,BO45+BS45+BU45+BV45+BW45+BX45,loc_rentaMensual*12*C45)</f>
        <v/>
      </c>
      <c r="CB45" s="7">
        <f>IF(BB45=1,personal_aporteFamiliaMensual*12,0)</f>
        <v/>
      </c>
      <c r="CC45" s="7">
        <f>MIN(IF(12=0,personal_irsSaldo,CD44),personal_irsPagoMensual*12)</f>
        <v/>
      </c>
      <c r="CD45" s="7">
        <f>IF(12=0,personal_irsSaldo,CD44)-CC45</f>
        <v/>
      </c>
      <c r="CE45" s="7">
        <f>IF(12=0,IF(personal_deudaEsFederal=1,personal_deudaEstudiantil,0),DW44)</f>
        <v/>
      </c>
      <c r="CF45" s="7">
        <f>IF(12=0,personal_tasaDeudaEstudiantil,DX44)</f>
        <v/>
      </c>
      <c r="CG45" s="7">
        <f>IF(12=0,0,DY44)</f>
        <v/>
      </c>
      <c r="CH45" s="7">
        <f>IF(J45&gt;=0.5,1,0)</f>
        <v/>
      </c>
      <c r="CI45" s="7">
        <f>IF(AND(CH45=0,prestamos_pslfActivo=1,K45&gt;=0.5,CE45&gt;0),1,0)</f>
        <v/>
      </c>
      <c r="CJ45" s="7">
        <f>CE45*CF45</f>
        <v/>
      </c>
      <c r="CK45" s="7">
        <f>MAX(prestamos_rapPagoMinimoAnual,IF(Y45&lt;10000,0,MIN(0.1,INT(Y45/10000)/100))*Y45)</f>
        <v/>
      </c>
      <c r="CL45" s="7">
        <f>IF(CE45&lt;=0,0,IF(CH45=1,0,IF(CI45=1,MIN(CE45+CJ45,CK45),PMT(CF45,MAX(1,prestamos_plazoAnios-CG45),-CE45))))</f>
        <v/>
      </c>
      <c r="CM45" s="7">
        <f>IF(CE45&lt;=0,0,IF(CH45=1,CE45+CJ45,IF(CI45=1,MAX(0,CE45-MAX(CL45-CJ45,MIN(600,CL45))),MAX(0,CE45*(1+CF45)-CL45))))</f>
        <v/>
      </c>
      <c r="CN45" s="7">
        <f>IF(12=0,0,CN44)+IF(CI45=1,12*MIN(1,K45),0)</f>
        <v/>
      </c>
      <c r="CO45" s="7">
        <f>IF(AND(CI45=1,CN45&gt;=prestamos_pslfPagos,CM45&gt;0),CM45,0)</f>
        <v/>
      </c>
      <c r="CP45" s="7">
        <f>CM45-CO45</f>
        <v/>
      </c>
      <c r="CQ45" s="7">
        <f>IF(AND(CE45&gt;0,CH45=0,CI45=0),CG45+1,CG45)</f>
        <v/>
      </c>
      <c r="CR45" s="7">
        <f>IF(12=0,IF(personal_deudaEsFederal=1,0,personal_deudaEstudiantil),EA44)</f>
        <v/>
      </c>
      <c r="CS45" s="7">
        <f>IF(12=0,IF(personal_deudaEsFederal=1,prestamos_tasaPrivada,personal_tasaDeudaEstudiantil),EB44)</f>
        <v/>
      </c>
      <c r="CT45" s="7">
        <f>IF(12=0,0,EC44)</f>
        <v/>
      </c>
      <c r="CU45" s="7">
        <f>IF(OR(CR45&lt;=0,CH45=1),0,PMT(CS45,MAX(1,prestamos_plazoAnios-CT45),-CR45))</f>
        <v/>
      </c>
      <c r="CV45" s="7">
        <f>IF(CR45&lt;=0,0,IF(CH45=1,CR45*(1+CS45),MAX(0,CR45*(1+CS45)-CU45)))</f>
        <v/>
      </c>
      <c r="CW45" s="7">
        <f>IF(AND(CR45&gt;0,CH45=0),CT45+1,CT45)</f>
        <v/>
      </c>
      <c r="CX45" s="7">
        <f>IF(12=0,0,ED44)*(1+general_tasaDeudaConsumo)</f>
        <v/>
      </c>
      <c r="CY45" s="7">
        <f>L45*12*tiempos_travelGastoExtraMes*C45</f>
        <v/>
      </c>
      <c r="CZ45" s="7">
        <f>AJ45+CY45+CA45+CC45+CL45+CU45+I45+N45-BZ45-CB45</f>
        <v/>
      </c>
      <c r="DA45" s="7">
        <f>AH45-CZ45</f>
        <v/>
      </c>
      <c r="DB45" s="7">
        <f>IF(12=0,0,DB44)+DA45</f>
        <v/>
      </c>
      <c r="DC45" s="7">
        <f>AN45*vivienda_enganchePct+AN45*vivienda_cierrePct+general_reservaMeses/12*AJ45</f>
        <v/>
      </c>
      <c r="DD45" s="7">
        <f>IF(BB45=1,g_ret,IF(BD45&gt;0,MIN(1,DC45/BD45),1)*g_cash+(1-IF(BD45&gt;0,MIN(1,DC45/BD45),1))*g_ret)</f>
        <v/>
      </c>
      <c r="DE45" s="7">
        <f>IF(DA45&gt;=0,MIN(CX45,DA45),0)</f>
        <v/>
      </c>
      <c r="DF45" s="7">
        <f>IF(DA45&gt;=0,(1-general_tasaAhorro)*(DA45-DE45),0)</f>
        <v/>
      </c>
      <c r="DG45" s="7">
        <f>IF(DA45&gt;=0,DA45-DE45-DF45,0)</f>
        <v/>
      </c>
      <c r="DH45" s="7">
        <f>MIN(personal_rothAnual,DG45)</f>
        <v/>
      </c>
      <c r="DI45" s="7">
        <f>IF(AND(DA45&gt;=0,BB45=1,BP45+BT45&gt;0),MIN(vivienda_prepagoPct*(DG45-DH45),BP45+BT45),0)</f>
        <v/>
      </c>
      <c r="DJ45" s="7">
        <f>MIN(DI45,BP45)</f>
        <v/>
      </c>
      <c r="DK45" s="7">
        <f>IF(DA45&lt;0,MIN(MAX(0,BD45),-DA45),0)</f>
        <v/>
      </c>
      <c r="DL45" s="7">
        <f>IF(DA45&lt;0,-DA45-DK45,0)</f>
        <v/>
      </c>
      <c r="DM45" s="7">
        <f>IF(12=0,0,DZ44)</f>
        <v/>
      </c>
      <c r="DN45" s="7">
        <f>IF(AND(DL45&gt;0,J45&gt;0),MIN(DL45,MIN(prestamos_topeAnualPosgrado*MIN(1,J45),MAX(0,prestamos_topeTotalPosgrado-DM45))),0)</f>
        <v/>
      </c>
      <c r="DO45" s="7">
        <f>IF(AND(DL45&gt;0,J45&gt;0),DL45-DN45,0)</f>
        <v/>
      </c>
      <c r="DP45" s="7">
        <f>IF(AND(DL45&gt;0,J45&lt;=0),DL45,0)</f>
        <v/>
      </c>
      <c r="DQ45" s="7">
        <f>IF(DA45&gt;=0,DG45-DH45-DI45,-DK45)</f>
        <v/>
      </c>
      <c r="DR45" s="7">
        <f>BD45*(1+DD45)+DQ45*(1+DD45/2)</f>
        <v/>
      </c>
      <c r="DS45" s="7">
        <f>IF(12=0,personal_retiroInicial,DS44)*(1+g_ret)+(O45+P45+DH45)*(1+g_ret/2)</f>
        <v/>
      </c>
      <c r="DT45" s="7">
        <f>IF(BB45=1,BL45*(1+g_appr),0)</f>
        <v/>
      </c>
      <c r="DU45" s="7">
        <f>BP45-DJ45</f>
        <v/>
      </c>
      <c r="DV45" s="7">
        <f>BT45-(DI45-DJ45)</f>
        <v/>
      </c>
      <c r="DW45" s="7">
        <f>CP45+DN45</f>
        <v/>
      </c>
      <c r="DX45" s="7">
        <f>IF(DN45&gt;0,(CP45*CF45+DN45*prestamos_tasaFederalPosgrado)/(CP45+DN45),CF45)</f>
        <v/>
      </c>
      <c r="DY45" s="7">
        <f>IF(DN45&gt;0,0,CQ45)</f>
        <v/>
      </c>
      <c r="DZ45" s="7">
        <f>DM45+DN45</f>
        <v/>
      </c>
      <c r="EA45" s="7">
        <f>CV45+DO45</f>
        <v/>
      </c>
      <c r="EB45" s="7">
        <f>IF(DO45&gt;0,(CV45*CS45+DO45*prestamos_tasaPrivada)/(CV45+DO45),CS45)</f>
        <v/>
      </c>
      <c r="EC45" s="7">
        <f>IF(DO45&gt;0,0,CW45)</f>
        <v/>
      </c>
      <c r="ED45" s="7">
        <f>CX45-DE45+DP45</f>
        <v/>
      </c>
      <c r="EE45" s="7">
        <f>IF(IF(12=0,"",EE44)&lt;&gt;"",EE44,IF(AND(BB45=1,DU45&lt;=0.5,DV45&lt;=0.5,OR(BH45=0,BJ45=1)),A45,""))</f>
        <v/>
      </c>
      <c r="EF45" s="7">
        <f>DU45+DV45+DW45+EA45+ED45+CD45</f>
        <v/>
      </c>
      <c r="EG45" s="7">
        <f>DR45+DS45+DT45-EF45</f>
        <v/>
      </c>
      <c r="EH45" s="7">
        <f>EG45/(1+g_inf)^(A45+1-2026)</f>
        <v/>
      </c>
    </row>
    <row r="46">
      <c r="A46" t="n">
        <v>2040</v>
      </c>
      <c r="B46" t="n">
        <v>13</v>
      </c>
      <c r="C46" s="7">
        <f>(1+g_inf)^(A46-2026)</f>
        <v/>
      </c>
      <c r="D46" s="7">
        <f>SUMPRODUCT($AG$5:$AG$29,$E$5:$E$29*(1+$F$5:$F$29)^(A46-2026)*$G$5:$G$29*$H$5:$H$29*(1-$N$5:$N$29*$O$5:$O$29))*g_salMult+SUMPRODUCT(($B$5:$B$29&gt;=A46)*($B$5:$B$29&lt;A46+1)*$I$5:$I$29)*g_salMult</f>
        <v/>
      </c>
      <c r="E46" s="7">
        <f>SUMPRODUCT($AG$5:$AG$29,$E$5:$E$29*(1+$F$5:$F$29)^(A46-2026)*$G$5:$G$29*$H$5:$H$29*$M$5:$M$29)*g_salMult</f>
        <v/>
      </c>
      <c r="F46" s="7">
        <f>SUMPRODUCT($AG$5:$AG$29,$E$5:$E$29*(1+$F$5:$F$29)^(A46-2026)*$G$5:$G$29*$H$5:$H$29*$N$5:$N$29*$O$5:$O$29)*g_salMult</f>
        <v/>
      </c>
      <c r="G46" s="7">
        <f>SUMPRODUCT($AG$5:$AG$29,$P$5:$P$29*(1+$F$5:$F$29)^(A46-2026))</f>
        <v/>
      </c>
      <c r="H46" s="7">
        <f>SUMPRODUCT($AG$5:$AG$29,$Q$5:$Q$29*(1+$F$5:$F$29)^(A46-2026))+IF(personal_llcActivo=1,personal_llcNeto*(1+personal_llcCrecimiento)^13,0)</f>
        <v/>
      </c>
      <c r="I46" s="7">
        <f>SUMPRODUCT($AG$5:$AG$29,$J$5:$J$29/($C$5:$C$29-$B$5:$B$29+($C$5:$C$29=$B$5:$B$29)))*C46</f>
        <v/>
      </c>
      <c r="J46" s="7">
        <f>SUMPRODUCT($AG$5:$AG$29,$K$5:$K$29)</f>
        <v/>
      </c>
      <c r="K46" s="7">
        <f>SUMPRODUCT($AG$5:$AG$29,$L$5:$L$29)</f>
        <v/>
      </c>
      <c r="L46" s="7">
        <f>SUMPRODUCT($AG$5:$AG$29,$N$5:$N$29)</f>
        <v/>
      </c>
      <c r="M46" s="7">
        <f>IF(SUMPRODUCT($AG$5:$AG$29,$R$5:$R$29)&gt;0,1,0)</f>
        <v/>
      </c>
      <c r="N46" s="7">
        <f>SUMPRODUCT(($AO$5:$AO$24&gt;=A46)*($AO$5:$AO$24&lt;A46+1)*$AP$5:$AP$24)*C46+IF(13=0,IF(sel_loc&lt;&gt;"miami",personal_costoMudanzaInicial,0),0)</f>
        <v/>
      </c>
      <c r="O46" s="7">
        <f>MIN(personal_aporte403bPct*D46,retiro_limite403b*C46)</f>
        <v/>
      </c>
      <c r="P46" s="7">
        <f>MIN(personal_aporte403bPct,personal_match403bPct)*E46</f>
        <v/>
      </c>
      <c r="Q46" s="7">
        <f>IF(G46&gt;0,MAX(0,G46-impuestos_scorpCostoAnual*C46),0)</f>
        <v/>
      </c>
      <c r="R46" s="7">
        <f>Q46*impuestos_scorpSalarioPct/(1+impuestos_ssTasa+impuestos_medicareTasa)</f>
        <v/>
      </c>
      <c r="S46" s="7">
        <f>impuestos_ssTasa*MIN(R46,MAX(0,impuestos_ssTope*C46-D46))+impuestos_medicareTasa*R46</f>
        <v/>
      </c>
      <c r="T46" s="7">
        <f>Q46-R46-S46</f>
        <v/>
      </c>
      <c r="U46" s="7">
        <f>D46+R46</f>
        <v/>
      </c>
      <c r="V46" s="7">
        <f>H46*0.9235</f>
        <v/>
      </c>
      <c r="W46" s="7">
        <f>IF(H46&gt;0,2*impuestos_ssTasa*MIN(V46,MAX(0,impuestos_ssTope*C46-U46))+2*impuestos_medicareTasa*V46,0)</f>
        <v/>
      </c>
      <c r="X46" s="7">
        <f>impuestos_ssTasa*MIN(U46,impuestos_ssTope*C46)+impuestos_medicareTasa*U46+impuestos_medicareAdicional*MAX(0,U46+H46*0.9235-impuestos_medicareUmbral)</f>
        <v/>
      </c>
      <c r="Y46" s="7">
        <f>MAX(0,D46-O46+R46+T46+H46-W46/2)</f>
        <v/>
      </c>
      <c r="Z46" s="7">
        <f>MAX(0,Y46-impuestos_deduccionEstandar*C46)</f>
        <v/>
      </c>
      <c r="AA46" s="7">
        <f>MIN(0.2*MAX(0,T46+H46-W46/2)*MAX(0,MIN(1,1-(Z46-impuestos_qbiUmbral*C46)/(impuestos_qbiRango*C46))),0.2*Z46)</f>
        <v/>
      </c>
      <c r="AB46" s="7">
        <f>MAX(0,Z46-AA46)</f>
        <v/>
      </c>
      <c r="AC46" s="7">
        <f>SUMPRODUCT((AB46&gt;tb_federalBrackets_lo*C46)*(AB46-tb_federalBrackets_lo*C46)*tb_federalBrackets_dr)</f>
        <v/>
      </c>
      <c r="AD46" s="7">
        <f>MAX(0,Y46-impuestos_nyDeduccion*C46)</f>
        <v/>
      </c>
      <c r="AE46" s="7">
        <f>CHOOSE(loc_taxcode,0,impuestos_ohTasa*MAX(0,Y46-impuestos_ohExento*C46)+impuestos_ohMunicipal*U46,SUMPRODUCT((AD46&gt;tb_nyBrackets_lo*C46)*(AD46-tb_nyBrackets_lo*C46)*tb_nyBrackets_dr)+loc_nyc*SUMPRODUCT((AD46&gt;tb_nycBrackets_lo*C46)*(AD46-tb_nycBrackets_lo*C46)*tb_nycBrackets_dr))</f>
        <v/>
      </c>
      <c r="AF46" s="7">
        <f>AC46+AE46+X46+W46</f>
        <v/>
      </c>
      <c r="AG46" s="7">
        <f>D46+F46+R46+T46+H46</f>
        <v/>
      </c>
      <c r="AH46" s="7">
        <f>AG46-AF46-O46</f>
        <v/>
      </c>
      <c r="AI46" s="7">
        <f>D46+F46+G46+H46</f>
        <v/>
      </c>
      <c r="AJ46" s="7">
        <f>loc_gastosVida*C46*g_gastos</f>
        <v/>
      </c>
      <c r="AK46" s="7">
        <f>IF(13=0,personal_liquidoInicial,DR45)</f>
        <v/>
      </c>
      <c r="AL46" s="7">
        <f>IF(13=0,0,BB45)</f>
        <v/>
      </c>
      <c r="AM46" s="7">
        <f>CHOOSE(sel_cfgIdx,loc_precio_duplex,loc_precio_inlaw,loc_precio_dosCasas,loc_precio_casaAdu,loc_precio_multi)</f>
        <v/>
      </c>
      <c r="AN46" s="7">
        <f>AM46*(1+g_appr)^(A46-2026)</f>
        <v/>
      </c>
      <c r="AO46" s="7">
        <f>IF(AND(M46=1,vivienda_prestamoMedico=1),1,0)</f>
        <v/>
      </c>
      <c r="AP46" s="7">
        <f>IF(AO46=1,0.05,vivienda_enganchePct)</f>
        <v/>
      </c>
      <c r="AQ46" s="7">
        <f>AN46*(1-AP46)</f>
        <v/>
      </c>
      <c r="AR46" s="7">
        <f>PMT(g_mortRate/12,vivienda_plazoHipoteca*12,-AQ46)</f>
        <v/>
      </c>
      <c r="AS46" s="7">
        <f>INDEX(cfg_units,sel_cfgIdx)</f>
        <v/>
      </c>
      <c r="AT46" s="7">
        <f>AS46*loc_rentaUnidad*(1+g_inf)^(A46-2026)*(1-vivienda_vacancia)</f>
        <v/>
      </c>
      <c r="AU46" s="7">
        <f>AR46+AN46*loc_impuestoPropPct/12+AM46*loc_seguroPct*(1+vivienda_inflacionSeguro)^(A46-2026)/12+IF(AND(AO46=0,AP46&lt;0.2),AQ46*vivienda_pmiTasa/12,0)</f>
        <v/>
      </c>
      <c r="AV46" s="7">
        <f>AN46*AP46+AN46*vivienda_cierrePct+general_reservaMeses/12*AJ46</f>
        <v/>
      </c>
      <c r="AW46" s="7">
        <f>(IF(13=0,MIN(personal_irsSaldo,personal_irsPagoMensual*12),MIN(CD45,personal_irsPagoMensual*12))+IF(CE46&gt;0,PMT(CF46,MAX(1,prestamos_plazoAnios-CG46),-CE46),0)+IF(CR46&gt;0,PMT(CS46,MAX(1,prestamos_plazoAnios-CT46),-CR46),0))/12</f>
        <v/>
      </c>
      <c r="AX46" s="7">
        <f>IF(OR(sel_cfg="duplex",sel_cfg="multi",sel_cfg="dosCasas"),0.75*personal_aporteFamiliaMensual,0)</f>
        <v/>
      </c>
      <c r="AY46" s="7">
        <f>AU46-0.75*AT46-AX46+AW46</f>
        <v/>
      </c>
      <c r="AZ46" s="7">
        <f>(D46+G46+H46+0.5*F46)/12</f>
        <v/>
      </c>
      <c r="BA46" s="7">
        <f>IF(AND(AL46=0,A46&gt;=vivienda_anioMinCompra,J46&lt;0.5,AI46&gt;0,AK46&gt;=AV46,AY46&lt;=vivienda_dtiMax*AZ46),1,0)</f>
        <v/>
      </c>
      <c r="BB46" s="7">
        <f>MAX(AL46,BA46)</f>
        <v/>
      </c>
      <c r="BC46" s="7">
        <f>IF(BA46=1,A46,IF(13=0,"",BC45))</f>
        <v/>
      </c>
      <c r="BD46" s="7">
        <f>AK46-IF(BA46=1,AN46*AP46+AN46*vivienda_cierrePct,0)</f>
        <v/>
      </c>
      <c r="BE46" s="7">
        <f>IF(BA46=1,AN46,IF(13=0,0,BE45))</f>
        <v/>
      </c>
      <c r="BF46" s="7">
        <f>IF(BA46=1,AR46,IF(13=0,0,BF45))</f>
        <v/>
      </c>
      <c r="BG46" s="7">
        <f>IF(BA46=1,IF(AND(AO46=0,AP46&lt;0.2),1,0),IF(13=0,0,BY45))</f>
        <v/>
      </c>
      <c r="BH46" s="7">
        <f>IF(sel_cfg="casaAdu",1,0)</f>
        <v/>
      </c>
      <c r="BI46" s="7">
        <f>IF(AND(BB46=1,BH46=1,IF(13=0,0,BJ45)=0,A46&gt;=IF(BC46="",9999,BC46)+vivienda_aduRetrasoAnios),1,0)</f>
        <v/>
      </c>
      <c r="BJ46" s="7">
        <f>MAX(IF(13=0,0,BJ45),BI46)</f>
        <v/>
      </c>
      <c r="BK46" s="7">
        <f>IF(BI46=1,PMT((g_mortRate+0.005)/12,180,-loc_precio_aduCosto*C46),IF(13=0,0,BK45))</f>
        <v/>
      </c>
      <c r="BL46" s="7">
        <f>IF(BA46=1,AN46,IF(13=0,0,DT45))+IF(BI46=1,loc_precio_aduCosto*C46,0)</f>
        <v/>
      </c>
      <c r="BM46" s="7">
        <f>IF(BA46=1,AQ46,IF(13=0,0,DU45))</f>
        <v/>
      </c>
      <c r="BN46" s="7">
        <f>IF(BM46&lt;=0,0,FV(g_mortRate/12,12,BF46,-BM46))</f>
        <v/>
      </c>
      <c r="BO46" s="7">
        <f>IF(BM46&lt;=0,0,12*BF46+MIN(0,BN46))</f>
        <v/>
      </c>
      <c r="BP46" s="7">
        <f>MAX(0,BN46)</f>
        <v/>
      </c>
      <c r="BQ46" s="7">
        <f>IF(BI46=1,loc_precio_aduCosto*C46,IF(13=0,0,DV45))</f>
        <v/>
      </c>
      <c r="BR46" s="7">
        <f>IF(BQ46&lt;=0,0,FV((g_mortRate+0.005)/12,12,BK46,-BQ46))</f>
        <v/>
      </c>
      <c r="BS46" s="7">
        <f>IF(BQ46&lt;=0,0,12*BK46+MIN(0,BR46))</f>
        <v/>
      </c>
      <c r="BT46" s="7">
        <f>MAX(0,BR46)</f>
        <v/>
      </c>
      <c r="BU46" s="7">
        <f>IF(BB46=1,AM46*loc_seguroPct*(1+vivienda_inflacionSeguro)^(A46-2026)*IF(BJ46=1,1+loc_precio_aduCosto/AM46,1),0)</f>
        <v/>
      </c>
      <c r="BV46" s="7">
        <f>BL46*loc_impuestoPropPct</f>
        <v/>
      </c>
      <c r="BW46" s="7">
        <f>BL46*vivienda_mantenimientoPct</f>
        <v/>
      </c>
      <c r="BX46" s="7">
        <f>IF(AND(BG46=1,BP46&gt;0.8*BE46),BE46*(1-vivienda_enganchePct)*vivienda_pmiTasa,0)</f>
        <v/>
      </c>
      <c r="BY46" s="7">
        <f>IF(AND(BG46=1,BP46&gt;0.8*BE46),1,0)</f>
        <v/>
      </c>
      <c r="BZ46" s="7">
        <f>IF(BB46=1,AS46*loc_rentaUnidad*12*C46*(1-vivienda_vacancia)*(1-vivienda_gestionPct),0)</f>
        <v/>
      </c>
      <c r="CA46" s="7">
        <f>IF(BB46=1,BO46+BS46+BU46+BV46+BW46+BX46,loc_rentaMensual*12*C46)</f>
        <v/>
      </c>
      <c r="CB46" s="7">
        <f>IF(BB46=1,personal_aporteFamiliaMensual*12,0)</f>
        <v/>
      </c>
      <c r="CC46" s="7">
        <f>MIN(IF(13=0,personal_irsSaldo,CD45),personal_irsPagoMensual*12)</f>
        <v/>
      </c>
      <c r="CD46" s="7">
        <f>IF(13=0,personal_irsSaldo,CD45)-CC46</f>
        <v/>
      </c>
      <c r="CE46" s="7">
        <f>IF(13=0,IF(personal_deudaEsFederal=1,personal_deudaEstudiantil,0),DW45)</f>
        <v/>
      </c>
      <c r="CF46" s="7">
        <f>IF(13=0,personal_tasaDeudaEstudiantil,DX45)</f>
        <v/>
      </c>
      <c r="CG46" s="7">
        <f>IF(13=0,0,DY45)</f>
        <v/>
      </c>
      <c r="CH46" s="7">
        <f>IF(J46&gt;=0.5,1,0)</f>
        <v/>
      </c>
      <c r="CI46" s="7">
        <f>IF(AND(CH46=0,prestamos_pslfActivo=1,K46&gt;=0.5,CE46&gt;0),1,0)</f>
        <v/>
      </c>
      <c r="CJ46" s="7">
        <f>CE46*CF46</f>
        <v/>
      </c>
      <c r="CK46" s="7">
        <f>MAX(prestamos_rapPagoMinimoAnual,IF(Y46&lt;10000,0,MIN(0.1,INT(Y46/10000)/100))*Y46)</f>
        <v/>
      </c>
      <c r="CL46" s="7">
        <f>IF(CE46&lt;=0,0,IF(CH46=1,0,IF(CI46=1,MIN(CE46+CJ46,CK46),PMT(CF46,MAX(1,prestamos_plazoAnios-CG46),-CE46))))</f>
        <v/>
      </c>
      <c r="CM46" s="7">
        <f>IF(CE46&lt;=0,0,IF(CH46=1,CE46+CJ46,IF(CI46=1,MAX(0,CE46-MAX(CL46-CJ46,MIN(600,CL46))),MAX(0,CE46*(1+CF46)-CL46))))</f>
        <v/>
      </c>
      <c r="CN46" s="7">
        <f>IF(13=0,0,CN45)+IF(CI46=1,12*MIN(1,K46),0)</f>
        <v/>
      </c>
      <c r="CO46" s="7">
        <f>IF(AND(CI46=1,CN46&gt;=prestamos_pslfPagos,CM46&gt;0),CM46,0)</f>
        <v/>
      </c>
      <c r="CP46" s="7">
        <f>CM46-CO46</f>
        <v/>
      </c>
      <c r="CQ46" s="7">
        <f>IF(AND(CE46&gt;0,CH46=0,CI46=0),CG46+1,CG46)</f>
        <v/>
      </c>
      <c r="CR46" s="7">
        <f>IF(13=0,IF(personal_deudaEsFederal=1,0,personal_deudaEstudiantil),EA45)</f>
        <v/>
      </c>
      <c r="CS46" s="7">
        <f>IF(13=0,IF(personal_deudaEsFederal=1,prestamos_tasaPrivada,personal_tasaDeudaEstudiantil),EB45)</f>
        <v/>
      </c>
      <c r="CT46" s="7">
        <f>IF(13=0,0,EC45)</f>
        <v/>
      </c>
      <c r="CU46" s="7">
        <f>IF(OR(CR46&lt;=0,CH46=1),0,PMT(CS46,MAX(1,prestamos_plazoAnios-CT46),-CR46))</f>
        <v/>
      </c>
      <c r="CV46" s="7">
        <f>IF(CR46&lt;=0,0,IF(CH46=1,CR46*(1+CS46),MAX(0,CR46*(1+CS46)-CU46)))</f>
        <v/>
      </c>
      <c r="CW46" s="7">
        <f>IF(AND(CR46&gt;0,CH46=0),CT46+1,CT46)</f>
        <v/>
      </c>
      <c r="CX46" s="7">
        <f>IF(13=0,0,ED45)*(1+general_tasaDeudaConsumo)</f>
        <v/>
      </c>
      <c r="CY46" s="7">
        <f>L46*12*tiempos_travelGastoExtraMes*C46</f>
        <v/>
      </c>
      <c r="CZ46" s="7">
        <f>AJ46+CY46+CA46+CC46+CL46+CU46+I46+N46-BZ46-CB46</f>
        <v/>
      </c>
      <c r="DA46" s="7">
        <f>AH46-CZ46</f>
        <v/>
      </c>
      <c r="DB46" s="7">
        <f>IF(13=0,0,DB45)+DA46</f>
        <v/>
      </c>
      <c r="DC46" s="7">
        <f>AN46*vivienda_enganchePct+AN46*vivienda_cierrePct+general_reservaMeses/12*AJ46</f>
        <v/>
      </c>
      <c r="DD46" s="7">
        <f>IF(BB46=1,g_ret,IF(BD46&gt;0,MIN(1,DC46/BD46),1)*g_cash+(1-IF(BD46&gt;0,MIN(1,DC46/BD46),1))*g_ret)</f>
        <v/>
      </c>
      <c r="DE46" s="7">
        <f>IF(DA46&gt;=0,MIN(CX46,DA46),0)</f>
        <v/>
      </c>
      <c r="DF46" s="7">
        <f>IF(DA46&gt;=0,(1-general_tasaAhorro)*(DA46-DE46),0)</f>
        <v/>
      </c>
      <c r="DG46" s="7">
        <f>IF(DA46&gt;=0,DA46-DE46-DF46,0)</f>
        <v/>
      </c>
      <c r="DH46" s="7">
        <f>MIN(personal_rothAnual,DG46)</f>
        <v/>
      </c>
      <c r="DI46" s="7">
        <f>IF(AND(DA46&gt;=0,BB46=1,BP46+BT46&gt;0),MIN(vivienda_prepagoPct*(DG46-DH46),BP46+BT46),0)</f>
        <v/>
      </c>
      <c r="DJ46" s="7">
        <f>MIN(DI46,BP46)</f>
        <v/>
      </c>
      <c r="DK46" s="7">
        <f>IF(DA46&lt;0,MIN(MAX(0,BD46),-DA46),0)</f>
        <v/>
      </c>
      <c r="DL46" s="7">
        <f>IF(DA46&lt;0,-DA46-DK46,0)</f>
        <v/>
      </c>
      <c r="DM46" s="7">
        <f>IF(13=0,0,DZ45)</f>
        <v/>
      </c>
      <c r="DN46" s="7">
        <f>IF(AND(DL46&gt;0,J46&gt;0),MIN(DL46,MIN(prestamos_topeAnualPosgrado*MIN(1,J46),MAX(0,prestamos_topeTotalPosgrado-DM46))),0)</f>
        <v/>
      </c>
      <c r="DO46" s="7">
        <f>IF(AND(DL46&gt;0,J46&gt;0),DL46-DN46,0)</f>
        <v/>
      </c>
      <c r="DP46" s="7">
        <f>IF(AND(DL46&gt;0,J46&lt;=0),DL46,0)</f>
        <v/>
      </c>
      <c r="DQ46" s="7">
        <f>IF(DA46&gt;=0,DG46-DH46-DI46,-DK46)</f>
        <v/>
      </c>
      <c r="DR46" s="7">
        <f>BD46*(1+DD46)+DQ46*(1+DD46/2)</f>
        <v/>
      </c>
      <c r="DS46" s="7">
        <f>IF(13=0,personal_retiroInicial,DS45)*(1+g_ret)+(O46+P46+DH46)*(1+g_ret/2)</f>
        <v/>
      </c>
      <c r="DT46" s="7">
        <f>IF(BB46=1,BL46*(1+g_appr),0)</f>
        <v/>
      </c>
      <c r="DU46" s="7">
        <f>BP46-DJ46</f>
        <v/>
      </c>
      <c r="DV46" s="7">
        <f>BT46-(DI46-DJ46)</f>
        <v/>
      </c>
      <c r="DW46" s="7">
        <f>CP46+DN46</f>
        <v/>
      </c>
      <c r="DX46" s="7">
        <f>IF(DN46&gt;0,(CP46*CF46+DN46*prestamos_tasaFederalPosgrado)/(CP46+DN46),CF46)</f>
        <v/>
      </c>
      <c r="DY46" s="7">
        <f>IF(DN46&gt;0,0,CQ46)</f>
        <v/>
      </c>
      <c r="DZ46" s="7">
        <f>DM46+DN46</f>
        <v/>
      </c>
      <c r="EA46" s="7">
        <f>CV46+DO46</f>
        <v/>
      </c>
      <c r="EB46" s="7">
        <f>IF(DO46&gt;0,(CV46*CS46+DO46*prestamos_tasaPrivada)/(CV46+DO46),CS46)</f>
        <v/>
      </c>
      <c r="EC46" s="7">
        <f>IF(DO46&gt;0,0,CW46)</f>
        <v/>
      </c>
      <c r="ED46" s="7">
        <f>CX46-DE46+DP46</f>
        <v/>
      </c>
      <c r="EE46" s="7">
        <f>IF(IF(13=0,"",EE45)&lt;&gt;"",EE45,IF(AND(BB46=1,DU46&lt;=0.5,DV46&lt;=0.5,OR(BH46=0,BJ46=1)),A46,""))</f>
        <v/>
      </c>
      <c r="EF46" s="7">
        <f>DU46+DV46+DW46+EA46+ED46+CD46</f>
        <v/>
      </c>
      <c r="EG46" s="7">
        <f>DR46+DS46+DT46-EF46</f>
        <v/>
      </c>
      <c r="EH46" s="7">
        <f>EG46/(1+g_inf)^(A46+1-2026)</f>
        <v/>
      </c>
    </row>
    <row r="47">
      <c r="A47" t="n">
        <v>2041</v>
      </c>
      <c r="B47" t="n">
        <v>14</v>
      </c>
      <c r="C47" s="7">
        <f>(1+g_inf)^(A47-2026)</f>
        <v/>
      </c>
      <c r="D47" s="7">
        <f>SUMPRODUCT($AH$5:$AH$29,$E$5:$E$29*(1+$F$5:$F$29)^(A47-2026)*$G$5:$G$29*$H$5:$H$29*(1-$N$5:$N$29*$O$5:$O$29))*g_salMult+SUMPRODUCT(($B$5:$B$29&gt;=A47)*($B$5:$B$29&lt;A47+1)*$I$5:$I$29)*g_salMult</f>
        <v/>
      </c>
      <c r="E47" s="7">
        <f>SUMPRODUCT($AH$5:$AH$29,$E$5:$E$29*(1+$F$5:$F$29)^(A47-2026)*$G$5:$G$29*$H$5:$H$29*$M$5:$M$29)*g_salMult</f>
        <v/>
      </c>
      <c r="F47" s="7">
        <f>SUMPRODUCT($AH$5:$AH$29,$E$5:$E$29*(1+$F$5:$F$29)^(A47-2026)*$G$5:$G$29*$H$5:$H$29*$N$5:$N$29*$O$5:$O$29)*g_salMult</f>
        <v/>
      </c>
      <c r="G47" s="7">
        <f>SUMPRODUCT($AH$5:$AH$29,$P$5:$P$29*(1+$F$5:$F$29)^(A47-2026))</f>
        <v/>
      </c>
      <c r="H47" s="7">
        <f>SUMPRODUCT($AH$5:$AH$29,$Q$5:$Q$29*(1+$F$5:$F$29)^(A47-2026))+IF(personal_llcActivo=1,personal_llcNeto*(1+personal_llcCrecimiento)^14,0)</f>
        <v/>
      </c>
      <c r="I47" s="7">
        <f>SUMPRODUCT($AH$5:$AH$29,$J$5:$J$29/($C$5:$C$29-$B$5:$B$29+($C$5:$C$29=$B$5:$B$29)))*C47</f>
        <v/>
      </c>
      <c r="J47" s="7">
        <f>SUMPRODUCT($AH$5:$AH$29,$K$5:$K$29)</f>
        <v/>
      </c>
      <c r="K47" s="7">
        <f>SUMPRODUCT($AH$5:$AH$29,$L$5:$L$29)</f>
        <v/>
      </c>
      <c r="L47" s="7">
        <f>SUMPRODUCT($AH$5:$AH$29,$N$5:$N$29)</f>
        <v/>
      </c>
      <c r="M47" s="7">
        <f>IF(SUMPRODUCT($AH$5:$AH$29,$R$5:$R$29)&gt;0,1,0)</f>
        <v/>
      </c>
      <c r="N47" s="7">
        <f>SUMPRODUCT(($AO$5:$AO$24&gt;=A47)*($AO$5:$AO$24&lt;A47+1)*$AP$5:$AP$24)*C47+IF(14=0,IF(sel_loc&lt;&gt;"miami",personal_costoMudanzaInicial,0),0)</f>
        <v/>
      </c>
      <c r="O47" s="7">
        <f>MIN(personal_aporte403bPct*D47,retiro_limite403b*C47)</f>
        <v/>
      </c>
      <c r="P47" s="7">
        <f>MIN(personal_aporte403bPct,personal_match403bPct)*E47</f>
        <v/>
      </c>
      <c r="Q47" s="7">
        <f>IF(G47&gt;0,MAX(0,G47-impuestos_scorpCostoAnual*C47),0)</f>
        <v/>
      </c>
      <c r="R47" s="7">
        <f>Q47*impuestos_scorpSalarioPct/(1+impuestos_ssTasa+impuestos_medicareTasa)</f>
        <v/>
      </c>
      <c r="S47" s="7">
        <f>impuestos_ssTasa*MIN(R47,MAX(0,impuestos_ssTope*C47-D47))+impuestos_medicareTasa*R47</f>
        <v/>
      </c>
      <c r="T47" s="7">
        <f>Q47-R47-S47</f>
        <v/>
      </c>
      <c r="U47" s="7">
        <f>D47+R47</f>
        <v/>
      </c>
      <c r="V47" s="7">
        <f>H47*0.9235</f>
        <v/>
      </c>
      <c r="W47" s="7">
        <f>IF(H47&gt;0,2*impuestos_ssTasa*MIN(V47,MAX(0,impuestos_ssTope*C47-U47))+2*impuestos_medicareTasa*V47,0)</f>
        <v/>
      </c>
      <c r="X47" s="7">
        <f>impuestos_ssTasa*MIN(U47,impuestos_ssTope*C47)+impuestos_medicareTasa*U47+impuestos_medicareAdicional*MAX(0,U47+H47*0.9235-impuestos_medicareUmbral)</f>
        <v/>
      </c>
      <c r="Y47" s="7">
        <f>MAX(0,D47-O47+R47+T47+H47-W47/2)</f>
        <v/>
      </c>
      <c r="Z47" s="7">
        <f>MAX(0,Y47-impuestos_deduccionEstandar*C47)</f>
        <v/>
      </c>
      <c r="AA47" s="7">
        <f>MIN(0.2*MAX(0,T47+H47-W47/2)*MAX(0,MIN(1,1-(Z47-impuestos_qbiUmbral*C47)/(impuestos_qbiRango*C47))),0.2*Z47)</f>
        <v/>
      </c>
      <c r="AB47" s="7">
        <f>MAX(0,Z47-AA47)</f>
        <v/>
      </c>
      <c r="AC47" s="7">
        <f>SUMPRODUCT((AB47&gt;tb_federalBrackets_lo*C47)*(AB47-tb_federalBrackets_lo*C47)*tb_federalBrackets_dr)</f>
        <v/>
      </c>
      <c r="AD47" s="7">
        <f>MAX(0,Y47-impuestos_nyDeduccion*C47)</f>
        <v/>
      </c>
      <c r="AE47" s="7">
        <f>CHOOSE(loc_taxcode,0,impuestos_ohTasa*MAX(0,Y47-impuestos_ohExento*C47)+impuestos_ohMunicipal*U47,SUMPRODUCT((AD47&gt;tb_nyBrackets_lo*C47)*(AD47-tb_nyBrackets_lo*C47)*tb_nyBrackets_dr)+loc_nyc*SUMPRODUCT((AD47&gt;tb_nycBrackets_lo*C47)*(AD47-tb_nycBrackets_lo*C47)*tb_nycBrackets_dr))</f>
        <v/>
      </c>
      <c r="AF47" s="7">
        <f>AC47+AE47+X47+W47</f>
        <v/>
      </c>
      <c r="AG47" s="7">
        <f>D47+F47+R47+T47+H47</f>
        <v/>
      </c>
      <c r="AH47" s="7">
        <f>AG47-AF47-O47</f>
        <v/>
      </c>
      <c r="AI47" s="7">
        <f>D47+F47+G47+H47</f>
        <v/>
      </c>
      <c r="AJ47" s="7">
        <f>loc_gastosVida*C47*g_gastos</f>
        <v/>
      </c>
      <c r="AK47" s="7">
        <f>IF(14=0,personal_liquidoInicial,DR46)</f>
        <v/>
      </c>
      <c r="AL47" s="7">
        <f>IF(14=0,0,BB46)</f>
        <v/>
      </c>
      <c r="AM47" s="7">
        <f>CHOOSE(sel_cfgIdx,loc_precio_duplex,loc_precio_inlaw,loc_precio_dosCasas,loc_precio_casaAdu,loc_precio_multi)</f>
        <v/>
      </c>
      <c r="AN47" s="7">
        <f>AM47*(1+g_appr)^(A47-2026)</f>
        <v/>
      </c>
      <c r="AO47" s="7">
        <f>IF(AND(M47=1,vivienda_prestamoMedico=1),1,0)</f>
        <v/>
      </c>
      <c r="AP47" s="7">
        <f>IF(AO47=1,0.05,vivienda_enganchePct)</f>
        <v/>
      </c>
      <c r="AQ47" s="7">
        <f>AN47*(1-AP47)</f>
        <v/>
      </c>
      <c r="AR47" s="7">
        <f>PMT(g_mortRate/12,vivienda_plazoHipoteca*12,-AQ47)</f>
        <v/>
      </c>
      <c r="AS47" s="7">
        <f>INDEX(cfg_units,sel_cfgIdx)</f>
        <v/>
      </c>
      <c r="AT47" s="7">
        <f>AS47*loc_rentaUnidad*(1+g_inf)^(A47-2026)*(1-vivienda_vacancia)</f>
        <v/>
      </c>
      <c r="AU47" s="7">
        <f>AR47+AN47*loc_impuestoPropPct/12+AM47*loc_seguroPct*(1+vivienda_inflacionSeguro)^(A47-2026)/12+IF(AND(AO47=0,AP47&lt;0.2),AQ47*vivienda_pmiTasa/12,0)</f>
        <v/>
      </c>
      <c r="AV47" s="7">
        <f>AN47*AP47+AN47*vivienda_cierrePct+general_reservaMeses/12*AJ47</f>
        <v/>
      </c>
      <c r="AW47" s="7">
        <f>(IF(14=0,MIN(personal_irsSaldo,personal_irsPagoMensual*12),MIN(CD46,personal_irsPagoMensual*12))+IF(CE47&gt;0,PMT(CF47,MAX(1,prestamos_plazoAnios-CG47),-CE47),0)+IF(CR47&gt;0,PMT(CS47,MAX(1,prestamos_plazoAnios-CT47),-CR47),0))/12</f>
        <v/>
      </c>
      <c r="AX47" s="7">
        <f>IF(OR(sel_cfg="duplex",sel_cfg="multi",sel_cfg="dosCasas"),0.75*personal_aporteFamiliaMensual,0)</f>
        <v/>
      </c>
      <c r="AY47" s="7">
        <f>AU47-0.75*AT47-AX47+AW47</f>
        <v/>
      </c>
      <c r="AZ47" s="7">
        <f>(D47+G47+H47+0.5*F47)/12</f>
        <v/>
      </c>
      <c r="BA47" s="7">
        <f>IF(AND(AL47=0,A47&gt;=vivienda_anioMinCompra,J47&lt;0.5,AI47&gt;0,AK47&gt;=AV47,AY47&lt;=vivienda_dtiMax*AZ47),1,0)</f>
        <v/>
      </c>
      <c r="BB47" s="7">
        <f>MAX(AL47,BA47)</f>
        <v/>
      </c>
      <c r="BC47" s="7">
        <f>IF(BA47=1,A47,IF(14=0,"",BC46))</f>
        <v/>
      </c>
      <c r="BD47" s="7">
        <f>AK47-IF(BA47=1,AN47*AP47+AN47*vivienda_cierrePct,0)</f>
        <v/>
      </c>
      <c r="BE47" s="7">
        <f>IF(BA47=1,AN47,IF(14=0,0,BE46))</f>
        <v/>
      </c>
      <c r="BF47" s="7">
        <f>IF(BA47=1,AR47,IF(14=0,0,BF46))</f>
        <v/>
      </c>
      <c r="BG47" s="7">
        <f>IF(BA47=1,IF(AND(AO47=0,AP47&lt;0.2),1,0),IF(14=0,0,BY46))</f>
        <v/>
      </c>
      <c r="BH47" s="7">
        <f>IF(sel_cfg="casaAdu",1,0)</f>
        <v/>
      </c>
      <c r="BI47" s="7">
        <f>IF(AND(BB47=1,BH47=1,IF(14=0,0,BJ46)=0,A47&gt;=IF(BC47="",9999,BC47)+vivienda_aduRetrasoAnios),1,0)</f>
        <v/>
      </c>
      <c r="BJ47" s="7">
        <f>MAX(IF(14=0,0,BJ46),BI47)</f>
        <v/>
      </c>
      <c r="BK47" s="7">
        <f>IF(BI47=1,PMT((g_mortRate+0.005)/12,180,-loc_precio_aduCosto*C47),IF(14=0,0,BK46))</f>
        <v/>
      </c>
      <c r="BL47" s="7">
        <f>IF(BA47=1,AN47,IF(14=0,0,DT46))+IF(BI47=1,loc_precio_aduCosto*C47,0)</f>
        <v/>
      </c>
      <c r="BM47" s="7">
        <f>IF(BA47=1,AQ47,IF(14=0,0,DU46))</f>
        <v/>
      </c>
      <c r="BN47" s="7">
        <f>IF(BM47&lt;=0,0,FV(g_mortRate/12,12,BF47,-BM47))</f>
        <v/>
      </c>
      <c r="BO47" s="7">
        <f>IF(BM47&lt;=0,0,12*BF47+MIN(0,BN47))</f>
        <v/>
      </c>
      <c r="BP47" s="7">
        <f>MAX(0,BN47)</f>
        <v/>
      </c>
      <c r="BQ47" s="7">
        <f>IF(BI47=1,loc_precio_aduCosto*C47,IF(14=0,0,DV46))</f>
        <v/>
      </c>
      <c r="BR47" s="7">
        <f>IF(BQ47&lt;=0,0,FV((g_mortRate+0.005)/12,12,BK47,-BQ47))</f>
        <v/>
      </c>
      <c r="BS47" s="7">
        <f>IF(BQ47&lt;=0,0,12*BK47+MIN(0,BR47))</f>
        <v/>
      </c>
      <c r="BT47" s="7">
        <f>MAX(0,BR47)</f>
        <v/>
      </c>
      <c r="BU47" s="7">
        <f>IF(BB47=1,AM47*loc_seguroPct*(1+vivienda_inflacionSeguro)^(A47-2026)*IF(BJ47=1,1+loc_precio_aduCosto/AM47,1),0)</f>
        <v/>
      </c>
      <c r="BV47" s="7">
        <f>BL47*loc_impuestoPropPct</f>
        <v/>
      </c>
      <c r="BW47" s="7">
        <f>BL47*vivienda_mantenimientoPct</f>
        <v/>
      </c>
      <c r="BX47" s="7">
        <f>IF(AND(BG47=1,BP47&gt;0.8*BE47),BE47*(1-vivienda_enganchePct)*vivienda_pmiTasa,0)</f>
        <v/>
      </c>
      <c r="BY47" s="7">
        <f>IF(AND(BG47=1,BP47&gt;0.8*BE47),1,0)</f>
        <v/>
      </c>
      <c r="BZ47" s="7">
        <f>IF(BB47=1,AS47*loc_rentaUnidad*12*C47*(1-vivienda_vacancia)*(1-vivienda_gestionPct),0)</f>
        <v/>
      </c>
      <c r="CA47" s="7">
        <f>IF(BB47=1,BO47+BS47+BU47+BV47+BW47+BX47,loc_rentaMensual*12*C47)</f>
        <v/>
      </c>
      <c r="CB47" s="7">
        <f>IF(BB47=1,personal_aporteFamiliaMensual*12,0)</f>
        <v/>
      </c>
      <c r="CC47" s="7">
        <f>MIN(IF(14=0,personal_irsSaldo,CD46),personal_irsPagoMensual*12)</f>
        <v/>
      </c>
      <c r="CD47" s="7">
        <f>IF(14=0,personal_irsSaldo,CD46)-CC47</f>
        <v/>
      </c>
      <c r="CE47" s="7">
        <f>IF(14=0,IF(personal_deudaEsFederal=1,personal_deudaEstudiantil,0),DW46)</f>
        <v/>
      </c>
      <c r="CF47" s="7">
        <f>IF(14=0,personal_tasaDeudaEstudiantil,DX46)</f>
        <v/>
      </c>
      <c r="CG47" s="7">
        <f>IF(14=0,0,DY46)</f>
        <v/>
      </c>
      <c r="CH47" s="7">
        <f>IF(J47&gt;=0.5,1,0)</f>
        <v/>
      </c>
      <c r="CI47" s="7">
        <f>IF(AND(CH47=0,prestamos_pslfActivo=1,K47&gt;=0.5,CE47&gt;0),1,0)</f>
        <v/>
      </c>
      <c r="CJ47" s="7">
        <f>CE47*CF47</f>
        <v/>
      </c>
      <c r="CK47" s="7">
        <f>MAX(prestamos_rapPagoMinimoAnual,IF(Y47&lt;10000,0,MIN(0.1,INT(Y47/10000)/100))*Y47)</f>
        <v/>
      </c>
      <c r="CL47" s="7">
        <f>IF(CE47&lt;=0,0,IF(CH47=1,0,IF(CI47=1,MIN(CE47+CJ47,CK47),PMT(CF47,MAX(1,prestamos_plazoAnios-CG47),-CE47))))</f>
        <v/>
      </c>
      <c r="CM47" s="7">
        <f>IF(CE47&lt;=0,0,IF(CH47=1,CE47+CJ47,IF(CI47=1,MAX(0,CE47-MAX(CL47-CJ47,MIN(600,CL47))),MAX(0,CE47*(1+CF47)-CL47))))</f>
        <v/>
      </c>
      <c r="CN47" s="7">
        <f>IF(14=0,0,CN46)+IF(CI47=1,12*MIN(1,K47),0)</f>
        <v/>
      </c>
      <c r="CO47" s="7">
        <f>IF(AND(CI47=1,CN47&gt;=prestamos_pslfPagos,CM47&gt;0),CM47,0)</f>
        <v/>
      </c>
      <c r="CP47" s="7">
        <f>CM47-CO47</f>
        <v/>
      </c>
      <c r="CQ47" s="7">
        <f>IF(AND(CE47&gt;0,CH47=0,CI47=0),CG47+1,CG47)</f>
        <v/>
      </c>
      <c r="CR47" s="7">
        <f>IF(14=0,IF(personal_deudaEsFederal=1,0,personal_deudaEstudiantil),EA46)</f>
        <v/>
      </c>
      <c r="CS47" s="7">
        <f>IF(14=0,IF(personal_deudaEsFederal=1,prestamos_tasaPrivada,personal_tasaDeudaEstudiantil),EB46)</f>
        <v/>
      </c>
      <c r="CT47" s="7">
        <f>IF(14=0,0,EC46)</f>
        <v/>
      </c>
      <c r="CU47" s="7">
        <f>IF(OR(CR47&lt;=0,CH47=1),0,PMT(CS47,MAX(1,prestamos_plazoAnios-CT47),-CR47))</f>
        <v/>
      </c>
      <c r="CV47" s="7">
        <f>IF(CR47&lt;=0,0,IF(CH47=1,CR47*(1+CS47),MAX(0,CR47*(1+CS47)-CU47)))</f>
        <v/>
      </c>
      <c r="CW47" s="7">
        <f>IF(AND(CR47&gt;0,CH47=0),CT47+1,CT47)</f>
        <v/>
      </c>
      <c r="CX47" s="7">
        <f>IF(14=0,0,ED46)*(1+general_tasaDeudaConsumo)</f>
        <v/>
      </c>
      <c r="CY47" s="7">
        <f>L47*12*tiempos_travelGastoExtraMes*C47</f>
        <v/>
      </c>
      <c r="CZ47" s="7">
        <f>AJ47+CY47+CA47+CC47+CL47+CU47+I47+N47-BZ47-CB47</f>
        <v/>
      </c>
      <c r="DA47" s="7">
        <f>AH47-CZ47</f>
        <v/>
      </c>
      <c r="DB47" s="7">
        <f>IF(14=0,0,DB46)+DA47</f>
        <v/>
      </c>
      <c r="DC47" s="7">
        <f>AN47*vivienda_enganchePct+AN47*vivienda_cierrePct+general_reservaMeses/12*AJ47</f>
        <v/>
      </c>
      <c r="DD47" s="7">
        <f>IF(BB47=1,g_ret,IF(BD47&gt;0,MIN(1,DC47/BD47),1)*g_cash+(1-IF(BD47&gt;0,MIN(1,DC47/BD47),1))*g_ret)</f>
        <v/>
      </c>
      <c r="DE47" s="7">
        <f>IF(DA47&gt;=0,MIN(CX47,DA47),0)</f>
        <v/>
      </c>
      <c r="DF47" s="7">
        <f>IF(DA47&gt;=0,(1-general_tasaAhorro)*(DA47-DE47),0)</f>
        <v/>
      </c>
      <c r="DG47" s="7">
        <f>IF(DA47&gt;=0,DA47-DE47-DF47,0)</f>
        <v/>
      </c>
      <c r="DH47" s="7">
        <f>MIN(personal_rothAnual,DG47)</f>
        <v/>
      </c>
      <c r="DI47" s="7">
        <f>IF(AND(DA47&gt;=0,BB47=1,BP47+BT47&gt;0),MIN(vivienda_prepagoPct*(DG47-DH47),BP47+BT47),0)</f>
        <v/>
      </c>
      <c r="DJ47" s="7">
        <f>MIN(DI47,BP47)</f>
        <v/>
      </c>
      <c r="DK47" s="7">
        <f>IF(DA47&lt;0,MIN(MAX(0,BD47),-DA47),0)</f>
        <v/>
      </c>
      <c r="DL47" s="7">
        <f>IF(DA47&lt;0,-DA47-DK47,0)</f>
        <v/>
      </c>
      <c r="DM47" s="7">
        <f>IF(14=0,0,DZ46)</f>
        <v/>
      </c>
      <c r="DN47" s="7">
        <f>IF(AND(DL47&gt;0,J47&gt;0),MIN(DL47,MIN(prestamos_topeAnualPosgrado*MIN(1,J47),MAX(0,prestamos_topeTotalPosgrado-DM47))),0)</f>
        <v/>
      </c>
      <c r="DO47" s="7">
        <f>IF(AND(DL47&gt;0,J47&gt;0),DL47-DN47,0)</f>
        <v/>
      </c>
      <c r="DP47" s="7">
        <f>IF(AND(DL47&gt;0,J47&lt;=0),DL47,0)</f>
        <v/>
      </c>
      <c r="DQ47" s="7">
        <f>IF(DA47&gt;=0,DG47-DH47-DI47,-DK47)</f>
        <v/>
      </c>
      <c r="DR47" s="7">
        <f>BD47*(1+DD47)+DQ47*(1+DD47/2)</f>
        <v/>
      </c>
      <c r="DS47" s="7">
        <f>IF(14=0,personal_retiroInicial,DS46)*(1+g_ret)+(O47+P47+DH47)*(1+g_ret/2)</f>
        <v/>
      </c>
      <c r="DT47" s="7">
        <f>IF(BB47=1,BL47*(1+g_appr),0)</f>
        <v/>
      </c>
      <c r="DU47" s="7">
        <f>BP47-DJ47</f>
        <v/>
      </c>
      <c r="DV47" s="7">
        <f>BT47-(DI47-DJ47)</f>
        <v/>
      </c>
      <c r="DW47" s="7">
        <f>CP47+DN47</f>
        <v/>
      </c>
      <c r="DX47" s="7">
        <f>IF(DN47&gt;0,(CP47*CF47+DN47*prestamos_tasaFederalPosgrado)/(CP47+DN47),CF47)</f>
        <v/>
      </c>
      <c r="DY47" s="7">
        <f>IF(DN47&gt;0,0,CQ47)</f>
        <v/>
      </c>
      <c r="DZ47" s="7">
        <f>DM47+DN47</f>
        <v/>
      </c>
      <c r="EA47" s="7">
        <f>CV47+DO47</f>
        <v/>
      </c>
      <c r="EB47" s="7">
        <f>IF(DO47&gt;0,(CV47*CS47+DO47*prestamos_tasaPrivada)/(CV47+DO47),CS47)</f>
        <v/>
      </c>
      <c r="EC47" s="7">
        <f>IF(DO47&gt;0,0,CW47)</f>
        <v/>
      </c>
      <c r="ED47" s="7">
        <f>CX47-DE47+DP47</f>
        <v/>
      </c>
      <c r="EE47" s="7">
        <f>IF(IF(14=0,"",EE46)&lt;&gt;"",EE46,IF(AND(BB47=1,DU47&lt;=0.5,DV47&lt;=0.5,OR(BH47=0,BJ47=1)),A47,""))</f>
        <v/>
      </c>
      <c r="EF47" s="7">
        <f>DU47+DV47+DW47+EA47+ED47+CD47</f>
        <v/>
      </c>
      <c r="EG47" s="7">
        <f>DR47+DS47+DT47-EF47</f>
        <v/>
      </c>
      <c r="EH47" s="7">
        <f>EG47/(1+g_inf)^(A47+1-2026)</f>
        <v/>
      </c>
    </row>
    <row r="48">
      <c r="A48" t="n">
        <v>2042</v>
      </c>
      <c r="B48" t="n">
        <v>15</v>
      </c>
      <c r="C48" s="7">
        <f>(1+g_inf)^(A48-2026)</f>
        <v/>
      </c>
      <c r="D48" s="7">
        <f>SUMPRODUCT($AI$5:$AI$29,$E$5:$E$29*(1+$F$5:$F$29)^(A48-2026)*$G$5:$G$29*$H$5:$H$29*(1-$N$5:$N$29*$O$5:$O$29))*g_salMult+SUMPRODUCT(($B$5:$B$29&gt;=A48)*($B$5:$B$29&lt;A48+1)*$I$5:$I$29)*g_salMult</f>
        <v/>
      </c>
      <c r="E48" s="7">
        <f>SUMPRODUCT($AI$5:$AI$29,$E$5:$E$29*(1+$F$5:$F$29)^(A48-2026)*$G$5:$G$29*$H$5:$H$29*$M$5:$M$29)*g_salMult</f>
        <v/>
      </c>
      <c r="F48" s="7">
        <f>SUMPRODUCT($AI$5:$AI$29,$E$5:$E$29*(1+$F$5:$F$29)^(A48-2026)*$G$5:$G$29*$H$5:$H$29*$N$5:$N$29*$O$5:$O$29)*g_salMult</f>
        <v/>
      </c>
      <c r="G48" s="7">
        <f>SUMPRODUCT($AI$5:$AI$29,$P$5:$P$29*(1+$F$5:$F$29)^(A48-2026))</f>
        <v/>
      </c>
      <c r="H48" s="7">
        <f>SUMPRODUCT($AI$5:$AI$29,$Q$5:$Q$29*(1+$F$5:$F$29)^(A48-2026))+IF(personal_llcActivo=1,personal_llcNeto*(1+personal_llcCrecimiento)^15,0)</f>
        <v/>
      </c>
      <c r="I48" s="7">
        <f>SUMPRODUCT($AI$5:$AI$29,$J$5:$J$29/($C$5:$C$29-$B$5:$B$29+($C$5:$C$29=$B$5:$B$29)))*C48</f>
        <v/>
      </c>
      <c r="J48" s="7">
        <f>SUMPRODUCT($AI$5:$AI$29,$K$5:$K$29)</f>
        <v/>
      </c>
      <c r="K48" s="7">
        <f>SUMPRODUCT($AI$5:$AI$29,$L$5:$L$29)</f>
        <v/>
      </c>
      <c r="L48" s="7">
        <f>SUMPRODUCT($AI$5:$AI$29,$N$5:$N$29)</f>
        <v/>
      </c>
      <c r="M48" s="7">
        <f>IF(SUMPRODUCT($AI$5:$AI$29,$R$5:$R$29)&gt;0,1,0)</f>
        <v/>
      </c>
      <c r="N48" s="7">
        <f>SUMPRODUCT(($AO$5:$AO$24&gt;=A48)*($AO$5:$AO$24&lt;A48+1)*$AP$5:$AP$24)*C48+IF(15=0,IF(sel_loc&lt;&gt;"miami",personal_costoMudanzaInicial,0),0)</f>
        <v/>
      </c>
      <c r="O48" s="7">
        <f>MIN(personal_aporte403bPct*D48,retiro_limite403b*C48)</f>
        <v/>
      </c>
      <c r="P48" s="7">
        <f>MIN(personal_aporte403bPct,personal_match403bPct)*E48</f>
        <v/>
      </c>
      <c r="Q48" s="7">
        <f>IF(G48&gt;0,MAX(0,G48-impuestos_scorpCostoAnual*C48),0)</f>
        <v/>
      </c>
      <c r="R48" s="7">
        <f>Q48*impuestos_scorpSalarioPct/(1+impuestos_ssTasa+impuestos_medicareTasa)</f>
        <v/>
      </c>
      <c r="S48" s="7">
        <f>impuestos_ssTasa*MIN(R48,MAX(0,impuestos_ssTope*C48-D48))+impuestos_medicareTasa*R48</f>
        <v/>
      </c>
      <c r="T48" s="7">
        <f>Q48-R48-S48</f>
        <v/>
      </c>
      <c r="U48" s="7">
        <f>D48+R48</f>
        <v/>
      </c>
      <c r="V48" s="7">
        <f>H48*0.9235</f>
        <v/>
      </c>
      <c r="W48" s="7">
        <f>IF(H48&gt;0,2*impuestos_ssTasa*MIN(V48,MAX(0,impuestos_ssTope*C48-U48))+2*impuestos_medicareTasa*V48,0)</f>
        <v/>
      </c>
      <c r="X48" s="7">
        <f>impuestos_ssTasa*MIN(U48,impuestos_ssTope*C48)+impuestos_medicareTasa*U48+impuestos_medicareAdicional*MAX(0,U48+H48*0.9235-impuestos_medicareUmbral)</f>
        <v/>
      </c>
      <c r="Y48" s="7">
        <f>MAX(0,D48-O48+R48+T48+H48-W48/2)</f>
        <v/>
      </c>
      <c r="Z48" s="7">
        <f>MAX(0,Y48-impuestos_deduccionEstandar*C48)</f>
        <v/>
      </c>
      <c r="AA48" s="7">
        <f>MIN(0.2*MAX(0,T48+H48-W48/2)*MAX(0,MIN(1,1-(Z48-impuestos_qbiUmbral*C48)/(impuestos_qbiRango*C48))),0.2*Z48)</f>
        <v/>
      </c>
      <c r="AB48" s="7">
        <f>MAX(0,Z48-AA48)</f>
        <v/>
      </c>
      <c r="AC48" s="7">
        <f>SUMPRODUCT((AB48&gt;tb_federalBrackets_lo*C48)*(AB48-tb_federalBrackets_lo*C48)*tb_federalBrackets_dr)</f>
        <v/>
      </c>
      <c r="AD48" s="7">
        <f>MAX(0,Y48-impuestos_nyDeduccion*C48)</f>
        <v/>
      </c>
      <c r="AE48" s="7">
        <f>CHOOSE(loc_taxcode,0,impuestos_ohTasa*MAX(0,Y48-impuestos_ohExento*C48)+impuestos_ohMunicipal*U48,SUMPRODUCT((AD48&gt;tb_nyBrackets_lo*C48)*(AD48-tb_nyBrackets_lo*C48)*tb_nyBrackets_dr)+loc_nyc*SUMPRODUCT((AD48&gt;tb_nycBrackets_lo*C48)*(AD48-tb_nycBrackets_lo*C48)*tb_nycBrackets_dr))</f>
        <v/>
      </c>
      <c r="AF48" s="7">
        <f>AC48+AE48+X48+W48</f>
        <v/>
      </c>
      <c r="AG48" s="7">
        <f>D48+F48+R48+T48+H48</f>
        <v/>
      </c>
      <c r="AH48" s="7">
        <f>AG48-AF48-O48</f>
        <v/>
      </c>
      <c r="AI48" s="7">
        <f>D48+F48+G48+H48</f>
        <v/>
      </c>
      <c r="AJ48" s="7">
        <f>loc_gastosVida*C48*g_gastos</f>
        <v/>
      </c>
      <c r="AK48" s="7">
        <f>IF(15=0,personal_liquidoInicial,DR47)</f>
        <v/>
      </c>
      <c r="AL48" s="7">
        <f>IF(15=0,0,BB47)</f>
        <v/>
      </c>
      <c r="AM48" s="7">
        <f>CHOOSE(sel_cfgIdx,loc_precio_duplex,loc_precio_inlaw,loc_precio_dosCasas,loc_precio_casaAdu,loc_precio_multi)</f>
        <v/>
      </c>
      <c r="AN48" s="7">
        <f>AM48*(1+g_appr)^(A48-2026)</f>
        <v/>
      </c>
      <c r="AO48" s="7">
        <f>IF(AND(M48=1,vivienda_prestamoMedico=1),1,0)</f>
        <v/>
      </c>
      <c r="AP48" s="7">
        <f>IF(AO48=1,0.05,vivienda_enganchePct)</f>
        <v/>
      </c>
      <c r="AQ48" s="7">
        <f>AN48*(1-AP48)</f>
        <v/>
      </c>
      <c r="AR48" s="7">
        <f>PMT(g_mortRate/12,vivienda_plazoHipoteca*12,-AQ48)</f>
        <v/>
      </c>
      <c r="AS48" s="7">
        <f>INDEX(cfg_units,sel_cfgIdx)</f>
        <v/>
      </c>
      <c r="AT48" s="7">
        <f>AS48*loc_rentaUnidad*(1+g_inf)^(A48-2026)*(1-vivienda_vacancia)</f>
        <v/>
      </c>
      <c r="AU48" s="7">
        <f>AR48+AN48*loc_impuestoPropPct/12+AM48*loc_seguroPct*(1+vivienda_inflacionSeguro)^(A48-2026)/12+IF(AND(AO48=0,AP48&lt;0.2),AQ48*vivienda_pmiTasa/12,0)</f>
        <v/>
      </c>
      <c r="AV48" s="7">
        <f>AN48*AP48+AN48*vivienda_cierrePct+general_reservaMeses/12*AJ48</f>
        <v/>
      </c>
      <c r="AW48" s="7">
        <f>(IF(15=0,MIN(personal_irsSaldo,personal_irsPagoMensual*12),MIN(CD47,personal_irsPagoMensual*12))+IF(CE48&gt;0,PMT(CF48,MAX(1,prestamos_plazoAnios-CG48),-CE48),0)+IF(CR48&gt;0,PMT(CS48,MAX(1,prestamos_plazoAnios-CT48),-CR48),0))/12</f>
        <v/>
      </c>
      <c r="AX48" s="7">
        <f>IF(OR(sel_cfg="duplex",sel_cfg="multi",sel_cfg="dosCasas"),0.75*personal_aporteFamiliaMensual,0)</f>
        <v/>
      </c>
      <c r="AY48" s="7">
        <f>AU48-0.75*AT48-AX48+AW48</f>
        <v/>
      </c>
      <c r="AZ48" s="7">
        <f>(D48+G48+H48+0.5*F48)/12</f>
        <v/>
      </c>
      <c r="BA48" s="7">
        <f>IF(AND(AL48=0,A48&gt;=vivienda_anioMinCompra,J48&lt;0.5,AI48&gt;0,AK48&gt;=AV48,AY48&lt;=vivienda_dtiMax*AZ48),1,0)</f>
        <v/>
      </c>
      <c r="BB48" s="7">
        <f>MAX(AL48,BA48)</f>
        <v/>
      </c>
      <c r="BC48" s="7">
        <f>IF(BA48=1,A48,IF(15=0,"",BC47))</f>
        <v/>
      </c>
      <c r="BD48" s="7">
        <f>AK48-IF(BA48=1,AN48*AP48+AN48*vivienda_cierrePct,0)</f>
        <v/>
      </c>
      <c r="BE48" s="7">
        <f>IF(BA48=1,AN48,IF(15=0,0,BE47))</f>
        <v/>
      </c>
      <c r="BF48" s="7">
        <f>IF(BA48=1,AR48,IF(15=0,0,BF47))</f>
        <v/>
      </c>
      <c r="BG48" s="7">
        <f>IF(BA48=1,IF(AND(AO48=0,AP48&lt;0.2),1,0),IF(15=0,0,BY47))</f>
        <v/>
      </c>
      <c r="BH48" s="7">
        <f>IF(sel_cfg="casaAdu",1,0)</f>
        <v/>
      </c>
      <c r="BI48" s="7">
        <f>IF(AND(BB48=1,BH48=1,IF(15=0,0,BJ47)=0,A48&gt;=IF(BC48="",9999,BC48)+vivienda_aduRetrasoAnios),1,0)</f>
        <v/>
      </c>
      <c r="BJ48" s="7">
        <f>MAX(IF(15=0,0,BJ47),BI48)</f>
        <v/>
      </c>
      <c r="BK48" s="7">
        <f>IF(BI48=1,PMT((g_mortRate+0.005)/12,180,-loc_precio_aduCosto*C48),IF(15=0,0,BK47))</f>
        <v/>
      </c>
      <c r="BL48" s="7">
        <f>IF(BA48=1,AN48,IF(15=0,0,DT47))+IF(BI48=1,loc_precio_aduCosto*C48,0)</f>
        <v/>
      </c>
      <c r="BM48" s="7">
        <f>IF(BA48=1,AQ48,IF(15=0,0,DU47))</f>
        <v/>
      </c>
      <c r="BN48" s="7">
        <f>IF(BM48&lt;=0,0,FV(g_mortRate/12,12,BF48,-BM48))</f>
        <v/>
      </c>
      <c r="BO48" s="7">
        <f>IF(BM48&lt;=0,0,12*BF48+MIN(0,BN48))</f>
        <v/>
      </c>
      <c r="BP48" s="7">
        <f>MAX(0,BN48)</f>
        <v/>
      </c>
      <c r="BQ48" s="7">
        <f>IF(BI48=1,loc_precio_aduCosto*C48,IF(15=0,0,DV47))</f>
        <v/>
      </c>
      <c r="BR48" s="7">
        <f>IF(BQ48&lt;=0,0,FV((g_mortRate+0.005)/12,12,BK48,-BQ48))</f>
        <v/>
      </c>
      <c r="BS48" s="7">
        <f>IF(BQ48&lt;=0,0,12*BK48+MIN(0,BR48))</f>
        <v/>
      </c>
      <c r="BT48" s="7">
        <f>MAX(0,BR48)</f>
        <v/>
      </c>
      <c r="BU48" s="7">
        <f>IF(BB48=1,AM48*loc_seguroPct*(1+vivienda_inflacionSeguro)^(A48-2026)*IF(BJ48=1,1+loc_precio_aduCosto/AM48,1),0)</f>
        <v/>
      </c>
      <c r="BV48" s="7">
        <f>BL48*loc_impuestoPropPct</f>
        <v/>
      </c>
      <c r="BW48" s="7">
        <f>BL48*vivienda_mantenimientoPct</f>
        <v/>
      </c>
      <c r="BX48" s="7">
        <f>IF(AND(BG48=1,BP48&gt;0.8*BE48),BE48*(1-vivienda_enganchePct)*vivienda_pmiTasa,0)</f>
        <v/>
      </c>
      <c r="BY48" s="7">
        <f>IF(AND(BG48=1,BP48&gt;0.8*BE48),1,0)</f>
        <v/>
      </c>
      <c r="BZ48" s="7">
        <f>IF(BB48=1,AS48*loc_rentaUnidad*12*C48*(1-vivienda_vacancia)*(1-vivienda_gestionPct),0)</f>
        <v/>
      </c>
      <c r="CA48" s="7">
        <f>IF(BB48=1,BO48+BS48+BU48+BV48+BW48+BX48,loc_rentaMensual*12*C48)</f>
        <v/>
      </c>
      <c r="CB48" s="7">
        <f>IF(BB48=1,personal_aporteFamiliaMensual*12,0)</f>
        <v/>
      </c>
      <c r="CC48" s="7">
        <f>MIN(IF(15=0,personal_irsSaldo,CD47),personal_irsPagoMensual*12)</f>
        <v/>
      </c>
      <c r="CD48" s="7">
        <f>IF(15=0,personal_irsSaldo,CD47)-CC48</f>
        <v/>
      </c>
      <c r="CE48" s="7">
        <f>IF(15=0,IF(personal_deudaEsFederal=1,personal_deudaEstudiantil,0),DW47)</f>
        <v/>
      </c>
      <c r="CF48" s="7">
        <f>IF(15=0,personal_tasaDeudaEstudiantil,DX47)</f>
        <v/>
      </c>
      <c r="CG48" s="7">
        <f>IF(15=0,0,DY47)</f>
        <v/>
      </c>
      <c r="CH48" s="7">
        <f>IF(J48&gt;=0.5,1,0)</f>
        <v/>
      </c>
      <c r="CI48" s="7">
        <f>IF(AND(CH48=0,prestamos_pslfActivo=1,K48&gt;=0.5,CE48&gt;0),1,0)</f>
        <v/>
      </c>
      <c r="CJ48" s="7">
        <f>CE48*CF48</f>
        <v/>
      </c>
      <c r="CK48" s="7">
        <f>MAX(prestamos_rapPagoMinimoAnual,IF(Y48&lt;10000,0,MIN(0.1,INT(Y48/10000)/100))*Y48)</f>
        <v/>
      </c>
      <c r="CL48" s="7">
        <f>IF(CE48&lt;=0,0,IF(CH48=1,0,IF(CI48=1,MIN(CE48+CJ48,CK48),PMT(CF48,MAX(1,prestamos_plazoAnios-CG48),-CE48))))</f>
        <v/>
      </c>
      <c r="CM48" s="7">
        <f>IF(CE48&lt;=0,0,IF(CH48=1,CE48+CJ48,IF(CI48=1,MAX(0,CE48-MAX(CL48-CJ48,MIN(600,CL48))),MAX(0,CE48*(1+CF48)-CL48))))</f>
        <v/>
      </c>
      <c r="CN48" s="7">
        <f>IF(15=0,0,CN47)+IF(CI48=1,12*MIN(1,K48),0)</f>
        <v/>
      </c>
      <c r="CO48" s="7">
        <f>IF(AND(CI48=1,CN48&gt;=prestamos_pslfPagos,CM48&gt;0),CM48,0)</f>
        <v/>
      </c>
      <c r="CP48" s="7">
        <f>CM48-CO48</f>
        <v/>
      </c>
      <c r="CQ48" s="7">
        <f>IF(AND(CE48&gt;0,CH48=0,CI48=0),CG48+1,CG48)</f>
        <v/>
      </c>
      <c r="CR48" s="7">
        <f>IF(15=0,IF(personal_deudaEsFederal=1,0,personal_deudaEstudiantil),EA47)</f>
        <v/>
      </c>
      <c r="CS48" s="7">
        <f>IF(15=0,IF(personal_deudaEsFederal=1,prestamos_tasaPrivada,personal_tasaDeudaEstudiantil),EB47)</f>
        <v/>
      </c>
      <c r="CT48" s="7">
        <f>IF(15=0,0,EC47)</f>
        <v/>
      </c>
      <c r="CU48" s="7">
        <f>IF(OR(CR48&lt;=0,CH48=1),0,PMT(CS48,MAX(1,prestamos_plazoAnios-CT48),-CR48))</f>
        <v/>
      </c>
      <c r="CV48" s="7">
        <f>IF(CR48&lt;=0,0,IF(CH48=1,CR48*(1+CS48),MAX(0,CR48*(1+CS48)-CU48)))</f>
        <v/>
      </c>
      <c r="CW48" s="7">
        <f>IF(AND(CR48&gt;0,CH48=0),CT48+1,CT48)</f>
        <v/>
      </c>
      <c r="CX48" s="7">
        <f>IF(15=0,0,ED47)*(1+general_tasaDeudaConsumo)</f>
        <v/>
      </c>
      <c r="CY48" s="7">
        <f>L48*12*tiempos_travelGastoExtraMes*C48</f>
        <v/>
      </c>
      <c r="CZ48" s="7">
        <f>AJ48+CY48+CA48+CC48+CL48+CU48+I48+N48-BZ48-CB48</f>
        <v/>
      </c>
      <c r="DA48" s="7">
        <f>AH48-CZ48</f>
        <v/>
      </c>
      <c r="DB48" s="7">
        <f>IF(15=0,0,DB47)+DA48</f>
        <v/>
      </c>
      <c r="DC48" s="7">
        <f>AN48*vivienda_enganchePct+AN48*vivienda_cierrePct+general_reservaMeses/12*AJ48</f>
        <v/>
      </c>
      <c r="DD48" s="7">
        <f>IF(BB48=1,g_ret,IF(BD48&gt;0,MIN(1,DC48/BD48),1)*g_cash+(1-IF(BD48&gt;0,MIN(1,DC48/BD48),1))*g_ret)</f>
        <v/>
      </c>
      <c r="DE48" s="7">
        <f>IF(DA48&gt;=0,MIN(CX48,DA48),0)</f>
        <v/>
      </c>
      <c r="DF48" s="7">
        <f>IF(DA48&gt;=0,(1-general_tasaAhorro)*(DA48-DE48),0)</f>
        <v/>
      </c>
      <c r="DG48" s="7">
        <f>IF(DA48&gt;=0,DA48-DE48-DF48,0)</f>
        <v/>
      </c>
      <c r="DH48" s="7">
        <f>MIN(personal_rothAnual,DG48)</f>
        <v/>
      </c>
      <c r="DI48" s="7">
        <f>IF(AND(DA48&gt;=0,BB48=1,BP48+BT48&gt;0),MIN(vivienda_prepagoPct*(DG48-DH48),BP48+BT48),0)</f>
        <v/>
      </c>
      <c r="DJ48" s="7">
        <f>MIN(DI48,BP48)</f>
        <v/>
      </c>
      <c r="DK48" s="7">
        <f>IF(DA48&lt;0,MIN(MAX(0,BD48),-DA48),0)</f>
        <v/>
      </c>
      <c r="DL48" s="7">
        <f>IF(DA48&lt;0,-DA48-DK48,0)</f>
        <v/>
      </c>
      <c r="DM48" s="7">
        <f>IF(15=0,0,DZ47)</f>
        <v/>
      </c>
      <c r="DN48" s="7">
        <f>IF(AND(DL48&gt;0,J48&gt;0),MIN(DL48,MIN(prestamos_topeAnualPosgrado*MIN(1,J48),MAX(0,prestamos_topeTotalPosgrado-DM48))),0)</f>
        <v/>
      </c>
      <c r="DO48" s="7">
        <f>IF(AND(DL48&gt;0,J48&gt;0),DL48-DN48,0)</f>
        <v/>
      </c>
      <c r="DP48" s="7">
        <f>IF(AND(DL48&gt;0,J48&lt;=0),DL48,0)</f>
        <v/>
      </c>
      <c r="DQ48" s="7">
        <f>IF(DA48&gt;=0,DG48-DH48-DI48,-DK48)</f>
        <v/>
      </c>
      <c r="DR48" s="7">
        <f>BD48*(1+DD48)+DQ48*(1+DD48/2)</f>
        <v/>
      </c>
      <c r="DS48" s="7">
        <f>IF(15=0,personal_retiroInicial,DS47)*(1+g_ret)+(O48+P48+DH48)*(1+g_ret/2)</f>
        <v/>
      </c>
      <c r="DT48" s="7">
        <f>IF(BB48=1,BL48*(1+g_appr),0)</f>
        <v/>
      </c>
      <c r="DU48" s="7">
        <f>BP48-DJ48</f>
        <v/>
      </c>
      <c r="DV48" s="7">
        <f>BT48-(DI48-DJ48)</f>
        <v/>
      </c>
      <c r="DW48" s="7">
        <f>CP48+DN48</f>
        <v/>
      </c>
      <c r="DX48" s="7">
        <f>IF(DN48&gt;0,(CP48*CF48+DN48*prestamos_tasaFederalPosgrado)/(CP48+DN48),CF48)</f>
        <v/>
      </c>
      <c r="DY48" s="7">
        <f>IF(DN48&gt;0,0,CQ48)</f>
        <v/>
      </c>
      <c r="DZ48" s="7">
        <f>DM48+DN48</f>
        <v/>
      </c>
      <c r="EA48" s="7">
        <f>CV48+DO48</f>
        <v/>
      </c>
      <c r="EB48" s="7">
        <f>IF(DO48&gt;0,(CV48*CS48+DO48*prestamos_tasaPrivada)/(CV48+DO48),CS48)</f>
        <v/>
      </c>
      <c r="EC48" s="7">
        <f>IF(DO48&gt;0,0,CW48)</f>
        <v/>
      </c>
      <c r="ED48" s="7">
        <f>CX48-DE48+DP48</f>
        <v/>
      </c>
      <c r="EE48" s="7">
        <f>IF(IF(15=0,"",EE47)&lt;&gt;"",EE47,IF(AND(BB48=1,DU48&lt;=0.5,DV48&lt;=0.5,OR(BH48=0,BJ48=1)),A48,""))</f>
        <v/>
      </c>
      <c r="EF48" s="7">
        <f>DU48+DV48+DW48+EA48+ED48+CD48</f>
        <v/>
      </c>
      <c r="EG48" s="7">
        <f>DR48+DS48+DT48-EF48</f>
        <v/>
      </c>
      <c r="EH48" s="7">
        <f>EG48/(1+g_inf)^(A48+1-2026)</f>
        <v/>
      </c>
    </row>
    <row r="49">
      <c r="A49" t="n">
        <v>2043</v>
      </c>
      <c r="B49" t="n">
        <v>16</v>
      </c>
      <c r="C49" s="7">
        <f>(1+g_inf)^(A49-2026)</f>
        <v/>
      </c>
      <c r="D49" s="7">
        <f>SUMPRODUCT($AJ$5:$AJ$29,$E$5:$E$29*(1+$F$5:$F$29)^(A49-2026)*$G$5:$G$29*$H$5:$H$29*(1-$N$5:$N$29*$O$5:$O$29))*g_salMult+SUMPRODUCT(($B$5:$B$29&gt;=A49)*($B$5:$B$29&lt;A49+1)*$I$5:$I$29)*g_salMult</f>
        <v/>
      </c>
      <c r="E49" s="7">
        <f>SUMPRODUCT($AJ$5:$AJ$29,$E$5:$E$29*(1+$F$5:$F$29)^(A49-2026)*$G$5:$G$29*$H$5:$H$29*$M$5:$M$29)*g_salMult</f>
        <v/>
      </c>
      <c r="F49" s="7">
        <f>SUMPRODUCT($AJ$5:$AJ$29,$E$5:$E$29*(1+$F$5:$F$29)^(A49-2026)*$G$5:$G$29*$H$5:$H$29*$N$5:$N$29*$O$5:$O$29)*g_salMult</f>
        <v/>
      </c>
      <c r="G49" s="7">
        <f>SUMPRODUCT($AJ$5:$AJ$29,$P$5:$P$29*(1+$F$5:$F$29)^(A49-2026))</f>
        <v/>
      </c>
      <c r="H49" s="7">
        <f>SUMPRODUCT($AJ$5:$AJ$29,$Q$5:$Q$29*(1+$F$5:$F$29)^(A49-2026))+IF(personal_llcActivo=1,personal_llcNeto*(1+personal_llcCrecimiento)^16,0)</f>
        <v/>
      </c>
      <c r="I49" s="7">
        <f>SUMPRODUCT($AJ$5:$AJ$29,$J$5:$J$29/($C$5:$C$29-$B$5:$B$29+($C$5:$C$29=$B$5:$B$29)))*C49</f>
        <v/>
      </c>
      <c r="J49" s="7">
        <f>SUMPRODUCT($AJ$5:$AJ$29,$K$5:$K$29)</f>
        <v/>
      </c>
      <c r="K49" s="7">
        <f>SUMPRODUCT($AJ$5:$AJ$29,$L$5:$L$29)</f>
        <v/>
      </c>
      <c r="L49" s="7">
        <f>SUMPRODUCT($AJ$5:$AJ$29,$N$5:$N$29)</f>
        <v/>
      </c>
      <c r="M49" s="7">
        <f>IF(SUMPRODUCT($AJ$5:$AJ$29,$R$5:$R$29)&gt;0,1,0)</f>
        <v/>
      </c>
      <c r="N49" s="7">
        <f>SUMPRODUCT(($AO$5:$AO$24&gt;=A49)*($AO$5:$AO$24&lt;A49+1)*$AP$5:$AP$24)*C49+IF(16=0,IF(sel_loc&lt;&gt;"miami",personal_costoMudanzaInicial,0),0)</f>
        <v/>
      </c>
      <c r="O49" s="7">
        <f>MIN(personal_aporte403bPct*D49,retiro_limite403b*C49)</f>
        <v/>
      </c>
      <c r="P49" s="7">
        <f>MIN(personal_aporte403bPct,personal_match403bPct)*E49</f>
        <v/>
      </c>
      <c r="Q49" s="7">
        <f>IF(G49&gt;0,MAX(0,G49-impuestos_scorpCostoAnual*C49),0)</f>
        <v/>
      </c>
      <c r="R49" s="7">
        <f>Q49*impuestos_scorpSalarioPct/(1+impuestos_ssTasa+impuestos_medicareTasa)</f>
        <v/>
      </c>
      <c r="S49" s="7">
        <f>impuestos_ssTasa*MIN(R49,MAX(0,impuestos_ssTope*C49-D49))+impuestos_medicareTasa*R49</f>
        <v/>
      </c>
      <c r="T49" s="7">
        <f>Q49-R49-S49</f>
        <v/>
      </c>
      <c r="U49" s="7">
        <f>D49+R49</f>
        <v/>
      </c>
      <c r="V49" s="7">
        <f>H49*0.9235</f>
        <v/>
      </c>
      <c r="W49" s="7">
        <f>IF(H49&gt;0,2*impuestos_ssTasa*MIN(V49,MAX(0,impuestos_ssTope*C49-U49))+2*impuestos_medicareTasa*V49,0)</f>
        <v/>
      </c>
      <c r="X49" s="7">
        <f>impuestos_ssTasa*MIN(U49,impuestos_ssTope*C49)+impuestos_medicareTasa*U49+impuestos_medicareAdicional*MAX(0,U49+H49*0.9235-impuestos_medicareUmbral)</f>
        <v/>
      </c>
      <c r="Y49" s="7">
        <f>MAX(0,D49-O49+R49+T49+H49-W49/2)</f>
        <v/>
      </c>
      <c r="Z49" s="7">
        <f>MAX(0,Y49-impuestos_deduccionEstandar*C49)</f>
        <v/>
      </c>
      <c r="AA49" s="7">
        <f>MIN(0.2*MAX(0,T49+H49-W49/2)*MAX(0,MIN(1,1-(Z49-impuestos_qbiUmbral*C49)/(impuestos_qbiRango*C49))),0.2*Z49)</f>
        <v/>
      </c>
      <c r="AB49" s="7">
        <f>MAX(0,Z49-AA49)</f>
        <v/>
      </c>
      <c r="AC49" s="7">
        <f>SUMPRODUCT((AB49&gt;tb_federalBrackets_lo*C49)*(AB49-tb_federalBrackets_lo*C49)*tb_federalBrackets_dr)</f>
        <v/>
      </c>
      <c r="AD49" s="7">
        <f>MAX(0,Y49-impuestos_nyDeduccion*C49)</f>
        <v/>
      </c>
      <c r="AE49" s="7">
        <f>CHOOSE(loc_taxcode,0,impuestos_ohTasa*MAX(0,Y49-impuestos_ohExento*C49)+impuestos_ohMunicipal*U49,SUMPRODUCT((AD49&gt;tb_nyBrackets_lo*C49)*(AD49-tb_nyBrackets_lo*C49)*tb_nyBrackets_dr)+loc_nyc*SUMPRODUCT((AD49&gt;tb_nycBrackets_lo*C49)*(AD49-tb_nycBrackets_lo*C49)*tb_nycBrackets_dr))</f>
        <v/>
      </c>
      <c r="AF49" s="7">
        <f>AC49+AE49+X49+W49</f>
        <v/>
      </c>
      <c r="AG49" s="7">
        <f>D49+F49+R49+T49+H49</f>
        <v/>
      </c>
      <c r="AH49" s="7">
        <f>AG49-AF49-O49</f>
        <v/>
      </c>
      <c r="AI49" s="7">
        <f>D49+F49+G49+H49</f>
        <v/>
      </c>
      <c r="AJ49" s="7">
        <f>loc_gastosVida*C49*g_gastos</f>
        <v/>
      </c>
      <c r="AK49" s="7">
        <f>IF(16=0,personal_liquidoInicial,DR48)</f>
        <v/>
      </c>
      <c r="AL49" s="7">
        <f>IF(16=0,0,BB48)</f>
        <v/>
      </c>
      <c r="AM49" s="7">
        <f>CHOOSE(sel_cfgIdx,loc_precio_duplex,loc_precio_inlaw,loc_precio_dosCasas,loc_precio_casaAdu,loc_precio_multi)</f>
        <v/>
      </c>
      <c r="AN49" s="7">
        <f>AM49*(1+g_appr)^(A49-2026)</f>
        <v/>
      </c>
      <c r="AO49" s="7">
        <f>IF(AND(M49=1,vivienda_prestamoMedico=1),1,0)</f>
        <v/>
      </c>
      <c r="AP49" s="7">
        <f>IF(AO49=1,0.05,vivienda_enganchePct)</f>
        <v/>
      </c>
      <c r="AQ49" s="7">
        <f>AN49*(1-AP49)</f>
        <v/>
      </c>
      <c r="AR49" s="7">
        <f>PMT(g_mortRate/12,vivienda_plazoHipoteca*12,-AQ49)</f>
        <v/>
      </c>
      <c r="AS49" s="7">
        <f>INDEX(cfg_units,sel_cfgIdx)</f>
        <v/>
      </c>
      <c r="AT49" s="7">
        <f>AS49*loc_rentaUnidad*(1+g_inf)^(A49-2026)*(1-vivienda_vacancia)</f>
        <v/>
      </c>
      <c r="AU49" s="7">
        <f>AR49+AN49*loc_impuestoPropPct/12+AM49*loc_seguroPct*(1+vivienda_inflacionSeguro)^(A49-2026)/12+IF(AND(AO49=0,AP49&lt;0.2),AQ49*vivienda_pmiTasa/12,0)</f>
        <v/>
      </c>
      <c r="AV49" s="7">
        <f>AN49*AP49+AN49*vivienda_cierrePct+general_reservaMeses/12*AJ49</f>
        <v/>
      </c>
      <c r="AW49" s="7">
        <f>(IF(16=0,MIN(personal_irsSaldo,personal_irsPagoMensual*12),MIN(CD48,personal_irsPagoMensual*12))+IF(CE49&gt;0,PMT(CF49,MAX(1,prestamos_plazoAnios-CG49),-CE49),0)+IF(CR49&gt;0,PMT(CS49,MAX(1,prestamos_plazoAnios-CT49),-CR49),0))/12</f>
        <v/>
      </c>
      <c r="AX49" s="7">
        <f>IF(OR(sel_cfg="duplex",sel_cfg="multi",sel_cfg="dosCasas"),0.75*personal_aporteFamiliaMensual,0)</f>
        <v/>
      </c>
      <c r="AY49" s="7">
        <f>AU49-0.75*AT49-AX49+AW49</f>
        <v/>
      </c>
      <c r="AZ49" s="7">
        <f>(D49+G49+H49+0.5*F49)/12</f>
        <v/>
      </c>
      <c r="BA49" s="7">
        <f>IF(AND(AL49=0,A49&gt;=vivienda_anioMinCompra,J49&lt;0.5,AI49&gt;0,AK49&gt;=AV49,AY49&lt;=vivienda_dtiMax*AZ49),1,0)</f>
        <v/>
      </c>
      <c r="BB49" s="7">
        <f>MAX(AL49,BA49)</f>
        <v/>
      </c>
      <c r="BC49" s="7">
        <f>IF(BA49=1,A49,IF(16=0,"",BC48))</f>
        <v/>
      </c>
      <c r="BD49" s="7">
        <f>AK49-IF(BA49=1,AN49*AP49+AN49*vivienda_cierrePct,0)</f>
        <v/>
      </c>
      <c r="BE49" s="7">
        <f>IF(BA49=1,AN49,IF(16=0,0,BE48))</f>
        <v/>
      </c>
      <c r="BF49" s="7">
        <f>IF(BA49=1,AR49,IF(16=0,0,BF48))</f>
        <v/>
      </c>
      <c r="BG49" s="7">
        <f>IF(BA49=1,IF(AND(AO49=0,AP49&lt;0.2),1,0),IF(16=0,0,BY48))</f>
        <v/>
      </c>
      <c r="BH49" s="7">
        <f>IF(sel_cfg="casaAdu",1,0)</f>
        <v/>
      </c>
      <c r="BI49" s="7">
        <f>IF(AND(BB49=1,BH49=1,IF(16=0,0,BJ48)=0,A49&gt;=IF(BC49="",9999,BC49)+vivienda_aduRetrasoAnios),1,0)</f>
        <v/>
      </c>
      <c r="BJ49" s="7">
        <f>MAX(IF(16=0,0,BJ48),BI49)</f>
        <v/>
      </c>
      <c r="BK49" s="7">
        <f>IF(BI49=1,PMT((g_mortRate+0.005)/12,180,-loc_precio_aduCosto*C49),IF(16=0,0,BK48))</f>
        <v/>
      </c>
      <c r="BL49" s="7">
        <f>IF(BA49=1,AN49,IF(16=0,0,DT48))+IF(BI49=1,loc_precio_aduCosto*C49,0)</f>
        <v/>
      </c>
      <c r="BM49" s="7">
        <f>IF(BA49=1,AQ49,IF(16=0,0,DU48))</f>
        <v/>
      </c>
      <c r="BN49" s="7">
        <f>IF(BM49&lt;=0,0,FV(g_mortRate/12,12,BF49,-BM49))</f>
        <v/>
      </c>
      <c r="BO49" s="7">
        <f>IF(BM49&lt;=0,0,12*BF49+MIN(0,BN49))</f>
        <v/>
      </c>
      <c r="BP49" s="7">
        <f>MAX(0,BN49)</f>
        <v/>
      </c>
      <c r="BQ49" s="7">
        <f>IF(BI49=1,loc_precio_aduCosto*C49,IF(16=0,0,DV48))</f>
        <v/>
      </c>
      <c r="BR49" s="7">
        <f>IF(BQ49&lt;=0,0,FV((g_mortRate+0.005)/12,12,BK49,-BQ49))</f>
        <v/>
      </c>
      <c r="BS49" s="7">
        <f>IF(BQ49&lt;=0,0,12*BK49+MIN(0,BR49))</f>
        <v/>
      </c>
      <c r="BT49" s="7">
        <f>MAX(0,BR49)</f>
        <v/>
      </c>
      <c r="BU49" s="7">
        <f>IF(BB49=1,AM49*loc_seguroPct*(1+vivienda_inflacionSeguro)^(A49-2026)*IF(BJ49=1,1+loc_precio_aduCosto/AM49,1),0)</f>
        <v/>
      </c>
      <c r="BV49" s="7">
        <f>BL49*loc_impuestoPropPct</f>
        <v/>
      </c>
      <c r="BW49" s="7">
        <f>BL49*vivienda_mantenimientoPct</f>
        <v/>
      </c>
      <c r="BX49" s="7">
        <f>IF(AND(BG49=1,BP49&gt;0.8*BE49),BE49*(1-vivienda_enganchePct)*vivienda_pmiTasa,0)</f>
        <v/>
      </c>
      <c r="BY49" s="7">
        <f>IF(AND(BG49=1,BP49&gt;0.8*BE49),1,0)</f>
        <v/>
      </c>
      <c r="BZ49" s="7">
        <f>IF(BB49=1,AS49*loc_rentaUnidad*12*C49*(1-vivienda_vacancia)*(1-vivienda_gestionPct),0)</f>
        <v/>
      </c>
      <c r="CA49" s="7">
        <f>IF(BB49=1,BO49+BS49+BU49+BV49+BW49+BX49,loc_rentaMensual*12*C49)</f>
        <v/>
      </c>
      <c r="CB49" s="7">
        <f>IF(BB49=1,personal_aporteFamiliaMensual*12,0)</f>
        <v/>
      </c>
      <c r="CC49" s="7">
        <f>MIN(IF(16=0,personal_irsSaldo,CD48),personal_irsPagoMensual*12)</f>
        <v/>
      </c>
      <c r="CD49" s="7">
        <f>IF(16=0,personal_irsSaldo,CD48)-CC49</f>
        <v/>
      </c>
      <c r="CE49" s="7">
        <f>IF(16=0,IF(personal_deudaEsFederal=1,personal_deudaEstudiantil,0),DW48)</f>
        <v/>
      </c>
      <c r="CF49" s="7">
        <f>IF(16=0,personal_tasaDeudaEstudiantil,DX48)</f>
        <v/>
      </c>
      <c r="CG49" s="7">
        <f>IF(16=0,0,DY48)</f>
        <v/>
      </c>
      <c r="CH49" s="7">
        <f>IF(J49&gt;=0.5,1,0)</f>
        <v/>
      </c>
      <c r="CI49" s="7">
        <f>IF(AND(CH49=0,prestamos_pslfActivo=1,K49&gt;=0.5,CE49&gt;0),1,0)</f>
        <v/>
      </c>
      <c r="CJ49" s="7">
        <f>CE49*CF49</f>
        <v/>
      </c>
      <c r="CK49" s="7">
        <f>MAX(prestamos_rapPagoMinimoAnual,IF(Y49&lt;10000,0,MIN(0.1,INT(Y49/10000)/100))*Y49)</f>
        <v/>
      </c>
      <c r="CL49" s="7">
        <f>IF(CE49&lt;=0,0,IF(CH49=1,0,IF(CI49=1,MIN(CE49+CJ49,CK49),PMT(CF49,MAX(1,prestamos_plazoAnios-CG49),-CE49))))</f>
        <v/>
      </c>
      <c r="CM49" s="7">
        <f>IF(CE49&lt;=0,0,IF(CH49=1,CE49+CJ49,IF(CI49=1,MAX(0,CE49-MAX(CL49-CJ49,MIN(600,CL49))),MAX(0,CE49*(1+CF49)-CL49))))</f>
        <v/>
      </c>
      <c r="CN49" s="7">
        <f>IF(16=0,0,CN48)+IF(CI49=1,12*MIN(1,K49),0)</f>
        <v/>
      </c>
      <c r="CO49" s="7">
        <f>IF(AND(CI49=1,CN49&gt;=prestamos_pslfPagos,CM49&gt;0),CM49,0)</f>
        <v/>
      </c>
      <c r="CP49" s="7">
        <f>CM49-CO49</f>
        <v/>
      </c>
      <c r="CQ49" s="7">
        <f>IF(AND(CE49&gt;0,CH49=0,CI49=0),CG49+1,CG49)</f>
        <v/>
      </c>
      <c r="CR49" s="7">
        <f>IF(16=0,IF(personal_deudaEsFederal=1,0,personal_deudaEstudiantil),EA48)</f>
        <v/>
      </c>
      <c r="CS49" s="7">
        <f>IF(16=0,IF(personal_deudaEsFederal=1,prestamos_tasaPrivada,personal_tasaDeudaEstudiantil),EB48)</f>
        <v/>
      </c>
      <c r="CT49" s="7">
        <f>IF(16=0,0,EC48)</f>
        <v/>
      </c>
      <c r="CU49" s="7">
        <f>IF(OR(CR49&lt;=0,CH49=1),0,PMT(CS49,MAX(1,prestamos_plazoAnios-CT49),-CR49))</f>
        <v/>
      </c>
      <c r="CV49" s="7">
        <f>IF(CR49&lt;=0,0,IF(CH49=1,CR49*(1+CS49),MAX(0,CR49*(1+CS49)-CU49)))</f>
        <v/>
      </c>
      <c r="CW49" s="7">
        <f>IF(AND(CR49&gt;0,CH49=0),CT49+1,CT49)</f>
        <v/>
      </c>
      <c r="CX49" s="7">
        <f>IF(16=0,0,ED48)*(1+general_tasaDeudaConsumo)</f>
        <v/>
      </c>
      <c r="CY49" s="7">
        <f>L49*12*tiempos_travelGastoExtraMes*C49</f>
        <v/>
      </c>
      <c r="CZ49" s="7">
        <f>AJ49+CY49+CA49+CC49+CL49+CU49+I49+N49-BZ49-CB49</f>
        <v/>
      </c>
      <c r="DA49" s="7">
        <f>AH49-CZ49</f>
        <v/>
      </c>
      <c r="DB49" s="7">
        <f>IF(16=0,0,DB48)+DA49</f>
        <v/>
      </c>
      <c r="DC49" s="7">
        <f>AN49*vivienda_enganchePct+AN49*vivienda_cierrePct+general_reservaMeses/12*AJ49</f>
        <v/>
      </c>
      <c r="DD49" s="7">
        <f>IF(BB49=1,g_ret,IF(BD49&gt;0,MIN(1,DC49/BD49),1)*g_cash+(1-IF(BD49&gt;0,MIN(1,DC49/BD49),1))*g_ret)</f>
        <v/>
      </c>
      <c r="DE49" s="7">
        <f>IF(DA49&gt;=0,MIN(CX49,DA49),0)</f>
        <v/>
      </c>
      <c r="DF49" s="7">
        <f>IF(DA49&gt;=0,(1-general_tasaAhorro)*(DA49-DE49),0)</f>
        <v/>
      </c>
      <c r="DG49" s="7">
        <f>IF(DA49&gt;=0,DA49-DE49-DF49,0)</f>
        <v/>
      </c>
      <c r="DH49" s="7">
        <f>MIN(personal_rothAnual,DG49)</f>
        <v/>
      </c>
      <c r="DI49" s="7">
        <f>IF(AND(DA49&gt;=0,BB49=1,BP49+BT49&gt;0),MIN(vivienda_prepagoPct*(DG49-DH49),BP49+BT49),0)</f>
        <v/>
      </c>
      <c r="DJ49" s="7">
        <f>MIN(DI49,BP49)</f>
        <v/>
      </c>
      <c r="DK49" s="7">
        <f>IF(DA49&lt;0,MIN(MAX(0,BD49),-DA49),0)</f>
        <v/>
      </c>
      <c r="DL49" s="7">
        <f>IF(DA49&lt;0,-DA49-DK49,0)</f>
        <v/>
      </c>
      <c r="DM49" s="7">
        <f>IF(16=0,0,DZ48)</f>
        <v/>
      </c>
      <c r="DN49" s="7">
        <f>IF(AND(DL49&gt;0,J49&gt;0),MIN(DL49,MIN(prestamos_topeAnualPosgrado*MIN(1,J49),MAX(0,prestamos_topeTotalPosgrado-DM49))),0)</f>
        <v/>
      </c>
      <c r="DO49" s="7">
        <f>IF(AND(DL49&gt;0,J49&gt;0),DL49-DN49,0)</f>
        <v/>
      </c>
      <c r="DP49" s="7">
        <f>IF(AND(DL49&gt;0,J49&lt;=0),DL49,0)</f>
        <v/>
      </c>
      <c r="DQ49" s="7">
        <f>IF(DA49&gt;=0,DG49-DH49-DI49,-DK49)</f>
        <v/>
      </c>
      <c r="DR49" s="7">
        <f>BD49*(1+DD49)+DQ49*(1+DD49/2)</f>
        <v/>
      </c>
      <c r="DS49" s="7">
        <f>IF(16=0,personal_retiroInicial,DS48)*(1+g_ret)+(O49+P49+DH49)*(1+g_ret/2)</f>
        <v/>
      </c>
      <c r="DT49" s="7">
        <f>IF(BB49=1,BL49*(1+g_appr),0)</f>
        <v/>
      </c>
      <c r="DU49" s="7">
        <f>BP49-DJ49</f>
        <v/>
      </c>
      <c r="DV49" s="7">
        <f>BT49-(DI49-DJ49)</f>
        <v/>
      </c>
      <c r="DW49" s="7">
        <f>CP49+DN49</f>
        <v/>
      </c>
      <c r="DX49" s="7">
        <f>IF(DN49&gt;0,(CP49*CF49+DN49*prestamos_tasaFederalPosgrado)/(CP49+DN49),CF49)</f>
        <v/>
      </c>
      <c r="DY49" s="7">
        <f>IF(DN49&gt;0,0,CQ49)</f>
        <v/>
      </c>
      <c r="DZ49" s="7">
        <f>DM49+DN49</f>
        <v/>
      </c>
      <c r="EA49" s="7">
        <f>CV49+DO49</f>
        <v/>
      </c>
      <c r="EB49" s="7">
        <f>IF(DO49&gt;0,(CV49*CS49+DO49*prestamos_tasaPrivada)/(CV49+DO49),CS49)</f>
        <v/>
      </c>
      <c r="EC49" s="7">
        <f>IF(DO49&gt;0,0,CW49)</f>
        <v/>
      </c>
      <c r="ED49" s="7">
        <f>CX49-DE49+DP49</f>
        <v/>
      </c>
      <c r="EE49" s="7">
        <f>IF(IF(16=0,"",EE48)&lt;&gt;"",EE48,IF(AND(BB49=1,DU49&lt;=0.5,DV49&lt;=0.5,OR(BH49=0,BJ49=1)),A49,""))</f>
        <v/>
      </c>
      <c r="EF49" s="7">
        <f>DU49+DV49+DW49+EA49+ED49+CD49</f>
        <v/>
      </c>
      <c r="EG49" s="7">
        <f>DR49+DS49+DT49-EF49</f>
        <v/>
      </c>
      <c r="EH49" s="7">
        <f>EG49/(1+g_inf)^(A49+1-2026)</f>
        <v/>
      </c>
    </row>
    <row r="50">
      <c r="A50" t="n">
        <v>2044</v>
      </c>
      <c r="B50" t="n">
        <v>17</v>
      </c>
      <c r="C50" s="7">
        <f>(1+g_inf)^(A50-2026)</f>
        <v/>
      </c>
      <c r="D50" s="7">
        <f>SUMPRODUCT($AK$5:$AK$29,$E$5:$E$29*(1+$F$5:$F$29)^(A50-2026)*$G$5:$G$29*$H$5:$H$29*(1-$N$5:$N$29*$O$5:$O$29))*g_salMult+SUMPRODUCT(($B$5:$B$29&gt;=A50)*($B$5:$B$29&lt;A50+1)*$I$5:$I$29)*g_salMult</f>
        <v/>
      </c>
      <c r="E50" s="7">
        <f>SUMPRODUCT($AK$5:$AK$29,$E$5:$E$29*(1+$F$5:$F$29)^(A50-2026)*$G$5:$G$29*$H$5:$H$29*$M$5:$M$29)*g_salMult</f>
        <v/>
      </c>
      <c r="F50" s="7">
        <f>SUMPRODUCT($AK$5:$AK$29,$E$5:$E$29*(1+$F$5:$F$29)^(A50-2026)*$G$5:$G$29*$H$5:$H$29*$N$5:$N$29*$O$5:$O$29)*g_salMult</f>
        <v/>
      </c>
      <c r="G50" s="7">
        <f>SUMPRODUCT($AK$5:$AK$29,$P$5:$P$29*(1+$F$5:$F$29)^(A50-2026))</f>
        <v/>
      </c>
      <c r="H50" s="7">
        <f>SUMPRODUCT($AK$5:$AK$29,$Q$5:$Q$29*(1+$F$5:$F$29)^(A50-2026))+IF(personal_llcActivo=1,personal_llcNeto*(1+personal_llcCrecimiento)^17,0)</f>
        <v/>
      </c>
      <c r="I50" s="7">
        <f>SUMPRODUCT($AK$5:$AK$29,$J$5:$J$29/($C$5:$C$29-$B$5:$B$29+($C$5:$C$29=$B$5:$B$29)))*C50</f>
        <v/>
      </c>
      <c r="J50" s="7">
        <f>SUMPRODUCT($AK$5:$AK$29,$K$5:$K$29)</f>
        <v/>
      </c>
      <c r="K50" s="7">
        <f>SUMPRODUCT($AK$5:$AK$29,$L$5:$L$29)</f>
        <v/>
      </c>
      <c r="L50" s="7">
        <f>SUMPRODUCT($AK$5:$AK$29,$N$5:$N$29)</f>
        <v/>
      </c>
      <c r="M50" s="7">
        <f>IF(SUMPRODUCT($AK$5:$AK$29,$R$5:$R$29)&gt;0,1,0)</f>
        <v/>
      </c>
      <c r="N50" s="7">
        <f>SUMPRODUCT(($AO$5:$AO$24&gt;=A50)*($AO$5:$AO$24&lt;A50+1)*$AP$5:$AP$24)*C50+IF(17=0,IF(sel_loc&lt;&gt;"miami",personal_costoMudanzaInicial,0),0)</f>
        <v/>
      </c>
      <c r="O50" s="7">
        <f>MIN(personal_aporte403bPct*D50,retiro_limite403b*C50)</f>
        <v/>
      </c>
      <c r="P50" s="7">
        <f>MIN(personal_aporte403bPct,personal_match403bPct)*E50</f>
        <v/>
      </c>
      <c r="Q50" s="7">
        <f>IF(G50&gt;0,MAX(0,G50-impuestos_scorpCostoAnual*C50),0)</f>
        <v/>
      </c>
      <c r="R50" s="7">
        <f>Q50*impuestos_scorpSalarioPct/(1+impuestos_ssTasa+impuestos_medicareTasa)</f>
        <v/>
      </c>
      <c r="S50" s="7">
        <f>impuestos_ssTasa*MIN(R50,MAX(0,impuestos_ssTope*C50-D50))+impuestos_medicareTasa*R50</f>
        <v/>
      </c>
      <c r="T50" s="7">
        <f>Q50-R50-S50</f>
        <v/>
      </c>
      <c r="U50" s="7">
        <f>D50+R50</f>
        <v/>
      </c>
      <c r="V50" s="7">
        <f>H50*0.9235</f>
        <v/>
      </c>
      <c r="W50" s="7">
        <f>IF(H50&gt;0,2*impuestos_ssTasa*MIN(V50,MAX(0,impuestos_ssTope*C50-U50))+2*impuestos_medicareTasa*V50,0)</f>
        <v/>
      </c>
      <c r="X50" s="7">
        <f>impuestos_ssTasa*MIN(U50,impuestos_ssTope*C50)+impuestos_medicareTasa*U50+impuestos_medicareAdicional*MAX(0,U50+H50*0.9235-impuestos_medicareUmbral)</f>
        <v/>
      </c>
      <c r="Y50" s="7">
        <f>MAX(0,D50-O50+R50+T50+H50-W50/2)</f>
        <v/>
      </c>
      <c r="Z50" s="7">
        <f>MAX(0,Y50-impuestos_deduccionEstandar*C50)</f>
        <v/>
      </c>
      <c r="AA50" s="7">
        <f>MIN(0.2*MAX(0,T50+H50-W50/2)*MAX(0,MIN(1,1-(Z50-impuestos_qbiUmbral*C50)/(impuestos_qbiRango*C50))),0.2*Z50)</f>
        <v/>
      </c>
      <c r="AB50" s="7">
        <f>MAX(0,Z50-AA50)</f>
        <v/>
      </c>
      <c r="AC50" s="7">
        <f>SUMPRODUCT((AB50&gt;tb_federalBrackets_lo*C50)*(AB50-tb_federalBrackets_lo*C50)*tb_federalBrackets_dr)</f>
        <v/>
      </c>
      <c r="AD50" s="7">
        <f>MAX(0,Y50-impuestos_nyDeduccion*C50)</f>
        <v/>
      </c>
      <c r="AE50" s="7">
        <f>CHOOSE(loc_taxcode,0,impuestos_ohTasa*MAX(0,Y50-impuestos_ohExento*C50)+impuestos_ohMunicipal*U50,SUMPRODUCT((AD50&gt;tb_nyBrackets_lo*C50)*(AD50-tb_nyBrackets_lo*C50)*tb_nyBrackets_dr)+loc_nyc*SUMPRODUCT((AD50&gt;tb_nycBrackets_lo*C50)*(AD50-tb_nycBrackets_lo*C50)*tb_nycBrackets_dr))</f>
        <v/>
      </c>
      <c r="AF50" s="7">
        <f>AC50+AE50+X50+W50</f>
        <v/>
      </c>
      <c r="AG50" s="7">
        <f>D50+F50+R50+T50+H50</f>
        <v/>
      </c>
      <c r="AH50" s="7">
        <f>AG50-AF50-O50</f>
        <v/>
      </c>
      <c r="AI50" s="7">
        <f>D50+F50+G50+H50</f>
        <v/>
      </c>
      <c r="AJ50" s="7">
        <f>loc_gastosVida*C50*g_gastos</f>
        <v/>
      </c>
      <c r="AK50" s="7">
        <f>IF(17=0,personal_liquidoInicial,DR49)</f>
        <v/>
      </c>
      <c r="AL50" s="7">
        <f>IF(17=0,0,BB49)</f>
        <v/>
      </c>
      <c r="AM50" s="7">
        <f>CHOOSE(sel_cfgIdx,loc_precio_duplex,loc_precio_inlaw,loc_precio_dosCasas,loc_precio_casaAdu,loc_precio_multi)</f>
        <v/>
      </c>
      <c r="AN50" s="7">
        <f>AM50*(1+g_appr)^(A50-2026)</f>
        <v/>
      </c>
      <c r="AO50" s="7">
        <f>IF(AND(M50=1,vivienda_prestamoMedico=1),1,0)</f>
        <v/>
      </c>
      <c r="AP50" s="7">
        <f>IF(AO50=1,0.05,vivienda_enganchePct)</f>
        <v/>
      </c>
      <c r="AQ50" s="7">
        <f>AN50*(1-AP50)</f>
        <v/>
      </c>
      <c r="AR50" s="7">
        <f>PMT(g_mortRate/12,vivienda_plazoHipoteca*12,-AQ50)</f>
        <v/>
      </c>
      <c r="AS50" s="7">
        <f>INDEX(cfg_units,sel_cfgIdx)</f>
        <v/>
      </c>
      <c r="AT50" s="7">
        <f>AS50*loc_rentaUnidad*(1+g_inf)^(A50-2026)*(1-vivienda_vacancia)</f>
        <v/>
      </c>
      <c r="AU50" s="7">
        <f>AR50+AN50*loc_impuestoPropPct/12+AM50*loc_seguroPct*(1+vivienda_inflacionSeguro)^(A50-2026)/12+IF(AND(AO50=0,AP50&lt;0.2),AQ50*vivienda_pmiTasa/12,0)</f>
        <v/>
      </c>
      <c r="AV50" s="7">
        <f>AN50*AP50+AN50*vivienda_cierrePct+general_reservaMeses/12*AJ50</f>
        <v/>
      </c>
      <c r="AW50" s="7">
        <f>(IF(17=0,MIN(personal_irsSaldo,personal_irsPagoMensual*12),MIN(CD49,personal_irsPagoMensual*12))+IF(CE50&gt;0,PMT(CF50,MAX(1,prestamos_plazoAnios-CG50),-CE50),0)+IF(CR50&gt;0,PMT(CS50,MAX(1,prestamos_plazoAnios-CT50),-CR50),0))/12</f>
        <v/>
      </c>
      <c r="AX50" s="7">
        <f>IF(OR(sel_cfg="duplex",sel_cfg="multi",sel_cfg="dosCasas"),0.75*personal_aporteFamiliaMensual,0)</f>
        <v/>
      </c>
      <c r="AY50" s="7">
        <f>AU50-0.75*AT50-AX50+AW50</f>
        <v/>
      </c>
      <c r="AZ50" s="7">
        <f>(D50+G50+H50+0.5*F50)/12</f>
        <v/>
      </c>
      <c r="BA50" s="7">
        <f>IF(AND(AL50=0,A50&gt;=vivienda_anioMinCompra,J50&lt;0.5,AI50&gt;0,AK50&gt;=AV50,AY50&lt;=vivienda_dtiMax*AZ50),1,0)</f>
        <v/>
      </c>
      <c r="BB50" s="7">
        <f>MAX(AL50,BA50)</f>
        <v/>
      </c>
      <c r="BC50" s="7">
        <f>IF(BA50=1,A50,IF(17=0,"",BC49))</f>
        <v/>
      </c>
      <c r="BD50" s="7">
        <f>AK50-IF(BA50=1,AN50*AP50+AN50*vivienda_cierrePct,0)</f>
        <v/>
      </c>
      <c r="BE50" s="7">
        <f>IF(BA50=1,AN50,IF(17=0,0,BE49))</f>
        <v/>
      </c>
      <c r="BF50" s="7">
        <f>IF(BA50=1,AR50,IF(17=0,0,BF49))</f>
        <v/>
      </c>
      <c r="BG50" s="7">
        <f>IF(BA50=1,IF(AND(AO50=0,AP50&lt;0.2),1,0),IF(17=0,0,BY49))</f>
        <v/>
      </c>
      <c r="BH50" s="7">
        <f>IF(sel_cfg="casaAdu",1,0)</f>
        <v/>
      </c>
      <c r="BI50" s="7">
        <f>IF(AND(BB50=1,BH50=1,IF(17=0,0,BJ49)=0,A50&gt;=IF(BC50="",9999,BC50)+vivienda_aduRetrasoAnios),1,0)</f>
        <v/>
      </c>
      <c r="BJ50" s="7">
        <f>MAX(IF(17=0,0,BJ49),BI50)</f>
        <v/>
      </c>
      <c r="BK50" s="7">
        <f>IF(BI50=1,PMT((g_mortRate+0.005)/12,180,-loc_precio_aduCosto*C50),IF(17=0,0,BK49))</f>
        <v/>
      </c>
      <c r="BL50" s="7">
        <f>IF(BA50=1,AN50,IF(17=0,0,DT49))+IF(BI50=1,loc_precio_aduCosto*C50,0)</f>
        <v/>
      </c>
      <c r="BM50" s="7">
        <f>IF(BA50=1,AQ50,IF(17=0,0,DU49))</f>
        <v/>
      </c>
      <c r="BN50" s="7">
        <f>IF(BM50&lt;=0,0,FV(g_mortRate/12,12,BF50,-BM50))</f>
        <v/>
      </c>
      <c r="BO50" s="7">
        <f>IF(BM50&lt;=0,0,12*BF50+MIN(0,BN50))</f>
        <v/>
      </c>
      <c r="BP50" s="7">
        <f>MAX(0,BN50)</f>
        <v/>
      </c>
      <c r="BQ50" s="7">
        <f>IF(BI50=1,loc_precio_aduCosto*C50,IF(17=0,0,DV49))</f>
        <v/>
      </c>
      <c r="BR50" s="7">
        <f>IF(BQ50&lt;=0,0,FV((g_mortRate+0.005)/12,12,BK50,-BQ50))</f>
        <v/>
      </c>
      <c r="BS50" s="7">
        <f>IF(BQ50&lt;=0,0,12*BK50+MIN(0,BR50))</f>
        <v/>
      </c>
      <c r="BT50" s="7">
        <f>MAX(0,BR50)</f>
        <v/>
      </c>
      <c r="BU50" s="7">
        <f>IF(BB50=1,AM50*loc_seguroPct*(1+vivienda_inflacionSeguro)^(A50-2026)*IF(BJ50=1,1+loc_precio_aduCosto/AM50,1),0)</f>
        <v/>
      </c>
      <c r="BV50" s="7">
        <f>BL50*loc_impuestoPropPct</f>
        <v/>
      </c>
      <c r="BW50" s="7">
        <f>BL50*vivienda_mantenimientoPct</f>
        <v/>
      </c>
      <c r="BX50" s="7">
        <f>IF(AND(BG50=1,BP50&gt;0.8*BE50),BE50*(1-vivienda_enganchePct)*vivienda_pmiTasa,0)</f>
        <v/>
      </c>
      <c r="BY50" s="7">
        <f>IF(AND(BG50=1,BP50&gt;0.8*BE50),1,0)</f>
        <v/>
      </c>
      <c r="BZ50" s="7">
        <f>IF(BB50=1,AS50*loc_rentaUnidad*12*C50*(1-vivienda_vacancia)*(1-vivienda_gestionPct),0)</f>
        <v/>
      </c>
      <c r="CA50" s="7">
        <f>IF(BB50=1,BO50+BS50+BU50+BV50+BW50+BX50,loc_rentaMensual*12*C50)</f>
        <v/>
      </c>
      <c r="CB50" s="7">
        <f>IF(BB50=1,personal_aporteFamiliaMensual*12,0)</f>
        <v/>
      </c>
      <c r="CC50" s="7">
        <f>MIN(IF(17=0,personal_irsSaldo,CD49),personal_irsPagoMensual*12)</f>
        <v/>
      </c>
      <c r="CD50" s="7">
        <f>IF(17=0,personal_irsSaldo,CD49)-CC50</f>
        <v/>
      </c>
      <c r="CE50" s="7">
        <f>IF(17=0,IF(personal_deudaEsFederal=1,personal_deudaEstudiantil,0),DW49)</f>
        <v/>
      </c>
      <c r="CF50" s="7">
        <f>IF(17=0,personal_tasaDeudaEstudiantil,DX49)</f>
        <v/>
      </c>
      <c r="CG50" s="7">
        <f>IF(17=0,0,DY49)</f>
        <v/>
      </c>
      <c r="CH50" s="7">
        <f>IF(J50&gt;=0.5,1,0)</f>
        <v/>
      </c>
      <c r="CI50" s="7">
        <f>IF(AND(CH50=0,prestamos_pslfActivo=1,K50&gt;=0.5,CE50&gt;0),1,0)</f>
        <v/>
      </c>
      <c r="CJ50" s="7">
        <f>CE50*CF50</f>
        <v/>
      </c>
      <c r="CK50" s="7">
        <f>MAX(prestamos_rapPagoMinimoAnual,IF(Y50&lt;10000,0,MIN(0.1,INT(Y50/10000)/100))*Y50)</f>
        <v/>
      </c>
      <c r="CL50" s="7">
        <f>IF(CE50&lt;=0,0,IF(CH50=1,0,IF(CI50=1,MIN(CE50+CJ50,CK50),PMT(CF50,MAX(1,prestamos_plazoAnios-CG50),-CE50))))</f>
        <v/>
      </c>
      <c r="CM50" s="7">
        <f>IF(CE50&lt;=0,0,IF(CH50=1,CE50+CJ50,IF(CI50=1,MAX(0,CE50-MAX(CL50-CJ50,MIN(600,CL50))),MAX(0,CE50*(1+CF50)-CL50))))</f>
        <v/>
      </c>
      <c r="CN50" s="7">
        <f>IF(17=0,0,CN49)+IF(CI50=1,12*MIN(1,K50),0)</f>
        <v/>
      </c>
      <c r="CO50" s="7">
        <f>IF(AND(CI50=1,CN50&gt;=prestamos_pslfPagos,CM50&gt;0),CM50,0)</f>
        <v/>
      </c>
      <c r="CP50" s="7">
        <f>CM50-CO50</f>
        <v/>
      </c>
      <c r="CQ50" s="7">
        <f>IF(AND(CE50&gt;0,CH50=0,CI50=0),CG50+1,CG50)</f>
        <v/>
      </c>
      <c r="CR50" s="7">
        <f>IF(17=0,IF(personal_deudaEsFederal=1,0,personal_deudaEstudiantil),EA49)</f>
        <v/>
      </c>
      <c r="CS50" s="7">
        <f>IF(17=0,IF(personal_deudaEsFederal=1,prestamos_tasaPrivada,personal_tasaDeudaEstudiantil),EB49)</f>
        <v/>
      </c>
      <c r="CT50" s="7">
        <f>IF(17=0,0,EC49)</f>
        <v/>
      </c>
      <c r="CU50" s="7">
        <f>IF(OR(CR50&lt;=0,CH50=1),0,PMT(CS50,MAX(1,prestamos_plazoAnios-CT50),-CR50))</f>
        <v/>
      </c>
      <c r="CV50" s="7">
        <f>IF(CR50&lt;=0,0,IF(CH50=1,CR50*(1+CS50),MAX(0,CR50*(1+CS50)-CU50)))</f>
        <v/>
      </c>
      <c r="CW50" s="7">
        <f>IF(AND(CR50&gt;0,CH50=0),CT50+1,CT50)</f>
        <v/>
      </c>
      <c r="CX50" s="7">
        <f>IF(17=0,0,ED49)*(1+general_tasaDeudaConsumo)</f>
        <v/>
      </c>
      <c r="CY50" s="7">
        <f>L50*12*tiempos_travelGastoExtraMes*C50</f>
        <v/>
      </c>
      <c r="CZ50" s="7">
        <f>AJ50+CY50+CA50+CC50+CL50+CU50+I50+N50-BZ50-CB50</f>
        <v/>
      </c>
      <c r="DA50" s="7">
        <f>AH50-CZ50</f>
        <v/>
      </c>
      <c r="DB50" s="7">
        <f>IF(17=0,0,DB49)+DA50</f>
        <v/>
      </c>
      <c r="DC50" s="7">
        <f>AN50*vivienda_enganchePct+AN50*vivienda_cierrePct+general_reservaMeses/12*AJ50</f>
        <v/>
      </c>
      <c r="DD50" s="7">
        <f>IF(BB50=1,g_ret,IF(BD50&gt;0,MIN(1,DC50/BD50),1)*g_cash+(1-IF(BD50&gt;0,MIN(1,DC50/BD50),1))*g_ret)</f>
        <v/>
      </c>
      <c r="DE50" s="7">
        <f>IF(DA50&gt;=0,MIN(CX50,DA50),0)</f>
        <v/>
      </c>
      <c r="DF50" s="7">
        <f>IF(DA50&gt;=0,(1-general_tasaAhorro)*(DA50-DE50),0)</f>
        <v/>
      </c>
      <c r="DG50" s="7">
        <f>IF(DA50&gt;=0,DA50-DE50-DF50,0)</f>
        <v/>
      </c>
      <c r="DH50" s="7">
        <f>MIN(personal_rothAnual,DG50)</f>
        <v/>
      </c>
      <c r="DI50" s="7">
        <f>IF(AND(DA50&gt;=0,BB50=1,BP50+BT50&gt;0),MIN(vivienda_prepagoPct*(DG50-DH50),BP50+BT50),0)</f>
        <v/>
      </c>
      <c r="DJ50" s="7">
        <f>MIN(DI50,BP50)</f>
        <v/>
      </c>
      <c r="DK50" s="7">
        <f>IF(DA50&lt;0,MIN(MAX(0,BD50),-DA50),0)</f>
        <v/>
      </c>
      <c r="DL50" s="7">
        <f>IF(DA50&lt;0,-DA50-DK50,0)</f>
        <v/>
      </c>
      <c r="DM50" s="7">
        <f>IF(17=0,0,DZ49)</f>
        <v/>
      </c>
      <c r="DN50" s="7">
        <f>IF(AND(DL50&gt;0,J50&gt;0),MIN(DL50,MIN(prestamos_topeAnualPosgrado*MIN(1,J50),MAX(0,prestamos_topeTotalPosgrado-DM50))),0)</f>
        <v/>
      </c>
      <c r="DO50" s="7">
        <f>IF(AND(DL50&gt;0,J50&gt;0),DL50-DN50,0)</f>
        <v/>
      </c>
      <c r="DP50" s="7">
        <f>IF(AND(DL50&gt;0,J50&lt;=0),DL50,0)</f>
        <v/>
      </c>
      <c r="DQ50" s="7">
        <f>IF(DA50&gt;=0,DG50-DH50-DI50,-DK50)</f>
        <v/>
      </c>
      <c r="DR50" s="7">
        <f>BD50*(1+DD50)+DQ50*(1+DD50/2)</f>
        <v/>
      </c>
      <c r="DS50" s="7">
        <f>IF(17=0,personal_retiroInicial,DS49)*(1+g_ret)+(O50+P50+DH50)*(1+g_ret/2)</f>
        <v/>
      </c>
      <c r="DT50" s="7">
        <f>IF(BB50=1,BL50*(1+g_appr),0)</f>
        <v/>
      </c>
      <c r="DU50" s="7">
        <f>BP50-DJ50</f>
        <v/>
      </c>
      <c r="DV50" s="7">
        <f>BT50-(DI50-DJ50)</f>
        <v/>
      </c>
      <c r="DW50" s="7">
        <f>CP50+DN50</f>
        <v/>
      </c>
      <c r="DX50" s="7">
        <f>IF(DN50&gt;0,(CP50*CF50+DN50*prestamos_tasaFederalPosgrado)/(CP50+DN50),CF50)</f>
        <v/>
      </c>
      <c r="DY50" s="7">
        <f>IF(DN50&gt;0,0,CQ50)</f>
        <v/>
      </c>
      <c r="DZ50" s="7">
        <f>DM50+DN50</f>
        <v/>
      </c>
      <c r="EA50" s="7">
        <f>CV50+DO50</f>
        <v/>
      </c>
      <c r="EB50" s="7">
        <f>IF(DO50&gt;0,(CV50*CS50+DO50*prestamos_tasaPrivada)/(CV50+DO50),CS50)</f>
        <v/>
      </c>
      <c r="EC50" s="7">
        <f>IF(DO50&gt;0,0,CW50)</f>
        <v/>
      </c>
      <c r="ED50" s="7">
        <f>CX50-DE50+DP50</f>
        <v/>
      </c>
      <c r="EE50" s="7">
        <f>IF(IF(17=0,"",EE49)&lt;&gt;"",EE49,IF(AND(BB50=1,DU50&lt;=0.5,DV50&lt;=0.5,OR(BH50=0,BJ50=1)),A50,""))</f>
        <v/>
      </c>
      <c r="EF50" s="7">
        <f>DU50+DV50+DW50+EA50+ED50+CD50</f>
        <v/>
      </c>
      <c r="EG50" s="7">
        <f>DR50+DS50+DT50-EF50</f>
        <v/>
      </c>
      <c r="EH50" s="7">
        <f>EG50/(1+g_inf)^(A50+1-2026)</f>
        <v/>
      </c>
    </row>
    <row r="51">
      <c r="A51" t="n">
        <v>2045</v>
      </c>
      <c r="B51" t="n">
        <v>18</v>
      </c>
      <c r="C51" s="7">
        <f>(1+g_inf)^(A51-2026)</f>
        <v/>
      </c>
      <c r="D51" s="7">
        <f>SUMPRODUCT($AL$5:$AL$29,$E$5:$E$29*(1+$F$5:$F$29)^(A51-2026)*$G$5:$G$29*$H$5:$H$29*(1-$N$5:$N$29*$O$5:$O$29))*g_salMult+SUMPRODUCT(($B$5:$B$29&gt;=A51)*($B$5:$B$29&lt;A51+1)*$I$5:$I$29)*g_salMult</f>
        <v/>
      </c>
      <c r="E51" s="7">
        <f>SUMPRODUCT($AL$5:$AL$29,$E$5:$E$29*(1+$F$5:$F$29)^(A51-2026)*$G$5:$G$29*$H$5:$H$29*$M$5:$M$29)*g_salMult</f>
        <v/>
      </c>
      <c r="F51" s="7">
        <f>SUMPRODUCT($AL$5:$AL$29,$E$5:$E$29*(1+$F$5:$F$29)^(A51-2026)*$G$5:$G$29*$H$5:$H$29*$N$5:$N$29*$O$5:$O$29)*g_salMult</f>
        <v/>
      </c>
      <c r="G51" s="7">
        <f>SUMPRODUCT($AL$5:$AL$29,$P$5:$P$29*(1+$F$5:$F$29)^(A51-2026))</f>
        <v/>
      </c>
      <c r="H51" s="7">
        <f>SUMPRODUCT($AL$5:$AL$29,$Q$5:$Q$29*(1+$F$5:$F$29)^(A51-2026))+IF(personal_llcActivo=1,personal_llcNeto*(1+personal_llcCrecimiento)^18,0)</f>
        <v/>
      </c>
      <c r="I51" s="7">
        <f>SUMPRODUCT($AL$5:$AL$29,$J$5:$J$29/($C$5:$C$29-$B$5:$B$29+($C$5:$C$29=$B$5:$B$29)))*C51</f>
        <v/>
      </c>
      <c r="J51" s="7">
        <f>SUMPRODUCT($AL$5:$AL$29,$K$5:$K$29)</f>
        <v/>
      </c>
      <c r="K51" s="7">
        <f>SUMPRODUCT($AL$5:$AL$29,$L$5:$L$29)</f>
        <v/>
      </c>
      <c r="L51" s="7">
        <f>SUMPRODUCT($AL$5:$AL$29,$N$5:$N$29)</f>
        <v/>
      </c>
      <c r="M51" s="7">
        <f>IF(SUMPRODUCT($AL$5:$AL$29,$R$5:$R$29)&gt;0,1,0)</f>
        <v/>
      </c>
      <c r="N51" s="7">
        <f>SUMPRODUCT(($AO$5:$AO$24&gt;=A51)*($AO$5:$AO$24&lt;A51+1)*$AP$5:$AP$24)*C51+IF(18=0,IF(sel_loc&lt;&gt;"miami",personal_costoMudanzaInicial,0),0)</f>
        <v/>
      </c>
      <c r="O51" s="7">
        <f>MIN(personal_aporte403bPct*D51,retiro_limite403b*C51)</f>
        <v/>
      </c>
      <c r="P51" s="7">
        <f>MIN(personal_aporte403bPct,personal_match403bPct)*E51</f>
        <v/>
      </c>
      <c r="Q51" s="7">
        <f>IF(G51&gt;0,MAX(0,G51-impuestos_scorpCostoAnual*C51),0)</f>
        <v/>
      </c>
      <c r="R51" s="7">
        <f>Q51*impuestos_scorpSalarioPct/(1+impuestos_ssTasa+impuestos_medicareTasa)</f>
        <v/>
      </c>
      <c r="S51" s="7">
        <f>impuestos_ssTasa*MIN(R51,MAX(0,impuestos_ssTope*C51-D51))+impuestos_medicareTasa*R51</f>
        <v/>
      </c>
      <c r="T51" s="7">
        <f>Q51-R51-S51</f>
        <v/>
      </c>
      <c r="U51" s="7">
        <f>D51+R51</f>
        <v/>
      </c>
      <c r="V51" s="7">
        <f>H51*0.9235</f>
        <v/>
      </c>
      <c r="W51" s="7">
        <f>IF(H51&gt;0,2*impuestos_ssTasa*MIN(V51,MAX(0,impuestos_ssTope*C51-U51))+2*impuestos_medicareTasa*V51,0)</f>
        <v/>
      </c>
      <c r="X51" s="7">
        <f>impuestos_ssTasa*MIN(U51,impuestos_ssTope*C51)+impuestos_medicareTasa*U51+impuestos_medicareAdicional*MAX(0,U51+H51*0.9235-impuestos_medicareUmbral)</f>
        <v/>
      </c>
      <c r="Y51" s="7">
        <f>MAX(0,D51-O51+R51+T51+H51-W51/2)</f>
        <v/>
      </c>
      <c r="Z51" s="7">
        <f>MAX(0,Y51-impuestos_deduccionEstandar*C51)</f>
        <v/>
      </c>
      <c r="AA51" s="7">
        <f>MIN(0.2*MAX(0,T51+H51-W51/2)*MAX(0,MIN(1,1-(Z51-impuestos_qbiUmbral*C51)/(impuestos_qbiRango*C51))),0.2*Z51)</f>
        <v/>
      </c>
      <c r="AB51" s="7">
        <f>MAX(0,Z51-AA51)</f>
        <v/>
      </c>
      <c r="AC51" s="7">
        <f>SUMPRODUCT((AB51&gt;tb_federalBrackets_lo*C51)*(AB51-tb_federalBrackets_lo*C51)*tb_federalBrackets_dr)</f>
        <v/>
      </c>
      <c r="AD51" s="7">
        <f>MAX(0,Y51-impuestos_nyDeduccion*C51)</f>
        <v/>
      </c>
      <c r="AE51" s="7">
        <f>CHOOSE(loc_taxcode,0,impuestos_ohTasa*MAX(0,Y51-impuestos_ohExento*C51)+impuestos_ohMunicipal*U51,SUMPRODUCT((AD51&gt;tb_nyBrackets_lo*C51)*(AD51-tb_nyBrackets_lo*C51)*tb_nyBrackets_dr)+loc_nyc*SUMPRODUCT((AD51&gt;tb_nycBrackets_lo*C51)*(AD51-tb_nycBrackets_lo*C51)*tb_nycBrackets_dr))</f>
        <v/>
      </c>
      <c r="AF51" s="7">
        <f>AC51+AE51+X51+W51</f>
        <v/>
      </c>
      <c r="AG51" s="7">
        <f>D51+F51+R51+T51+H51</f>
        <v/>
      </c>
      <c r="AH51" s="7">
        <f>AG51-AF51-O51</f>
        <v/>
      </c>
      <c r="AI51" s="7">
        <f>D51+F51+G51+H51</f>
        <v/>
      </c>
      <c r="AJ51" s="7">
        <f>loc_gastosVida*C51*g_gastos</f>
        <v/>
      </c>
      <c r="AK51" s="7">
        <f>IF(18=0,personal_liquidoInicial,DR50)</f>
        <v/>
      </c>
      <c r="AL51" s="7">
        <f>IF(18=0,0,BB50)</f>
        <v/>
      </c>
      <c r="AM51" s="7">
        <f>CHOOSE(sel_cfgIdx,loc_precio_duplex,loc_precio_inlaw,loc_precio_dosCasas,loc_precio_casaAdu,loc_precio_multi)</f>
        <v/>
      </c>
      <c r="AN51" s="7">
        <f>AM51*(1+g_appr)^(A51-2026)</f>
        <v/>
      </c>
      <c r="AO51" s="7">
        <f>IF(AND(M51=1,vivienda_prestamoMedico=1),1,0)</f>
        <v/>
      </c>
      <c r="AP51" s="7">
        <f>IF(AO51=1,0.05,vivienda_enganchePct)</f>
        <v/>
      </c>
      <c r="AQ51" s="7">
        <f>AN51*(1-AP51)</f>
        <v/>
      </c>
      <c r="AR51" s="7">
        <f>PMT(g_mortRate/12,vivienda_plazoHipoteca*12,-AQ51)</f>
        <v/>
      </c>
      <c r="AS51" s="7">
        <f>INDEX(cfg_units,sel_cfgIdx)</f>
        <v/>
      </c>
      <c r="AT51" s="7">
        <f>AS51*loc_rentaUnidad*(1+g_inf)^(A51-2026)*(1-vivienda_vacancia)</f>
        <v/>
      </c>
      <c r="AU51" s="7">
        <f>AR51+AN51*loc_impuestoPropPct/12+AM51*loc_seguroPct*(1+vivienda_inflacionSeguro)^(A51-2026)/12+IF(AND(AO51=0,AP51&lt;0.2),AQ51*vivienda_pmiTasa/12,0)</f>
        <v/>
      </c>
      <c r="AV51" s="7">
        <f>AN51*AP51+AN51*vivienda_cierrePct+general_reservaMeses/12*AJ51</f>
        <v/>
      </c>
      <c r="AW51" s="7">
        <f>(IF(18=0,MIN(personal_irsSaldo,personal_irsPagoMensual*12),MIN(CD50,personal_irsPagoMensual*12))+IF(CE51&gt;0,PMT(CF51,MAX(1,prestamos_plazoAnios-CG51),-CE51),0)+IF(CR51&gt;0,PMT(CS51,MAX(1,prestamos_plazoAnios-CT51),-CR51),0))/12</f>
        <v/>
      </c>
      <c r="AX51" s="7">
        <f>IF(OR(sel_cfg="duplex",sel_cfg="multi",sel_cfg="dosCasas"),0.75*personal_aporteFamiliaMensual,0)</f>
        <v/>
      </c>
      <c r="AY51" s="7">
        <f>AU51-0.75*AT51-AX51+AW51</f>
        <v/>
      </c>
      <c r="AZ51" s="7">
        <f>(D51+G51+H51+0.5*F51)/12</f>
        <v/>
      </c>
      <c r="BA51" s="7">
        <f>IF(AND(AL51=0,A51&gt;=vivienda_anioMinCompra,J51&lt;0.5,AI51&gt;0,AK51&gt;=AV51,AY51&lt;=vivienda_dtiMax*AZ51),1,0)</f>
        <v/>
      </c>
      <c r="BB51" s="7">
        <f>MAX(AL51,BA51)</f>
        <v/>
      </c>
      <c r="BC51" s="7">
        <f>IF(BA51=1,A51,IF(18=0,"",BC50))</f>
        <v/>
      </c>
      <c r="BD51" s="7">
        <f>AK51-IF(BA51=1,AN51*AP51+AN51*vivienda_cierrePct,0)</f>
        <v/>
      </c>
      <c r="BE51" s="7">
        <f>IF(BA51=1,AN51,IF(18=0,0,BE50))</f>
        <v/>
      </c>
      <c r="BF51" s="7">
        <f>IF(BA51=1,AR51,IF(18=0,0,BF50))</f>
        <v/>
      </c>
      <c r="BG51" s="7">
        <f>IF(BA51=1,IF(AND(AO51=0,AP51&lt;0.2),1,0),IF(18=0,0,BY50))</f>
        <v/>
      </c>
      <c r="BH51" s="7">
        <f>IF(sel_cfg="casaAdu",1,0)</f>
        <v/>
      </c>
      <c r="BI51" s="7">
        <f>IF(AND(BB51=1,BH51=1,IF(18=0,0,BJ50)=0,A51&gt;=IF(BC51="",9999,BC51)+vivienda_aduRetrasoAnios),1,0)</f>
        <v/>
      </c>
      <c r="BJ51" s="7">
        <f>MAX(IF(18=0,0,BJ50),BI51)</f>
        <v/>
      </c>
      <c r="BK51" s="7">
        <f>IF(BI51=1,PMT((g_mortRate+0.005)/12,180,-loc_precio_aduCosto*C51),IF(18=0,0,BK50))</f>
        <v/>
      </c>
      <c r="BL51" s="7">
        <f>IF(BA51=1,AN51,IF(18=0,0,DT50))+IF(BI51=1,loc_precio_aduCosto*C51,0)</f>
        <v/>
      </c>
      <c r="BM51" s="7">
        <f>IF(BA51=1,AQ51,IF(18=0,0,DU50))</f>
        <v/>
      </c>
      <c r="BN51" s="7">
        <f>IF(BM51&lt;=0,0,FV(g_mortRate/12,12,BF51,-BM51))</f>
        <v/>
      </c>
      <c r="BO51" s="7">
        <f>IF(BM51&lt;=0,0,12*BF51+MIN(0,BN51))</f>
        <v/>
      </c>
      <c r="BP51" s="7">
        <f>MAX(0,BN51)</f>
        <v/>
      </c>
      <c r="BQ51" s="7">
        <f>IF(BI51=1,loc_precio_aduCosto*C51,IF(18=0,0,DV50))</f>
        <v/>
      </c>
      <c r="BR51" s="7">
        <f>IF(BQ51&lt;=0,0,FV((g_mortRate+0.005)/12,12,BK51,-BQ51))</f>
        <v/>
      </c>
      <c r="BS51" s="7">
        <f>IF(BQ51&lt;=0,0,12*BK51+MIN(0,BR51))</f>
        <v/>
      </c>
      <c r="BT51" s="7">
        <f>MAX(0,BR51)</f>
        <v/>
      </c>
      <c r="BU51" s="7">
        <f>IF(BB51=1,AM51*loc_seguroPct*(1+vivienda_inflacionSeguro)^(A51-2026)*IF(BJ51=1,1+loc_precio_aduCosto/AM51,1),0)</f>
        <v/>
      </c>
      <c r="BV51" s="7">
        <f>BL51*loc_impuestoPropPct</f>
        <v/>
      </c>
      <c r="BW51" s="7">
        <f>BL51*vivienda_mantenimientoPct</f>
        <v/>
      </c>
      <c r="BX51" s="7">
        <f>IF(AND(BG51=1,BP51&gt;0.8*BE51),BE51*(1-vivienda_enganchePct)*vivienda_pmiTasa,0)</f>
        <v/>
      </c>
      <c r="BY51" s="7">
        <f>IF(AND(BG51=1,BP51&gt;0.8*BE51),1,0)</f>
        <v/>
      </c>
      <c r="BZ51" s="7">
        <f>IF(BB51=1,AS51*loc_rentaUnidad*12*C51*(1-vivienda_vacancia)*(1-vivienda_gestionPct),0)</f>
        <v/>
      </c>
      <c r="CA51" s="7">
        <f>IF(BB51=1,BO51+BS51+BU51+BV51+BW51+BX51,loc_rentaMensual*12*C51)</f>
        <v/>
      </c>
      <c r="CB51" s="7">
        <f>IF(BB51=1,personal_aporteFamiliaMensual*12,0)</f>
        <v/>
      </c>
      <c r="CC51" s="7">
        <f>MIN(IF(18=0,personal_irsSaldo,CD50),personal_irsPagoMensual*12)</f>
        <v/>
      </c>
      <c r="CD51" s="7">
        <f>IF(18=0,personal_irsSaldo,CD50)-CC51</f>
        <v/>
      </c>
      <c r="CE51" s="7">
        <f>IF(18=0,IF(personal_deudaEsFederal=1,personal_deudaEstudiantil,0),DW50)</f>
        <v/>
      </c>
      <c r="CF51" s="7">
        <f>IF(18=0,personal_tasaDeudaEstudiantil,DX50)</f>
        <v/>
      </c>
      <c r="CG51" s="7">
        <f>IF(18=0,0,DY50)</f>
        <v/>
      </c>
      <c r="CH51" s="7">
        <f>IF(J51&gt;=0.5,1,0)</f>
        <v/>
      </c>
      <c r="CI51" s="7">
        <f>IF(AND(CH51=0,prestamos_pslfActivo=1,K51&gt;=0.5,CE51&gt;0),1,0)</f>
        <v/>
      </c>
      <c r="CJ51" s="7">
        <f>CE51*CF51</f>
        <v/>
      </c>
      <c r="CK51" s="7">
        <f>MAX(prestamos_rapPagoMinimoAnual,IF(Y51&lt;10000,0,MIN(0.1,INT(Y51/10000)/100))*Y51)</f>
        <v/>
      </c>
      <c r="CL51" s="7">
        <f>IF(CE51&lt;=0,0,IF(CH51=1,0,IF(CI51=1,MIN(CE51+CJ51,CK51),PMT(CF51,MAX(1,prestamos_plazoAnios-CG51),-CE51))))</f>
        <v/>
      </c>
      <c r="CM51" s="7">
        <f>IF(CE51&lt;=0,0,IF(CH51=1,CE51+CJ51,IF(CI51=1,MAX(0,CE51-MAX(CL51-CJ51,MIN(600,CL51))),MAX(0,CE51*(1+CF51)-CL51))))</f>
        <v/>
      </c>
      <c r="CN51" s="7">
        <f>IF(18=0,0,CN50)+IF(CI51=1,12*MIN(1,K51),0)</f>
        <v/>
      </c>
      <c r="CO51" s="7">
        <f>IF(AND(CI51=1,CN51&gt;=prestamos_pslfPagos,CM51&gt;0),CM51,0)</f>
        <v/>
      </c>
      <c r="CP51" s="7">
        <f>CM51-CO51</f>
        <v/>
      </c>
      <c r="CQ51" s="7">
        <f>IF(AND(CE51&gt;0,CH51=0,CI51=0),CG51+1,CG51)</f>
        <v/>
      </c>
      <c r="CR51" s="7">
        <f>IF(18=0,IF(personal_deudaEsFederal=1,0,personal_deudaEstudiantil),EA50)</f>
        <v/>
      </c>
      <c r="CS51" s="7">
        <f>IF(18=0,IF(personal_deudaEsFederal=1,prestamos_tasaPrivada,personal_tasaDeudaEstudiantil),EB50)</f>
        <v/>
      </c>
      <c r="CT51" s="7">
        <f>IF(18=0,0,EC50)</f>
        <v/>
      </c>
      <c r="CU51" s="7">
        <f>IF(OR(CR51&lt;=0,CH51=1),0,PMT(CS51,MAX(1,prestamos_plazoAnios-CT51),-CR51))</f>
        <v/>
      </c>
      <c r="CV51" s="7">
        <f>IF(CR51&lt;=0,0,IF(CH51=1,CR51*(1+CS51),MAX(0,CR51*(1+CS51)-CU51)))</f>
        <v/>
      </c>
      <c r="CW51" s="7">
        <f>IF(AND(CR51&gt;0,CH51=0),CT51+1,CT51)</f>
        <v/>
      </c>
      <c r="CX51" s="7">
        <f>IF(18=0,0,ED50)*(1+general_tasaDeudaConsumo)</f>
        <v/>
      </c>
      <c r="CY51" s="7">
        <f>L51*12*tiempos_travelGastoExtraMes*C51</f>
        <v/>
      </c>
      <c r="CZ51" s="7">
        <f>AJ51+CY51+CA51+CC51+CL51+CU51+I51+N51-BZ51-CB51</f>
        <v/>
      </c>
      <c r="DA51" s="7">
        <f>AH51-CZ51</f>
        <v/>
      </c>
      <c r="DB51" s="7">
        <f>IF(18=0,0,DB50)+DA51</f>
        <v/>
      </c>
      <c r="DC51" s="7">
        <f>AN51*vivienda_enganchePct+AN51*vivienda_cierrePct+general_reservaMeses/12*AJ51</f>
        <v/>
      </c>
      <c r="DD51" s="7">
        <f>IF(BB51=1,g_ret,IF(BD51&gt;0,MIN(1,DC51/BD51),1)*g_cash+(1-IF(BD51&gt;0,MIN(1,DC51/BD51),1))*g_ret)</f>
        <v/>
      </c>
      <c r="DE51" s="7">
        <f>IF(DA51&gt;=0,MIN(CX51,DA51),0)</f>
        <v/>
      </c>
      <c r="DF51" s="7">
        <f>IF(DA51&gt;=0,(1-general_tasaAhorro)*(DA51-DE51),0)</f>
        <v/>
      </c>
      <c r="DG51" s="7">
        <f>IF(DA51&gt;=0,DA51-DE51-DF51,0)</f>
        <v/>
      </c>
      <c r="DH51" s="7">
        <f>MIN(personal_rothAnual,DG51)</f>
        <v/>
      </c>
      <c r="DI51" s="7">
        <f>IF(AND(DA51&gt;=0,BB51=1,BP51+BT51&gt;0),MIN(vivienda_prepagoPct*(DG51-DH51),BP51+BT51),0)</f>
        <v/>
      </c>
      <c r="DJ51" s="7">
        <f>MIN(DI51,BP51)</f>
        <v/>
      </c>
      <c r="DK51" s="7">
        <f>IF(DA51&lt;0,MIN(MAX(0,BD51),-DA51),0)</f>
        <v/>
      </c>
      <c r="DL51" s="7">
        <f>IF(DA51&lt;0,-DA51-DK51,0)</f>
        <v/>
      </c>
      <c r="DM51" s="7">
        <f>IF(18=0,0,DZ50)</f>
        <v/>
      </c>
      <c r="DN51" s="7">
        <f>IF(AND(DL51&gt;0,J51&gt;0),MIN(DL51,MIN(prestamos_topeAnualPosgrado*MIN(1,J51),MAX(0,prestamos_topeTotalPosgrado-DM51))),0)</f>
        <v/>
      </c>
      <c r="DO51" s="7">
        <f>IF(AND(DL51&gt;0,J51&gt;0),DL51-DN51,0)</f>
        <v/>
      </c>
      <c r="DP51" s="7">
        <f>IF(AND(DL51&gt;0,J51&lt;=0),DL51,0)</f>
        <v/>
      </c>
      <c r="DQ51" s="7">
        <f>IF(DA51&gt;=0,DG51-DH51-DI51,-DK51)</f>
        <v/>
      </c>
      <c r="DR51" s="7">
        <f>BD51*(1+DD51)+DQ51*(1+DD51/2)</f>
        <v/>
      </c>
      <c r="DS51" s="7">
        <f>IF(18=0,personal_retiroInicial,DS50)*(1+g_ret)+(O51+P51+DH51)*(1+g_ret/2)</f>
        <v/>
      </c>
      <c r="DT51" s="7">
        <f>IF(BB51=1,BL51*(1+g_appr),0)</f>
        <v/>
      </c>
      <c r="DU51" s="7">
        <f>BP51-DJ51</f>
        <v/>
      </c>
      <c r="DV51" s="7">
        <f>BT51-(DI51-DJ51)</f>
        <v/>
      </c>
      <c r="DW51" s="7">
        <f>CP51+DN51</f>
        <v/>
      </c>
      <c r="DX51" s="7">
        <f>IF(DN51&gt;0,(CP51*CF51+DN51*prestamos_tasaFederalPosgrado)/(CP51+DN51),CF51)</f>
        <v/>
      </c>
      <c r="DY51" s="7">
        <f>IF(DN51&gt;0,0,CQ51)</f>
        <v/>
      </c>
      <c r="DZ51" s="7">
        <f>DM51+DN51</f>
        <v/>
      </c>
      <c r="EA51" s="7">
        <f>CV51+DO51</f>
        <v/>
      </c>
      <c r="EB51" s="7">
        <f>IF(DO51&gt;0,(CV51*CS51+DO51*prestamos_tasaPrivada)/(CV51+DO51),CS51)</f>
        <v/>
      </c>
      <c r="EC51" s="7">
        <f>IF(DO51&gt;0,0,CW51)</f>
        <v/>
      </c>
      <c r="ED51" s="7">
        <f>CX51-DE51+DP51</f>
        <v/>
      </c>
      <c r="EE51" s="7">
        <f>IF(IF(18=0,"",EE50)&lt;&gt;"",EE50,IF(AND(BB51=1,DU51&lt;=0.5,DV51&lt;=0.5,OR(BH51=0,BJ51=1)),A51,""))</f>
        <v/>
      </c>
      <c r="EF51" s="7">
        <f>DU51+DV51+DW51+EA51+ED51+CD51</f>
        <v/>
      </c>
      <c r="EG51" s="7">
        <f>DR51+DS51+DT51-EF51</f>
        <v/>
      </c>
      <c r="EH51" s="7">
        <f>EG51/(1+g_inf)^(A51+1-2026)</f>
        <v/>
      </c>
    </row>
    <row r="52">
      <c r="A52" t="n">
        <v>2046</v>
      </c>
      <c r="B52" t="n">
        <v>19</v>
      </c>
      <c r="C52" s="7">
        <f>(1+g_inf)^(A52-2026)</f>
        <v/>
      </c>
      <c r="D52" s="7">
        <f>SUMPRODUCT($AM$5:$AM$29,$E$5:$E$29*(1+$F$5:$F$29)^(A52-2026)*$G$5:$G$29*$H$5:$H$29*(1-$N$5:$N$29*$O$5:$O$29))*g_salMult+SUMPRODUCT(($B$5:$B$29&gt;=A52)*($B$5:$B$29&lt;A52+1)*$I$5:$I$29)*g_salMult</f>
        <v/>
      </c>
      <c r="E52" s="7">
        <f>SUMPRODUCT($AM$5:$AM$29,$E$5:$E$29*(1+$F$5:$F$29)^(A52-2026)*$G$5:$G$29*$H$5:$H$29*$M$5:$M$29)*g_salMult</f>
        <v/>
      </c>
      <c r="F52" s="7">
        <f>SUMPRODUCT($AM$5:$AM$29,$E$5:$E$29*(1+$F$5:$F$29)^(A52-2026)*$G$5:$G$29*$H$5:$H$29*$N$5:$N$29*$O$5:$O$29)*g_salMult</f>
        <v/>
      </c>
      <c r="G52" s="7">
        <f>SUMPRODUCT($AM$5:$AM$29,$P$5:$P$29*(1+$F$5:$F$29)^(A52-2026))</f>
        <v/>
      </c>
      <c r="H52" s="7">
        <f>SUMPRODUCT($AM$5:$AM$29,$Q$5:$Q$29*(1+$F$5:$F$29)^(A52-2026))+IF(personal_llcActivo=1,personal_llcNeto*(1+personal_llcCrecimiento)^19,0)</f>
        <v/>
      </c>
      <c r="I52" s="7">
        <f>SUMPRODUCT($AM$5:$AM$29,$J$5:$J$29/($C$5:$C$29-$B$5:$B$29+($C$5:$C$29=$B$5:$B$29)))*C52</f>
        <v/>
      </c>
      <c r="J52" s="7">
        <f>SUMPRODUCT($AM$5:$AM$29,$K$5:$K$29)</f>
        <v/>
      </c>
      <c r="K52" s="7">
        <f>SUMPRODUCT($AM$5:$AM$29,$L$5:$L$29)</f>
        <v/>
      </c>
      <c r="L52" s="7">
        <f>SUMPRODUCT($AM$5:$AM$29,$N$5:$N$29)</f>
        <v/>
      </c>
      <c r="M52" s="7">
        <f>IF(SUMPRODUCT($AM$5:$AM$29,$R$5:$R$29)&gt;0,1,0)</f>
        <v/>
      </c>
      <c r="N52" s="7">
        <f>SUMPRODUCT(($AO$5:$AO$24&gt;=A52)*($AO$5:$AO$24&lt;A52+1)*$AP$5:$AP$24)*C52+IF(19=0,IF(sel_loc&lt;&gt;"miami",personal_costoMudanzaInicial,0),0)</f>
        <v/>
      </c>
      <c r="O52" s="7">
        <f>MIN(personal_aporte403bPct*D52,retiro_limite403b*C52)</f>
        <v/>
      </c>
      <c r="P52" s="7">
        <f>MIN(personal_aporte403bPct,personal_match403bPct)*E52</f>
        <v/>
      </c>
      <c r="Q52" s="7">
        <f>IF(G52&gt;0,MAX(0,G52-impuestos_scorpCostoAnual*C52),0)</f>
        <v/>
      </c>
      <c r="R52" s="7">
        <f>Q52*impuestos_scorpSalarioPct/(1+impuestos_ssTasa+impuestos_medicareTasa)</f>
        <v/>
      </c>
      <c r="S52" s="7">
        <f>impuestos_ssTasa*MIN(R52,MAX(0,impuestos_ssTope*C52-D52))+impuestos_medicareTasa*R52</f>
        <v/>
      </c>
      <c r="T52" s="7">
        <f>Q52-R52-S52</f>
        <v/>
      </c>
      <c r="U52" s="7">
        <f>D52+R52</f>
        <v/>
      </c>
      <c r="V52" s="7">
        <f>H52*0.9235</f>
        <v/>
      </c>
      <c r="W52" s="7">
        <f>IF(H52&gt;0,2*impuestos_ssTasa*MIN(V52,MAX(0,impuestos_ssTope*C52-U52))+2*impuestos_medicareTasa*V52,0)</f>
        <v/>
      </c>
      <c r="X52" s="7">
        <f>impuestos_ssTasa*MIN(U52,impuestos_ssTope*C52)+impuestos_medicareTasa*U52+impuestos_medicareAdicional*MAX(0,U52+H52*0.9235-impuestos_medicareUmbral)</f>
        <v/>
      </c>
      <c r="Y52" s="7">
        <f>MAX(0,D52-O52+R52+T52+H52-W52/2)</f>
        <v/>
      </c>
      <c r="Z52" s="7">
        <f>MAX(0,Y52-impuestos_deduccionEstandar*C52)</f>
        <v/>
      </c>
      <c r="AA52" s="7">
        <f>MIN(0.2*MAX(0,T52+H52-W52/2)*MAX(0,MIN(1,1-(Z52-impuestos_qbiUmbral*C52)/(impuestos_qbiRango*C52))),0.2*Z52)</f>
        <v/>
      </c>
      <c r="AB52" s="7">
        <f>MAX(0,Z52-AA52)</f>
        <v/>
      </c>
      <c r="AC52" s="7">
        <f>SUMPRODUCT((AB52&gt;tb_federalBrackets_lo*C52)*(AB52-tb_federalBrackets_lo*C52)*tb_federalBrackets_dr)</f>
        <v/>
      </c>
      <c r="AD52" s="7">
        <f>MAX(0,Y52-impuestos_nyDeduccion*C52)</f>
        <v/>
      </c>
      <c r="AE52" s="7">
        <f>CHOOSE(loc_taxcode,0,impuestos_ohTasa*MAX(0,Y52-impuestos_ohExento*C52)+impuestos_ohMunicipal*U52,SUMPRODUCT((AD52&gt;tb_nyBrackets_lo*C52)*(AD52-tb_nyBrackets_lo*C52)*tb_nyBrackets_dr)+loc_nyc*SUMPRODUCT((AD52&gt;tb_nycBrackets_lo*C52)*(AD52-tb_nycBrackets_lo*C52)*tb_nycBrackets_dr))</f>
        <v/>
      </c>
      <c r="AF52" s="7">
        <f>AC52+AE52+X52+W52</f>
        <v/>
      </c>
      <c r="AG52" s="7">
        <f>D52+F52+R52+T52+H52</f>
        <v/>
      </c>
      <c r="AH52" s="7">
        <f>AG52-AF52-O52</f>
        <v/>
      </c>
      <c r="AI52" s="7">
        <f>D52+F52+G52+H52</f>
        <v/>
      </c>
      <c r="AJ52" s="7">
        <f>loc_gastosVida*C52*g_gastos</f>
        <v/>
      </c>
      <c r="AK52" s="7">
        <f>IF(19=0,personal_liquidoInicial,DR51)</f>
        <v/>
      </c>
      <c r="AL52" s="7">
        <f>IF(19=0,0,BB51)</f>
        <v/>
      </c>
      <c r="AM52" s="7">
        <f>CHOOSE(sel_cfgIdx,loc_precio_duplex,loc_precio_inlaw,loc_precio_dosCasas,loc_precio_casaAdu,loc_precio_multi)</f>
        <v/>
      </c>
      <c r="AN52" s="7">
        <f>AM52*(1+g_appr)^(A52-2026)</f>
        <v/>
      </c>
      <c r="AO52" s="7">
        <f>IF(AND(M52=1,vivienda_prestamoMedico=1),1,0)</f>
        <v/>
      </c>
      <c r="AP52" s="7">
        <f>IF(AO52=1,0.05,vivienda_enganchePct)</f>
        <v/>
      </c>
      <c r="AQ52" s="7">
        <f>AN52*(1-AP52)</f>
        <v/>
      </c>
      <c r="AR52" s="7">
        <f>PMT(g_mortRate/12,vivienda_plazoHipoteca*12,-AQ52)</f>
        <v/>
      </c>
      <c r="AS52" s="7">
        <f>INDEX(cfg_units,sel_cfgIdx)</f>
        <v/>
      </c>
      <c r="AT52" s="7">
        <f>AS52*loc_rentaUnidad*(1+g_inf)^(A52-2026)*(1-vivienda_vacancia)</f>
        <v/>
      </c>
      <c r="AU52" s="7">
        <f>AR52+AN52*loc_impuestoPropPct/12+AM52*loc_seguroPct*(1+vivienda_inflacionSeguro)^(A52-2026)/12+IF(AND(AO52=0,AP52&lt;0.2),AQ52*vivienda_pmiTasa/12,0)</f>
        <v/>
      </c>
      <c r="AV52" s="7">
        <f>AN52*AP52+AN52*vivienda_cierrePct+general_reservaMeses/12*AJ52</f>
        <v/>
      </c>
      <c r="AW52" s="7">
        <f>(IF(19=0,MIN(personal_irsSaldo,personal_irsPagoMensual*12),MIN(CD51,personal_irsPagoMensual*12))+IF(CE52&gt;0,PMT(CF52,MAX(1,prestamos_plazoAnios-CG52),-CE52),0)+IF(CR52&gt;0,PMT(CS52,MAX(1,prestamos_plazoAnios-CT52),-CR52),0))/12</f>
        <v/>
      </c>
      <c r="AX52" s="7">
        <f>IF(OR(sel_cfg="duplex",sel_cfg="multi",sel_cfg="dosCasas"),0.75*personal_aporteFamiliaMensual,0)</f>
        <v/>
      </c>
      <c r="AY52" s="7">
        <f>AU52-0.75*AT52-AX52+AW52</f>
        <v/>
      </c>
      <c r="AZ52" s="7">
        <f>(D52+G52+H52+0.5*F52)/12</f>
        <v/>
      </c>
      <c r="BA52" s="7">
        <f>IF(AND(AL52=0,A52&gt;=vivienda_anioMinCompra,J52&lt;0.5,AI52&gt;0,AK52&gt;=AV52,AY52&lt;=vivienda_dtiMax*AZ52),1,0)</f>
        <v/>
      </c>
      <c r="BB52" s="7">
        <f>MAX(AL52,BA52)</f>
        <v/>
      </c>
      <c r="BC52" s="7">
        <f>IF(BA52=1,A52,IF(19=0,"",BC51))</f>
        <v/>
      </c>
      <c r="BD52" s="7">
        <f>AK52-IF(BA52=1,AN52*AP52+AN52*vivienda_cierrePct,0)</f>
        <v/>
      </c>
      <c r="BE52" s="7">
        <f>IF(BA52=1,AN52,IF(19=0,0,BE51))</f>
        <v/>
      </c>
      <c r="BF52" s="7">
        <f>IF(BA52=1,AR52,IF(19=0,0,BF51))</f>
        <v/>
      </c>
      <c r="BG52" s="7">
        <f>IF(BA52=1,IF(AND(AO52=0,AP52&lt;0.2),1,0),IF(19=0,0,BY51))</f>
        <v/>
      </c>
      <c r="BH52" s="7">
        <f>IF(sel_cfg="casaAdu",1,0)</f>
        <v/>
      </c>
      <c r="BI52" s="7">
        <f>IF(AND(BB52=1,BH52=1,IF(19=0,0,BJ51)=0,A52&gt;=IF(BC52="",9999,BC52)+vivienda_aduRetrasoAnios),1,0)</f>
        <v/>
      </c>
      <c r="BJ52" s="7">
        <f>MAX(IF(19=0,0,BJ51),BI52)</f>
        <v/>
      </c>
      <c r="BK52" s="7">
        <f>IF(BI52=1,PMT((g_mortRate+0.005)/12,180,-loc_precio_aduCosto*C52),IF(19=0,0,BK51))</f>
        <v/>
      </c>
      <c r="BL52" s="7">
        <f>IF(BA52=1,AN52,IF(19=0,0,DT51))+IF(BI52=1,loc_precio_aduCosto*C52,0)</f>
        <v/>
      </c>
      <c r="BM52" s="7">
        <f>IF(BA52=1,AQ52,IF(19=0,0,DU51))</f>
        <v/>
      </c>
      <c r="BN52" s="7">
        <f>IF(BM52&lt;=0,0,FV(g_mortRate/12,12,BF52,-BM52))</f>
        <v/>
      </c>
      <c r="BO52" s="7">
        <f>IF(BM52&lt;=0,0,12*BF52+MIN(0,BN52))</f>
        <v/>
      </c>
      <c r="BP52" s="7">
        <f>MAX(0,BN52)</f>
        <v/>
      </c>
      <c r="BQ52" s="7">
        <f>IF(BI52=1,loc_precio_aduCosto*C52,IF(19=0,0,DV51))</f>
        <v/>
      </c>
      <c r="BR52" s="7">
        <f>IF(BQ52&lt;=0,0,FV((g_mortRate+0.005)/12,12,BK52,-BQ52))</f>
        <v/>
      </c>
      <c r="BS52" s="7">
        <f>IF(BQ52&lt;=0,0,12*BK52+MIN(0,BR52))</f>
        <v/>
      </c>
      <c r="BT52" s="7">
        <f>MAX(0,BR52)</f>
        <v/>
      </c>
      <c r="BU52" s="7">
        <f>IF(BB52=1,AM52*loc_seguroPct*(1+vivienda_inflacionSeguro)^(A52-2026)*IF(BJ52=1,1+loc_precio_aduCosto/AM52,1),0)</f>
        <v/>
      </c>
      <c r="BV52" s="7">
        <f>BL52*loc_impuestoPropPct</f>
        <v/>
      </c>
      <c r="BW52" s="7">
        <f>BL52*vivienda_mantenimientoPct</f>
        <v/>
      </c>
      <c r="BX52" s="7">
        <f>IF(AND(BG52=1,BP52&gt;0.8*BE52),BE52*(1-vivienda_enganchePct)*vivienda_pmiTasa,0)</f>
        <v/>
      </c>
      <c r="BY52" s="7">
        <f>IF(AND(BG52=1,BP52&gt;0.8*BE52),1,0)</f>
        <v/>
      </c>
      <c r="BZ52" s="7">
        <f>IF(BB52=1,AS52*loc_rentaUnidad*12*C52*(1-vivienda_vacancia)*(1-vivienda_gestionPct),0)</f>
        <v/>
      </c>
      <c r="CA52" s="7">
        <f>IF(BB52=1,BO52+BS52+BU52+BV52+BW52+BX52,loc_rentaMensual*12*C52)</f>
        <v/>
      </c>
      <c r="CB52" s="7">
        <f>IF(BB52=1,personal_aporteFamiliaMensual*12,0)</f>
        <v/>
      </c>
      <c r="CC52" s="7">
        <f>MIN(IF(19=0,personal_irsSaldo,CD51),personal_irsPagoMensual*12)</f>
        <v/>
      </c>
      <c r="CD52" s="7">
        <f>IF(19=0,personal_irsSaldo,CD51)-CC52</f>
        <v/>
      </c>
      <c r="CE52" s="7">
        <f>IF(19=0,IF(personal_deudaEsFederal=1,personal_deudaEstudiantil,0),DW51)</f>
        <v/>
      </c>
      <c r="CF52" s="7">
        <f>IF(19=0,personal_tasaDeudaEstudiantil,DX51)</f>
        <v/>
      </c>
      <c r="CG52" s="7">
        <f>IF(19=0,0,DY51)</f>
        <v/>
      </c>
      <c r="CH52" s="7">
        <f>IF(J52&gt;=0.5,1,0)</f>
        <v/>
      </c>
      <c r="CI52" s="7">
        <f>IF(AND(CH52=0,prestamos_pslfActivo=1,K52&gt;=0.5,CE52&gt;0),1,0)</f>
        <v/>
      </c>
      <c r="CJ52" s="7">
        <f>CE52*CF52</f>
        <v/>
      </c>
      <c r="CK52" s="7">
        <f>MAX(prestamos_rapPagoMinimoAnual,IF(Y52&lt;10000,0,MIN(0.1,INT(Y52/10000)/100))*Y52)</f>
        <v/>
      </c>
      <c r="CL52" s="7">
        <f>IF(CE52&lt;=0,0,IF(CH52=1,0,IF(CI52=1,MIN(CE52+CJ52,CK52),PMT(CF52,MAX(1,prestamos_plazoAnios-CG52),-CE52))))</f>
        <v/>
      </c>
      <c r="CM52" s="7">
        <f>IF(CE52&lt;=0,0,IF(CH52=1,CE52+CJ52,IF(CI52=1,MAX(0,CE52-MAX(CL52-CJ52,MIN(600,CL52))),MAX(0,CE52*(1+CF52)-CL52))))</f>
        <v/>
      </c>
      <c r="CN52" s="7">
        <f>IF(19=0,0,CN51)+IF(CI52=1,12*MIN(1,K52),0)</f>
        <v/>
      </c>
      <c r="CO52" s="7">
        <f>IF(AND(CI52=1,CN52&gt;=prestamos_pslfPagos,CM52&gt;0),CM52,0)</f>
        <v/>
      </c>
      <c r="CP52" s="7">
        <f>CM52-CO52</f>
        <v/>
      </c>
      <c r="CQ52" s="7">
        <f>IF(AND(CE52&gt;0,CH52=0,CI52=0),CG52+1,CG52)</f>
        <v/>
      </c>
      <c r="CR52" s="7">
        <f>IF(19=0,IF(personal_deudaEsFederal=1,0,personal_deudaEstudiantil),EA51)</f>
        <v/>
      </c>
      <c r="CS52" s="7">
        <f>IF(19=0,IF(personal_deudaEsFederal=1,prestamos_tasaPrivada,personal_tasaDeudaEstudiantil),EB51)</f>
        <v/>
      </c>
      <c r="CT52" s="7">
        <f>IF(19=0,0,EC51)</f>
        <v/>
      </c>
      <c r="CU52" s="7">
        <f>IF(OR(CR52&lt;=0,CH52=1),0,PMT(CS52,MAX(1,prestamos_plazoAnios-CT52),-CR52))</f>
        <v/>
      </c>
      <c r="CV52" s="7">
        <f>IF(CR52&lt;=0,0,IF(CH52=1,CR52*(1+CS52),MAX(0,CR52*(1+CS52)-CU52)))</f>
        <v/>
      </c>
      <c r="CW52" s="7">
        <f>IF(AND(CR52&gt;0,CH52=0),CT52+1,CT52)</f>
        <v/>
      </c>
      <c r="CX52" s="7">
        <f>IF(19=0,0,ED51)*(1+general_tasaDeudaConsumo)</f>
        <v/>
      </c>
      <c r="CY52" s="7">
        <f>L52*12*tiempos_travelGastoExtraMes*C52</f>
        <v/>
      </c>
      <c r="CZ52" s="7">
        <f>AJ52+CY52+CA52+CC52+CL52+CU52+I52+N52-BZ52-CB52</f>
        <v/>
      </c>
      <c r="DA52" s="7">
        <f>AH52-CZ52</f>
        <v/>
      </c>
      <c r="DB52" s="7">
        <f>IF(19=0,0,DB51)+DA52</f>
        <v/>
      </c>
      <c r="DC52" s="7">
        <f>AN52*vivienda_enganchePct+AN52*vivienda_cierrePct+general_reservaMeses/12*AJ52</f>
        <v/>
      </c>
      <c r="DD52" s="7">
        <f>IF(BB52=1,g_ret,IF(BD52&gt;0,MIN(1,DC52/BD52),1)*g_cash+(1-IF(BD52&gt;0,MIN(1,DC52/BD52),1))*g_ret)</f>
        <v/>
      </c>
      <c r="DE52" s="7">
        <f>IF(DA52&gt;=0,MIN(CX52,DA52),0)</f>
        <v/>
      </c>
      <c r="DF52" s="7">
        <f>IF(DA52&gt;=0,(1-general_tasaAhorro)*(DA52-DE52),0)</f>
        <v/>
      </c>
      <c r="DG52" s="7">
        <f>IF(DA52&gt;=0,DA52-DE52-DF52,0)</f>
        <v/>
      </c>
      <c r="DH52" s="7">
        <f>MIN(personal_rothAnual,DG52)</f>
        <v/>
      </c>
      <c r="DI52" s="7">
        <f>IF(AND(DA52&gt;=0,BB52=1,BP52+BT52&gt;0),MIN(vivienda_prepagoPct*(DG52-DH52),BP52+BT52),0)</f>
        <v/>
      </c>
      <c r="DJ52" s="7">
        <f>MIN(DI52,BP52)</f>
        <v/>
      </c>
      <c r="DK52" s="7">
        <f>IF(DA52&lt;0,MIN(MAX(0,BD52),-DA52),0)</f>
        <v/>
      </c>
      <c r="DL52" s="7">
        <f>IF(DA52&lt;0,-DA52-DK52,0)</f>
        <v/>
      </c>
      <c r="DM52" s="7">
        <f>IF(19=0,0,DZ51)</f>
        <v/>
      </c>
      <c r="DN52" s="7">
        <f>IF(AND(DL52&gt;0,J52&gt;0),MIN(DL52,MIN(prestamos_topeAnualPosgrado*MIN(1,J52),MAX(0,prestamos_topeTotalPosgrado-DM52))),0)</f>
        <v/>
      </c>
      <c r="DO52" s="7">
        <f>IF(AND(DL52&gt;0,J52&gt;0),DL52-DN52,0)</f>
        <v/>
      </c>
      <c r="DP52" s="7">
        <f>IF(AND(DL52&gt;0,J52&lt;=0),DL52,0)</f>
        <v/>
      </c>
      <c r="DQ52" s="7">
        <f>IF(DA52&gt;=0,DG52-DH52-DI52,-DK52)</f>
        <v/>
      </c>
      <c r="DR52" s="7">
        <f>BD52*(1+DD52)+DQ52*(1+DD52/2)</f>
        <v/>
      </c>
      <c r="DS52" s="7">
        <f>IF(19=0,personal_retiroInicial,DS51)*(1+g_ret)+(O52+P52+DH52)*(1+g_ret/2)</f>
        <v/>
      </c>
      <c r="DT52" s="7">
        <f>IF(BB52=1,BL52*(1+g_appr),0)</f>
        <v/>
      </c>
      <c r="DU52" s="7">
        <f>BP52-DJ52</f>
        <v/>
      </c>
      <c r="DV52" s="7">
        <f>BT52-(DI52-DJ52)</f>
        <v/>
      </c>
      <c r="DW52" s="7">
        <f>CP52+DN52</f>
        <v/>
      </c>
      <c r="DX52" s="7">
        <f>IF(DN52&gt;0,(CP52*CF52+DN52*prestamos_tasaFederalPosgrado)/(CP52+DN52),CF52)</f>
        <v/>
      </c>
      <c r="DY52" s="7">
        <f>IF(DN52&gt;0,0,CQ52)</f>
        <v/>
      </c>
      <c r="DZ52" s="7">
        <f>DM52+DN52</f>
        <v/>
      </c>
      <c r="EA52" s="7">
        <f>CV52+DO52</f>
        <v/>
      </c>
      <c r="EB52" s="7">
        <f>IF(DO52&gt;0,(CV52*CS52+DO52*prestamos_tasaPrivada)/(CV52+DO52),CS52)</f>
        <v/>
      </c>
      <c r="EC52" s="7">
        <f>IF(DO52&gt;0,0,CW52)</f>
        <v/>
      </c>
      <c r="ED52" s="7">
        <f>CX52-DE52+DP52</f>
        <v/>
      </c>
      <c r="EE52" s="7">
        <f>IF(IF(19=0,"",EE51)&lt;&gt;"",EE51,IF(AND(BB52=1,DU52&lt;=0.5,DV52&lt;=0.5,OR(BH52=0,BJ52=1)),A52,""))</f>
        <v/>
      </c>
      <c r="EF52" s="7">
        <f>DU52+DV52+DW52+EA52+ED52+CD52</f>
        <v/>
      </c>
      <c r="EG52" s="7">
        <f>DR52+DS52+DT52-EF52</f>
        <v/>
      </c>
      <c r="EH52" s="7">
        <f>EG52/(1+g_inf)^(A52+1-2026)</f>
        <v/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EH52"/>
  <sheetViews>
    <sheetView workbookViewId="0">
      <pane xSplit="1" ySplit="32" topLeftCell="B3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0" customWidth="1" min="1" max="1"/>
  </cols>
  <sheetData>
    <row r="1">
      <c r="A1" s="1" t="inlineStr">
        <is>
          <t>B2 · MD: SOAP preliminar → categórico</t>
        </is>
      </c>
    </row>
    <row r="2">
      <c r="A2" s="2" t="inlineStr">
        <is>
          <t>Etapas (celdas azules editables; fechas decimales: 2027.67 = sep-2027). Traslape por año en columnas T→AM. Hitos con costo en AN→AP.</t>
        </is>
      </c>
    </row>
    <row r="4">
      <c r="A4" s="5" t="inlineStr">
        <is>
          <t>Etapa</t>
        </is>
      </c>
      <c r="B4" s="5" t="inlineStr">
        <is>
          <t>Inicio</t>
        </is>
      </c>
      <c r="C4" s="5" t="inlineStr">
        <is>
          <t>Fin</t>
        </is>
      </c>
      <c r="D4" s="5" t="inlineStr">
        <is>
          <t>Rol</t>
        </is>
      </c>
      <c r="E4" s="5" t="inlineStr">
        <is>
          <t>Salario base FT 2026 ($)</t>
        </is>
      </c>
      <c r="F4" s="5" t="inlineStr">
        <is>
          <t>Aumento anual</t>
        </is>
      </c>
      <c r="G4" s="5" t="inlineStr">
        <is>
          <t>Horas (FTE)</t>
        </is>
      </c>
      <c r="H4" s="5" t="inlineStr">
        <is>
          <t>Multiplicador</t>
        </is>
      </c>
      <c r="I4" s="5" t="inlineStr">
        <is>
          <t>Bono al inicio</t>
        </is>
      </c>
      <c r="J4" s="5" t="inlineStr">
        <is>
          <t>Matrícula total (2026$)</t>
        </is>
      </c>
      <c r="K4" s="5" t="inlineStr">
        <is>
          <t>Estudio (1/0)</t>
        </is>
      </c>
      <c r="L4" s="5" t="inlineStr">
        <is>
          <t>PSLF (1/0)</t>
        </is>
      </c>
      <c r="M4" s="5" t="inlineStr">
        <is>
          <t>Match 403b (1/0)</t>
        </is>
      </c>
      <c r="N4" s="5" t="inlineStr">
        <is>
          <t>Travel (1/0)</t>
        </is>
      </c>
      <c r="O4" s="5" t="inlineStr">
        <is>
          <t>% stipend libre</t>
        </is>
      </c>
      <c r="P4" s="5" t="inlineStr">
        <is>
          <t>S-corp anual base</t>
        </is>
      </c>
      <c r="Q4" s="5" t="inlineStr">
        <is>
          <t>Autoempleo anual base</t>
        </is>
      </c>
      <c r="R4" s="5" t="inlineStr">
        <is>
          <t>Attending (1/0)</t>
        </is>
      </c>
      <c r="T4" s="8" t="n">
        <v>2027</v>
      </c>
      <c r="U4" s="8" t="n">
        <v>2028</v>
      </c>
      <c r="V4" s="8" t="n">
        <v>2029</v>
      </c>
      <c r="W4" s="8" t="n">
        <v>2030</v>
      </c>
      <c r="X4" s="8" t="n">
        <v>2031</v>
      </c>
      <c r="Y4" s="8" t="n">
        <v>2032</v>
      </c>
      <c r="Z4" s="8" t="n">
        <v>2033</v>
      </c>
      <c r="AA4" s="8" t="n">
        <v>2034</v>
      </c>
      <c r="AB4" s="8" t="n">
        <v>2035</v>
      </c>
      <c r="AC4" s="8" t="n">
        <v>2036</v>
      </c>
      <c r="AD4" s="8" t="n">
        <v>2037</v>
      </c>
      <c r="AE4" s="8" t="n">
        <v>2038</v>
      </c>
      <c r="AF4" s="8" t="n">
        <v>2039</v>
      </c>
      <c r="AG4" s="8" t="n">
        <v>2040</v>
      </c>
      <c r="AH4" s="8" t="n">
        <v>2041</v>
      </c>
      <c r="AI4" s="8" t="n">
        <v>2042</v>
      </c>
      <c r="AJ4" s="8" t="n">
        <v>2043</v>
      </c>
      <c r="AK4" s="8" t="n">
        <v>2044</v>
      </c>
      <c r="AL4" s="8" t="n">
        <v>2045</v>
      </c>
      <c r="AM4" s="8" t="n">
        <v>2046</v>
      </c>
      <c r="AN4" s="5" t="inlineStr">
        <is>
          <t>Hito</t>
        </is>
      </c>
      <c r="AO4" s="5" t="inlineStr">
        <is>
          <t>Fecha</t>
        </is>
      </c>
      <c r="AP4" s="5" t="inlineStr">
        <is>
          <t>Costo (2026$)</t>
        </is>
      </c>
    </row>
    <row r="5">
      <c r="A5" t="inlineStr">
        <is>
          <t>Case manager + estudio USMLE</t>
        </is>
      </c>
      <c r="B5" s="3" t="n">
        <v>2027</v>
      </c>
      <c r="C5" s="3" t="n">
        <v>2027.5</v>
      </c>
      <c r="D5" t="inlineStr">
        <is>
          <t>cm</t>
        </is>
      </c>
      <c r="E5">
        <f>personal_tarifaHora*2080*loc_factorRN/ubic_miami_factorRN</f>
        <v/>
      </c>
      <c r="F5">
        <f>roles_cm_aumento</f>
        <v/>
      </c>
      <c r="G5">
        <f>md_horasTrabajoEstudiando/40</f>
        <v/>
      </c>
      <c r="H5" s="3" t="n">
        <v>1</v>
      </c>
      <c r="I5" s="3" t="n">
        <v>0</v>
      </c>
      <c r="J5" s="3" t="n">
        <v>0</v>
      </c>
      <c r="K5" s="3" t="n">
        <v>0</v>
      </c>
      <c r="L5" s="3" t="n">
        <v>1</v>
      </c>
      <c r="M5" s="3" t="n">
        <v>1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T5">
        <f>MAX(0,MIN($C5,T$4+1)-MAX($B5,T$4))</f>
        <v/>
      </c>
      <c r="U5">
        <f>MAX(0,MIN($C5,U$4+1)-MAX($B5,U$4))</f>
        <v/>
      </c>
      <c r="V5">
        <f>MAX(0,MIN($C5,V$4+1)-MAX($B5,V$4))</f>
        <v/>
      </c>
      <c r="W5">
        <f>MAX(0,MIN($C5,W$4+1)-MAX($B5,W$4))</f>
        <v/>
      </c>
      <c r="X5">
        <f>MAX(0,MIN($C5,X$4+1)-MAX($B5,X$4))</f>
        <v/>
      </c>
      <c r="Y5">
        <f>MAX(0,MIN($C5,Y$4+1)-MAX($B5,Y$4))</f>
        <v/>
      </c>
      <c r="Z5">
        <f>MAX(0,MIN($C5,Z$4+1)-MAX($B5,Z$4))</f>
        <v/>
      </c>
      <c r="AA5">
        <f>MAX(0,MIN($C5,AA$4+1)-MAX($B5,AA$4))</f>
        <v/>
      </c>
      <c r="AB5">
        <f>MAX(0,MIN($C5,AB$4+1)-MAX($B5,AB$4))</f>
        <v/>
      </c>
      <c r="AC5">
        <f>MAX(0,MIN($C5,AC$4+1)-MAX($B5,AC$4))</f>
        <v/>
      </c>
      <c r="AD5">
        <f>MAX(0,MIN($C5,AD$4+1)-MAX($B5,AD$4))</f>
        <v/>
      </c>
      <c r="AE5">
        <f>MAX(0,MIN($C5,AE$4+1)-MAX($B5,AE$4))</f>
        <v/>
      </c>
      <c r="AF5">
        <f>MAX(0,MIN($C5,AF$4+1)-MAX($B5,AF$4))</f>
        <v/>
      </c>
      <c r="AG5">
        <f>MAX(0,MIN($C5,AG$4+1)-MAX($B5,AG$4))</f>
        <v/>
      </c>
      <c r="AH5">
        <f>MAX(0,MIN($C5,AH$4+1)-MAX($B5,AH$4))</f>
        <v/>
      </c>
      <c r="AI5">
        <f>MAX(0,MIN($C5,AI$4+1)-MAX($B5,AI$4))</f>
        <v/>
      </c>
      <c r="AJ5">
        <f>MAX(0,MIN($C5,AJ$4+1)-MAX($B5,AJ$4))</f>
        <v/>
      </c>
      <c r="AK5">
        <f>MAX(0,MIN($C5,AK$4+1)-MAX($B5,AK$4))</f>
        <v/>
      </c>
      <c r="AL5">
        <f>MAX(0,MIN($C5,AL$4+1)-MAX($B5,AL$4))</f>
        <v/>
      </c>
      <c r="AM5">
        <f>MAX(0,MIN($C5,AM$4+1)-MAX($B5,AM$4))</f>
        <v/>
      </c>
      <c r="AN5" t="inlineStr">
        <is>
          <t>Graduación RN-BSN</t>
        </is>
      </c>
      <c r="AO5" s="3" t="n">
        <v>2027.5</v>
      </c>
      <c r="AP5" s="3" t="n">
        <v>0</v>
      </c>
    </row>
    <row r="6">
      <c r="A6" t="inlineStr">
        <is>
          <t>Estudio dedicado Step 1 (sin sueldo)</t>
        </is>
      </c>
      <c r="B6" s="3" t="n">
        <v>2027.5</v>
      </c>
      <c r="C6" s="3" t="n">
        <v>2027.67</v>
      </c>
      <c r="D6" t="inlineStr"/>
      <c r="E6" t="n">
        <v>0</v>
      </c>
      <c r="F6" t="n">
        <v>0</v>
      </c>
      <c r="G6" s="3" t="n">
        <v>1</v>
      </c>
      <c r="H6" s="3" t="n">
        <v>1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  <c r="T6">
        <f>MAX(0,MIN($C6,T$4+1)-MAX($B6,T$4))</f>
        <v/>
      </c>
      <c r="U6">
        <f>MAX(0,MIN($C6,U$4+1)-MAX($B6,U$4))</f>
        <v/>
      </c>
      <c r="V6">
        <f>MAX(0,MIN($C6,V$4+1)-MAX($B6,V$4))</f>
        <v/>
      </c>
      <c r="W6">
        <f>MAX(0,MIN($C6,W$4+1)-MAX($B6,W$4))</f>
        <v/>
      </c>
      <c r="X6">
        <f>MAX(0,MIN($C6,X$4+1)-MAX($B6,X$4))</f>
        <v/>
      </c>
      <c r="Y6">
        <f>MAX(0,MIN($C6,Y$4+1)-MAX($B6,Y$4))</f>
        <v/>
      </c>
      <c r="Z6">
        <f>MAX(0,MIN($C6,Z$4+1)-MAX($B6,Z$4))</f>
        <v/>
      </c>
      <c r="AA6">
        <f>MAX(0,MIN($C6,AA$4+1)-MAX($B6,AA$4))</f>
        <v/>
      </c>
      <c r="AB6">
        <f>MAX(0,MIN($C6,AB$4+1)-MAX($B6,AB$4))</f>
        <v/>
      </c>
      <c r="AC6">
        <f>MAX(0,MIN($C6,AC$4+1)-MAX($B6,AC$4))</f>
        <v/>
      </c>
      <c r="AD6">
        <f>MAX(0,MIN($C6,AD$4+1)-MAX($B6,AD$4))</f>
        <v/>
      </c>
      <c r="AE6">
        <f>MAX(0,MIN($C6,AE$4+1)-MAX($B6,AE$4))</f>
        <v/>
      </c>
      <c r="AF6">
        <f>MAX(0,MIN($C6,AF$4+1)-MAX($B6,AF$4))</f>
        <v/>
      </c>
      <c r="AG6">
        <f>MAX(0,MIN($C6,AG$4+1)-MAX($B6,AG$4))</f>
        <v/>
      </c>
      <c r="AH6">
        <f>MAX(0,MIN($C6,AH$4+1)-MAX($B6,AH$4))</f>
        <v/>
      </c>
      <c r="AI6">
        <f>MAX(0,MIN($C6,AI$4+1)-MAX($B6,AI$4))</f>
        <v/>
      </c>
      <c r="AJ6">
        <f>MAX(0,MIN($C6,AJ$4+1)-MAX($B6,AJ$4))</f>
        <v/>
      </c>
      <c r="AK6">
        <f>MAX(0,MIN($C6,AK$4+1)-MAX($B6,AK$4))</f>
        <v/>
      </c>
      <c r="AL6">
        <f>MAX(0,MIN($C6,AL$4+1)-MAX($B6,AL$4))</f>
        <v/>
      </c>
      <c r="AM6">
        <f>MAX(0,MIN($C6,AM$4+1)-MAX($B6,AM$4))</f>
        <v/>
      </c>
      <c r="AN6" t="inlineStr">
        <is>
          <t>Matrícula restante BSN</t>
        </is>
      </c>
      <c r="AO6" s="3" t="n">
        <v>2027</v>
      </c>
      <c r="AP6" s="3">
        <f>personal_bsnCostoRestante</f>
        <v/>
      </c>
    </row>
    <row r="7">
      <c r="A7" t="inlineStr">
        <is>
          <t>Case manager + estudio Step 2 CK (BSN)</t>
        </is>
      </c>
      <c r="B7" s="3" t="n">
        <v>2027.67</v>
      </c>
      <c r="C7" s="3" t="n">
        <v>2028.15</v>
      </c>
      <c r="D7" t="inlineStr">
        <is>
          <t>cm</t>
        </is>
      </c>
      <c r="E7">
        <f>personal_tarifaHora*2080*loc_factorRN/ubic_miami_factorRN</f>
        <v/>
      </c>
      <c r="F7">
        <f>roles_cm_aumento</f>
        <v/>
      </c>
      <c r="G7">
        <f>md_horasTrabajoEstudiando/40</f>
        <v/>
      </c>
      <c r="H7">
        <f>1+personal_bsnAumento</f>
        <v/>
      </c>
      <c r="I7" s="3" t="n">
        <v>0</v>
      </c>
      <c r="J7" s="3" t="n">
        <v>0</v>
      </c>
      <c r="K7" s="3" t="n">
        <v>0</v>
      </c>
      <c r="L7" s="3" t="n">
        <v>1</v>
      </c>
      <c r="M7" s="3" t="n">
        <v>1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T7">
        <f>MAX(0,MIN($C7,T$4+1)-MAX($B7,T$4))</f>
        <v/>
      </c>
      <c r="U7">
        <f>MAX(0,MIN($C7,U$4+1)-MAX($B7,U$4))</f>
        <v/>
      </c>
      <c r="V7">
        <f>MAX(0,MIN($C7,V$4+1)-MAX($B7,V$4))</f>
        <v/>
      </c>
      <c r="W7">
        <f>MAX(0,MIN($C7,W$4+1)-MAX($B7,W$4))</f>
        <v/>
      </c>
      <c r="X7">
        <f>MAX(0,MIN($C7,X$4+1)-MAX($B7,X$4))</f>
        <v/>
      </c>
      <c r="Y7">
        <f>MAX(0,MIN($C7,Y$4+1)-MAX($B7,Y$4))</f>
        <v/>
      </c>
      <c r="Z7">
        <f>MAX(0,MIN($C7,Z$4+1)-MAX($B7,Z$4))</f>
        <v/>
      </c>
      <c r="AA7">
        <f>MAX(0,MIN($C7,AA$4+1)-MAX($B7,AA$4))</f>
        <v/>
      </c>
      <c r="AB7">
        <f>MAX(0,MIN($C7,AB$4+1)-MAX($B7,AB$4))</f>
        <v/>
      </c>
      <c r="AC7">
        <f>MAX(0,MIN($C7,AC$4+1)-MAX($B7,AC$4))</f>
        <v/>
      </c>
      <c r="AD7">
        <f>MAX(0,MIN($C7,AD$4+1)-MAX($B7,AD$4))</f>
        <v/>
      </c>
      <c r="AE7">
        <f>MAX(0,MIN($C7,AE$4+1)-MAX($B7,AE$4))</f>
        <v/>
      </c>
      <c r="AF7">
        <f>MAX(0,MIN($C7,AF$4+1)-MAX($B7,AF$4))</f>
        <v/>
      </c>
      <c r="AG7">
        <f>MAX(0,MIN($C7,AG$4+1)-MAX($B7,AG$4))</f>
        <v/>
      </c>
      <c r="AH7">
        <f>MAX(0,MIN($C7,AH$4+1)-MAX($B7,AH$4))</f>
        <v/>
      </c>
      <c r="AI7">
        <f>MAX(0,MIN($C7,AI$4+1)-MAX($B7,AI$4))</f>
        <v/>
      </c>
      <c r="AJ7">
        <f>MAX(0,MIN($C7,AJ$4+1)-MAX($B7,AJ$4))</f>
        <v/>
      </c>
      <c r="AK7">
        <f>MAX(0,MIN($C7,AK$4+1)-MAX($B7,AK$4))</f>
        <v/>
      </c>
      <c r="AL7">
        <f>MAX(0,MIN($C7,AL$4+1)-MAX($B7,AL$4))</f>
        <v/>
      </c>
      <c r="AM7">
        <f>MAX(0,MIN($C7,AM$4+1)-MAX($B7,AM$4))</f>
        <v/>
      </c>
      <c r="AN7" t="inlineStr">
        <is>
          <t>Step 1</t>
        </is>
      </c>
      <c r="AO7" s="3" t="n">
        <v>2027.67</v>
      </c>
      <c r="AP7" s="3">
        <f>md_costoStep1+md_costoPrepUSMLE</f>
        <v/>
      </c>
    </row>
    <row r="8">
      <c r="A8" t="inlineStr">
        <is>
          <t>Estudio dedicado Step 2 CK (sin sueldo)</t>
        </is>
      </c>
      <c r="B8" s="3" t="n">
        <v>2028.15</v>
      </c>
      <c r="C8" s="3" t="n">
        <v>2028.27</v>
      </c>
      <c r="D8" t="inlineStr"/>
      <c r="E8" t="n">
        <v>0</v>
      </c>
      <c r="F8" t="n">
        <v>0</v>
      </c>
      <c r="G8" s="3" t="n">
        <v>1</v>
      </c>
      <c r="H8" s="3" t="n">
        <v>1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T8">
        <f>MAX(0,MIN($C8,T$4+1)-MAX($B8,T$4))</f>
        <v/>
      </c>
      <c r="U8">
        <f>MAX(0,MIN($C8,U$4+1)-MAX($B8,U$4))</f>
        <v/>
      </c>
      <c r="V8">
        <f>MAX(0,MIN($C8,V$4+1)-MAX($B8,V$4))</f>
        <v/>
      </c>
      <c r="W8">
        <f>MAX(0,MIN($C8,W$4+1)-MAX($B8,W$4))</f>
        <v/>
      </c>
      <c r="X8">
        <f>MAX(0,MIN($C8,X$4+1)-MAX($B8,X$4))</f>
        <v/>
      </c>
      <c r="Y8">
        <f>MAX(0,MIN($C8,Y$4+1)-MAX($B8,Y$4))</f>
        <v/>
      </c>
      <c r="Z8">
        <f>MAX(0,MIN($C8,Z$4+1)-MAX($B8,Z$4))</f>
        <v/>
      </c>
      <c r="AA8">
        <f>MAX(0,MIN($C8,AA$4+1)-MAX($B8,AA$4))</f>
        <v/>
      </c>
      <c r="AB8">
        <f>MAX(0,MIN($C8,AB$4+1)-MAX($B8,AB$4))</f>
        <v/>
      </c>
      <c r="AC8">
        <f>MAX(0,MIN($C8,AC$4+1)-MAX($B8,AC$4))</f>
        <v/>
      </c>
      <c r="AD8">
        <f>MAX(0,MIN($C8,AD$4+1)-MAX($B8,AD$4))</f>
        <v/>
      </c>
      <c r="AE8">
        <f>MAX(0,MIN($C8,AE$4+1)-MAX($B8,AE$4))</f>
        <v/>
      </c>
      <c r="AF8">
        <f>MAX(0,MIN($C8,AF$4+1)-MAX($B8,AF$4))</f>
        <v/>
      </c>
      <c r="AG8">
        <f>MAX(0,MIN($C8,AG$4+1)-MAX($B8,AG$4))</f>
        <v/>
      </c>
      <c r="AH8">
        <f>MAX(0,MIN($C8,AH$4+1)-MAX($B8,AH$4))</f>
        <v/>
      </c>
      <c r="AI8">
        <f>MAX(0,MIN($C8,AI$4+1)-MAX($B8,AI$4))</f>
        <v/>
      </c>
      <c r="AJ8">
        <f>MAX(0,MIN($C8,AJ$4+1)-MAX($B8,AJ$4))</f>
        <v/>
      </c>
      <c r="AK8">
        <f>MAX(0,MIN($C8,AK$4+1)-MAX($B8,AK$4))</f>
        <v/>
      </c>
      <c r="AL8">
        <f>MAX(0,MIN($C8,AL$4+1)-MAX($B8,AL$4))</f>
        <v/>
      </c>
      <c r="AM8">
        <f>MAX(0,MIN($C8,AM$4+1)-MAX($B8,AM$4))</f>
        <v/>
      </c>
      <c r="AN8" t="inlineStr">
        <is>
          <t>Step 2 CK + ECFMG/OET</t>
        </is>
      </c>
      <c r="AO8" s="3" t="n">
        <v>2028.27</v>
      </c>
      <c r="AP8" s="3">
        <f>md_costoStep2+md_costoECFMG</f>
        <v/>
      </c>
    </row>
    <row r="9">
      <c r="A9" t="inlineStr">
        <is>
          <t>USCE (observership/externship)</t>
        </is>
      </c>
      <c r="B9" s="3" t="n">
        <v>2028.27</v>
      </c>
      <c r="C9" s="3" t="n">
        <v>2028.52</v>
      </c>
      <c r="D9" t="inlineStr"/>
      <c r="E9" t="n">
        <v>0</v>
      </c>
      <c r="F9" t="n">
        <v>0</v>
      </c>
      <c r="G9" s="3" t="n">
        <v>1</v>
      </c>
      <c r="H9" s="3" t="n">
        <v>1</v>
      </c>
      <c r="I9" s="3" t="n">
        <v>0</v>
      </c>
      <c r="J9">
        <f>md_usceCostoMes*12*md_usceDuracion</f>
        <v/>
      </c>
      <c r="K9" s="3" t="n">
        <v>0</v>
      </c>
      <c r="L9" s="3" t="n">
        <v>0</v>
      </c>
      <c r="M9" s="3" t="n">
        <v>0</v>
      </c>
      <c r="N9" s="3" t="n">
        <v>0</v>
      </c>
      <c r="O9" s="3" t="n">
        <v>0</v>
      </c>
      <c r="P9" s="3" t="n">
        <v>0</v>
      </c>
      <c r="Q9" s="3" t="n">
        <v>0</v>
      </c>
      <c r="R9" s="3" t="n">
        <v>0</v>
      </c>
      <c r="T9">
        <f>MAX(0,MIN($C9,T$4+1)-MAX($B9,T$4))</f>
        <v/>
      </c>
      <c r="U9">
        <f>MAX(0,MIN($C9,U$4+1)-MAX($B9,U$4))</f>
        <v/>
      </c>
      <c r="V9">
        <f>MAX(0,MIN($C9,V$4+1)-MAX($B9,V$4))</f>
        <v/>
      </c>
      <c r="W9">
        <f>MAX(0,MIN($C9,W$4+1)-MAX($B9,W$4))</f>
        <v/>
      </c>
      <c r="X9">
        <f>MAX(0,MIN($C9,X$4+1)-MAX($B9,X$4))</f>
        <v/>
      </c>
      <c r="Y9">
        <f>MAX(0,MIN($C9,Y$4+1)-MAX($B9,Y$4))</f>
        <v/>
      </c>
      <c r="Z9">
        <f>MAX(0,MIN($C9,Z$4+1)-MAX($B9,Z$4))</f>
        <v/>
      </c>
      <c r="AA9">
        <f>MAX(0,MIN($C9,AA$4+1)-MAX($B9,AA$4))</f>
        <v/>
      </c>
      <c r="AB9">
        <f>MAX(0,MIN($C9,AB$4+1)-MAX($B9,AB$4))</f>
        <v/>
      </c>
      <c r="AC9">
        <f>MAX(0,MIN($C9,AC$4+1)-MAX($B9,AC$4))</f>
        <v/>
      </c>
      <c r="AD9">
        <f>MAX(0,MIN($C9,AD$4+1)-MAX($B9,AD$4))</f>
        <v/>
      </c>
      <c r="AE9">
        <f>MAX(0,MIN($C9,AE$4+1)-MAX($B9,AE$4))</f>
        <v/>
      </c>
      <c r="AF9">
        <f>MAX(0,MIN($C9,AF$4+1)-MAX($B9,AF$4))</f>
        <v/>
      </c>
      <c r="AG9">
        <f>MAX(0,MIN($C9,AG$4+1)-MAX($B9,AG$4))</f>
        <v/>
      </c>
      <c r="AH9">
        <f>MAX(0,MIN($C9,AH$4+1)-MAX($B9,AH$4))</f>
        <v/>
      </c>
      <c r="AI9">
        <f>MAX(0,MIN($C9,AI$4+1)-MAX($B9,AI$4))</f>
        <v/>
      </c>
      <c r="AJ9">
        <f>MAX(0,MIN($C9,AJ$4+1)-MAX($B9,AJ$4))</f>
        <v/>
      </c>
      <c r="AK9">
        <f>MAX(0,MIN($C9,AK$4+1)-MAX($B9,AK$4))</f>
        <v/>
      </c>
      <c r="AL9">
        <f>MAX(0,MIN($C9,AL$4+1)-MAX($B9,AL$4))</f>
        <v/>
      </c>
      <c r="AM9">
        <f>MAX(0,MIN($C9,AM$4+1)-MAX($B9,AM$4))</f>
        <v/>
      </c>
      <c r="AN9" t="inlineStr">
        <is>
          <t>ERAS</t>
        </is>
      </c>
      <c r="AO9" s="3" t="n">
        <v>2028.7</v>
      </c>
      <c r="AP9" s="3">
        <f>md_costoERAS+md_costoEntrevistas</f>
        <v/>
      </c>
    </row>
    <row r="10">
      <c r="A10" t="inlineStr">
        <is>
          <t>Case manager (temporada de entrevistas) (BSN)</t>
        </is>
      </c>
      <c r="B10" s="3" t="n">
        <v>2028.52</v>
      </c>
      <c r="C10" s="3" t="n">
        <v>2029.5</v>
      </c>
      <c r="D10" t="inlineStr">
        <is>
          <t>cm</t>
        </is>
      </c>
      <c r="E10">
        <f>personal_tarifaHora*2080*loc_factorRN/ubic_miami_factorRN</f>
        <v/>
      </c>
      <c r="F10">
        <f>roles_cm_aumento</f>
        <v/>
      </c>
      <c r="G10">
        <f>personal_horasSemana/40</f>
        <v/>
      </c>
      <c r="H10">
        <f>1+personal_bsnAumento</f>
        <v/>
      </c>
      <c r="I10" s="3" t="n">
        <v>0</v>
      </c>
      <c r="J10" s="3" t="n">
        <v>0</v>
      </c>
      <c r="K10" s="3" t="n">
        <v>0</v>
      </c>
      <c r="L10" s="3" t="n">
        <v>1</v>
      </c>
      <c r="M10" s="3" t="n">
        <v>1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T10">
        <f>MAX(0,MIN($C10,T$4+1)-MAX($B10,T$4))</f>
        <v/>
      </c>
      <c r="U10">
        <f>MAX(0,MIN($C10,U$4+1)-MAX($B10,U$4))</f>
        <v/>
      </c>
      <c r="V10">
        <f>MAX(0,MIN($C10,V$4+1)-MAX($B10,V$4))</f>
        <v/>
      </c>
      <c r="W10">
        <f>MAX(0,MIN($C10,W$4+1)-MAX($B10,W$4))</f>
        <v/>
      </c>
      <c r="X10">
        <f>MAX(0,MIN($C10,X$4+1)-MAX($B10,X$4))</f>
        <v/>
      </c>
      <c r="Y10">
        <f>MAX(0,MIN($C10,Y$4+1)-MAX($B10,Y$4))</f>
        <v/>
      </c>
      <c r="Z10">
        <f>MAX(0,MIN($C10,Z$4+1)-MAX($B10,Z$4))</f>
        <v/>
      </c>
      <c r="AA10">
        <f>MAX(0,MIN($C10,AA$4+1)-MAX($B10,AA$4))</f>
        <v/>
      </c>
      <c r="AB10">
        <f>MAX(0,MIN($C10,AB$4+1)-MAX($B10,AB$4))</f>
        <v/>
      </c>
      <c r="AC10">
        <f>MAX(0,MIN($C10,AC$4+1)-MAX($B10,AC$4))</f>
        <v/>
      </c>
      <c r="AD10">
        <f>MAX(0,MIN($C10,AD$4+1)-MAX($B10,AD$4))</f>
        <v/>
      </c>
      <c r="AE10">
        <f>MAX(0,MIN($C10,AE$4+1)-MAX($B10,AE$4))</f>
        <v/>
      </c>
      <c r="AF10">
        <f>MAX(0,MIN($C10,AF$4+1)-MAX($B10,AF$4))</f>
        <v/>
      </c>
      <c r="AG10">
        <f>MAX(0,MIN($C10,AG$4+1)-MAX($B10,AG$4))</f>
        <v/>
      </c>
      <c r="AH10">
        <f>MAX(0,MIN($C10,AH$4+1)-MAX($B10,AH$4))</f>
        <v/>
      </c>
      <c r="AI10">
        <f>MAX(0,MIN($C10,AI$4+1)-MAX($B10,AI$4))</f>
        <v/>
      </c>
      <c r="AJ10">
        <f>MAX(0,MIN($C10,AJ$4+1)-MAX($B10,AJ$4))</f>
        <v/>
      </c>
      <c r="AK10">
        <f>MAX(0,MIN($C10,AK$4+1)-MAX($B10,AK$4))</f>
        <v/>
      </c>
      <c r="AL10">
        <f>MAX(0,MIN($C10,AL$4+1)-MAX($B10,AL$4))</f>
        <v/>
      </c>
      <c r="AM10">
        <f>MAX(0,MIN($C10,AM$4+1)-MAX($B10,AM$4))</f>
        <v/>
      </c>
      <c r="AN10" t="inlineStr">
        <is>
          <t>SOAP: solo año preliminar</t>
        </is>
      </c>
      <c r="AO10" s="3" t="n">
        <v>2029.21</v>
      </c>
      <c r="AP10" s="3" t="n">
        <v>0</v>
      </c>
    </row>
    <row r="11">
      <c r="A11" t="inlineStr">
        <is>
          <t>Residencia preliminar PGY-1</t>
        </is>
      </c>
      <c r="B11" s="3" t="n">
        <v>2029.5</v>
      </c>
      <c r="C11" s="3" t="n">
        <v>2030.5</v>
      </c>
      <c r="D11" t="inlineStr">
        <is>
          <t>residente</t>
        </is>
      </c>
      <c r="E11">
        <f>loc_residentePGY1</f>
        <v/>
      </c>
      <c r="F11">
        <f>g_inf+0.005</f>
        <v/>
      </c>
      <c r="G11" s="3" t="n">
        <v>1</v>
      </c>
      <c r="H11" s="3" t="n">
        <v>1</v>
      </c>
      <c r="I11" s="3" t="n">
        <v>0</v>
      </c>
      <c r="J11" s="3" t="n">
        <v>0</v>
      </c>
      <c r="K11" s="3" t="n">
        <v>0</v>
      </c>
      <c r="L11">
        <f>md_residentePslf</f>
        <v/>
      </c>
      <c r="M11" s="3" t="n">
        <v>0</v>
      </c>
      <c r="N11" s="3" t="n">
        <v>0</v>
      </c>
      <c r="O11" s="3" t="n">
        <v>0</v>
      </c>
      <c r="P11" s="3" t="n">
        <v>0</v>
      </c>
      <c r="Q11" s="3" t="n">
        <v>0</v>
      </c>
      <c r="R11" s="3" t="n">
        <v>0</v>
      </c>
      <c r="T11">
        <f>MAX(0,MIN($C11,T$4+1)-MAX($B11,T$4))</f>
        <v/>
      </c>
      <c r="U11">
        <f>MAX(0,MIN($C11,U$4+1)-MAX($B11,U$4))</f>
        <v/>
      </c>
      <c r="V11">
        <f>MAX(0,MIN($C11,V$4+1)-MAX($B11,V$4))</f>
        <v/>
      </c>
      <c r="W11">
        <f>MAX(0,MIN($C11,W$4+1)-MAX($B11,W$4))</f>
        <v/>
      </c>
      <c r="X11">
        <f>MAX(0,MIN($C11,X$4+1)-MAX($B11,X$4))</f>
        <v/>
      </c>
      <c r="Y11">
        <f>MAX(0,MIN($C11,Y$4+1)-MAX($B11,Y$4))</f>
        <v/>
      </c>
      <c r="Z11">
        <f>MAX(0,MIN($C11,Z$4+1)-MAX($B11,Z$4))</f>
        <v/>
      </c>
      <c r="AA11">
        <f>MAX(0,MIN($C11,AA$4+1)-MAX($B11,AA$4))</f>
        <v/>
      </c>
      <c r="AB11">
        <f>MAX(0,MIN($C11,AB$4+1)-MAX($B11,AB$4))</f>
        <v/>
      </c>
      <c r="AC11">
        <f>MAX(0,MIN($C11,AC$4+1)-MAX($B11,AC$4))</f>
        <v/>
      </c>
      <c r="AD11">
        <f>MAX(0,MIN($C11,AD$4+1)-MAX($B11,AD$4))</f>
        <v/>
      </c>
      <c r="AE11">
        <f>MAX(0,MIN($C11,AE$4+1)-MAX($B11,AE$4))</f>
        <v/>
      </c>
      <c r="AF11">
        <f>MAX(0,MIN($C11,AF$4+1)-MAX($B11,AF$4))</f>
        <v/>
      </c>
      <c r="AG11">
        <f>MAX(0,MIN($C11,AG$4+1)-MAX($B11,AG$4))</f>
        <v/>
      </c>
      <c r="AH11">
        <f>MAX(0,MIN($C11,AH$4+1)-MAX($B11,AH$4))</f>
        <v/>
      </c>
      <c r="AI11">
        <f>MAX(0,MIN($C11,AI$4+1)-MAX($B11,AI$4))</f>
        <v/>
      </c>
      <c r="AJ11">
        <f>MAX(0,MIN($C11,AJ$4+1)-MAX($B11,AJ$4))</f>
        <v/>
      </c>
      <c r="AK11">
        <f>MAX(0,MIN($C11,AK$4+1)-MAX($B11,AK$4))</f>
        <v/>
      </c>
      <c r="AL11">
        <f>MAX(0,MIN($C11,AL$4+1)-MAX($B11,AL$4))</f>
        <v/>
      </c>
      <c r="AM11">
        <f>MAX(0,MIN($C11,AM$4+1)-MAX($B11,AM$4))</f>
        <v/>
      </c>
      <c r="AN11" t="inlineStr">
        <is>
          <t>Mudanza (prelim)</t>
        </is>
      </c>
      <c r="AO11" s="3" t="n">
        <v>2029.5</v>
      </c>
      <c r="AP11" s="3">
        <f>md_costoMudanza</f>
        <v/>
      </c>
    </row>
    <row r="12">
      <c r="A12" t="inlineStr">
        <is>
          <t>Residencia PGY-1</t>
        </is>
      </c>
      <c r="B12" s="3" t="n">
        <v>2030.5</v>
      </c>
      <c r="C12" s="3" t="n">
        <v>2031.5</v>
      </c>
      <c r="D12" t="inlineStr">
        <is>
          <t>residente</t>
        </is>
      </c>
      <c r="E12">
        <f>loc_residentePGY1</f>
        <v/>
      </c>
      <c r="F12">
        <f>g_inf+0.005</f>
        <v/>
      </c>
      <c r="G12" s="3" t="n">
        <v>1</v>
      </c>
      <c r="H12" s="3" t="n">
        <v>1</v>
      </c>
      <c r="I12" s="3" t="n">
        <v>0</v>
      </c>
      <c r="J12" s="3" t="n">
        <v>0</v>
      </c>
      <c r="K12" s="3" t="n">
        <v>0</v>
      </c>
      <c r="L12">
        <f>md_residentePslf</f>
        <v/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T12">
        <f>MAX(0,MIN($C12,T$4+1)-MAX($B12,T$4))</f>
        <v/>
      </c>
      <c r="U12">
        <f>MAX(0,MIN($C12,U$4+1)-MAX($B12,U$4))</f>
        <v/>
      </c>
      <c r="V12">
        <f>MAX(0,MIN($C12,V$4+1)-MAX($B12,V$4))</f>
        <v/>
      </c>
      <c r="W12">
        <f>MAX(0,MIN($C12,W$4+1)-MAX($B12,W$4))</f>
        <v/>
      </c>
      <c r="X12">
        <f>MAX(0,MIN($C12,X$4+1)-MAX($B12,X$4))</f>
        <v/>
      </c>
      <c r="Y12">
        <f>MAX(0,MIN($C12,Y$4+1)-MAX($B12,Y$4))</f>
        <v/>
      </c>
      <c r="Z12">
        <f>MAX(0,MIN($C12,Z$4+1)-MAX($B12,Z$4))</f>
        <v/>
      </c>
      <c r="AA12">
        <f>MAX(0,MIN($C12,AA$4+1)-MAX($B12,AA$4))</f>
        <v/>
      </c>
      <c r="AB12">
        <f>MAX(0,MIN($C12,AB$4+1)-MAX($B12,AB$4))</f>
        <v/>
      </c>
      <c r="AC12">
        <f>MAX(0,MIN($C12,AC$4+1)-MAX($B12,AC$4))</f>
        <v/>
      </c>
      <c r="AD12">
        <f>MAX(0,MIN($C12,AD$4+1)-MAX($B12,AD$4))</f>
        <v/>
      </c>
      <c r="AE12">
        <f>MAX(0,MIN($C12,AE$4+1)-MAX($B12,AE$4))</f>
        <v/>
      </c>
      <c r="AF12">
        <f>MAX(0,MIN($C12,AF$4+1)-MAX($B12,AF$4))</f>
        <v/>
      </c>
      <c r="AG12">
        <f>MAX(0,MIN($C12,AG$4+1)-MAX($B12,AG$4))</f>
        <v/>
      </c>
      <c r="AH12">
        <f>MAX(0,MIN($C12,AH$4+1)-MAX($B12,AH$4))</f>
        <v/>
      </c>
      <c r="AI12">
        <f>MAX(0,MIN($C12,AI$4+1)-MAX($B12,AI$4))</f>
        <v/>
      </c>
      <c r="AJ12">
        <f>MAX(0,MIN($C12,AJ$4+1)-MAX($B12,AJ$4))</f>
        <v/>
      </c>
      <c r="AK12">
        <f>MAX(0,MIN($C12,AK$4+1)-MAX($B12,AK$4))</f>
        <v/>
      </c>
      <c r="AL12">
        <f>MAX(0,MIN($C12,AL$4+1)-MAX($B12,AL$4))</f>
        <v/>
      </c>
      <c r="AM12">
        <f>MAX(0,MIN($C12,AM$4+1)-MAX($B12,AM$4))</f>
        <v/>
      </c>
      <c r="AN12" t="inlineStr">
        <is>
          <t>ERAS (reintento)</t>
        </is>
      </c>
      <c r="AO12" s="3" t="n">
        <v>2029.7</v>
      </c>
      <c r="AP12" s="3">
        <f>md_costoERAS+md_costoEntrevistas</f>
        <v/>
      </c>
    </row>
    <row r="13">
      <c r="A13" t="inlineStr">
        <is>
          <t>Residencia PGY-2</t>
        </is>
      </c>
      <c r="B13" s="3" t="n">
        <v>2031.5</v>
      </c>
      <c r="C13" s="3" t="n">
        <v>2032.5</v>
      </c>
      <c r="D13" t="inlineStr">
        <is>
          <t>residente</t>
        </is>
      </c>
      <c r="E13">
        <f>loc_residentePGY1</f>
        <v/>
      </c>
      <c r="F13">
        <f>g_inf+0.005</f>
        <v/>
      </c>
      <c r="G13" s="3" t="n">
        <v>1</v>
      </c>
      <c r="H13">
        <f>(1+roles_residente_aumento)^1</f>
        <v/>
      </c>
      <c r="I13" s="3" t="n">
        <v>0</v>
      </c>
      <c r="J13" s="3" t="n">
        <v>0</v>
      </c>
      <c r="K13" s="3" t="n">
        <v>0</v>
      </c>
      <c r="L13">
        <f>md_residentePslf</f>
        <v/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T13">
        <f>MAX(0,MIN($C13,T$4+1)-MAX($B13,T$4))</f>
        <v/>
      </c>
      <c r="U13">
        <f>MAX(0,MIN($C13,U$4+1)-MAX($B13,U$4))</f>
        <v/>
      </c>
      <c r="V13">
        <f>MAX(0,MIN($C13,V$4+1)-MAX($B13,V$4))</f>
        <v/>
      </c>
      <c r="W13">
        <f>MAX(0,MIN($C13,W$4+1)-MAX($B13,W$4))</f>
        <v/>
      </c>
      <c r="X13">
        <f>MAX(0,MIN($C13,X$4+1)-MAX($B13,X$4))</f>
        <v/>
      </c>
      <c r="Y13">
        <f>MAX(0,MIN($C13,Y$4+1)-MAX($B13,Y$4))</f>
        <v/>
      </c>
      <c r="Z13">
        <f>MAX(0,MIN($C13,Z$4+1)-MAX($B13,Z$4))</f>
        <v/>
      </c>
      <c r="AA13">
        <f>MAX(0,MIN($C13,AA$4+1)-MAX($B13,AA$4))</f>
        <v/>
      </c>
      <c r="AB13">
        <f>MAX(0,MIN($C13,AB$4+1)-MAX($B13,AB$4))</f>
        <v/>
      </c>
      <c r="AC13">
        <f>MAX(0,MIN($C13,AC$4+1)-MAX($B13,AC$4))</f>
        <v/>
      </c>
      <c r="AD13">
        <f>MAX(0,MIN($C13,AD$4+1)-MAX($B13,AD$4))</f>
        <v/>
      </c>
      <c r="AE13">
        <f>MAX(0,MIN($C13,AE$4+1)-MAX($B13,AE$4))</f>
        <v/>
      </c>
      <c r="AF13">
        <f>MAX(0,MIN($C13,AF$4+1)-MAX($B13,AF$4))</f>
        <v/>
      </c>
      <c r="AG13">
        <f>MAX(0,MIN($C13,AG$4+1)-MAX($B13,AG$4))</f>
        <v/>
      </c>
      <c r="AH13">
        <f>MAX(0,MIN($C13,AH$4+1)-MAX($B13,AH$4))</f>
        <v/>
      </c>
      <c r="AI13">
        <f>MAX(0,MIN($C13,AI$4+1)-MAX($B13,AI$4))</f>
        <v/>
      </c>
      <c r="AJ13">
        <f>MAX(0,MIN($C13,AJ$4+1)-MAX($B13,AJ$4))</f>
        <v/>
      </c>
      <c r="AK13">
        <f>MAX(0,MIN($C13,AK$4+1)-MAX($B13,AK$4))</f>
        <v/>
      </c>
      <c r="AL13">
        <f>MAX(0,MIN($C13,AL$4+1)-MAX($B13,AL$4))</f>
        <v/>
      </c>
      <c r="AM13">
        <f>MAX(0,MIN($C13,AM$4+1)-MAX($B13,AM$4))</f>
        <v/>
      </c>
      <c r="AN13" t="inlineStr">
        <is>
          <t>Match ✔</t>
        </is>
      </c>
      <c r="AO13" s="3" t="n">
        <v>2030.21</v>
      </c>
      <c r="AP13" s="3" t="n">
        <v>0</v>
      </c>
    </row>
    <row r="14">
      <c r="A14" t="inlineStr">
        <is>
          <t>Residencia PGY-3</t>
        </is>
      </c>
      <c r="B14" s="3" t="n">
        <v>2032.5</v>
      </c>
      <c r="C14" s="3" t="n">
        <v>2033.5</v>
      </c>
      <c r="D14" t="inlineStr">
        <is>
          <t>residente</t>
        </is>
      </c>
      <c r="E14">
        <f>loc_residentePGY1</f>
        <v/>
      </c>
      <c r="F14">
        <f>g_inf+0.005</f>
        <v/>
      </c>
      <c r="G14" s="3" t="n">
        <v>1</v>
      </c>
      <c r="H14">
        <f>(1+roles_residente_aumento)^2</f>
        <v/>
      </c>
      <c r="I14" s="3" t="n">
        <v>0</v>
      </c>
      <c r="J14" s="3" t="n">
        <v>0</v>
      </c>
      <c r="K14" s="3" t="n">
        <v>0</v>
      </c>
      <c r="L14">
        <f>md_residentePslf</f>
        <v/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T14">
        <f>MAX(0,MIN($C14,T$4+1)-MAX($B14,T$4))</f>
        <v/>
      </c>
      <c r="U14">
        <f>MAX(0,MIN($C14,U$4+1)-MAX($B14,U$4))</f>
        <v/>
      </c>
      <c r="V14">
        <f>MAX(0,MIN($C14,V$4+1)-MAX($B14,V$4))</f>
        <v/>
      </c>
      <c r="W14">
        <f>MAX(0,MIN($C14,W$4+1)-MAX($B14,W$4))</f>
        <v/>
      </c>
      <c r="X14">
        <f>MAX(0,MIN($C14,X$4+1)-MAX($B14,X$4))</f>
        <v/>
      </c>
      <c r="Y14">
        <f>MAX(0,MIN($C14,Y$4+1)-MAX($B14,Y$4))</f>
        <v/>
      </c>
      <c r="Z14">
        <f>MAX(0,MIN($C14,Z$4+1)-MAX($B14,Z$4))</f>
        <v/>
      </c>
      <c r="AA14">
        <f>MAX(0,MIN($C14,AA$4+1)-MAX($B14,AA$4))</f>
        <v/>
      </c>
      <c r="AB14">
        <f>MAX(0,MIN($C14,AB$4+1)-MAX($B14,AB$4))</f>
        <v/>
      </c>
      <c r="AC14">
        <f>MAX(0,MIN($C14,AC$4+1)-MAX($B14,AC$4))</f>
        <v/>
      </c>
      <c r="AD14">
        <f>MAX(0,MIN($C14,AD$4+1)-MAX($B14,AD$4))</f>
        <v/>
      </c>
      <c r="AE14">
        <f>MAX(0,MIN($C14,AE$4+1)-MAX($B14,AE$4))</f>
        <v/>
      </c>
      <c r="AF14">
        <f>MAX(0,MIN($C14,AF$4+1)-MAX($B14,AF$4))</f>
        <v/>
      </c>
      <c r="AG14">
        <f>MAX(0,MIN($C14,AG$4+1)-MAX($B14,AG$4))</f>
        <v/>
      </c>
      <c r="AH14">
        <f>MAX(0,MIN($C14,AH$4+1)-MAX($B14,AH$4))</f>
        <v/>
      </c>
      <c r="AI14">
        <f>MAX(0,MIN($C14,AI$4+1)-MAX($B14,AI$4))</f>
        <v/>
      </c>
      <c r="AJ14">
        <f>MAX(0,MIN($C14,AJ$4+1)-MAX($B14,AJ$4))</f>
        <v/>
      </c>
      <c r="AK14">
        <f>MAX(0,MIN($C14,AK$4+1)-MAX($B14,AK$4))</f>
        <v/>
      </c>
      <c r="AL14">
        <f>MAX(0,MIN($C14,AL$4+1)-MAX($B14,AL$4))</f>
        <v/>
      </c>
      <c r="AM14">
        <f>MAX(0,MIN($C14,AM$4+1)-MAX($B14,AM$4))</f>
        <v/>
      </c>
      <c r="AN14" t="inlineStr">
        <is>
          <t>Mudanza a residencia</t>
        </is>
      </c>
      <c r="AO14" s="3" t="n">
        <v>2030.5</v>
      </c>
      <c r="AP14" s="3">
        <f>md_costoMudanza</f>
        <v/>
      </c>
    </row>
    <row r="15">
      <c r="A15" t="inlineStr">
        <is>
          <t>Attending hospitalista</t>
        </is>
      </c>
      <c r="B15" s="3" t="n">
        <v>2033.5</v>
      </c>
      <c r="C15" s="3" t="n">
        <v>2048</v>
      </c>
      <c r="D15" t="inlineStr">
        <is>
          <t>hospitalista</t>
        </is>
      </c>
      <c r="E15">
        <f>roles_hospitalista_base*loc_factorMD</f>
        <v/>
      </c>
      <c r="F15">
        <f>roles_hospitalista_aumento</f>
        <v/>
      </c>
      <c r="G15" s="3" t="n">
        <v>1</v>
      </c>
      <c r="H15" s="3" t="n">
        <v>1</v>
      </c>
      <c r="I15">
        <f>md_bonoFirmaAttending</f>
        <v/>
      </c>
      <c r="J15" s="3" t="n">
        <v>0</v>
      </c>
      <c r="K15" s="3" t="n">
        <v>0</v>
      </c>
      <c r="L15">
        <f>md_residentePslf</f>
        <v/>
      </c>
      <c r="M15" s="3" t="n">
        <v>1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1</v>
      </c>
      <c r="T15">
        <f>MAX(0,MIN($C15,T$4+1)-MAX($B15,T$4))</f>
        <v/>
      </c>
      <c r="U15">
        <f>MAX(0,MIN($C15,U$4+1)-MAX($B15,U$4))</f>
        <v/>
      </c>
      <c r="V15">
        <f>MAX(0,MIN($C15,V$4+1)-MAX($B15,V$4))</f>
        <v/>
      </c>
      <c r="W15">
        <f>MAX(0,MIN($C15,W$4+1)-MAX($B15,W$4))</f>
        <v/>
      </c>
      <c r="X15">
        <f>MAX(0,MIN($C15,X$4+1)-MAX($B15,X$4))</f>
        <v/>
      </c>
      <c r="Y15">
        <f>MAX(0,MIN($C15,Y$4+1)-MAX($B15,Y$4))</f>
        <v/>
      </c>
      <c r="Z15">
        <f>MAX(0,MIN($C15,Z$4+1)-MAX($B15,Z$4))</f>
        <v/>
      </c>
      <c r="AA15">
        <f>MAX(0,MIN($C15,AA$4+1)-MAX($B15,AA$4))</f>
        <v/>
      </c>
      <c r="AB15">
        <f>MAX(0,MIN($C15,AB$4+1)-MAX($B15,AB$4))</f>
        <v/>
      </c>
      <c r="AC15">
        <f>MAX(0,MIN($C15,AC$4+1)-MAX($B15,AC$4))</f>
        <v/>
      </c>
      <c r="AD15">
        <f>MAX(0,MIN($C15,AD$4+1)-MAX($B15,AD$4))</f>
        <v/>
      </c>
      <c r="AE15">
        <f>MAX(0,MIN($C15,AE$4+1)-MAX($B15,AE$4))</f>
        <v/>
      </c>
      <c r="AF15">
        <f>MAX(0,MIN($C15,AF$4+1)-MAX($B15,AF$4))</f>
        <v/>
      </c>
      <c r="AG15">
        <f>MAX(0,MIN($C15,AG$4+1)-MAX($B15,AG$4))</f>
        <v/>
      </c>
      <c r="AH15">
        <f>MAX(0,MIN($C15,AH$4+1)-MAX($B15,AH$4))</f>
        <v/>
      </c>
      <c r="AI15">
        <f>MAX(0,MIN($C15,AI$4+1)-MAX($B15,AI$4))</f>
        <v/>
      </c>
      <c r="AJ15">
        <f>MAX(0,MIN($C15,AJ$4+1)-MAX($B15,AJ$4))</f>
        <v/>
      </c>
      <c r="AK15">
        <f>MAX(0,MIN($C15,AK$4+1)-MAX($B15,AK$4))</f>
        <v/>
      </c>
      <c r="AL15">
        <f>MAX(0,MIN($C15,AL$4+1)-MAX($B15,AL$4))</f>
        <v/>
      </c>
      <c r="AM15">
        <f>MAX(0,MIN($C15,AM$4+1)-MAX($B15,AM$4))</f>
        <v/>
      </c>
      <c r="AN15" t="inlineStr">
        <is>
          <t>Step 3 + licencia + boards</t>
        </is>
      </c>
      <c r="AO15" s="3" t="n">
        <v>2033</v>
      </c>
      <c r="AP15" s="3">
        <f>md_costoLicencia</f>
        <v/>
      </c>
    </row>
    <row r="16">
      <c r="A16" t="inlineStr">
        <is>
          <t>Locums vía S-corp</t>
        </is>
      </c>
      <c r="B16" s="3" t="n">
        <v>2034.5</v>
      </c>
      <c r="C16" s="3" t="n">
        <v>2048</v>
      </c>
      <c r="D16" t="inlineStr">
        <is>
          <t>locums</t>
        </is>
      </c>
      <c r="E16" t="n">
        <v>0</v>
      </c>
      <c r="F16">
        <f>roles_hospitalista_aumento</f>
        <v/>
      </c>
      <c r="G16" s="3" t="n">
        <v>1</v>
      </c>
      <c r="H16" s="3" t="n">
        <v>1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>
        <f>md_locumsTurnosMes*12*12*md_locumsTarifa*g_salMult</f>
        <v/>
      </c>
      <c r="Q16" s="3" t="n">
        <v>0</v>
      </c>
      <c r="R16" s="3" t="n">
        <v>0</v>
      </c>
      <c r="T16">
        <f>MAX(0,MIN($C16,T$4+1)-MAX($B16,T$4))</f>
        <v/>
      </c>
      <c r="U16">
        <f>MAX(0,MIN($C16,U$4+1)-MAX($B16,U$4))</f>
        <v/>
      </c>
      <c r="V16">
        <f>MAX(0,MIN($C16,V$4+1)-MAX($B16,V$4))</f>
        <v/>
      </c>
      <c r="W16">
        <f>MAX(0,MIN($C16,W$4+1)-MAX($B16,W$4))</f>
        <v/>
      </c>
      <c r="X16">
        <f>MAX(0,MIN($C16,X$4+1)-MAX($B16,X$4))</f>
        <v/>
      </c>
      <c r="Y16">
        <f>MAX(0,MIN($C16,Y$4+1)-MAX($B16,Y$4))</f>
        <v/>
      </c>
      <c r="Z16">
        <f>MAX(0,MIN($C16,Z$4+1)-MAX($B16,Z$4))</f>
        <v/>
      </c>
      <c r="AA16">
        <f>MAX(0,MIN($C16,AA$4+1)-MAX($B16,AA$4))</f>
        <v/>
      </c>
      <c r="AB16">
        <f>MAX(0,MIN($C16,AB$4+1)-MAX($B16,AB$4))</f>
        <v/>
      </c>
      <c r="AC16">
        <f>MAX(0,MIN($C16,AC$4+1)-MAX($B16,AC$4))</f>
        <v/>
      </c>
      <c r="AD16">
        <f>MAX(0,MIN($C16,AD$4+1)-MAX($B16,AD$4))</f>
        <v/>
      </c>
      <c r="AE16">
        <f>MAX(0,MIN($C16,AE$4+1)-MAX($B16,AE$4))</f>
        <v/>
      </c>
      <c r="AF16">
        <f>MAX(0,MIN($C16,AF$4+1)-MAX($B16,AF$4))</f>
        <v/>
      </c>
      <c r="AG16">
        <f>MAX(0,MIN($C16,AG$4+1)-MAX($B16,AG$4))</f>
        <v/>
      </c>
      <c r="AH16">
        <f>MAX(0,MIN($C16,AH$4+1)-MAX($B16,AH$4))</f>
        <v/>
      </c>
      <c r="AI16">
        <f>MAX(0,MIN($C16,AI$4+1)-MAX($B16,AI$4))</f>
        <v/>
      </c>
      <c r="AJ16">
        <f>MAX(0,MIN($C16,AJ$4+1)-MAX($B16,AJ$4))</f>
        <v/>
      </c>
      <c r="AK16">
        <f>MAX(0,MIN($C16,AK$4+1)-MAX($B16,AK$4))</f>
        <v/>
      </c>
      <c r="AL16">
        <f>MAX(0,MIN($C16,AL$4+1)-MAX($B16,AL$4))</f>
        <v/>
      </c>
      <c r="AM16">
        <f>MAX(0,MIN($C16,AM$4+1)-MAX($B16,AM$4))</f>
        <v/>
      </c>
      <c r="AN16" t="inlineStr">
        <is>
          <t>Attending</t>
        </is>
      </c>
      <c r="AO16" s="3" t="n">
        <v>2033.5</v>
      </c>
      <c r="AP16" s="3" t="n">
        <v>0</v>
      </c>
    </row>
    <row r="17">
      <c r="A17" t="inlineStr"/>
      <c r="B17" s="3" t="n">
        <v>0</v>
      </c>
      <c r="C17" s="3" t="n">
        <v>0</v>
      </c>
      <c r="D17" t="inlineStr"/>
      <c r="E17" t="n">
        <v>0</v>
      </c>
      <c r="F17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T17">
        <f>MAX(0,MIN($C17,T$4+1)-MAX($B17,T$4))</f>
        <v/>
      </c>
      <c r="U17">
        <f>MAX(0,MIN($C17,U$4+1)-MAX($B17,U$4))</f>
        <v/>
      </c>
      <c r="V17">
        <f>MAX(0,MIN($C17,V$4+1)-MAX($B17,V$4))</f>
        <v/>
      </c>
      <c r="W17">
        <f>MAX(0,MIN($C17,W$4+1)-MAX($B17,W$4))</f>
        <v/>
      </c>
      <c r="X17">
        <f>MAX(0,MIN($C17,X$4+1)-MAX($B17,X$4))</f>
        <v/>
      </c>
      <c r="Y17">
        <f>MAX(0,MIN($C17,Y$4+1)-MAX($B17,Y$4))</f>
        <v/>
      </c>
      <c r="Z17">
        <f>MAX(0,MIN($C17,Z$4+1)-MAX($B17,Z$4))</f>
        <v/>
      </c>
      <c r="AA17">
        <f>MAX(0,MIN($C17,AA$4+1)-MAX($B17,AA$4))</f>
        <v/>
      </c>
      <c r="AB17">
        <f>MAX(0,MIN($C17,AB$4+1)-MAX($B17,AB$4))</f>
        <v/>
      </c>
      <c r="AC17">
        <f>MAX(0,MIN($C17,AC$4+1)-MAX($B17,AC$4))</f>
        <v/>
      </c>
      <c r="AD17">
        <f>MAX(0,MIN($C17,AD$4+1)-MAX($B17,AD$4))</f>
        <v/>
      </c>
      <c r="AE17">
        <f>MAX(0,MIN($C17,AE$4+1)-MAX($B17,AE$4))</f>
        <v/>
      </c>
      <c r="AF17">
        <f>MAX(0,MIN($C17,AF$4+1)-MAX($B17,AF$4))</f>
        <v/>
      </c>
      <c r="AG17">
        <f>MAX(0,MIN($C17,AG$4+1)-MAX($B17,AG$4))</f>
        <v/>
      </c>
      <c r="AH17">
        <f>MAX(0,MIN($C17,AH$4+1)-MAX($B17,AH$4))</f>
        <v/>
      </c>
      <c r="AI17">
        <f>MAX(0,MIN($C17,AI$4+1)-MAX($B17,AI$4))</f>
        <v/>
      </c>
      <c r="AJ17">
        <f>MAX(0,MIN($C17,AJ$4+1)-MAX($B17,AJ$4))</f>
        <v/>
      </c>
      <c r="AK17">
        <f>MAX(0,MIN($C17,AK$4+1)-MAX($B17,AK$4))</f>
        <v/>
      </c>
      <c r="AL17">
        <f>MAX(0,MIN($C17,AL$4+1)-MAX($B17,AL$4))</f>
        <v/>
      </c>
      <c r="AM17">
        <f>MAX(0,MIN($C17,AM$4+1)-MAX($B17,AM$4))</f>
        <v/>
      </c>
      <c r="AO17" t="n">
        <v>0</v>
      </c>
      <c r="AP17" t="n">
        <v>0</v>
      </c>
    </row>
    <row r="18">
      <c r="A18" t="inlineStr"/>
      <c r="B18" s="3" t="n">
        <v>0</v>
      </c>
      <c r="C18" s="3" t="n">
        <v>0</v>
      </c>
      <c r="D18" t="inlineStr"/>
      <c r="E18" t="n">
        <v>0</v>
      </c>
      <c r="F18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T18">
        <f>MAX(0,MIN($C18,T$4+1)-MAX($B18,T$4))</f>
        <v/>
      </c>
      <c r="U18">
        <f>MAX(0,MIN($C18,U$4+1)-MAX($B18,U$4))</f>
        <v/>
      </c>
      <c r="V18">
        <f>MAX(0,MIN($C18,V$4+1)-MAX($B18,V$4))</f>
        <v/>
      </c>
      <c r="W18">
        <f>MAX(0,MIN($C18,W$4+1)-MAX($B18,W$4))</f>
        <v/>
      </c>
      <c r="X18">
        <f>MAX(0,MIN($C18,X$4+1)-MAX($B18,X$4))</f>
        <v/>
      </c>
      <c r="Y18">
        <f>MAX(0,MIN($C18,Y$4+1)-MAX($B18,Y$4))</f>
        <v/>
      </c>
      <c r="Z18">
        <f>MAX(0,MIN($C18,Z$4+1)-MAX($B18,Z$4))</f>
        <v/>
      </c>
      <c r="AA18">
        <f>MAX(0,MIN($C18,AA$4+1)-MAX($B18,AA$4))</f>
        <v/>
      </c>
      <c r="AB18">
        <f>MAX(0,MIN($C18,AB$4+1)-MAX($B18,AB$4))</f>
        <v/>
      </c>
      <c r="AC18">
        <f>MAX(0,MIN($C18,AC$4+1)-MAX($B18,AC$4))</f>
        <v/>
      </c>
      <c r="AD18">
        <f>MAX(0,MIN($C18,AD$4+1)-MAX($B18,AD$4))</f>
        <v/>
      </c>
      <c r="AE18">
        <f>MAX(0,MIN($C18,AE$4+1)-MAX($B18,AE$4))</f>
        <v/>
      </c>
      <c r="AF18">
        <f>MAX(0,MIN($C18,AF$4+1)-MAX($B18,AF$4))</f>
        <v/>
      </c>
      <c r="AG18">
        <f>MAX(0,MIN($C18,AG$4+1)-MAX($B18,AG$4))</f>
        <v/>
      </c>
      <c r="AH18">
        <f>MAX(0,MIN($C18,AH$4+1)-MAX($B18,AH$4))</f>
        <v/>
      </c>
      <c r="AI18">
        <f>MAX(0,MIN($C18,AI$4+1)-MAX($B18,AI$4))</f>
        <v/>
      </c>
      <c r="AJ18">
        <f>MAX(0,MIN($C18,AJ$4+1)-MAX($B18,AJ$4))</f>
        <v/>
      </c>
      <c r="AK18">
        <f>MAX(0,MIN($C18,AK$4+1)-MAX($B18,AK$4))</f>
        <v/>
      </c>
      <c r="AL18">
        <f>MAX(0,MIN($C18,AL$4+1)-MAX($B18,AL$4))</f>
        <v/>
      </c>
      <c r="AM18">
        <f>MAX(0,MIN($C18,AM$4+1)-MAX($B18,AM$4))</f>
        <v/>
      </c>
      <c r="AO18" t="n">
        <v>0</v>
      </c>
      <c r="AP18" t="n">
        <v>0</v>
      </c>
    </row>
    <row r="19">
      <c r="A19" t="inlineStr"/>
      <c r="B19" s="3" t="n">
        <v>0</v>
      </c>
      <c r="C19" s="3" t="n">
        <v>0</v>
      </c>
      <c r="D19" t="inlineStr"/>
      <c r="E19" t="n">
        <v>0</v>
      </c>
      <c r="F19" t="n">
        <v>0</v>
      </c>
      <c r="G19" s="3" t="n">
        <v>0</v>
      </c>
      <c r="H19" s="3" t="n">
        <v>0</v>
      </c>
      <c r="I19" s="3" t="n">
        <v>0</v>
      </c>
      <c r="J19" s="3" t="n">
        <v>0</v>
      </c>
      <c r="K19" s="3" t="n">
        <v>0</v>
      </c>
      <c r="L19" s="3" t="n">
        <v>0</v>
      </c>
      <c r="M19" s="3" t="n">
        <v>0</v>
      </c>
      <c r="N19" s="3" t="n">
        <v>0</v>
      </c>
      <c r="O19" s="3" t="n">
        <v>0</v>
      </c>
      <c r="P19" s="3" t="n">
        <v>0</v>
      </c>
      <c r="Q19" s="3" t="n">
        <v>0</v>
      </c>
      <c r="R19" s="3" t="n">
        <v>0</v>
      </c>
      <c r="T19">
        <f>MAX(0,MIN($C19,T$4+1)-MAX($B19,T$4))</f>
        <v/>
      </c>
      <c r="U19">
        <f>MAX(0,MIN($C19,U$4+1)-MAX($B19,U$4))</f>
        <v/>
      </c>
      <c r="V19">
        <f>MAX(0,MIN($C19,V$4+1)-MAX($B19,V$4))</f>
        <v/>
      </c>
      <c r="W19">
        <f>MAX(0,MIN($C19,W$4+1)-MAX($B19,W$4))</f>
        <v/>
      </c>
      <c r="X19">
        <f>MAX(0,MIN($C19,X$4+1)-MAX($B19,X$4))</f>
        <v/>
      </c>
      <c r="Y19">
        <f>MAX(0,MIN($C19,Y$4+1)-MAX($B19,Y$4))</f>
        <v/>
      </c>
      <c r="Z19">
        <f>MAX(0,MIN($C19,Z$4+1)-MAX($B19,Z$4))</f>
        <v/>
      </c>
      <c r="AA19">
        <f>MAX(0,MIN($C19,AA$4+1)-MAX($B19,AA$4))</f>
        <v/>
      </c>
      <c r="AB19">
        <f>MAX(0,MIN($C19,AB$4+1)-MAX($B19,AB$4))</f>
        <v/>
      </c>
      <c r="AC19">
        <f>MAX(0,MIN($C19,AC$4+1)-MAX($B19,AC$4))</f>
        <v/>
      </c>
      <c r="AD19">
        <f>MAX(0,MIN($C19,AD$4+1)-MAX($B19,AD$4))</f>
        <v/>
      </c>
      <c r="AE19">
        <f>MAX(0,MIN($C19,AE$4+1)-MAX($B19,AE$4))</f>
        <v/>
      </c>
      <c r="AF19">
        <f>MAX(0,MIN($C19,AF$4+1)-MAX($B19,AF$4))</f>
        <v/>
      </c>
      <c r="AG19">
        <f>MAX(0,MIN($C19,AG$4+1)-MAX($B19,AG$4))</f>
        <v/>
      </c>
      <c r="AH19">
        <f>MAX(0,MIN($C19,AH$4+1)-MAX($B19,AH$4))</f>
        <v/>
      </c>
      <c r="AI19">
        <f>MAX(0,MIN($C19,AI$4+1)-MAX($B19,AI$4))</f>
        <v/>
      </c>
      <c r="AJ19">
        <f>MAX(0,MIN($C19,AJ$4+1)-MAX($B19,AJ$4))</f>
        <v/>
      </c>
      <c r="AK19">
        <f>MAX(0,MIN($C19,AK$4+1)-MAX($B19,AK$4))</f>
        <v/>
      </c>
      <c r="AL19">
        <f>MAX(0,MIN($C19,AL$4+1)-MAX($B19,AL$4))</f>
        <v/>
      </c>
      <c r="AM19">
        <f>MAX(0,MIN($C19,AM$4+1)-MAX($B19,AM$4))</f>
        <v/>
      </c>
      <c r="AO19" t="n">
        <v>0</v>
      </c>
      <c r="AP19" t="n">
        <v>0</v>
      </c>
    </row>
    <row r="20">
      <c r="A20" t="inlineStr"/>
      <c r="B20" s="3" t="n">
        <v>0</v>
      </c>
      <c r="C20" s="3" t="n">
        <v>0</v>
      </c>
      <c r="D20" t="inlineStr"/>
      <c r="E20" t="n">
        <v>0</v>
      </c>
      <c r="F20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T20">
        <f>MAX(0,MIN($C20,T$4+1)-MAX($B20,T$4))</f>
        <v/>
      </c>
      <c r="U20">
        <f>MAX(0,MIN($C20,U$4+1)-MAX($B20,U$4))</f>
        <v/>
      </c>
      <c r="V20">
        <f>MAX(0,MIN($C20,V$4+1)-MAX($B20,V$4))</f>
        <v/>
      </c>
      <c r="W20">
        <f>MAX(0,MIN($C20,W$4+1)-MAX($B20,W$4))</f>
        <v/>
      </c>
      <c r="X20">
        <f>MAX(0,MIN($C20,X$4+1)-MAX($B20,X$4))</f>
        <v/>
      </c>
      <c r="Y20">
        <f>MAX(0,MIN($C20,Y$4+1)-MAX($B20,Y$4))</f>
        <v/>
      </c>
      <c r="Z20">
        <f>MAX(0,MIN($C20,Z$4+1)-MAX($B20,Z$4))</f>
        <v/>
      </c>
      <c r="AA20">
        <f>MAX(0,MIN($C20,AA$4+1)-MAX($B20,AA$4))</f>
        <v/>
      </c>
      <c r="AB20">
        <f>MAX(0,MIN($C20,AB$4+1)-MAX($B20,AB$4))</f>
        <v/>
      </c>
      <c r="AC20">
        <f>MAX(0,MIN($C20,AC$4+1)-MAX($B20,AC$4))</f>
        <v/>
      </c>
      <c r="AD20">
        <f>MAX(0,MIN($C20,AD$4+1)-MAX($B20,AD$4))</f>
        <v/>
      </c>
      <c r="AE20">
        <f>MAX(0,MIN($C20,AE$4+1)-MAX($B20,AE$4))</f>
        <v/>
      </c>
      <c r="AF20">
        <f>MAX(0,MIN($C20,AF$4+1)-MAX($B20,AF$4))</f>
        <v/>
      </c>
      <c r="AG20">
        <f>MAX(0,MIN($C20,AG$4+1)-MAX($B20,AG$4))</f>
        <v/>
      </c>
      <c r="AH20">
        <f>MAX(0,MIN($C20,AH$4+1)-MAX($B20,AH$4))</f>
        <v/>
      </c>
      <c r="AI20">
        <f>MAX(0,MIN($C20,AI$4+1)-MAX($B20,AI$4))</f>
        <v/>
      </c>
      <c r="AJ20">
        <f>MAX(0,MIN($C20,AJ$4+1)-MAX($B20,AJ$4))</f>
        <v/>
      </c>
      <c r="AK20">
        <f>MAX(0,MIN($C20,AK$4+1)-MAX($B20,AK$4))</f>
        <v/>
      </c>
      <c r="AL20">
        <f>MAX(0,MIN($C20,AL$4+1)-MAX($B20,AL$4))</f>
        <v/>
      </c>
      <c r="AM20">
        <f>MAX(0,MIN($C20,AM$4+1)-MAX($B20,AM$4))</f>
        <v/>
      </c>
      <c r="AO20" t="n">
        <v>0</v>
      </c>
      <c r="AP20" t="n">
        <v>0</v>
      </c>
    </row>
    <row r="21">
      <c r="A21" t="inlineStr"/>
      <c r="B21" s="3" t="n">
        <v>0</v>
      </c>
      <c r="C21" s="3" t="n">
        <v>0</v>
      </c>
      <c r="D21" t="inlineStr"/>
      <c r="E21" t="n">
        <v>0</v>
      </c>
      <c r="F21" t="n">
        <v>0</v>
      </c>
      <c r="G21" s="3" t="n">
        <v>0</v>
      </c>
      <c r="H21" s="3" t="n">
        <v>0</v>
      </c>
      <c r="I21" s="3" t="n">
        <v>0</v>
      </c>
      <c r="J21" s="3" t="n">
        <v>0</v>
      </c>
      <c r="K21" s="3" t="n">
        <v>0</v>
      </c>
      <c r="L21" s="3" t="n">
        <v>0</v>
      </c>
      <c r="M21" s="3" t="n">
        <v>0</v>
      </c>
      <c r="N21" s="3" t="n">
        <v>0</v>
      </c>
      <c r="O21" s="3" t="n">
        <v>0</v>
      </c>
      <c r="P21" s="3" t="n">
        <v>0</v>
      </c>
      <c r="Q21" s="3" t="n">
        <v>0</v>
      </c>
      <c r="R21" s="3" t="n">
        <v>0</v>
      </c>
      <c r="T21">
        <f>MAX(0,MIN($C21,T$4+1)-MAX($B21,T$4))</f>
        <v/>
      </c>
      <c r="U21">
        <f>MAX(0,MIN($C21,U$4+1)-MAX($B21,U$4))</f>
        <v/>
      </c>
      <c r="V21">
        <f>MAX(0,MIN($C21,V$4+1)-MAX($B21,V$4))</f>
        <v/>
      </c>
      <c r="W21">
        <f>MAX(0,MIN($C21,W$4+1)-MAX($B21,W$4))</f>
        <v/>
      </c>
      <c r="X21">
        <f>MAX(0,MIN($C21,X$4+1)-MAX($B21,X$4))</f>
        <v/>
      </c>
      <c r="Y21">
        <f>MAX(0,MIN($C21,Y$4+1)-MAX($B21,Y$4))</f>
        <v/>
      </c>
      <c r="Z21">
        <f>MAX(0,MIN($C21,Z$4+1)-MAX($B21,Z$4))</f>
        <v/>
      </c>
      <c r="AA21">
        <f>MAX(0,MIN($C21,AA$4+1)-MAX($B21,AA$4))</f>
        <v/>
      </c>
      <c r="AB21">
        <f>MAX(0,MIN($C21,AB$4+1)-MAX($B21,AB$4))</f>
        <v/>
      </c>
      <c r="AC21">
        <f>MAX(0,MIN($C21,AC$4+1)-MAX($B21,AC$4))</f>
        <v/>
      </c>
      <c r="AD21">
        <f>MAX(0,MIN($C21,AD$4+1)-MAX($B21,AD$4))</f>
        <v/>
      </c>
      <c r="AE21">
        <f>MAX(0,MIN($C21,AE$4+1)-MAX($B21,AE$4))</f>
        <v/>
      </c>
      <c r="AF21">
        <f>MAX(0,MIN($C21,AF$4+1)-MAX($B21,AF$4))</f>
        <v/>
      </c>
      <c r="AG21">
        <f>MAX(0,MIN($C21,AG$4+1)-MAX($B21,AG$4))</f>
        <v/>
      </c>
      <c r="AH21">
        <f>MAX(0,MIN($C21,AH$4+1)-MAX($B21,AH$4))</f>
        <v/>
      </c>
      <c r="AI21">
        <f>MAX(0,MIN($C21,AI$4+1)-MAX($B21,AI$4))</f>
        <v/>
      </c>
      <c r="AJ21">
        <f>MAX(0,MIN($C21,AJ$4+1)-MAX($B21,AJ$4))</f>
        <v/>
      </c>
      <c r="AK21">
        <f>MAX(0,MIN($C21,AK$4+1)-MAX($B21,AK$4))</f>
        <v/>
      </c>
      <c r="AL21">
        <f>MAX(0,MIN($C21,AL$4+1)-MAX($B21,AL$4))</f>
        <v/>
      </c>
      <c r="AM21">
        <f>MAX(0,MIN($C21,AM$4+1)-MAX($B21,AM$4))</f>
        <v/>
      </c>
      <c r="AO21" t="n">
        <v>0</v>
      </c>
      <c r="AP21" t="n">
        <v>0</v>
      </c>
    </row>
    <row r="22">
      <c r="A22" t="inlineStr"/>
      <c r="B22" s="3" t="n">
        <v>0</v>
      </c>
      <c r="C22" s="3" t="n">
        <v>0</v>
      </c>
      <c r="D22" t="inlineStr"/>
      <c r="E22" t="n">
        <v>0</v>
      </c>
      <c r="F22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T22">
        <f>MAX(0,MIN($C22,T$4+1)-MAX($B22,T$4))</f>
        <v/>
      </c>
      <c r="U22">
        <f>MAX(0,MIN($C22,U$4+1)-MAX($B22,U$4))</f>
        <v/>
      </c>
      <c r="V22">
        <f>MAX(0,MIN($C22,V$4+1)-MAX($B22,V$4))</f>
        <v/>
      </c>
      <c r="W22">
        <f>MAX(0,MIN($C22,W$4+1)-MAX($B22,W$4))</f>
        <v/>
      </c>
      <c r="X22">
        <f>MAX(0,MIN($C22,X$4+1)-MAX($B22,X$4))</f>
        <v/>
      </c>
      <c r="Y22">
        <f>MAX(0,MIN($C22,Y$4+1)-MAX($B22,Y$4))</f>
        <v/>
      </c>
      <c r="Z22">
        <f>MAX(0,MIN($C22,Z$4+1)-MAX($B22,Z$4))</f>
        <v/>
      </c>
      <c r="AA22">
        <f>MAX(0,MIN($C22,AA$4+1)-MAX($B22,AA$4))</f>
        <v/>
      </c>
      <c r="AB22">
        <f>MAX(0,MIN($C22,AB$4+1)-MAX($B22,AB$4))</f>
        <v/>
      </c>
      <c r="AC22">
        <f>MAX(0,MIN($C22,AC$4+1)-MAX($B22,AC$4))</f>
        <v/>
      </c>
      <c r="AD22">
        <f>MAX(0,MIN($C22,AD$4+1)-MAX($B22,AD$4))</f>
        <v/>
      </c>
      <c r="AE22">
        <f>MAX(0,MIN($C22,AE$4+1)-MAX($B22,AE$4))</f>
        <v/>
      </c>
      <c r="AF22">
        <f>MAX(0,MIN($C22,AF$4+1)-MAX($B22,AF$4))</f>
        <v/>
      </c>
      <c r="AG22">
        <f>MAX(0,MIN($C22,AG$4+1)-MAX($B22,AG$4))</f>
        <v/>
      </c>
      <c r="AH22">
        <f>MAX(0,MIN($C22,AH$4+1)-MAX($B22,AH$4))</f>
        <v/>
      </c>
      <c r="AI22">
        <f>MAX(0,MIN($C22,AI$4+1)-MAX($B22,AI$4))</f>
        <v/>
      </c>
      <c r="AJ22">
        <f>MAX(0,MIN($C22,AJ$4+1)-MAX($B22,AJ$4))</f>
        <v/>
      </c>
      <c r="AK22">
        <f>MAX(0,MIN($C22,AK$4+1)-MAX($B22,AK$4))</f>
        <v/>
      </c>
      <c r="AL22">
        <f>MAX(0,MIN($C22,AL$4+1)-MAX($B22,AL$4))</f>
        <v/>
      </c>
      <c r="AM22">
        <f>MAX(0,MIN($C22,AM$4+1)-MAX($B22,AM$4))</f>
        <v/>
      </c>
      <c r="AO22" t="n">
        <v>0</v>
      </c>
      <c r="AP22" t="n">
        <v>0</v>
      </c>
    </row>
    <row r="23">
      <c r="A23" t="inlineStr"/>
      <c r="B23" s="3" t="n">
        <v>0</v>
      </c>
      <c r="C23" s="3" t="n">
        <v>0</v>
      </c>
      <c r="D23" t="inlineStr"/>
      <c r="E23" t="n">
        <v>0</v>
      </c>
      <c r="F2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T23">
        <f>MAX(0,MIN($C23,T$4+1)-MAX($B23,T$4))</f>
        <v/>
      </c>
      <c r="U23">
        <f>MAX(0,MIN($C23,U$4+1)-MAX($B23,U$4))</f>
        <v/>
      </c>
      <c r="V23">
        <f>MAX(0,MIN($C23,V$4+1)-MAX($B23,V$4))</f>
        <v/>
      </c>
      <c r="W23">
        <f>MAX(0,MIN($C23,W$4+1)-MAX($B23,W$4))</f>
        <v/>
      </c>
      <c r="X23">
        <f>MAX(0,MIN($C23,X$4+1)-MAX($B23,X$4))</f>
        <v/>
      </c>
      <c r="Y23">
        <f>MAX(0,MIN($C23,Y$4+1)-MAX($B23,Y$4))</f>
        <v/>
      </c>
      <c r="Z23">
        <f>MAX(0,MIN($C23,Z$4+1)-MAX($B23,Z$4))</f>
        <v/>
      </c>
      <c r="AA23">
        <f>MAX(0,MIN($C23,AA$4+1)-MAX($B23,AA$4))</f>
        <v/>
      </c>
      <c r="AB23">
        <f>MAX(0,MIN($C23,AB$4+1)-MAX($B23,AB$4))</f>
        <v/>
      </c>
      <c r="AC23">
        <f>MAX(0,MIN($C23,AC$4+1)-MAX($B23,AC$4))</f>
        <v/>
      </c>
      <c r="AD23">
        <f>MAX(0,MIN($C23,AD$4+1)-MAX($B23,AD$4))</f>
        <v/>
      </c>
      <c r="AE23">
        <f>MAX(0,MIN($C23,AE$4+1)-MAX($B23,AE$4))</f>
        <v/>
      </c>
      <c r="AF23">
        <f>MAX(0,MIN($C23,AF$4+1)-MAX($B23,AF$4))</f>
        <v/>
      </c>
      <c r="AG23">
        <f>MAX(0,MIN($C23,AG$4+1)-MAX($B23,AG$4))</f>
        <v/>
      </c>
      <c r="AH23">
        <f>MAX(0,MIN($C23,AH$4+1)-MAX($B23,AH$4))</f>
        <v/>
      </c>
      <c r="AI23">
        <f>MAX(0,MIN($C23,AI$4+1)-MAX($B23,AI$4))</f>
        <v/>
      </c>
      <c r="AJ23">
        <f>MAX(0,MIN($C23,AJ$4+1)-MAX($B23,AJ$4))</f>
        <v/>
      </c>
      <c r="AK23">
        <f>MAX(0,MIN($C23,AK$4+1)-MAX($B23,AK$4))</f>
        <v/>
      </c>
      <c r="AL23">
        <f>MAX(0,MIN($C23,AL$4+1)-MAX($B23,AL$4))</f>
        <v/>
      </c>
      <c r="AM23">
        <f>MAX(0,MIN($C23,AM$4+1)-MAX($B23,AM$4))</f>
        <v/>
      </c>
      <c r="AO23" t="n">
        <v>0</v>
      </c>
      <c r="AP23" t="n">
        <v>0</v>
      </c>
    </row>
    <row r="24">
      <c r="A24" t="inlineStr"/>
      <c r="B24" s="3" t="n">
        <v>0</v>
      </c>
      <c r="C24" s="3" t="n">
        <v>0</v>
      </c>
      <c r="D24" t="inlineStr"/>
      <c r="E24" t="n">
        <v>0</v>
      </c>
      <c r="F24" t="n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  <c r="P24" s="3" t="n">
        <v>0</v>
      </c>
      <c r="Q24" s="3" t="n">
        <v>0</v>
      </c>
      <c r="R24" s="3" t="n">
        <v>0</v>
      </c>
      <c r="T24">
        <f>MAX(0,MIN($C24,T$4+1)-MAX($B24,T$4))</f>
        <v/>
      </c>
      <c r="U24">
        <f>MAX(0,MIN($C24,U$4+1)-MAX($B24,U$4))</f>
        <v/>
      </c>
      <c r="V24">
        <f>MAX(0,MIN($C24,V$4+1)-MAX($B24,V$4))</f>
        <v/>
      </c>
      <c r="W24">
        <f>MAX(0,MIN($C24,W$4+1)-MAX($B24,W$4))</f>
        <v/>
      </c>
      <c r="X24">
        <f>MAX(0,MIN($C24,X$4+1)-MAX($B24,X$4))</f>
        <v/>
      </c>
      <c r="Y24">
        <f>MAX(0,MIN($C24,Y$4+1)-MAX($B24,Y$4))</f>
        <v/>
      </c>
      <c r="Z24">
        <f>MAX(0,MIN($C24,Z$4+1)-MAX($B24,Z$4))</f>
        <v/>
      </c>
      <c r="AA24">
        <f>MAX(0,MIN($C24,AA$4+1)-MAX($B24,AA$4))</f>
        <v/>
      </c>
      <c r="AB24">
        <f>MAX(0,MIN($C24,AB$4+1)-MAX($B24,AB$4))</f>
        <v/>
      </c>
      <c r="AC24">
        <f>MAX(0,MIN($C24,AC$4+1)-MAX($B24,AC$4))</f>
        <v/>
      </c>
      <c r="AD24">
        <f>MAX(0,MIN($C24,AD$4+1)-MAX($B24,AD$4))</f>
        <v/>
      </c>
      <c r="AE24">
        <f>MAX(0,MIN($C24,AE$4+1)-MAX($B24,AE$4))</f>
        <v/>
      </c>
      <c r="AF24">
        <f>MAX(0,MIN($C24,AF$4+1)-MAX($B24,AF$4))</f>
        <v/>
      </c>
      <c r="AG24">
        <f>MAX(0,MIN($C24,AG$4+1)-MAX($B24,AG$4))</f>
        <v/>
      </c>
      <c r="AH24">
        <f>MAX(0,MIN($C24,AH$4+1)-MAX($B24,AH$4))</f>
        <v/>
      </c>
      <c r="AI24">
        <f>MAX(0,MIN($C24,AI$4+1)-MAX($B24,AI$4))</f>
        <v/>
      </c>
      <c r="AJ24">
        <f>MAX(0,MIN($C24,AJ$4+1)-MAX($B24,AJ$4))</f>
        <v/>
      </c>
      <c r="AK24">
        <f>MAX(0,MIN($C24,AK$4+1)-MAX($B24,AK$4))</f>
        <v/>
      </c>
      <c r="AL24">
        <f>MAX(0,MIN($C24,AL$4+1)-MAX($B24,AL$4))</f>
        <v/>
      </c>
      <c r="AM24">
        <f>MAX(0,MIN($C24,AM$4+1)-MAX($B24,AM$4))</f>
        <v/>
      </c>
      <c r="AO24" t="n">
        <v>0</v>
      </c>
      <c r="AP24" t="n">
        <v>0</v>
      </c>
    </row>
    <row r="25">
      <c r="A25" t="inlineStr"/>
      <c r="B25" s="3" t="n">
        <v>0</v>
      </c>
      <c r="C25" s="3" t="n">
        <v>0</v>
      </c>
      <c r="D25" t="inlineStr"/>
      <c r="E25" t="n">
        <v>0</v>
      </c>
      <c r="F25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T25">
        <f>MAX(0,MIN($C25,T$4+1)-MAX($B25,T$4))</f>
        <v/>
      </c>
      <c r="U25">
        <f>MAX(0,MIN($C25,U$4+1)-MAX($B25,U$4))</f>
        <v/>
      </c>
      <c r="V25">
        <f>MAX(0,MIN($C25,V$4+1)-MAX($B25,V$4))</f>
        <v/>
      </c>
      <c r="W25">
        <f>MAX(0,MIN($C25,W$4+1)-MAX($B25,W$4))</f>
        <v/>
      </c>
      <c r="X25">
        <f>MAX(0,MIN($C25,X$4+1)-MAX($B25,X$4))</f>
        <v/>
      </c>
      <c r="Y25">
        <f>MAX(0,MIN($C25,Y$4+1)-MAX($B25,Y$4))</f>
        <v/>
      </c>
      <c r="Z25">
        <f>MAX(0,MIN($C25,Z$4+1)-MAX($B25,Z$4))</f>
        <v/>
      </c>
      <c r="AA25">
        <f>MAX(0,MIN($C25,AA$4+1)-MAX($B25,AA$4))</f>
        <v/>
      </c>
      <c r="AB25">
        <f>MAX(0,MIN($C25,AB$4+1)-MAX($B25,AB$4))</f>
        <v/>
      </c>
      <c r="AC25">
        <f>MAX(0,MIN($C25,AC$4+1)-MAX($B25,AC$4))</f>
        <v/>
      </c>
      <c r="AD25">
        <f>MAX(0,MIN($C25,AD$4+1)-MAX($B25,AD$4))</f>
        <v/>
      </c>
      <c r="AE25">
        <f>MAX(0,MIN($C25,AE$4+1)-MAX($B25,AE$4))</f>
        <v/>
      </c>
      <c r="AF25">
        <f>MAX(0,MIN($C25,AF$4+1)-MAX($B25,AF$4))</f>
        <v/>
      </c>
      <c r="AG25">
        <f>MAX(0,MIN($C25,AG$4+1)-MAX($B25,AG$4))</f>
        <v/>
      </c>
      <c r="AH25">
        <f>MAX(0,MIN($C25,AH$4+1)-MAX($B25,AH$4))</f>
        <v/>
      </c>
      <c r="AI25">
        <f>MAX(0,MIN($C25,AI$4+1)-MAX($B25,AI$4))</f>
        <v/>
      </c>
      <c r="AJ25">
        <f>MAX(0,MIN($C25,AJ$4+1)-MAX($B25,AJ$4))</f>
        <v/>
      </c>
      <c r="AK25">
        <f>MAX(0,MIN($C25,AK$4+1)-MAX($B25,AK$4))</f>
        <v/>
      </c>
      <c r="AL25">
        <f>MAX(0,MIN($C25,AL$4+1)-MAX($B25,AL$4))</f>
        <v/>
      </c>
      <c r="AM25">
        <f>MAX(0,MIN($C25,AM$4+1)-MAX($B25,AM$4))</f>
        <v/>
      </c>
    </row>
    <row r="26">
      <c r="A26" t="inlineStr"/>
      <c r="B26" s="3" t="n">
        <v>0</v>
      </c>
      <c r="C26" s="3" t="n">
        <v>0</v>
      </c>
      <c r="D26" t="inlineStr"/>
      <c r="E26" t="n">
        <v>0</v>
      </c>
      <c r="F26" t="n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  <c r="T26">
        <f>MAX(0,MIN($C26,T$4+1)-MAX($B26,T$4))</f>
        <v/>
      </c>
      <c r="U26">
        <f>MAX(0,MIN($C26,U$4+1)-MAX($B26,U$4))</f>
        <v/>
      </c>
      <c r="V26">
        <f>MAX(0,MIN($C26,V$4+1)-MAX($B26,V$4))</f>
        <v/>
      </c>
      <c r="W26">
        <f>MAX(0,MIN($C26,W$4+1)-MAX($B26,W$4))</f>
        <v/>
      </c>
      <c r="X26">
        <f>MAX(0,MIN($C26,X$4+1)-MAX($B26,X$4))</f>
        <v/>
      </c>
      <c r="Y26">
        <f>MAX(0,MIN($C26,Y$4+1)-MAX($B26,Y$4))</f>
        <v/>
      </c>
      <c r="Z26">
        <f>MAX(0,MIN($C26,Z$4+1)-MAX($B26,Z$4))</f>
        <v/>
      </c>
      <c r="AA26">
        <f>MAX(0,MIN($C26,AA$4+1)-MAX($B26,AA$4))</f>
        <v/>
      </c>
      <c r="AB26">
        <f>MAX(0,MIN($C26,AB$4+1)-MAX($B26,AB$4))</f>
        <v/>
      </c>
      <c r="AC26">
        <f>MAX(0,MIN($C26,AC$4+1)-MAX($B26,AC$4))</f>
        <v/>
      </c>
      <c r="AD26">
        <f>MAX(0,MIN($C26,AD$4+1)-MAX($B26,AD$4))</f>
        <v/>
      </c>
      <c r="AE26">
        <f>MAX(0,MIN($C26,AE$4+1)-MAX($B26,AE$4))</f>
        <v/>
      </c>
      <c r="AF26">
        <f>MAX(0,MIN($C26,AF$4+1)-MAX($B26,AF$4))</f>
        <v/>
      </c>
      <c r="AG26">
        <f>MAX(0,MIN($C26,AG$4+1)-MAX($B26,AG$4))</f>
        <v/>
      </c>
      <c r="AH26">
        <f>MAX(0,MIN($C26,AH$4+1)-MAX($B26,AH$4))</f>
        <v/>
      </c>
      <c r="AI26">
        <f>MAX(0,MIN($C26,AI$4+1)-MAX($B26,AI$4))</f>
        <v/>
      </c>
      <c r="AJ26">
        <f>MAX(0,MIN($C26,AJ$4+1)-MAX($B26,AJ$4))</f>
        <v/>
      </c>
      <c r="AK26">
        <f>MAX(0,MIN($C26,AK$4+1)-MAX($B26,AK$4))</f>
        <v/>
      </c>
      <c r="AL26">
        <f>MAX(0,MIN($C26,AL$4+1)-MAX($B26,AL$4))</f>
        <v/>
      </c>
      <c r="AM26">
        <f>MAX(0,MIN($C26,AM$4+1)-MAX($B26,AM$4))</f>
        <v/>
      </c>
    </row>
    <row r="27">
      <c r="A27" t="inlineStr"/>
      <c r="B27" s="3" t="n">
        <v>0</v>
      </c>
      <c r="C27" s="3" t="n">
        <v>0</v>
      </c>
      <c r="D27" t="inlineStr"/>
      <c r="E27" t="n">
        <v>0</v>
      </c>
      <c r="F27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T27">
        <f>MAX(0,MIN($C27,T$4+1)-MAX($B27,T$4))</f>
        <v/>
      </c>
      <c r="U27">
        <f>MAX(0,MIN($C27,U$4+1)-MAX($B27,U$4))</f>
        <v/>
      </c>
      <c r="V27">
        <f>MAX(0,MIN($C27,V$4+1)-MAX($B27,V$4))</f>
        <v/>
      </c>
      <c r="W27">
        <f>MAX(0,MIN($C27,W$4+1)-MAX($B27,W$4))</f>
        <v/>
      </c>
      <c r="X27">
        <f>MAX(0,MIN($C27,X$4+1)-MAX($B27,X$4))</f>
        <v/>
      </c>
      <c r="Y27">
        <f>MAX(0,MIN($C27,Y$4+1)-MAX($B27,Y$4))</f>
        <v/>
      </c>
      <c r="Z27">
        <f>MAX(0,MIN($C27,Z$4+1)-MAX($B27,Z$4))</f>
        <v/>
      </c>
      <c r="AA27">
        <f>MAX(0,MIN($C27,AA$4+1)-MAX($B27,AA$4))</f>
        <v/>
      </c>
      <c r="AB27">
        <f>MAX(0,MIN($C27,AB$4+1)-MAX($B27,AB$4))</f>
        <v/>
      </c>
      <c r="AC27">
        <f>MAX(0,MIN($C27,AC$4+1)-MAX($B27,AC$4))</f>
        <v/>
      </c>
      <c r="AD27">
        <f>MAX(0,MIN($C27,AD$4+1)-MAX($B27,AD$4))</f>
        <v/>
      </c>
      <c r="AE27">
        <f>MAX(0,MIN($C27,AE$4+1)-MAX($B27,AE$4))</f>
        <v/>
      </c>
      <c r="AF27">
        <f>MAX(0,MIN($C27,AF$4+1)-MAX($B27,AF$4))</f>
        <v/>
      </c>
      <c r="AG27">
        <f>MAX(0,MIN($C27,AG$4+1)-MAX($B27,AG$4))</f>
        <v/>
      </c>
      <c r="AH27">
        <f>MAX(0,MIN($C27,AH$4+1)-MAX($B27,AH$4))</f>
        <v/>
      </c>
      <c r="AI27">
        <f>MAX(0,MIN($C27,AI$4+1)-MAX($B27,AI$4))</f>
        <v/>
      </c>
      <c r="AJ27">
        <f>MAX(0,MIN($C27,AJ$4+1)-MAX($B27,AJ$4))</f>
        <v/>
      </c>
      <c r="AK27">
        <f>MAX(0,MIN($C27,AK$4+1)-MAX($B27,AK$4))</f>
        <v/>
      </c>
      <c r="AL27">
        <f>MAX(0,MIN($C27,AL$4+1)-MAX($B27,AL$4))</f>
        <v/>
      </c>
      <c r="AM27">
        <f>MAX(0,MIN($C27,AM$4+1)-MAX($B27,AM$4))</f>
        <v/>
      </c>
    </row>
    <row r="28">
      <c r="A28" t="inlineStr"/>
      <c r="B28" s="3" t="n">
        <v>0</v>
      </c>
      <c r="C28" s="3" t="n">
        <v>0</v>
      </c>
      <c r="D28" t="inlineStr"/>
      <c r="E28" t="n">
        <v>0</v>
      </c>
      <c r="F28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T28">
        <f>MAX(0,MIN($C28,T$4+1)-MAX($B28,T$4))</f>
        <v/>
      </c>
      <c r="U28">
        <f>MAX(0,MIN($C28,U$4+1)-MAX($B28,U$4))</f>
        <v/>
      </c>
      <c r="V28">
        <f>MAX(0,MIN($C28,V$4+1)-MAX($B28,V$4))</f>
        <v/>
      </c>
      <c r="W28">
        <f>MAX(0,MIN($C28,W$4+1)-MAX($B28,W$4))</f>
        <v/>
      </c>
      <c r="X28">
        <f>MAX(0,MIN($C28,X$4+1)-MAX($B28,X$4))</f>
        <v/>
      </c>
      <c r="Y28">
        <f>MAX(0,MIN($C28,Y$4+1)-MAX($B28,Y$4))</f>
        <v/>
      </c>
      <c r="Z28">
        <f>MAX(0,MIN($C28,Z$4+1)-MAX($B28,Z$4))</f>
        <v/>
      </c>
      <c r="AA28">
        <f>MAX(0,MIN($C28,AA$4+1)-MAX($B28,AA$4))</f>
        <v/>
      </c>
      <c r="AB28">
        <f>MAX(0,MIN($C28,AB$4+1)-MAX($B28,AB$4))</f>
        <v/>
      </c>
      <c r="AC28">
        <f>MAX(0,MIN($C28,AC$4+1)-MAX($B28,AC$4))</f>
        <v/>
      </c>
      <c r="AD28">
        <f>MAX(0,MIN($C28,AD$4+1)-MAX($B28,AD$4))</f>
        <v/>
      </c>
      <c r="AE28">
        <f>MAX(0,MIN($C28,AE$4+1)-MAX($B28,AE$4))</f>
        <v/>
      </c>
      <c r="AF28">
        <f>MAX(0,MIN($C28,AF$4+1)-MAX($B28,AF$4))</f>
        <v/>
      </c>
      <c r="AG28">
        <f>MAX(0,MIN($C28,AG$4+1)-MAX($B28,AG$4))</f>
        <v/>
      </c>
      <c r="AH28">
        <f>MAX(0,MIN($C28,AH$4+1)-MAX($B28,AH$4))</f>
        <v/>
      </c>
      <c r="AI28">
        <f>MAX(0,MIN($C28,AI$4+1)-MAX($B28,AI$4))</f>
        <v/>
      </c>
      <c r="AJ28">
        <f>MAX(0,MIN($C28,AJ$4+1)-MAX($B28,AJ$4))</f>
        <v/>
      </c>
      <c r="AK28">
        <f>MAX(0,MIN($C28,AK$4+1)-MAX($B28,AK$4))</f>
        <v/>
      </c>
      <c r="AL28">
        <f>MAX(0,MIN($C28,AL$4+1)-MAX($B28,AL$4))</f>
        <v/>
      </c>
      <c r="AM28">
        <f>MAX(0,MIN($C28,AM$4+1)-MAX($B28,AM$4))</f>
        <v/>
      </c>
    </row>
    <row r="29">
      <c r="A29" t="inlineStr"/>
      <c r="B29" s="3" t="n">
        <v>0</v>
      </c>
      <c r="C29" s="3" t="n">
        <v>0</v>
      </c>
      <c r="D29" t="inlineStr"/>
      <c r="E29" t="n">
        <v>0</v>
      </c>
      <c r="F29" t="n">
        <v>0</v>
      </c>
      <c r="G29" s="3" t="n">
        <v>0</v>
      </c>
      <c r="H29" s="3" t="n">
        <v>0</v>
      </c>
      <c r="I29" s="3" t="n">
        <v>0</v>
      </c>
      <c r="J29" s="3" t="n">
        <v>0</v>
      </c>
      <c r="K29" s="3" t="n">
        <v>0</v>
      </c>
      <c r="L29" s="3" t="n">
        <v>0</v>
      </c>
      <c r="M29" s="3" t="n">
        <v>0</v>
      </c>
      <c r="N29" s="3" t="n">
        <v>0</v>
      </c>
      <c r="O29" s="3" t="n">
        <v>0</v>
      </c>
      <c r="P29" s="3" t="n">
        <v>0</v>
      </c>
      <c r="Q29" s="3" t="n">
        <v>0</v>
      </c>
      <c r="R29" s="3" t="n">
        <v>0</v>
      </c>
      <c r="T29">
        <f>MAX(0,MIN($C29,T$4+1)-MAX($B29,T$4))</f>
        <v/>
      </c>
      <c r="U29">
        <f>MAX(0,MIN($C29,U$4+1)-MAX($B29,U$4))</f>
        <v/>
      </c>
      <c r="V29">
        <f>MAX(0,MIN($C29,V$4+1)-MAX($B29,V$4))</f>
        <v/>
      </c>
      <c r="W29">
        <f>MAX(0,MIN($C29,W$4+1)-MAX($B29,W$4))</f>
        <v/>
      </c>
      <c r="X29">
        <f>MAX(0,MIN($C29,X$4+1)-MAX($B29,X$4))</f>
        <v/>
      </c>
      <c r="Y29">
        <f>MAX(0,MIN($C29,Y$4+1)-MAX($B29,Y$4))</f>
        <v/>
      </c>
      <c r="Z29">
        <f>MAX(0,MIN($C29,Z$4+1)-MAX($B29,Z$4))</f>
        <v/>
      </c>
      <c r="AA29">
        <f>MAX(0,MIN($C29,AA$4+1)-MAX($B29,AA$4))</f>
        <v/>
      </c>
      <c r="AB29">
        <f>MAX(0,MIN($C29,AB$4+1)-MAX($B29,AB$4))</f>
        <v/>
      </c>
      <c r="AC29">
        <f>MAX(0,MIN($C29,AC$4+1)-MAX($B29,AC$4))</f>
        <v/>
      </c>
      <c r="AD29">
        <f>MAX(0,MIN($C29,AD$4+1)-MAX($B29,AD$4))</f>
        <v/>
      </c>
      <c r="AE29">
        <f>MAX(0,MIN($C29,AE$4+1)-MAX($B29,AE$4))</f>
        <v/>
      </c>
      <c r="AF29">
        <f>MAX(0,MIN($C29,AF$4+1)-MAX($B29,AF$4))</f>
        <v/>
      </c>
      <c r="AG29">
        <f>MAX(0,MIN($C29,AG$4+1)-MAX($B29,AG$4))</f>
        <v/>
      </c>
      <c r="AH29">
        <f>MAX(0,MIN($C29,AH$4+1)-MAX($B29,AH$4))</f>
        <v/>
      </c>
      <c r="AI29">
        <f>MAX(0,MIN($C29,AI$4+1)-MAX($B29,AI$4))</f>
        <v/>
      </c>
      <c r="AJ29">
        <f>MAX(0,MIN($C29,AJ$4+1)-MAX($B29,AJ$4))</f>
        <v/>
      </c>
      <c r="AK29">
        <f>MAX(0,MIN($C29,AK$4+1)-MAX($B29,AK$4))</f>
        <v/>
      </c>
      <c r="AL29">
        <f>MAX(0,MIN($C29,AL$4+1)-MAX($B29,AL$4))</f>
        <v/>
      </c>
      <c r="AM29">
        <f>MAX(0,MIN($C29,AM$4+1)-MAX($B29,AM$4))</f>
        <v/>
      </c>
    </row>
    <row r="31">
      <c r="A31" s="1" t="inlineStr">
        <is>
          <t>Simulación anual (todas las celdas son fórmulas)</t>
        </is>
      </c>
    </row>
    <row r="32">
      <c r="A32" s="5" t="inlineStr">
        <is>
          <t>Año</t>
        </is>
      </c>
      <c r="B32" s="5" t="inlineStr">
        <is>
          <t>k</t>
        </is>
      </c>
      <c r="C32" s="5" t="inlineStr">
        <is>
          <t>Índice inflación</t>
        </is>
      </c>
      <c r="D32" s="5" t="inlineStr">
        <is>
          <t>Salarios W-2</t>
        </is>
      </c>
      <c r="E32" s="5" t="inlineStr">
        <is>
          <t>W-2 con match</t>
        </is>
      </c>
      <c r="F32" s="5" t="inlineStr">
        <is>
          <t>Stipends libres</t>
        </is>
      </c>
      <c r="G32" s="5" t="inlineStr">
        <is>
          <t>Ingreso S-corp</t>
        </is>
      </c>
      <c r="H32" s="5" t="inlineStr">
        <is>
          <t>Autoempleo (LLC/tutoría)</t>
        </is>
      </c>
      <c r="I32" s="5" t="inlineStr">
        <is>
          <t>Matrícula</t>
        </is>
      </c>
      <c r="J32" s="5" t="inlineStr">
        <is>
          <t>Fracción estudio</t>
        </is>
      </c>
      <c r="K32" s="5" t="inlineStr">
        <is>
          <t>Fracción PSLF</t>
        </is>
      </c>
      <c r="L32" s="5" t="inlineStr">
        <is>
          <t>Fracción travel</t>
        </is>
      </c>
      <c r="M32" s="5" t="inlineStr">
        <is>
          <t>Attending</t>
        </is>
      </c>
      <c r="N32" s="5" t="inlineStr">
        <is>
          <t>Hitos (costos)</t>
        </is>
      </c>
      <c r="O32" s="5" t="inlineStr">
        <is>
          <t>Aporte 403b</t>
        </is>
      </c>
      <c r="P32" s="5" t="inlineStr">
        <is>
          <t>Match empleador</t>
        </is>
      </c>
      <c r="Q32" s="5" t="inlineStr">
        <is>
          <t>S-corp neto</t>
        </is>
      </c>
      <c r="R32" s="5" t="inlineStr">
        <is>
          <t>Salario S-corp</t>
        </is>
      </c>
      <c r="S32" s="5" t="inlineStr">
        <is>
          <t>FICA patronal S-corp</t>
        </is>
      </c>
      <c r="T32" s="5" t="inlineStr">
        <is>
          <t>Distribución S-corp</t>
        </is>
      </c>
      <c r="U32" s="5" t="inlineStr">
        <is>
          <t>Salarios totales</t>
        </is>
      </c>
      <c r="V32" s="5" t="inlineStr">
        <is>
          <t>Base autoempleo</t>
        </is>
      </c>
      <c r="W32" s="5" t="inlineStr">
        <is>
          <t>Impuesto autoempleo</t>
        </is>
      </c>
      <c r="X32" s="5" t="inlineStr">
        <is>
          <t>FICA empleado</t>
        </is>
      </c>
      <c r="Y32" s="5" t="inlineStr">
        <is>
          <t>AGI</t>
        </is>
      </c>
      <c r="Z32" s="5" t="inlineStr">
        <is>
          <t>Ingreso gravable antes QBI</t>
        </is>
      </c>
      <c r="AA32" s="5" t="inlineStr">
        <is>
          <t>Deducción QBI</t>
        </is>
      </c>
      <c r="AB32" s="5" t="inlineStr">
        <is>
          <t>Ingreso gravable</t>
        </is>
      </c>
      <c r="AC32" s="5" t="inlineStr">
        <is>
          <t>Impuesto federal</t>
        </is>
      </c>
      <c r="AD32" s="5" t="inlineStr">
        <is>
          <t>Gravable NY</t>
        </is>
      </c>
      <c r="AE32" s="5" t="inlineStr">
        <is>
          <t>Impuesto estatal/local</t>
        </is>
      </c>
      <c r="AF32" s="5" t="inlineStr">
        <is>
          <t>Impuestos totales</t>
        </is>
      </c>
      <c r="AG32" s="5" t="inlineStr">
        <is>
          <t>Ingreso personal bruto en efectivo</t>
        </is>
      </c>
      <c r="AH32" s="5" t="inlineStr">
        <is>
          <t>Efectivo neto (tras impuestos y 403b)</t>
        </is>
      </c>
      <c r="AI32" s="5" t="inlineStr">
        <is>
          <t>Ingreso bruto</t>
        </is>
      </c>
      <c r="AJ32" s="5" t="inlineStr">
        <is>
          <t>Gastos de vida</t>
        </is>
      </c>
      <c r="AK32" s="5" t="inlineStr">
        <is>
          <t>Ahorro líquido inicio</t>
        </is>
      </c>
      <c r="AL32" s="5" t="inlineStr">
        <is>
          <t>Ya era dueño</t>
        </is>
      </c>
      <c r="AM32" s="5" t="inlineStr">
        <is>
          <t>Precio base 2026</t>
        </is>
      </c>
      <c r="AN32" s="5" t="inlineStr">
        <is>
          <t>Precio en el año</t>
        </is>
      </c>
      <c r="AO32" s="5" t="inlineStr">
        <is>
          <t>Physician loan</t>
        </is>
      </c>
      <c r="AP32" s="5" t="inlineStr">
        <is>
          <t>% enganche</t>
        </is>
      </c>
      <c r="AQ32" s="5" t="inlineStr">
        <is>
          <t>Préstamo</t>
        </is>
      </c>
      <c r="AR32" s="5" t="inlineStr">
        <is>
          <t>Cuota P&amp;I mensual</t>
        </is>
      </c>
      <c r="AS32" s="5" t="inlineStr">
        <is>
          <t>Unidades rentadas</t>
        </is>
      </c>
      <c r="AT32" s="5" t="inlineStr">
        <is>
          <t>Renta mensual (cotización)</t>
        </is>
      </c>
      <c r="AU32" s="5" t="inlineStr">
        <is>
          <t>PITI mensual</t>
        </is>
      </c>
      <c r="AV32" s="5" t="inlineStr">
        <is>
          <t>Efectivo requerido</t>
        </is>
      </c>
      <c r="AW32" s="5" t="inlineStr">
        <is>
          <t>Otras deudas mensuales</t>
        </is>
      </c>
      <c r="AX32" s="5" t="inlineStr">
        <is>
          <t>Crédito aporte familiar</t>
        </is>
      </c>
      <c r="AY32" s="5" t="inlineStr">
        <is>
          <t>Carga mensual para DTI</t>
        </is>
      </c>
      <c r="AZ32" s="5" t="inlineStr">
        <is>
          <t>Ingreso mensual para DTI</t>
        </is>
      </c>
      <c r="BA32" s="5" t="inlineStr">
        <is>
          <t>Compra este año</t>
        </is>
      </c>
      <c r="BB32" s="5" t="inlineStr">
        <is>
          <t>Dueño</t>
        </is>
      </c>
      <c r="BC32" s="5" t="inlineStr">
        <is>
          <t>Año de compra</t>
        </is>
      </c>
      <c r="BD32" s="5" t="inlineStr">
        <is>
          <t>Ahorro tras enganche</t>
        </is>
      </c>
      <c r="BE32" s="5" t="inlineStr">
        <is>
          <t>Precio de compra</t>
        </is>
      </c>
      <c r="BF32" s="5" t="inlineStr">
        <is>
          <t>Cuota hipoteca</t>
        </is>
      </c>
      <c r="BG32" s="5" t="inlineStr">
        <is>
          <t>PMI activo (antes)</t>
        </is>
      </c>
      <c r="BH32" s="5" t="inlineStr">
        <is>
          <t>Config. con ADU</t>
        </is>
      </c>
      <c r="BI32" s="5" t="inlineStr">
        <is>
          <t>Construye ADU</t>
        </is>
      </c>
      <c r="BJ32" s="5" t="inlineStr">
        <is>
          <t>ADU construido</t>
        </is>
      </c>
      <c r="BK32" s="5" t="inlineStr">
        <is>
          <t>Cuota ADU</t>
        </is>
      </c>
      <c r="BL32" s="5" t="inlineStr">
        <is>
          <t>Valor vivienda inicio</t>
        </is>
      </c>
      <c r="BM32" s="5" t="inlineStr">
        <is>
          <t>Hipoteca inicio</t>
        </is>
      </c>
      <c r="BN32" s="5" t="inlineStr">
        <is>
          <t>Hipoteca tras 12 pagos</t>
        </is>
      </c>
      <c r="BO32" s="5" t="inlineStr">
        <is>
          <t>Pagado hipoteca</t>
        </is>
      </c>
      <c r="BP32" s="5" t="inlineStr">
        <is>
          <t>Hipoteca tras pagos</t>
        </is>
      </c>
      <c r="BQ32" s="5" t="inlineStr">
        <is>
          <t>ADU inicio</t>
        </is>
      </c>
      <c r="BR32" s="5" t="inlineStr">
        <is>
          <t>ADU tras 12 pagos</t>
        </is>
      </c>
      <c r="BS32" s="5" t="inlineStr">
        <is>
          <t>Pagado ADU</t>
        </is>
      </c>
      <c r="BT32" s="5" t="inlineStr">
        <is>
          <t>ADU tras pagos</t>
        </is>
      </c>
      <c r="BU32" s="5" t="inlineStr">
        <is>
          <t>Seguro</t>
        </is>
      </c>
      <c r="BV32" s="5" t="inlineStr">
        <is>
          <t>Impuesto predial</t>
        </is>
      </c>
      <c r="BW32" s="5" t="inlineStr">
        <is>
          <t>Mantenimiento</t>
        </is>
      </c>
      <c r="BX32" s="5" t="inlineStr">
        <is>
          <t>PMI</t>
        </is>
      </c>
      <c r="BY32" s="5" t="inlineStr">
        <is>
          <t>PMI activo (después)</t>
        </is>
      </c>
      <c r="BZ32" s="5" t="inlineStr">
        <is>
          <t>Renta recibida</t>
        </is>
      </c>
      <c r="CA32" s="5" t="inlineStr">
        <is>
          <t>Costo de vivienda</t>
        </is>
      </c>
      <c r="CB32" s="5" t="inlineStr">
        <is>
          <t>Aporte familiar</t>
        </is>
      </c>
      <c r="CC32" s="5" t="inlineStr">
        <is>
          <t>IRS pagado</t>
        </is>
      </c>
      <c r="CD32" s="5" t="inlineStr">
        <is>
          <t>IRS saldo</t>
        </is>
      </c>
      <c r="CE32" s="5" t="inlineStr">
        <is>
          <t>Federal inicio</t>
        </is>
      </c>
      <c r="CF32" s="5" t="inlineStr">
        <is>
          <t>Tasa federal</t>
        </is>
      </c>
      <c r="CG32" s="5" t="inlineStr">
        <is>
          <t>Años repago fed.</t>
        </is>
      </c>
      <c r="CH32" s="5" t="inlineStr">
        <is>
          <t>En estudios (≥50%)</t>
        </is>
      </c>
      <c r="CI32" s="5" t="inlineStr">
        <is>
          <t>Usa RAP/PSLF</t>
        </is>
      </c>
      <c r="CJ32" s="5" t="inlineStr">
        <is>
          <t>Interés federal</t>
        </is>
      </c>
      <c r="CK32" s="5" t="inlineStr">
        <is>
          <t>Pago RAP</t>
        </is>
      </c>
      <c r="CL32" s="5" t="inlineStr">
        <is>
          <t>Pago federal</t>
        </is>
      </c>
      <c r="CM32" s="5" t="inlineStr">
        <is>
          <t>Federal tras pago</t>
        </is>
      </c>
      <c r="CN32" s="5" t="inlineStr">
        <is>
          <t>Meses PSLF</t>
        </is>
      </c>
      <c r="CO32" s="5" t="inlineStr">
        <is>
          <t>Condonado PSLF</t>
        </is>
      </c>
      <c r="CP32" s="5" t="inlineStr">
        <is>
          <t>Federal tras PSLF</t>
        </is>
      </c>
      <c r="CQ32" s="5" t="inlineStr">
        <is>
          <t>Años repago (tras pago)</t>
        </is>
      </c>
      <c r="CR32" s="5" t="inlineStr">
        <is>
          <t>Privado inicio</t>
        </is>
      </c>
      <c r="CS32" s="5" t="inlineStr">
        <is>
          <t>Tasa privada</t>
        </is>
      </c>
      <c r="CT32" s="5" t="inlineStr">
        <is>
          <t>Años repago priv.</t>
        </is>
      </c>
      <c r="CU32" s="5" t="inlineStr">
        <is>
          <t>Pago privado</t>
        </is>
      </c>
      <c r="CV32" s="5" t="inlineStr">
        <is>
          <t>Privado tras pago</t>
        </is>
      </c>
      <c r="CW32" s="5" t="inlineStr">
        <is>
          <t>Años repago priv. (tras)</t>
        </is>
      </c>
      <c r="CX32" s="5" t="inlineStr">
        <is>
          <t>Consumo tras interés</t>
        </is>
      </c>
      <c r="CY32" s="5" t="inlineStr">
        <is>
          <t>Gasto extra travel</t>
        </is>
      </c>
      <c r="CZ32" s="5" t="inlineStr">
        <is>
          <t>Salidas</t>
        </is>
      </c>
      <c r="DA32" s="5" t="inlineStr">
        <is>
          <t>Excedente (déficit)</t>
        </is>
      </c>
      <c r="DB32" s="5" t="inlineStr">
        <is>
          <t>Flujo acumulado</t>
        </is>
      </c>
      <c r="DC32" s="5" t="inlineStr">
        <is>
          <t>Meta enganche</t>
        </is>
      </c>
      <c r="DD32" s="5" t="inlineStr">
        <is>
          <t>Retorno del ahorro líquido</t>
        </is>
      </c>
      <c r="DE32" s="5" t="inlineStr">
        <is>
          <t>Pago deuda consumo</t>
        </is>
      </c>
      <c r="DF32" s="5" t="inlineStr">
        <is>
          <t>Gasto discrecional</t>
        </is>
      </c>
      <c r="DG32" s="5" t="inlineStr">
        <is>
          <t>Ahorro</t>
        </is>
      </c>
      <c r="DH32" s="5" t="inlineStr">
        <is>
          <t>Roth</t>
        </is>
      </c>
      <c r="DI32" s="5" t="inlineStr">
        <is>
          <t>Prepago</t>
        </is>
      </c>
      <c r="DJ32" s="5" t="inlineStr">
        <is>
          <t>Prepago a hipoteca</t>
        </is>
      </c>
      <c r="DK32" s="5" t="inlineStr">
        <is>
          <t>Retiro del ahorro</t>
        </is>
      </c>
      <c r="DL32" s="5" t="inlineStr">
        <is>
          <t>Déficit por financiar</t>
        </is>
      </c>
      <c r="DM32" s="5" t="inlineStr">
        <is>
          <t>Federal acumulado (antes)</t>
        </is>
      </c>
      <c r="DN32" s="5" t="inlineStr">
        <is>
          <t>Nuevo préstamo federal</t>
        </is>
      </c>
      <c r="DO32" s="5" t="inlineStr">
        <is>
          <t>Nuevo préstamo privado</t>
        </is>
      </c>
      <c r="DP32" s="5" t="inlineStr">
        <is>
          <t>Nueva deuda consumo</t>
        </is>
      </c>
      <c r="DQ32" s="5" t="inlineStr">
        <is>
          <t>Flujo al ahorro líquido</t>
        </is>
      </c>
      <c r="DR32" s="5" t="inlineStr">
        <is>
          <t>Ahorro líquido fin</t>
        </is>
      </c>
      <c r="DS32" s="5" t="inlineStr">
        <is>
          <t>Retiro fin</t>
        </is>
      </c>
      <c r="DT32" s="5" t="inlineStr">
        <is>
          <t>Valor vivienda fin</t>
        </is>
      </c>
      <c r="DU32" s="5" t="inlineStr">
        <is>
          <t>Hipoteca fin</t>
        </is>
      </c>
      <c r="DV32" s="5" t="inlineStr">
        <is>
          <t>ADU fin</t>
        </is>
      </c>
      <c r="DW32" s="5" t="inlineStr">
        <is>
          <t>Federal fin</t>
        </is>
      </c>
      <c r="DX32" s="5" t="inlineStr">
        <is>
          <t>Tasa federal fin</t>
        </is>
      </c>
      <c r="DY32" s="5" t="inlineStr">
        <is>
          <t>Años repago fed. fin</t>
        </is>
      </c>
      <c r="DZ32" s="5" t="inlineStr">
        <is>
          <t>Federal acumulado</t>
        </is>
      </c>
      <c r="EA32" s="5" t="inlineStr">
        <is>
          <t>Privado fin</t>
        </is>
      </c>
      <c r="EB32" s="5" t="inlineStr">
        <is>
          <t>Tasa privada fin</t>
        </is>
      </c>
      <c r="EC32" s="5" t="inlineStr">
        <is>
          <t>Años repago priv. fin</t>
        </is>
      </c>
      <c r="ED32" s="5" t="inlineStr">
        <is>
          <t>Deuda consumo fin</t>
        </is>
      </c>
      <c r="EE32" s="5" t="inlineStr">
        <is>
          <t>Año vivienda pagada</t>
        </is>
      </c>
      <c r="EF32" s="5" t="inlineStr">
        <is>
          <t>Deuda total</t>
        </is>
      </c>
      <c r="EG32" s="9" t="inlineStr">
        <is>
          <t>PATRIMONIO NETO</t>
        </is>
      </c>
      <c r="EH32" s="5" t="inlineStr">
        <is>
          <t>Patrimonio (dólares 2026)</t>
        </is>
      </c>
    </row>
    <row r="33">
      <c r="A33" t="n">
        <v>2027</v>
      </c>
      <c r="B33" t="n">
        <v>0</v>
      </c>
      <c r="C33" s="7">
        <f>(1+g_inf)^(A33-2026)</f>
        <v/>
      </c>
      <c r="D33" s="7">
        <f>SUMPRODUCT($T$5:$T$29,$E$5:$E$29*(1+$F$5:$F$29)^(A33-2026)*$G$5:$G$29*$H$5:$H$29*(1-$N$5:$N$29*$O$5:$O$29))*g_salMult+SUMPRODUCT(($B$5:$B$29&gt;=A33)*($B$5:$B$29&lt;A33+1)*$I$5:$I$29)*g_salMult</f>
        <v/>
      </c>
      <c r="E33" s="7">
        <f>SUMPRODUCT($T$5:$T$29,$E$5:$E$29*(1+$F$5:$F$29)^(A33-2026)*$G$5:$G$29*$H$5:$H$29*$M$5:$M$29)*g_salMult</f>
        <v/>
      </c>
      <c r="F33" s="7">
        <f>SUMPRODUCT($T$5:$T$29,$E$5:$E$29*(1+$F$5:$F$29)^(A33-2026)*$G$5:$G$29*$H$5:$H$29*$N$5:$N$29*$O$5:$O$29)*g_salMult</f>
        <v/>
      </c>
      <c r="G33" s="7">
        <f>SUMPRODUCT($T$5:$T$29,$P$5:$P$29*(1+$F$5:$F$29)^(A33-2026))</f>
        <v/>
      </c>
      <c r="H33" s="7">
        <f>SUMPRODUCT($T$5:$T$29,$Q$5:$Q$29*(1+$F$5:$F$29)^(A33-2026))+IF(personal_llcActivo=1,personal_llcNeto*(1+personal_llcCrecimiento)^0,0)</f>
        <v/>
      </c>
      <c r="I33" s="7">
        <f>SUMPRODUCT($T$5:$T$29,$J$5:$J$29/($C$5:$C$29-$B$5:$B$29+($C$5:$C$29=$B$5:$B$29)))*C33</f>
        <v/>
      </c>
      <c r="J33" s="7">
        <f>SUMPRODUCT($T$5:$T$29,$K$5:$K$29)</f>
        <v/>
      </c>
      <c r="K33" s="7">
        <f>SUMPRODUCT($T$5:$T$29,$L$5:$L$29)</f>
        <v/>
      </c>
      <c r="L33" s="7">
        <f>SUMPRODUCT($T$5:$T$29,$N$5:$N$29)</f>
        <v/>
      </c>
      <c r="M33" s="7">
        <f>IF(SUMPRODUCT($T$5:$T$29,$R$5:$R$29)&gt;0,1,0)</f>
        <v/>
      </c>
      <c r="N33" s="7">
        <f>SUMPRODUCT(($AO$5:$AO$24&gt;=A33)*($AO$5:$AO$24&lt;A33+1)*$AP$5:$AP$24)*C33+IF(0=0,IF(sel_loc&lt;&gt;"miami",personal_costoMudanzaInicial,0),0)</f>
        <v/>
      </c>
      <c r="O33" s="7">
        <f>MIN(personal_aporte403bPct*D33,retiro_limite403b*C33)</f>
        <v/>
      </c>
      <c r="P33" s="7">
        <f>MIN(personal_aporte403bPct,personal_match403bPct)*E33</f>
        <v/>
      </c>
      <c r="Q33" s="7">
        <f>IF(G33&gt;0,MAX(0,G33-impuestos_scorpCostoAnual*C33),0)</f>
        <v/>
      </c>
      <c r="R33" s="7">
        <f>Q33*impuestos_scorpSalarioPct/(1+impuestos_ssTasa+impuestos_medicareTasa)</f>
        <v/>
      </c>
      <c r="S33" s="7">
        <f>impuestos_ssTasa*MIN(R33,MAX(0,impuestos_ssTope*C33-D33))+impuestos_medicareTasa*R33</f>
        <v/>
      </c>
      <c r="T33" s="7">
        <f>Q33-R33-S33</f>
        <v/>
      </c>
      <c r="U33" s="7">
        <f>D33+R33</f>
        <v/>
      </c>
      <c r="V33" s="7">
        <f>H33*0.9235</f>
        <v/>
      </c>
      <c r="W33" s="7">
        <f>IF(H33&gt;0,2*impuestos_ssTasa*MIN(V33,MAX(0,impuestos_ssTope*C33-U33))+2*impuestos_medicareTasa*V33,0)</f>
        <v/>
      </c>
      <c r="X33" s="7">
        <f>impuestos_ssTasa*MIN(U33,impuestos_ssTope*C33)+impuestos_medicareTasa*U33+impuestos_medicareAdicional*MAX(0,U33+H33*0.9235-impuestos_medicareUmbral)</f>
        <v/>
      </c>
      <c r="Y33" s="7">
        <f>MAX(0,D33-O33+R33+T33+H33-W33/2)</f>
        <v/>
      </c>
      <c r="Z33" s="7">
        <f>MAX(0,Y33-impuestos_deduccionEstandar*C33)</f>
        <v/>
      </c>
      <c r="AA33" s="7">
        <f>MIN(0.2*MAX(0,T33+H33-W33/2)*MAX(0,MIN(1,1-(Z33-impuestos_qbiUmbral*C33)/(impuestos_qbiRango*C33))),0.2*Z33)</f>
        <v/>
      </c>
      <c r="AB33" s="7">
        <f>MAX(0,Z33-AA33)</f>
        <v/>
      </c>
      <c r="AC33" s="7">
        <f>SUMPRODUCT((AB33&gt;tb_federalBrackets_lo*C33)*(AB33-tb_federalBrackets_lo*C33)*tb_federalBrackets_dr)</f>
        <v/>
      </c>
      <c r="AD33" s="7">
        <f>MAX(0,Y33-impuestos_nyDeduccion*C33)</f>
        <v/>
      </c>
      <c r="AE33" s="7">
        <f>CHOOSE(loc_taxcode,0,impuestos_ohTasa*MAX(0,Y33-impuestos_ohExento*C33)+impuestos_ohMunicipal*U33,SUMPRODUCT((AD33&gt;tb_nyBrackets_lo*C33)*(AD33-tb_nyBrackets_lo*C33)*tb_nyBrackets_dr)+loc_nyc*SUMPRODUCT((AD33&gt;tb_nycBrackets_lo*C33)*(AD33-tb_nycBrackets_lo*C33)*tb_nycBrackets_dr))</f>
        <v/>
      </c>
      <c r="AF33" s="7">
        <f>AC33+AE33+X33+W33</f>
        <v/>
      </c>
      <c r="AG33" s="7">
        <f>D33+F33+R33+T33+H33</f>
        <v/>
      </c>
      <c r="AH33" s="7">
        <f>AG33-AF33-O33</f>
        <v/>
      </c>
      <c r="AI33" s="7">
        <f>D33+F33+G33+H33</f>
        <v/>
      </c>
      <c r="AJ33" s="7">
        <f>loc_gastosVida*C33*g_gastos</f>
        <v/>
      </c>
      <c r="AK33" s="7">
        <f>IF(0=0,personal_liquidoInicial,DR32)</f>
        <v/>
      </c>
      <c r="AL33" s="7">
        <f>IF(0=0,0,BB32)</f>
        <v/>
      </c>
      <c r="AM33" s="7">
        <f>CHOOSE(sel_cfgIdx,loc_precio_duplex,loc_precio_inlaw,loc_precio_dosCasas,loc_precio_casaAdu,loc_precio_multi)</f>
        <v/>
      </c>
      <c r="AN33" s="7">
        <f>AM33*(1+g_appr)^(A33-2026)</f>
        <v/>
      </c>
      <c r="AO33" s="7">
        <f>IF(AND(M33=1,vivienda_prestamoMedico=1),1,0)</f>
        <v/>
      </c>
      <c r="AP33" s="7">
        <f>IF(AO33=1,0.05,vivienda_enganchePct)</f>
        <v/>
      </c>
      <c r="AQ33" s="7">
        <f>AN33*(1-AP33)</f>
        <v/>
      </c>
      <c r="AR33" s="7">
        <f>PMT(g_mortRate/12,vivienda_plazoHipoteca*12,-AQ33)</f>
        <v/>
      </c>
      <c r="AS33" s="7">
        <f>INDEX(cfg_units,sel_cfgIdx)</f>
        <v/>
      </c>
      <c r="AT33" s="7">
        <f>AS33*loc_rentaUnidad*(1+g_inf)^(A33-2026)*(1-vivienda_vacancia)</f>
        <v/>
      </c>
      <c r="AU33" s="7">
        <f>AR33+AN33*loc_impuestoPropPct/12+AM33*loc_seguroPct*(1+vivienda_inflacionSeguro)^(A33-2026)/12+IF(AND(AO33=0,AP33&lt;0.2),AQ33*vivienda_pmiTasa/12,0)</f>
        <v/>
      </c>
      <c r="AV33" s="7">
        <f>AN33*AP33+AN33*vivienda_cierrePct+general_reservaMeses/12*AJ33</f>
        <v/>
      </c>
      <c r="AW33" s="7">
        <f>(IF(0=0,MIN(personal_irsSaldo,personal_irsPagoMensual*12),MIN(CD32,personal_irsPagoMensual*12))+IF(CE33&gt;0,PMT(CF33,MAX(1,prestamos_plazoAnios-CG33),-CE33),0)+IF(CR33&gt;0,PMT(CS33,MAX(1,prestamos_plazoAnios-CT33),-CR33),0))/12</f>
        <v/>
      </c>
      <c r="AX33" s="7">
        <f>IF(OR(sel_cfg="duplex",sel_cfg="multi",sel_cfg="dosCasas"),0.75*personal_aporteFamiliaMensual,0)</f>
        <v/>
      </c>
      <c r="AY33" s="7">
        <f>AU33-0.75*AT33-AX33+AW33</f>
        <v/>
      </c>
      <c r="AZ33" s="7">
        <f>(D33+G33+H33+0.5*F33)/12</f>
        <v/>
      </c>
      <c r="BA33" s="7">
        <f>IF(AND(AL33=0,A33&gt;=vivienda_anioMinCompra,J33&lt;0.5,AI33&gt;0,AK33&gt;=AV33,AY33&lt;=vivienda_dtiMax*AZ33),1,0)</f>
        <v/>
      </c>
      <c r="BB33" s="7">
        <f>MAX(AL33,BA33)</f>
        <v/>
      </c>
      <c r="BC33" s="7">
        <f>IF(BA33=1,A33,IF(0=0,"",BC32))</f>
        <v/>
      </c>
      <c r="BD33" s="7">
        <f>AK33-IF(BA33=1,AN33*AP33+AN33*vivienda_cierrePct,0)</f>
        <v/>
      </c>
      <c r="BE33" s="7">
        <f>IF(BA33=1,AN33,IF(0=0,0,BE32))</f>
        <v/>
      </c>
      <c r="BF33" s="7">
        <f>IF(BA33=1,AR33,IF(0=0,0,BF32))</f>
        <v/>
      </c>
      <c r="BG33" s="7">
        <f>IF(BA33=1,IF(AND(AO33=0,AP33&lt;0.2),1,0),IF(0=0,0,BY32))</f>
        <v/>
      </c>
      <c r="BH33" s="7">
        <f>IF(sel_cfg="casaAdu",1,0)</f>
        <v/>
      </c>
      <c r="BI33" s="7">
        <f>IF(AND(BB33=1,BH33=1,IF(0=0,0,BJ32)=0,A33&gt;=IF(BC33="",9999,BC33)+vivienda_aduRetrasoAnios),1,0)</f>
        <v/>
      </c>
      <c r="BJ33" s="7">
        <f>MAX(IF(0=0,0,BJ32),BI33)</f>
        <v/>
      </c>
      <c r="BK33" s="7">
        <f>IF(BI33=1,PMT((g_mortRate+0.005)/12,180,-loc_precio_aduCosto*C33),IF(0=0,0,BK32))</f>
        <v/>
      </c>
      <c r="BL33" s="7">
        <f>IF(BA33=1,AN33,IF(0=0,0,DT32))+IF(BI33=1,loc_precio_aduCosto*C33,0)</f>
        <v/>
      </c>
      <c r="BM33" s="7">
        <f>IF(BA33=1,AQ33,IF(0=0,0,DU32))</f>
        <v/>
      </c>
      <c r="BN33" s="7">
        <f>IF(BM33&lt;=0,0,FV(g_mortRate/12,12,BF33,-BM33))</f>
        <v/>
      </c>
      <c r="BO33" s="7">
        <f>IF(BM33&lt;=0,0,12*BF33+MIN(0,BN33))</f>
        <v/>
      </c>
      <c r="BP33" s="7">
        <f>MAX(0,BN33)</f>
        <v/>
      </c>
      <c r="BQ33" s="7">
        <f>IF(BI33=1,loc_precio_aduCosto*C33,IF(0=0,0,DV32))</f>
        <v/>
      </c>
      <c r="BR33" s="7">
        <f>IF(BQ33&lt;=0,0,FV((g_mortRate+0.005)/12,12,BK33,-BQ33))</f>
        <v/>
      </c>
      <c r="BS33" s="7">
        <f>IF(BQ33&lt;=0,0,12*BK33+MIN(0,BR33))</f>
        <v/>
      </c>
      <c r="BT33" s="7">
        <f>MAX(0,BR33)</f>
        <v/>
      </c>
      <c r="BU33" s="7">
        <f>IF(BB33=1,AM33*loc_seguroPct*(1+vivienda_inflacionSeguro)^(A33-2026)*IF(BJ33=1,1+loc_precio_aduCosto/AM33,1),0)</f>
        <v/>
      </c>
      <c r="BV33" s="7">
        <f>BL33*loc_impuestoPropPct</f>
        <v/>
      </c>
      <c r="BW33" s="7">
        <f>BL33*vivienda_mantenimientoPct</f>
        <v/>
      </c>
      <c r="BX33" s="7">
        <f>IF(AND(BG33=1,BP33&gt;0.8*BE33),BE33*(1-vivienda_enganchePct)*vivienda_pmiTasa,0)</f>
        <v/>
      </c>
      <c r="BY33" s="7">
        <f>IF(AND(BG33=1,BP33&gt;0.8*BE33),1,0)</f>
        <v/>
      </c>
      <c r="BZ33" s="7">
        <f>IF(BB33=1,AS33*loc_rentaUnidad*12*C33*(1-vivienda_vacancia)*(1-vivienda_gestionPct),0)</f>
        <v/>
      </c>
      <c r="CA33" s="7">
        <f>IF(BB33=1,BO33+BS33+BU33+BV33+BW33+BX33,loc_rentaMensual*12*C33)</f>
        <v/>
      </c>
      <c r="CB33" s="7">
        <f>IF(BB33=1,personal_aporteFamiliaMensual*12,0)</f>
        <v/>
      </c>
      <c r="CC33" s="7">
        <f>MIN(IF(0=0,personal_irsSaldo,CD32),personal_irsPagoMensual*12)</f>
        <v/>
      </c>
      <c r="CD33" s="7">
        <f>IF(0=0,personal_irsSaldo,CD32)-CC33</f>
        <v/>
      </c>
      <c r="CE33" s="7">
        <f>IF(0=0,IF(personal_deudaEsFederal=1,personal_deudaEstudiantil,0),DW32)</f>
        <v/>
      </c>
      <c r="CF33" s="7">
        <f>IF(0=0,personal_tasaDeudaEstudiantil,DX32)</f>
        <v/>
      </c>
      <c r="CG33" s="7">
        <f>IF(0=0,0,DY32)</f>
        <v/>
      </c>
      <c r="CH33" s="7">
        <f>IF(J33&gt;=0.5,1,0)</f>
        <v/>
      </c>
      <c r="CI33" s="7">
        <f>IF(AND(CH33=0,prestamos_pslfActivo=1,K33&gt;=0.5,CE33&gt;0),1,0)</f>
        <v/>
      </c>
      <c r="CJ33" s="7">
        <f>CE33*CF33</f>
        <v/>
      </c>
      <c r="CK33" s="7">
        <f>MAX(prestamos_rapPagoMinimoAnual,IF(Y33&lt;10000,0,MIN(0.1,INT(Y33/10000)/100))*Y33)</f>
        <v/>
      </c>
      <c r="CL33" s="7">
        <f>IF(CE33&lt;=0,0,IF(CH33=1,0,IF(CI33=1,MIN(CE33+CJ33,CK33),PMT(CF33,MAX(1,prestamos_plazoAnios-CG33),-CE33))))</f>
        <v/>
      </c>
      <c r="CM33" s="7">
        <f>IF(CE33&lt;=0,0,IF(CH33=1,CE33+CJ33,IF(CI33=1,MAX(0,CE33-MAX(CL33-CJ33,MIN(600,CL33))),MAX(0,CE33*(1+CF33)-CL33))))</f>
        <v/>
      </c>
      <c r="CN33" s="7">
        <f>IF(0=0,0,CN32)+IF(CI33=1,12*MIN(1,K33),0)</f>
        <v/>
      </c>
      <c r="CO33" s="7">
        <f>IF(AND(CI33=1,CN33&gt;=prestamos_pslfPagos,CM33&gt;0),CM33,0)</f>
        <v/>
      </c>
      <c r="CP33" s="7">
        <f>CM33-CO33</f>
        <v/>
      </c>
      <c r="CQ33" s="7">
        <f>IF(AND(CE33&gt;0,CH33=0,CI33=0),CG33+1,CG33)</f>
        <v/>
      </c>
      <c r="CR33" s="7">
        <f>IF(0=0,IF(personal_deudaEsFederal=1,0,personal_deudaEstudiantil),EA32)</f>
        <v/>
      </c>
      <c r="CS33" s="7">
        <f>IF(0=0,IF(personal_deudaEsFederal=1,prestamos_tasaPrivada,personal_tasaDeudaEstudiantil),EB32)</f>
        <v/>
      </c>
      <c r="CT33" s="7">
        <f>IF(0=0,0,EC32)</f>
        <v/>
      </c>
      <c r="CU33" s="7">
        <f>IF(OR(CR33&lt;=0,CH33=1),0,PMT(CS33,MAX(1,prestamos_plazoAnios-CT33),-CR33))</f>
        <v/>
      </c>
      <c r="CV33" s="7">
        <f>IF(CR33&lt;=0,0,IF(CH33=1,CR33*(1+CS33),MAX(0,CR33*(1+CS33)-CU33)))</f>
        <v/>
      </c>
      <c r="CW33" s="7">
        <f>IF(AND(CR33&gt;0,CH33=0),CT33+1,CT33)</f>
        <v/>
      </c>
      <c r="CX33" s="7">
        <f>IF(0=0,0,ED32)*(1+general_tasaDeudaConsumo)</f>
        <v/>
      </c>
      <c r="CY33" s="7">
        <f>L33*12*tiempos_travelGastoExtraMes*C33</f>
        <v/>
      </c>
      <c r="CZ33" s="7">
        <f>AJ33+CY33+CA33+CC33+CL33+CU33+I33+N33-BZ33-CB33</f>
        <v/>
      </c>
      <c r="DA33" s="7">
        <f>AH33-CZ33</f>
        <v/>
      </c>
      <c r="DB33" s="7">
        <f>IF(0=0,0,DB32)+DA33</f>
        <v/>
      </c>
      <c r="DC33" s="7">
        <f>AN33*vivienda_enganchePct+AN33*vivienda_cierrePct+general_reservaMeses/12*AJ33</f>
        <v/>
      </c>
      <c r="DD33" s="7">
        <f>IF(BB33=1,g_ret,IF(BD33&gt;0,MIN(1,DC33/BD33),1)*g_cash+(1-IF(BD33&gt;0,MIN(1,DC33/BD33),1))*g_ret)</f>
        <v/>
      </c>
      <c r="DE33" s="7">
        <f>IF(DA33&gt;=0,MIN(CX33,DA33),0)</f>
        <v/>
      </c>
      <c r="DF33" s="7">
        <f>IF(DA33&gt;=0,(1-general_tasaAhorro)*(DA33-DE33),0)</f>
        <v/>
      </c>
      <c r="DG33" s="7">
        <f>IF(DA33&gt;=0,DA33-DE33-DF33,0)</f>
        <v/>
      </c>
      <c r="DH33" s="7">
        <f>MIN(personal_rothAnual,DG33)</f>
        <v/>
      </c>
      <c r="DI33" s="7">
        <f>IF(AND(DA33&gt;=0,BB33=1,BP33+BT33&gt;0),MIN(vivienda_prepagoPct*(DG33-DH33),BP33+BT33),0)</f>
        <v/>
      </c>
      <c r="DJ33" s="7">
        <f>MIN(DI33,BP33)</f>
        <v/>
      </c>
      <c r="DK33" s="7">
        <f>IF(DA33&lt;0,MIN(MAX(0,BD33),-DA33),0)</f>
        <v/>
      </c>
      <c r="DL33" s="7">
        <f>IF(DA33&lt;0,-DA33-DK33,0)</f>
        <v/>
      </c>
      <c r="DM33" s="7">
        <f>IF(0=0,0,DZ32)</f>
        <v/>
      </c>
      <c r="DN33" s="7">
        <f>IF(AND(DL33&gt;0,J33&gt;0),MIN(DL33,MIN(prestamos_topeAnualPosgrado*MIN(1,J33),MAX(0,prestamos_topeTotalPosgrado-DM33))),0)</f>
        <v/>
      </c>
      <c r="DO33" s="7">
        <f>IF(AND(DL33&gt;0,J33&gt;0),DL33-DN33,0)</f>
        <v/>
      </c>
      <c r="DP33" s="7">
        <f>IF(AND(DL33&gt;0,J33&lt;=0),DL33,0)</f>
        <v/>
      </c>
      <c r="DQ33" s="7">
        <f>IF(DA33&gt;=0,DG33-DH33-DI33,-DK33)</f>
        <v/>
      </c>
      <c r="DR33" s="7">
        <f>BD33*(1+DD33)+DQ33*(1+DD33/2)</f>
        <v/>
      </c>
      <c r="DS33" s="7">
        <f>IF(0=0,personal_retiroInicial,DS32)*(1+g_ret)+(O33+P33+DH33)*(1+g_ret/2)</f>
        <v/>
      </c>
      <c r="DT33" s="7">
        <f>IF(BB33=1,BL33*(1+g_appr),0)</f>
        <v/>
      </c>
      <c r="DU33" s="7">
        <f>BP33-DJ33</f>
        <v/>
      </c>
      <c r="DV33" s="7">
        <f>BT33-(DI33-DJ33)</f>
        <v/>
      </c>
      <c r="DW33" s="7">
        <f>CP33+DN33</f>
        <v/>
      </c>
      <c r="DX33" s="7">
        <f>IF(DN33&gt;0,(CP33*CF33+DN33*prestamos_tasaFederalPosgrado)/(CP33+DN33),CF33)</f>
        <v/>
      </c>
      <c r="DY33" s="7">
        <f>IF(DN33&gt;0,0,CQ33)</f>
        <v/>
      </c>
      <c r="DZ33" s="7">
        <f>DM33+DN33</f>
        <v/>
      </c>
      <c r="EA33" s="7">
        <f>CV33+DO33</f>
        <v/>
      </c>
      <c r="EB33" s="7">
        <f>IF(DO33&gt;0,(CV33*CS33+DO33*prestamos_tasaPrivada)/(CV33+DO33),CS33)</f>
        <v/>
      </c>
      <c r="EC33" s="7">
        <f>IF(DO33&gt;0,0,CW33)</f>
        <v/>
      </c>
      <c r="ED33" s="7">
        <f>CX33-DE33+DP33</f>
        <v/>
      </c>
      <c r="EE33" s="7">
        <f>IF(IF(0=0,"",EE32)&lt;&gt;"",EE32,IF(AND(BB33=1,DU33&lt;=0.5,DV33&lt;=0.5,OR(BH33=0,BJ33=1)),A33,""))</f>
        <v/>
      </c>
      <c r="EF33" s="7">
        <f>DU33+DV33+DW33+EA33+ED33+CD33</f>
        <v/>
      </c>
      <c r="EG33" s="7">
        <f>DR33+DS33+DT33-EF33</f>
        <v/>
      </c>
      <c r="EH33" s="7">
        <f>EG33/(1+g_inf)^(A33+1-2026)</f>
        <v/>
      </c>
    </row>
    <row r="34">
      <c r="A34" t="n">
        <v>2028</v>
      </c>
      <c r="B34" t="n">
        <v>1</v>
      </c>
      <c r="C34" s="7">
        <f>(1+g_inf)^(A34-2026)</f>
        <v/>
      </c>
      <c r="D34" s="7">
        <f>SUMPRODUCT($U$5:$U$29,$E$5:$E$29*(1+$F$5:$F$29)^(A34-2026)*$G$5:$G$29*$H$5:$H$29*(1-$N$5:$N$29*$O$5:$O$29))*g_salMult+SUMPRODUCT(($B$5:$B$29&gt;=A34)*($B$5:$B$29&lt;A34+1)*$I$5:$I$29)*g_salMult</f>
        <v/>
      </c>
      <c r="E34" s="7">
        <f>SUMPRODUCT($U$5:$U$29,$E$5:$E$29*(1+$F$5:$F$29)^(A34-2026)*$G$5:$G$29*$H$5:$H$29*$M$5:$M$29)*g_salMult</f>
        <v/>
      </c>
      <c r="F34" s="7">
        <f>SUMPRODUCT($U$5:$U$29,$E$5:$E$29*(1+$F$5:$F$29)^(A34-2026)*$G$5:$G$29*$H$5:$H$29*$N$5:$N$29*$O$5:$O$29)*g_salMult</f>
        <v/>
      </c>
      <c r="G34" s="7">
        <f>SUMPRODUCT($U$5:$U$29,$P$5:$P$29*(1+$F$5:$F$29)^(A34-2026))</f>
        <v/>
      </c>
      <c r="H34" s="7">
        <f>SUMPRODUCT($U$5:$U$29,$Q$5:$Q$29*(1+$F$5:$F$29)^(A34-2026))+IF(personal_llcActivo=1,personal_llcNeto*(1+personal_llcCrecimiento)^1,0)</f>
        <v/>
      </c>
      <c r="I34" s="7">
        <f>SUMPRODUCT($U$5:$U$29,$J$5:$J$29/($C$5:$C$29-$B$5:$B$29+($C$5:$C$29=$B$5:$B$29)))*C34</f>
        <v/>
      </c>
      <c r="J34" s="7">
        <f>SUMPRODUCT($U$5:$U$29,$K$5:$K$29)</f>
        <v/>
      </c>
      <c r="K34" s="7">
        <f>SUMPRODUCT($U$5:$U$29,$L$5:$L$29)</f>
        <v/>
      </c>
      <c r="L34" s="7">
        <f>SUMPRODUCT($U$5:$U$29,$N$5:$N$29)</f>
        <v/>
      </c>
      <c r="M34" s="7">
        <f>IF(SUMPRODUCT($U$5:$U$29,$R$5:$R$29)&gt;0,1,0)</f>
        <v/>
      </c>
      <c r="N34" s="7">
        <f>SUMPRODUCT(($AO$5:$AO$24&gt;=A34)*($AO$5:$AO$24&lt;A34+1)*$AP$5:$AP$24)*C34+IF(1=0,IF(sel_loc&lt;&gt;"miami",personal_costoMudanzaInicial,0),0)</f>
        <v/>
      </c>
      <c r="O34" s="7">
        <f>MIN(personal_aporte403bPct*D34,retiro_limite403b*C34)</f>
        <v/>
      </c>
      <c r="P34" s="7">
        <f>MIN(personal_aporte403bPct,personal_match403bPct)*E34</f>
        <v/>
      </c>
      <c r="Q34" s="7">
        <f>IF(G34&gt;0,MAX(0,G34-impuestos_scorpCostoAnual*C34),0)</f>
        <v/>
      </c>
      <c r="R34" s="7">
        <f>Q34*impuestos_scorpSalarioPct/(1+impuestos_ssTasa+impuestos_medicareTasa)</f>
        <v/>
      </c>
      <c r="S34" s="7">
        <f>impuestos_ssTasa*MIN(R34,MAX(0,impuestos_ssTope*C34-D34))+impuestos_medicareTasa*R34</f>
        <v/>
      </c>
      <c r="T34" s="7">
        <f>Q34-R34-S34</f>
        <v/>
      </c>
      <c r="U34" s="7">
        <f>D34+R34</f>
        <v/>
      </c>
      <c r="V34" s="7">
        <f>H34*0.9235</f>
        <v/>
      </c>
      <c r="W34" s="7">
        <f>IF(H34&gt;0,2*impuestos_ssTasa*MIN(V34,MAX(0,impuestos_ssTope*C34-U34))+2*impuestos_medicareTasa*V34,0)</f>
        <v/>
      </c>
      <c r="X34" s="7">
        <f>impuestos_ssTasa*MIN(U34,impuestos_ssTope*C34)+impuestos_medicareTasa*U34+impuestos_medicareAdicional*MAX(0,U34+H34*0.9235-impuestos_medicareUmbral)</f>
        <v/>
      </c>
      <c r="Y34" s="7">
        <f>MAX(0,D34-O34+R34+T34+H34-W34/2)</f>
        <v/>
      </c>
      <c r="Z34" s="7">
        <f>MAX(0,Y34-impuestos_deduccionEstandar*C34)</f>
        <v/>
      </c>
      <c r="AA34" s="7">
        <f>MIN(0.2*MAX(0,T34+H34-W34/2)*MAX(0,MIN(1,1-(Z34-impuestos_qbiUmbral*C34)/(impuestos_qbiRango*C34))),0.2*Z34)</f>
        <v/>
      </c>
      <c r="AB34" s="7">
        <f>MAX(0,Z34-AA34)</f>
        <v/>
      </c>
      <c r="AC34" s="7">
        <f>SUMPRODUCT((AB34&gt;tb_federalBrackets_lo*C34)*(AB34-tb_federalBrackets_lo*C34)*tb_federalBrackets_dr)</f>
        <v/>
      </c>
      <c r="AD34" s="7">
        <f>MAX(0,Y34-impuestos_nyDeduccion*C34)</f>
        <v/>
      </c>
      <c r="AE34" s="7">
        <f>CHOOSE(loc_taxcode,0,impuestos_ohTasa*MAX(0,Y34-impuestos_ohExento*C34)+impuestos_ohMunicipal*U34,SUMPRODUCT((AD34&gt;tb_nyBrackets_lo*C34)*(AD34-tb_nyBrackets_lo*C34)*tb_nyBrackets_dr)+loc_nyc*SUMPRODUCT((AD34&gt;tb_nycBrackets_lo*C34)*(AD34-tb_nycBrackets_lo*C34)*tb_nycBrackets_dr))</f>
        <v/>
      </c>
      <c r="AF34" s="7">
        <f>AC34+AE34+X34+W34</f>
        <v/>
      </c>
      <c r="AG34" s="7">
        <f>D34+F34+R34+T34+H34</f>
        <v/>
      </c>
      <c r="AH34" s="7">
        <f>AG34-AF34-O34</f>
        <v/>
      </c>
      <c r="AI34" s="7">
        <f>D34+F34+G34+H34</f>
        <v/>
      </c>
      <c r="AJ34" s="7">
        <f>loc_gastosVida*C34*g_gastos</f>
        <v/>
      </c>
      <c r="AK34" s="7">
        <f>IF(1=0,personal_liquidoInicial,DR33)</f>
        <v/>
      </c>
      <c r="AL34" s="7">
        <f>IF(1=0,0,BB33)</f>
        <v/>
      </c>
      <c r="AM34" s="7">
        <f>CHOOSE(sel_cfgIdx,loc_precio_duplex,loc_precio_inlaw,loc_precio_dosCasas,loc_precio_casaAdu,loc_precio_multi)</f>
        <v/>
      </c>
      <c r="AN34" s="7">
        <f>AM34*(1+g_appr)^(A34-2026)</f>
        <v/>
      </c>
      <c r="AO34" s="7">
        <f>IF(AND(M34=1,vivienda_prestamoMedico=1),1,0)</f>
        <v/>
      </c>
      <c r="AP34" s="7">
        <f>IF(AO34=1,0.05,vivienda_enganchePct)</f>
        <v/>
      </c>
      <c r="AQ34" s="7">
        <f>AN34*(1-AP34)</f>
        <v/>
      </c>
      <c r="AR34" s="7">
        <f>PMT(g_mortRate/12,vivienda_plazoHipoteca*12,-AQ34)</f>
        <v/>
      </c>
      <c r="AS34" s="7">
        <f>INDEX(cfg_units,sel_cfgIdx)</f>
        <v/>
      </c>
      <c r="AT34" s="7">
        <f>AS34*loc_rentaUnidad*(1+g_inf)^(A34-2026)*(1-vivienda_vacancia)</f>
        <v/>
      </c>
      <c r="AU34" s="7">
        <f>AR34+AN34*loc_impuestoPropPct/12+AM34*loc_seguroPct*(1+vivienda_inflacionSeguro)^(A34-2026)/12+IF(AND(AO34=0,AP34&lt;0.2),AQ34*vivienda_pmiTasa/12,0)</f>
        <v/>
      </c>
      <c r="AV34" s="7">
        <f>AN34*AP34+AN34*vivienda_cierrePct+general_reservaMeses/12*AJ34</f>
        <v/>
      </c>
      <c r="AW34" s="7">
        <f>(IF(1=0,MIN(personal_irsSaldo,personal_irsPagoMensual*12),MIN(CD33,personal_irsPagoMensual*12))+IF(CE34&gt;0,PMT(CF34,MAX(1,prestamos_plazoAnios-CG34),-CE34),0)+IF(CR34&gt;0,PMT(CS34,MAX(1,prestamos_plazoAnios-CT34),-CR34),0))/12</f>
        <v/>
      </c>
      <c r="AX34" s="7">
        <f>IF(OR(sel_cfg="duplex",sel_cfg="multi",sel_cfg="dosCasas"),0.75*personal_aporteFamiliaMensual,0)</f>
        <v/>
      </c>
      <c r="AY34" s="7">
        <f>AU34-0.75*AT34-AX34+AW34</f>
        <v/>
      </c>
      <c r="AZ34" s="7">
        <f>(D34+G34+H34+0.5*F34)/12</f>
        <v/>
      </c>
      <c r="BA34" s="7">
        <f>IF(AND(AL34=0,A34&gt;=vivienda_anioMinCompra,J34&lt;0.5,AI34&gt;0,AK34&gt;=AV34,AY34&lt;=vivienda_dtiMax*AZ34),1,0)</f>
        <v/>
      </c>
      <c r="BB34" s="7">
        <f>MAX(AL34,BA34)</f>
        <v/>
      </c>
      <c r="BC34" s="7">
        <f>IF(BA34=1,A34,IF(1=0,"",BC33))</f>
        <v/>
      </c>
      <c r="BD34" s="7">
        <f>AK34-IF(BA34=1,AN34*AP34+AN34*vivienda_cierrePct,0)</f>
        <v/>
      </c>
      <c r="BE34" s="7">
        <f>IF(BA34=1,AN34,IF(1=0,0,BE33))</f>
        <v/>
      </c>
      <c r="BF34" s="7">
        <f>IF(BA34=1,AR34,IF(1=0,0,BF33))</f>
        <v/>
      </c>
      <c r="BG34" s="7">
        <f>IF(BA34=1,IF(AND(AO34=0,AP34&lt;0.2),1,0),IF(1=0,0,BY33))</f>
        <v/>
      </c>
      <c r="BH34" s="7">
        <f>IF(sel_cfg="casaAdu",1,0)</f>
        <v/>
      </c>
      <c r="BI34" s="7">
        <f>IF(AND(BB34=1,BH34=1,IF(1=0,0,BJ33)=0,A34&gt;=IF(BC34="",9999,BC34)+vivienda_aduRetrasoAnios),1,0)</f>
        <v/>
      </c>
      <c r="BJ34" s="7">
        <f>MAX(IF(1=0,0,BJ33),BI34)</f>
        <v/>
      </c>
      <c r="BK34" s="7">
        <f>IF(BI34=1,PMT((g_mortRate+0.005)/12,180,-loc_precio_aduCosto*C34),IF(1=0,0,BK33))</f>
        <v/>
      </c>
      <c r="BL34" s="7">
        <f>IF(BA34=1,AN34,IF(1=0,0,DT33))+IF(BI34=1,loc_precio_aduCosto*C34,0)</f>
        <v/>
      </c>
      <c r="BM34" s="7">
        <f>IF(BA34=1,AQ34,IF(1=0,0,DU33))</f>
        <v/>
      </c>
      <c r="BN34" s="7">
        <f>IF(BM34&lt;=0,0,FV(g_mortRate/12,12,BF34,-BM34))</f>
        <v/>
      </c>
      <c r="BO34" s="7">
        <f>IF(BM34&lt;=0,0,12*BF34+MIN(0,BN34))</f>
        <v/>
      </c>
      <c r="BP34" s="7">
        <f>MAX(0,BN34)</f>
        <v/>
      </c>
      <c r="BQ34" s="7">
        <f>IF(BI34=1,loc_precio_aduCosto*C34,IF(1=0,0,DV33))</f>
        <v/>
      </c>
      <c r="BR34" s="7">
        <f>IF(BQ34&lt;=0,0,FV((g_mortRate+0.005)/12,12,BK34,-BQ34))</f>
        <v/>
      </c>
      <c r="BS34" s="7">
        <f>IF(BQ34&lt;=0,0,12*BK34+MIN(0,BR34))</f>
        <v/>
      </c>
      <c r="BT34" s="7">
        <f>MAX(0,BR34)</f>
        <v/>
      </c>
      <c r="BU34" s="7">
        <f>IF(BB34=1,AM34*loc_seguroPct*(1+vivienda_inflacionSeguro)^(A34-2026)*IF(BJ34=1,1+loc_precio_aduCosto/AM34,1),0)</f>
        <v/>
      </c>
      <c r="BV34" s="7">
        <f>BL34*loc_impuestoPropPct</f>
        <v/>
      </c>
      <c r="BW34" s="7">
        <f>BL34*vivienda_mantenimientoPct</f>
        <v/>
      </c>
      <c r="BX34" s="7">
        <f>IF(AND(BG34=1,BP34&gt;0.8*BE34),BE34*(1-vivienda_enganchePct)*vivienda_pmiTasa,0)</f>
        <v/>
      </c>
      <c r="BY34" s="7">
        <f>IF(AND(BG34=1,BP34&gt;0.8*BE34),1,0)</f>
        <v/>
      </c>
      <c r="BZ34" s="7">
        <f>IF(BB34=1,AS34*loc_rentaUnidad*12*C34*(1-vivienda_vacancia)*(1-vivienda_gestionPct),0)</f>
        <v/>
      </c>
      <c r="CA34" s="7">
        <f>IF(BB34=1,BO34+BS34+BU34+BV34+BW34+BX34,loc_rentaMensual*12*C34)</f>
        <v/>
      </c>
      <c r="CB34" s="7">
        <f>IF(BB34=1,personal_aporteFamiliaMensual*12,0)</f>
        <v/>
      </c>
      <c r="CC34" s="7">
        <f>MIN(IF(1=0,personal_irsSaldo,CD33),personal_irsPagoMensual*12)</f>
        <v/>
      </c>
      <c r="CD34" s="7">
        <f>IF(1=0,personal_irsSaldo,CD33)-CC34</f>
        <v/>
      </c>
      <c r="CE34" s="7">
        <f>IF(1=0,IF(personal_deudaEsFederal=1,personal_deudaEstudiantil,0),DW33)</f>
        <v/>
      </c>
      <c r="CF34" s="7">
        <f>IF(1=0,personal_tasaDeudaEstudiantil,DX33)</f>
        <v/>
      </c>
      <c r="CG34" s="7">
        <f>IF(1=0,0,DY33)</f>
        <v/>
      </c>
      <c r="CH34" s="7">
        <f>IF(J34&gt;=0.5,1,0)</f>
        <v/>
      </c>
      <c r="CI34" s="7">
        <f>IF(AND(CH34=0,prestamos_pslfActivo=1,K34&gt;=0.5,CE34&gt;0),1,0)</f>
        <v/>
      </c>
      <c r="CJ34" s="7">
        <f>CE34*CF34</f>
        <v/>
      </c>
      <c r="CK34" s="7">
        <f>MAX(prestamos_rapPagoMinimoAnual,IF(Y34&lt;10000,0,MIN(0.1,INT(Y34/10000)/100))*Y34)</f>
        <v/>
      </c>
      <c r="CL34" s="7">
        <f>IF(CE34&lt;=0,0,IF(CH34=1,0,IF(CI34=1,MIN(CE34+CJ34,CK34),PMT(CF34,MAX(1,prestamos_plazoAnios-CG34),-CE34))))</f>
        <v/>
      </c>
      <c r="CM34" s="7">
        <f>IF(CE34&lt;=0,0,IF(CH34=1,CE34+CJ34,IF(CI34=1,MAX(0,CE34-MAX(CL34-CJ34,MIN(600,CL34))),MAX(0,CE34*(1+CF34)-CL34))))</f>
        <v/>
      </c>
      <c r="CN34" s="7">
        <f>IF(1=0,0,CN33)+IF(CI34=1,12*MIN(1,K34),0)</f>
        <v/>
      </c>
      <c r="CO34" s="7">
        <f>IF(AND(CI34=1,CN34&gt;=prestamos_pslfPagos,CM34&gt;0),CM34,0)</f>
        <v/>
      </c>
      <c r="CP34" s="7">
        <f>CM34-CO34</f>
        <v/>
      </c>
      <c r="CQ34" s="7">
        <f>IF(AND(CE34&gt;0,CH34=0,CI34=0),CG34+1,CG34)</f>
        <v/>
      </c>
      <c r="CR34" s="7">
        <f>IF(1=0,IF(personal_deudaEsFederal=1,0,personal_deudaEstudiantil),EA33)</f>
        <v/>
      </c>
      <c r="CS34" s="7">
        <f>IF(1=0,IF(personal_deudaEsFederal=1,prestamos_tasaPrivada,personal_tasaDeudaEstudiantil),EB33)</f>
        <v/>
      </c>
      <c r="CT34" s="7">
        <f>IF(1=0,0,EC33)</f>
        <v/>
      </c>
      <c r="CU34" s="7">
        <f>IF(OR(CR34&lt;=0,CH34=1),0,PMT(CS34,MAX(1,prestamos_plazoAnios-CT34),-CR34))</f>
        <v/>
      </c>
      <c r="CV34" s="7">
        <f>IF(CR34&lt;=0,0,IF(CH34=1,CR34*(1+CS34),MAX(0,CR34*(1+CS34)-CU34)))</f>
        <v/>
      </c>
      <c r="CW34" s="7">
        <f>IF(AND(CR34&gt;0,CH34=0),CT34+1,CT34)</f>
        <v/>
      </c>
      <c r="CX34" s="7">
        <f>IF(1=0,0,ED33)*(1+general_tasaDeudaConsumo)</f>
        <v/>
      </c>
      <c r="CY34" s="7">
        <f>L34*12*tiempos_travelGastoExtraMes*C34</f>
        <v/>
      </c>
      <c r="CZ34" s="7">
        <f>AJ34+CY34+CA34+CC34+CL34+CU34+I34+N34-BZ34-CB34</f>
        <v/>
      </c>
      <c r="DA34" s="7">
        <f>AH34-CZ34</f>
        <v/>
      </c>
      <c r="DB34" s="7">
        <f>IF(1=0,0,DB33)+DA34</f>
        <v/>
      </c>
      <c r="DC34" s="7">
        <f>AN34*vivienda_enganchePct+AN34*vivienda_cierrePct+general_reservaMeses/12*AJ34</f>
        <v/>
      </c>
      <c r="DD34" s="7">
        <f>IF(BB34=1,g_ret,IF(BD34&gt;0,MIN(1,DC34/BD34),1)*g_cash+(1-IF(BD34&gt;0,MIN(1,DC34/BD34),1))*g_ret)</f>
        <v/>
      </c>
      <c r="DE34" s="7">
        <f>IF(DA34&gt;=0,MIN(CX34,DA34),0)</f>
        <v/>
      </c>
      <c r="DF34" s="7">
        <f>IF(DA34&gt;=0,(1-general_tasaAhorro)*(DA34-DE34),0)</f>
        <v/>
      </c>
      <c r="DG34" s="7">
        <f>IF(DA34&gt;=0,DA34-DE34-DF34,0)</f>
        <v/>
      </c>
      <c r="DH34" s="7">
        <f>MIN(personal_rothAnual,DG34)</f>
        <v/>
      </c>
      <c r="DI34" s="7">
        <f>IF(AND(DA34&gt;=0,BB34=1,BP34+BT34&gt;0),MIN(vivienda_prepagoPct*(DG34-DH34),BP34+BT34),0)</f>
        <v/>
      </c>
      <c r="DJ34" s="7">
        <f>MIN(DI34,BP34)</f>
        <v/>
      </c>
      <c r="DK34" s="7">
        <f>IF(DA34&lt;0,MIN(MAX(0,BD34),-DA34),0)</f>
        <v/>
      </c>
      <c r="DL34" s="7">
        <f>IF(DA34&lt;0,-DA34-DK34,0)</f>
        <v/>
      </c>
      <c r="DM34" s="7">
        <f>IF(1=0,0,DZ33)</f>
        <v/>
      </c>
      <c r="DN34" s="7">
        <f>IF(AND(DL34&gt;0,J34&gt;0),MIN(DL34,MIN(prestamos_topeAnualPosgrado*MIN(1,J34),MAX(0,prestamos_topeTotalPosgrado-DM34))),0)</f>
        <v/>
      </c>
      <c r="DO34" s="7">
        <f>IF(AND(DL34&gt;0,J34&gt;0),DL34-DN34,0)</f>
        <v/>
      </c>
      <c r="DP34" s="7">
        <f>IF(AND(DL34&gt;0,J34&lt;=0),DL34,0)</f>
        <v/>
      </c>
      <c r="DQ34" s="7">
        <f>IF(DA34&gt;=0,DG34-DH34-DI34,-DK34)</f>
        <v/>
      </c>
      <c r="DR34" s="7">
        <f>BD34*(1+DD34)+DQ34*(1+DD34/2)</f>
        <v/>
      </c>
      <c r="DS34" s="7">
        <f>IF(1=0,personal_retiroInicial,DS33)*(1+g_ret)+(O34+P34+DH34)*(1+g_ret/2)</f>
        <v/>
      </c>
      <c r="DT34" s="7">
        <f>IF(BB34=1,BL34*(1+g_appr),0)</f>
        <v/>
      </c>
      <c r="DU34" s="7">
        <f>BP34-DJ34</f>
        <v/>
      </c>
      <c r="DV34" s="7">
        <f>BT34-(DI34-DJ34)</f>
        <v/>
      </c>
      <c r="DW34" s="7">
        <f>CP34+DN34</f>
        <v/>
      </c>
      <c r="DX34" s="7">
        <f>IF(DN34&gt;0,(CP34*CF34+DN34*prestamos_tasaFederalPosgrado)/(CP34+DN34),CF34)</f>
        <v/>
      </c>
      <c r="DY34" s="7">
        <f>IF(DN34&gt;0,0,CQ34)</f>
        <v/>
      </c>
      <c r="DZ34" s="7">
        <f>DM34+DN34</f>
        <v/>
      </c>
      <c r="EA34" s="7">
        <f>CV34+DO34</f>
        <v/>
      </c>
      <c r="EB34" s="7">
        <f>IF(DO34&gt;0,(CV34*CS34+DO34*prestamos_tasaPrivada)/(CV34+DO34),CS34)</f>
        <v/>
      </c>
      <c r="EC34" s="7">
        <f>IF(DO34&gt;0,0,CW34)</f>
        <v/>
      </c>
      <c r="ED34" s="7">
        <f>CX34-DE34+DP34</f>
        <v/>
      </c>
      <c r="EE34" s="7">
        <f>IF(IF(1=0,"",EE33)&lt;&gt;"",EE33,IF(AND(BB34=1,DU34&lt;=0.5,DV34&lt;=0.5,OR(BH34=0,BJ34=1)),A34,""))</f>
        <v/>
      </c>
      <c r="EF34" s="7">
        <f>DU34+DV34+DW34+EA34+ED34+CD34</f>
        <v/>
      </c>
      <c r="EG34" s="7">
        <f>DR34+DS34+DT34-EF34</f>
        <v/>
      </c>
      <c r="EH34" s="7">
        <f>EG34/(1+g_inf)^(A34+1-2026)</f>
        <v/>
      </c>
    </row>
    <row r="35">
      <c r="A35" t="n">
        <v>2029</v>
      </c>
      <c r="B35" t="n">
        <v>2</v>
      </c>
      <c r="C35" s="7">
        <f>(1+g_inf)^(A35-2026)</f>
        <v/>
      </c>
      <c r="D35" s="7">
        <f>SUMPRODUCT($V$5:$V$29,$E$5:$E$29*(1+$F$5:$F$29)^(A35-2026)*$G$5:$G$29*$H$5:$H$29*(1-$N$5:$N$29*$O$5:$O$29))*g_salMult+SUMPRODUCT(($B$5:$B$29&gt;=A35)*($B$5:$B$29&lt;A35+1)*$I$5:$I$29)*g_salMult</f>
        <v/>
      </c>
      <c r="E35" s="7">
        <f>SUMPRODUCT($V$5:$V$29,$E$5:$E$29*(1+$F$5:$F$29)^(A35-2026)*$G$5:$G$29*$H$5:$H$29*$M$5:$M$29)*g_salMult</f>
        <v/>
      </c>
      <c r="F35" s="7">
        <f>SUMPRODUCT($V$5:$V$29,$E$5:$E$29*(1+$F$5:$F$29)^(A35-2026)*$G$5:$G$29*$H$5:$H$29*$N$5:$N$29*$O$5:$O$29)*g_salMult</f>
        <v/>
      </c>
      <c r="G35" s="7">
        <f>SUMPRODUCT($V$5:$V$29,$P$5:$P$29*(1+$F$5:$F$29)^(A35-2026))</f>
        <v/>
      </c>
      <c r="H35" s="7">
        <f>SUMPRODUCT($V$5:$V$29,$Q$5:$Q$29*(1+$F$5:$F$29)^(A35-2026))+IF(personal_llcActivo=1,personal_llcNeto*(1+personal_llcCrecimiento)^2,0)</f>
        <v/>
      </c>
      <c r="I35" s="7">
        <f>SUMPRODUCT($V$5:$V$29,$J$5:$J$29/($C$5:$C$29-$B$5:$B$29+($C$5:$C$29=$B$5:$B$29)))*C35</f>
        <v/>
      </c>
      <c r="J35" s="7">
        <f>SUMPRODUCT($V$5:$V$29,$K$5:$K$29)</f>
        <v/>
      </c>
      <c r="K35" s="7">
        <f>SUMPRODUCT($V$5:$V$29,$L$5:$L$29)</f>
        <v/>
      </c>
      <c r="L35" s="7">
        <f>SUMPRODUCT($V$5:$V$29,$N$5:$N$29)</f>
        <v/>
      </c>
      <c r="M35" s="7">
        <f>IF(SUMPRODUCT($V$5:$V$29,$R$5:$R$29)&gt;0,1,0)</f>
        <v/>
      </c>
      <c r="N35" s="7">
        <f>SUMPRODUCT(($AO$5:$AO$24&gt;=A35)*($AO$5:$AO$24&lt;A35+1)*$AP$5:$AP$24)*C35+IF(2=0,IF(sel_loc&lt;&gt;"miami",personal_costoMudanzaInicial,0),0)</f>
        <v/>
      </c>
      <c r="O35" s="7">
        <f>MIN(personal_aporte403bPct*D35,retiro_limite403b*C35)</f>
        <v/>
      </c>
      <c r="P35" s="7">
        <f>MIN(personal_aporte403bPct,personal_match403bPct)*E35</f>
        <v/>
      </c>
      <c r="Q35" s="7">
        <f>IF(G35&gt;0,MAX(0,G35-impuestos_scorpCostoAnual*C35),0)</f>
        <v/>
      </c>
      <c r="R35" s="7">
        <f>Q35*impuestos_scorpSalarioPct/(1+impuestos_ssTasa+impuestos_medicareTasa)</f>
        <v/>
      </c>
      <c r="S35" s="7">
        <f>impuestos_ssTasa*MIN(R35,MAX(0,impuestos_ssTope*C35-D35))+impuestos_medicareTasa*R35</f>
        <v/>
      </c>
      <c r="T35" s="7">
        <f>Q35-R35-S35</f>
        <v/>
      </c>
      <c r="U35" s="7">
        <f>D35+R35</f>
        <v/>
      </c>
      <c r="V35" s="7">
        <f>H35*0.9235</f>
        <v/>
      </c>
      <c r="W35" s="7">
        <f>IF(H35&gt;0,2*impuestos_ssTasa*MIN(V35,MAX(0,impuestos_ssTope*C35-U35))+2*impuestos_medicareTasa*V35,0)</f>
        <v/>
      </c>
      <c r="X35" s="7">
        <f>impuestos_ssTasa*MIN(U35,impuestos_ssTope*C35)+impuestos_medicareTasa*U35+impuestos_medicareAdicional*MAX(0,U35+H35*0.9235-impuestos_medicareUmbral)</f>
        <v/>
      </c>
      <c r="Y35" s="7">
        <f>MAX(0,D35-O35+R35+T35+H35-W35/2)</f>
        <v/>
      </c>
      <c r="Z35" s="7">
        <f>MAX(0,Y35-impuestos_deduccionEstandar*C35)</f>
        <v/>
      </c>
      <c r="AA35" s="7">
        <f>MIN(0.2*MAX(0,T35+H35-W35/2)*MAX(0,MIN(1,1-(Z35-impuestos_qbiUmbral*C35)/(impuestos_qbiRango*C35))),0.2*Z35)</f>
        <v/>
      </c>
      <c r="AB35" s="7">
        <f>MAX(0,Z35-AA35)</f>
        <v/>
      </c>
      <c r="AC35" s="7">
        <f>SUMPRODUCT((AB35&gt;tb_federalBrackets_lo*C35)*(AB35-tb_federalBrackets_lo*C35)*tb_federalBrackets_dr)</f>
        <v/>
      </c>
      <c r="AD35" s="7">
        <f>MAX(0,Y35-impuestos_nyDeduccion*C35)</f>
        <v/>
      </c>
      <c r="AE35" s="7">
        <f>CHOOSE(loc_taxcode,0,impuestos_ohTasa*MAX(0,Y35-impuestos_ohExento*C35)+impuestos_ohMunicipal*U35,SUMPRODUCT((AD35&gt;tb_nyBrackets_lo*C35)*(AD35-tb_nyBrackets_lo*C35)*tb_nyBrackets_dr)+loc_nyc*SUMPRODUCT((AD35&gt;tb_nycBrackets_lo*C35)*(AD35-tb_nycBrackets_lo*C35)*tb_nycBrackets_dr))</f>
        <v/>
      </c>
      <c r="AF35" s="7">
        <f>AC35+AE35+X35+W35</f>
        <v/>
      </c>
      <c r="AG35" s="7">
        <f>D35+F35+R35+T35+H35</f>
        <v/>
      </c>
      <c r="AH35" s="7">
        <f>AG35-AF35-O35</f>
        <v/>
      </c>
      <c r="AI35" s="7">
        <f>D35+F35+G35+H35</f>
        <v/>
      </c>
      <c r="AJ35" s="7">
        <f>loc_gastosVida*C35*g_gastos</f>
        <v/>
      </c>
      <c r="AK35" s="7">
        <f>IF(2=0,personal_liquidoInicial,DR34)</f>
        <v/>
      </c>
      <c r="AL35" s="7">
        <f>IF(2=0,0,BB34)</f>
        <v/>
      </c>
      <c r="AM35" s="7">
        <f>CHOOSE(sel_cfgIdx,loc_precio_duplex,loc_precio_inlaw,loc_precio_dosCasas,loc_precio_casaAdu,loc_precio_multi)</f>
        <v/>
      </c>
      <c r="AN35" s="7">
        <f>AM35*(1+g_appr)^(A35-2026)</f>
        <v/>
      </c>
      <c r="AO35" s="7">
        <f>IF(AND(M35=1,vivienda_prestamoMedico=1),1,0)</f>
        <v/>
      </c>
      <c r="AP35" s="7">
        <f>IF(AO35=1,0.05,vivienda_enganchePct)</f>
        <v/>
      </c>
      <c r="AQ35" s="7">
        <f>AN35*(1-AP35)</f>
        <v/>
      </c>
      <c r="AR35" s="7">
        <f>PMT(g_mortRate/12,vivienda_plazoHipoteca*12,-AQ35)</f>
        <v/>
      </c>
      <c r="AS35" s="7">
        <f>INDEX(cfg_units,sel_cfgIdx)</f>
        <v/>
      </c>
      <c r="AT35" s="7">
        <f>AS35*loc_rentaUnidad*(1+g_inf)^(A35-2026)*(1-vivienda_vacancia)</f>
        <v/>
      </c>
      <c r="AU35" s="7">
        <f>AR35+AN35*loc_impuestoPropPct/12+AM35*loc_seguroPct*(1+vivienda_inflacionSeguro)^(A35-2026)/12+IF(AND(AO35=0,AP35&lt;0.2),AQ35*vivienda_pmiTasa/12,0)</f>
        <v/>
      </c>
      <c r="AV35" s="7">
        <f>AN35*AP35+AN35*vivienda_cierrePct+general_reservaMeses/12*AJ35</f>
        <v/>
      </c>
      <c r="AW35" s="7">
        <f>(IF(2=0,MIN(personal_irsSaldo,personal_irsPagoMensual*12),MIN(CD34,personal_irsPagoMensual*12))+IF(CE35&gt;0,PMT(CF35,MAX(1,prestamos_plazoAnios-CG35),-CE35),0)+IF(CR35&gt;0,PMT(CS35,MAX(1,prestamos_plazoAnios-CT35),-CR35),0))/12</f>
        <v/>
      </c>
      <c r="AX35" s="7">
        <f>IF(OR(sel_cfg="duplex",sel_cfg="multi",sel_cfg="dosCasas"),0.75*personal_aporteFamiliaMensual,0)</f>
        <v/>
      </c>
      <c r="AY35" s="7">
        <f>AU35-0.75*AT35-AX35+AW35</f>
        <v/>
      </c>
      <c r="AZ35" s="7">
        <f>(D35+G35+H35+0.5*F35)/12</f>
        <v/>
      </c>
      <c r="BA35" s="7">
        <f>IF(AND(AL35=0,A35&gt;=vivienda_anioMinCompra,J35&lt;0.5,AI35&gt;0,AK35&gt;=AV35,AY35&lt;=vivienda_dtiMax*AZ35),1,0)</f>
        <v/>
      </c>
      <c r="BB35" s="7">
        <f>MAX(AL35,BA35)</f>
        <v/>
      </c>
      <c r="BC35" s="7">
        <f>IF(BA35=1,A35,IF(2=0,"",BC34))</f>
        <v/>
      </c>
      <c r="BD35" s="7">
        <f>AK35-IF(BA35=1,AN35*AP35+AN35*vivienda_cierrePct,0)</f>
        <v/>
      </c>
      <c r="BE35" s="7">
        <f>IF(BA35=1,AN35,IF(2=0,0,BE34))</f>
        <v/>
      </c>
      <c r="BF35" s="7">
        <f>IF(BA35=1,AR35,IF(2=0,0,BF34))</f>
        <v/>
      </c>
      <c r="BG35" s="7">
        <f>IF(BA35=1,IF(AND(AO35=0,AP35&lt;0.2),1,0),IF(2=0,0,BY34))</f>
        <v/>
      </c>
      <c r="BH35" s="7">
        <f>IF(sel_cfg="casaAdu",1,0)</f>
        <v/>
      </c>
      <c r="BI35" s="7">
        <f>IF(AND(BB35=1,BH35=1,IF(2=0,0,BJ34)=0,A35&gt;=IF(BC35="",9999,BC35)+vivienda_aduRetrasoAnios),1,0)</f>
        <v/>
      </c>
      <c r="BJ35" s="7">
        <f>MAX(IF(2=0,0,BJ34),BI35)</f>
        <v/>
      </c>
      <c r="BK35" s="7">
        <f>IF(BI35=1,PMT((g_mortRate+0.005)/12,180,-loc_precio_aduCosto*C35),IF(2=0,0,BK34))</f>
        <v/>
      </c>
      <c r="BL35" s="7">
        <f>IF(BA35=1,AN35,IF(2=0,0,DT34))+IF(BI35=1,loc_precio_aduCosto*C35,0)</f>
        <v/>
      </c>
      <c r="BM35" s="7">
        <f>IF(BA35=1,AQ35,IF(2=0,0,DU34))</f>
        <v/>
      </c>
      <c r="BN35" s="7">
        <f>IF(BM35&lt;=0,0,FV(g_mortRate/12,12,BF35,-BM35))</f>
        <v/>
      </c>
      <c r="BO35" s="7">
        <f>IF(BM35&lt;=0,0,12*BF35+MIN(0,BN35))</f>
        <v/>
      </c>
      <c r="BP35" s="7">
        <f>MAX(0,BN35)</f>
        <v/>
      </c>
      <c r="BQ35" s="7">
        <f>IF(BI35=1,loc_precio_aduCosto*C35,IF(2=0,0,DV34))</f>
        <v/>
      </c>
      <c r="BR35" s="7">
        <f>IF(BQ35&lt;=0,0,FV((g_mortRate+0.005)/12,12,BK35,-BQ35))</f>
        <v/>
      </c>
      <c r="BS35" s="7">
        <f>IF(BQ35&lt;=0,0,12*BK35+MIN(0,BR35))</f>
        <v/>
      </c>
      <c r="BT35" s="7">
        <f>MAX(0,BR35)</f>
        <v/>
      </c>
      <c r="BU35" s="7">
        <f>IF(BB35=1,AM35*loc_seguroPct*(1+vivienda_inflacionSeguro)^(A35-2026)*IF(BJ35=1,1+loc_precio_aduCosto/AM35,1),0)</f>
        <v/>
      </c>
      <c r="BV35" s="7">
        <f>BL35*loc_impuestoPropPct</f>
        <v/>
      </c>
      <c r="BW35" s="7">
        <f>BL35*vivienda_mantenimientoPct</f>
        <v/>
      </c>
      <c r="BX35" s="7">
        <f>IF(AND(BG35=1,BP35&gt;0.8*BE35),BE35*(1-vivienda_enganchePct)*vivienda_pmiTasa,0)</f>
        <v/>
      </c>
      <c r="BY35" s="7">
        <f>IF(AND(BG35=1,BP35&gt;0.8*BE35),1,0)</f>
        <v/>
      </c>
      <c r="BZ35" s="7">
        <f>IF(BB35=1,AS35*loc_rentaUnidad*12*C35*(1-vivienda_vacancia)*(1-vivienda_gestionPct),0)</f>
        <v/>
      </c>
      <c r="CA35" s="7">
        <f>IF(BB35=1,BO35+BS35+BU35+BV35+BW35+BX35,loc_rentaMensual*12*C35)</f>
        <v/>
      </c>
      <c r="CB35" s="7">
        <f>IF(BB35=1,personal_aporteFamiliaMensual*12,0)</f>
        <v/>
      </c>
      <c r="CC35" s="7">
        <f>MIN(IF(2=0,personal_irsSaldo,CD34),personal_irsPagoMensual*12)</f>
        <v/>
      </c>
      <c r="CD35" s="7">
        <f>IF(2=0,personal_irsSaldo,CD34)-CC35</f>
        <v/>
      </c>
      <c r="CE35" s="7">
        <f>IF(2=0,IF(personal_deudaEsFederal=1,personal_deudaEstudiantil,0),DW34)</f>
        <v/>
      </c>
      <c r="CF35" s="7">
        <f>IF(2=0,personal_tasaDeudaEstudiantil,DX34)</f>
        <v/>
      </c>
      <c r="CG35" s="7">
        <f>IF(2=0,0,DY34)</f>
        <v/>
      </c>
      <c r="CH35" s="7">
        <f>IF(J35&gt;=0.5,1,0)</f>
        <v/>
      </c>
      <c r="CI35" s="7">
        <f>IF(AND(CH35=0,prestamos_pslfActivo=1,K35&gt;=0.5,CE35&gt;0),1,0)</f>
        <v/>
      </c>
      <c r="CJ35" s="7">
        <f>CE35*CF35</f>
        <v/>
      </c>
      <c r="CK35" s="7">
        <f>MAX(prestamos_rapPagoMinimoAnual,IF(Y35&lt;10000,0,MIN(0.1,INT(Y35/10000)/100))*Y35)</f>
        <v/>
      </c>
      <c r="CL35" s="7">
        <f>IF(CE35&lt;=0,0,IF(CH35=1,0,IF(CI35=1,MIN(CE35+CJ35,CK35),PMT(CF35,MAX(1,prestamos_plazoAnios-CG35),-CE35))))</f>
        <v/>
      </c>
      <c r="CM35" s="7">
        <f>IF(CE35&lt;=0,0,IF(CH35=1,CE35+CJ35,IF(CI35=1,MAX(0,CE35-MAX(CL35-CJ35,MIN(600,CL35))),MAX(0,CE35*(1+CF35)-CL35))))</f>
        <v/>
      </c>
      <c r="CN35" s="7">
        <f>IF(2=0,0,CN34)+IF(CI35=1,12*MIN(1,K35),0)</f>
        <v/>
      </c>
      <c r="CO35" s="7">
        <f>IF(AND(CI35=1,CN35&gt;=prestamos_pslfPagos,CM35&gt;0),CM35,0)</f>
        <v/>
      </c>
      <c r="CP35" s="7">
        <f>CM35-CO35</f>
        <v/>
      </c>
      <c r="CQ35" s="7">
        <f>IF(AND(CE35&gt;0,CH35=0,CI35=0),CG35+1,CG35)</f>
        <v/>
      </c>
      <c r="CR35" s="7">
        <f>IF(2=0,IF(personal_deudaEsFederal=1,0,personal_deudaEstudiantil),EA34)</f>
        <v/>
      </c>
      <c r="CS35" s="7">
        <f>IF(2=0,IF(personal_deudaEsFederal=1,prestamos_tasaPrivada,personal_tasaDeudaEstudiantil),EB34)</f>
        <v/>
      </c>
      <c r="CT35" s="7">
        <f>IF(2=0,0,EC34)</f>
        <v/>
      </c>
      <c r="CU35" s="7">
        <f>IF(OR(CR35&lt;=0,CH35=1),0,PMT(CS35,MAX(1,prestamos_plazoAnios-CT35),-CR35))</f>
        <v/>
      </c>
      <c r="CV35" s="7">
        <f>IF(CR35&lt;=0,0,IF(CH35=1,CR35*(1+CS35),MAX(0,CR35*(1+CS35)-CU35)))</f>
        <v/>
      </c>
      <c r="CW35" s="7">
        <f>IF(AND(CR35&gt;0,CH35=0),CT35+1,CT35)</f>
        <v/>
      </c>
      <c r="CX35" s="7">
        <f>IF(2=0,0,ED34)*(1+general_tasaDeudaConsumo)</f>
        <v/>
      </c>
      <c r="CY35" s="7">
        <f>L35*12*tiempos_travelGastoExtraMes*C35</f>
        <v/>
      </c>
      <c r="CZ35" s="7">
        <f>AJ35+CY35+CA35+CC35+CL35+CU35+I35+N35-BZ35-CB35</f>
        <v/>
      </c>
      <c r="DA35" s="7">
        <f>AH35-CZ35</f>
        <v/>
      </c>
      <c r="DB35" s="7">
        <f>IF(2=0,0,DB34)+DA35</f>
        <v/>
      </c>
      <c r="DC35" s="7">
        <f>AN35*vivienda_enganchePct+AN35*vivienda_cierrePct+general_reservaMeses/12*AJ35</f>
        <v/>
      </c>
      <c r="DD35" s="7">
        <f>IF(BB35=1,g_ret,IF(BD35&gt;0,MIN(1,DC35/BD35),1)*g_cash+(1-IF(BD35&gt;0,MIN(1,DC35/BD35),1))*g_ret)</f>
        <v/>
      </c>
      <c r="DE35" s="7">
        <f>IF(DA35&gt;=0,MIN(CX35,DA35),0)</f>
        <v/>
      </c>
      <c r="DF35" s="7">
        <f>IF(DA35&gt;=0,(1-general_tasaAhorro)*(DA35-DE35),0)</f>
        <v/>
      </c>
      <c r="DG35" s="7">
        <f>IF(DA35&gt;=0,DA35-DE35-DF35,0)</f>
        <v/>
      </c>
      <c r="DH35" s="7">
        <f>MIN(personal_rothAnual,DG35)</f>
        <v/>
      </c>
      <c r="DI35" s="7">
        <f>IF(AND(DA35&gt;=0,BB35=1,BP35+BT35&gt;0),MIN(vivienda_prepagoPct*(DG35-DH35),BP35+BT35),0)</f>
        <v/>
      </c>
      <c r="DJ35" s="7">
        <f>MIN(DI35,BP35)</f>
        <v/>
      </c>
      <c r="DK35" s="7">
        <f>IF(DA35&lt;0,MIN(MAX(0,BD35),-DA35),0)</f>
        <v/>
      </c>
      <c r="DL35" s="7">
        <f>IF(DA35&lt;0,-DA35-DK35,0)</f>
        <v/>
      </c>
      <c r="DM35" s="7">
        <f>IF(2=0,0,DZ34)</f>
        <v/>
      </c>
      <c r="DN35" s="7">
        <f>IF(AND(DL35&gt;0,J35&gt;0),MIN(DL35,MIN(prestamos_topeAnualPosgrado*MIN(1,J35),MAX(0,prestamos_topeTotalPosgrado-DM35))),0)</f>
        <v/>
      </c>
      <c r="DO35" s="7">
        <f>IF(AND(DL35&gt;0,J35&gt;0),DL35-DN35,0)</f>
        <v/>
      </c>
      <c r="DP35" s="7">
        <f>IF(AND(DL35&gt;0,J35&lt;=0),DL35,0)</f>
        <v/>
      </c>
      <c r="DQ35" s="7">
        <f>IF(DA35&gt;=0,DG35-DH35-DI35,-DK35)</f>
        <v/>
      </c>
      <c r="DR35" s="7">
        <f>BD35*(1+DD35)+DQ35*(1+DD35/2)</f>
        <v/>
      </c>
      <c r="DS35" s="7">
        <f>IF(2=0,personal_retiroInicial,DS34)*(1+g_ret)+(O35+P35+DH35)*(1+g_ret/2)</f>
        <v/>
      </c>
      <c r="DT35" s="7">
        <f>IF(BB35=1,BL35*(1+g_appr),0)</f>
        <v/>
      </c>
      <c r="DU35" s="7">
        <f>BP35-DJ35</f>
        <v/>
      </c>
      <c r="DV35" s="7">
        <f>BT35-(DI35-DJ35)</f>
        <v/>
      </c>
      <c r="DW35" s="7">
        <f>CP35+DN35</f>
        <v/>
      </c>
      <c r="DX35" s="7">
        <f>IF(DN35&gt;0,(CP35*CF35+DN35*prestamos_tasaFederalPosgrado)/(CP35+DN35),CF35)</f>
        <v/>
      </c>
      <c r="DY35" s="7">
        <f>IF(DN35&gt;0,0,CQ35)</f>
        <v/>
      </c>
      <c r="DZ35" s="7">
        <f>DM35+DN35</f>
        <v/>
      </c>
      <c r="EA35" s="7">
        <f>CV35+DO35</f>
        <v/>
      </c>
      <c r="EB35" s="7">
        <f>IF(DO35&gt;0,(CV35*CS35+DO35*prestamos_tasaPrivada)/(CV35+DO35),CS35)</f>
        <v/>
      </c>
      <c r="EC35" s="7">
        <f>IF(DO35&gt;0,0,CW35)</f>
        <v/>
      </c>
      <c r="ED35" s="7">
        <f>CX35-DE35+DP35</f>
        <v/>
      </c>
      <c r="EE35" s="7">
        <f>IF(IF(2=0,"",EE34)&lt;&gt;"",EE34,IF(AND(BB35=1,DU35&lt;=0.5,DV35&lt;=0.5,OR(BH35=0,BJ35=1)),A35,""))</f>
        <v/>
      </c>
      <c r="EF35" s="7">
        <f>DU35+DV35+DW35+EA35+ED35+CD35</f>
        <v/>
      </c>
      <c r="EG35" s="7">
        <f>DR35+DS35+DT35-EF35</f>
        <v/>
      </c>
      <c r="EH35" s="7">
        <f>EG35/(1+g_inf)^(A35+1-2026)</f>
        <v/>
      </c>
    </row>
    <row r="36">
      <c r="A36" t="n">
        <v>2030</v>
      </c>
      <c r="B36" t="n">
        <v>3</v>
      </c>
      <c r="C36" s="7">
        <f>(1+g_inf)^(A36-2026)</f>
        <v/>
      </c>
      <c r="D36" s="7">
        <f>SUMPRODUCT($W$5:$W$29,$E$5:$E$29*(1+$F$5:$F$29)^(A36-2026)*$G$5:$G$29*$H$5:$H$29*(1-$N$5:$N$29*$O$5:$O$29))*g_salMult+SUMPRODUCT(($B$5:$B$29&gt;=A36)*($B$5:$B$29&lt;A36+1)*$I$5:$I$29)*g_salMult</f>
        <v/>
      </c>
      <c r="E36" s="7">
        <f>SUMPRODUCT($W$5:$W$29,$E$5:$E$29*(1+$F$5:$F$29)^(A36-2026)*$G$5:$G$29*$H$5:$H$29*$M$5:$M$29)*g_salMult</f>
        <v/>
      </c>
      <c r="F36" s="7">
        <f>SUMPRODUCT($W$5:$W$29,$E$5:$E$29*(1+$F$5:$F$29)^(A36-2026)*$G$5:$G$29*$H$5:$H$29*$N$5:$N$29*$O$5:$O$29)*g_salMult</f>
        <v/>
      </c>
      <c r="G36" s="7">
        <f>SUMPRODUCT($W$5:$W$29,$P$5:$P$29*(1+$F$5:$F$29)^(A36-2026))</f>
        <v/>
      </c>
      <c r="H36" s="7">
        <f>SUMPRODUCT($W$5:$W$29,$Q$5:$Q$29*(1+$F$5:$F$29)^(A36-2026))+IF(personal_llcActivo=1,personal_llcNeto*(1+personal_llcCrecimiento)^3,0)</f>
        <v/>
      </c>
      <c r="I36" s="7">
        <f>SUMPRODUCT($W$5:$W$29,$J$5:$J$29/($C$5:$C$29-$B$5:$B$29+($C$5:$C$29=$B$5:$B$29)))*C36</f>
        <v/>
      </c>
      <c r="J36" s="7">
        <f>SUMPRODUCT($W$5:$W$29,$K$5:$K$29)</f>
        <v/>
      </c>
      <c r="K36" s="7">
        <f>SUMPRODUCT($W$5:$W$29,$L$5:$L$29)</f>
        <v/>
      </c>
      <c r="L36" s="7">
        <f>SUMPRODUCT($W$5:$W$29,$N$5:$N$29)</f>
        <v/>
      </c>
      <c r="M36" s="7">
        <f>IF(SUMPRODUCT($W$5:$W$29,$R$5:$R$29)&gt;0,1,0)</f>
        <v/>
      </c>
      <c r="N36" s="7">
        <f>SUMPRODUCT(($AO$5:$AO$24&gt;=A36)*($AO$5:$AO$24&lt;A36+1)*$AP$5:$AP$24)*C36+IF(3=0,IF(sel_loc&lt;&gt;"miami",personal_costoMudanzaInicial,0),0)</f>
        <v/>
      </c>
      <c r="O36" s="7">
        <f>MIN(personal_aporte403bPct*D36,retiro_limite403b*C36)</f>
        <v/>
      </c>
      <c r="P36" s="7">
        <f>MIN(personal_aporte403bPct,personal_match403bPct)*E36</f>
        <v/>
      </c>
      <c r="Q36" s="7">
        <f>IF(G36&gt;0,MAX(0,G36-impuestos_scorpCostoAnual*C36),0)</f>
        <v/>
      </c>
      <c r="R36" s="7">
        <f>Q36*impuestos_scorpSalarioPct/(1+impuestos_ssTasa+impuestos_medicareTasa)</f>
        <v/>
      </c>
      <c r="S36" s="7">
        <f>impuestos_ssTasa*MIN(R36,MAX(0,impuestos_ssTope*C36-D36))+impuestos_medicareTasa*R36</f>
        <v/>
      </c>
      <c r="T36" s="7">
        <f>Q36-R36-S36</f>
        <v/>
      </c>
      <c r="U36" s="7">
        <f>D36+R36</f>
        <v/>
      </c>
      <c r="V36" s="7">
        <f>H36*0.9235</f>
        <v/>
      </c>
      <c r="W36" s="7">
        <f>IF(H36&gt;0,2*impuestos_ssTasa*MIN(V36,MAX(0,impuestos_ssTope*C36-U36))+2*impuestos_medicareTasa*V36,0)</f>
        <v/>
      </c>
      <c r="X36" s="7">
        <f>impuestos_ssTasa*MIN(U36,impuestos_ssTope*C36)+impuestos_medicareTasa*U36+impuestos_medicareAdicional*MAX(0,U36+H36*0.9235-impuestos_medicareUmbral)</f>
        <v/>
      </c>
      <c r="Y36" s="7">
        <f>MAX(0,D36-O36+R36+T36+H36-W36/2)</f>
        <v/>
      </c>
      <c r="Z36" s="7">
        <f>MAX(0,Y36-impuestos_deduccionEstandar*C36)</f>
        <v/>
      </c>
      <c r="AA36" s="7">
        <f>MIN(0.2*MAX(0,T36+H36-W36/2)*MAX(0,MIN(1,1-(Z36-impuestos_qbiUmbral*C36)/(impuestos_qbiRango*C36))),0.2*Z36)</f>
        <v/>
      </c>
      <c r="AB36" s="7">
        <f>MAX(0,Z36-AA36)</f>
        <v/>
      </c>
      <c r="AC36" s="7">
        <f>SUMPRODUCT((AB36&gt;tb_federalBrackets_lo*C36)*(AB36-tb_federalBrackets_lo*C36)*tb_federalBrackets_dr)</f>
        <v/>
      </c>
      <c r="AD36" s="7">
        <f>MAX(0,Y36-impuestos_nyDeduccion*C36)</f>
        <v/>
      </c>
      <c r="AE36" s="7">
        <f>CHOOSE(loc_taxcode,0,impuestos_ohTasa*MAX(0,Y36-impuestos_ohExento*C36)+impuestos_ohMunicipal*U36,SUMPRODUCT((AD36&gt;tb_nyBrackets_lo*C36)*(AD36-tb_nyBrackets_lo*C36)*tb_nyBrackets_dr)+loc_nyc*SUMPRODUCT((AD36&gt;tb_nycBrackets_lo*C36)*(AD36-tb_nycBrackets_lo*C36)*tb_nycBrackets_dr))</f>
        <v/>
      </c>
      <c r="AF36" s="7">
        <f>AC36+AE36+X36+W36</f>
        <v/>
      </c>
      <c r="AG36" s="7">
        <f>D36+F36+R36+T36+H36</f>
        <v/>
      </c>
      <c r="AH36" s="7">
        <f>AG36-AF36-O36</f>
        <v/>
      </c>
      <c r="AI36" s="7">
        <f>D36+F36+G36+H36</f>
        <v/>
      </c>
      <c r="AJ36" s="7">
        <f>loc_gastosVida*C36*g_gastos</f>
        <v/>
      </c>
      <c r="AK36" s="7">
        <f>IF(3=0,personal_liquidoInicial,DR35)</f>
        <v/>
      </c>
      <c r="AL36" s="7">
        <f>IF(3=0,0,BB35)</f>
        <v/>
      </c>
      <c r="AM36" s="7">
        <f>CHOOSE(sel_cfgIdx,loc_precio_duplex,loc_precio_inlaw,loc_precio_dosCasas,loc_precio_casaAdu,loc_precio_multi)</f>
        <v/>
      </c>
      <c r="AN36" s="7">
        <f>AM36*(1+g_appr)^(A36-2026)</f>
        <v/>
      </c>
      <c r="AO36" s="7">
        <f>IF(AND(M36=1,vivienda_prestamoMedico=1),1,0)</f>
        <v/>
      </c>
      <c r="AP36" s="7">
        <f>IF(AO36=1,0.05,vivienda_enganchePct)</f>
        <v/>
      </c>
      <c r="AQ36" s="7">
        <f>AN36*(1-AP36)</f>
        <v/>
      </c>
      <c r="AR36" s="7">
        <f>PMT(g_mortRate/12,vivienda_plazoHipoteca*12,-AQ36)</f>
        <v/>
      </c>
      <c r="AS36" s="7">
        <f>INDEX(cfg_units,sel_cfgIdx)</f>
        <v/>
      </c>
      <c r="AT36" s="7">
        <f>AS36*loc_rentaUnidad*(1+g_inf)^(A36-2026)*(1-vivienda_vacancia)</f>
        <v/>
      </c>
      <c r="AU36" s="7">
        <f>AR36+AN36*loc_impuestoPropPct/12+AM36*loc_seguroPct*(1+vivienda_inflacionSeguro)^(A36-2026)/12+IF(AND(AO36=0,AP36&lt;0.2),AQ36*vivienda_pmiTasa/12,0)</f>
        <v/>
      </c>
      <c r="AV36" s="7">
        <f>AN36*AP36+AN36*vivienda_cierrePct+general_reservaMeses/12*AJ36</f>
        <v/>
      </c>
      <c r="AW36" s="7">
        <f>(IF(3=0,MIN(personal_irsSaldo,personal_irsPagoMensual*12),MIN(CD35,personal_irsPagoMensual*12))+IF(CE36&gt;0,PMT(CF36,MAX(1,prestamos_plazoAnios-CG36),-CE36),0)+IF(CR36&gt;0,PMT(CS36,MAX(1,prestamos_plazoAnios-CT36),-CR36),0))/12</f>
        <v/>
      </c>
      <c r="AX36" s="7">
        <f>IF(OR(sel_cfg="duplex",sel_cfg="multi",sel_cfg="dosCasas"),0.75*personal_aporteFamiliaMensual,0)</f>
        <v/>
      </c>
      <c r="AY36" s="7">
        <f>AU36-0.75*AT36-AX36+AW36</f>
        <v/>
      </c>
      <c r="AZ36" s="7">
        <f>(D36+G36+H36+0.5*F36)/12</f>
        <v/>
      </c>
      <c r="BA36" s="7">
        <f>IF(AND(AL36=0,A36&gt;=vivienda_anioMinCompra,J36&lt;0.5,AI36&gt;0,AK36&gt;=AV36,AY36&lt;=vivienda_dtiMax*AZ36),1,0)</f>
        <v/>
      </c>
      <c r="BB36" s="7">
        <f>MAX(AL36,BA36)</f>
        <v/>
      </c>
      <c r="BC36" s="7">
        <f>IF(BA36=1,A36,IF(3=0,"",BC35))</f>
        <v/>
      </c>
      <c r="BD36" s="7">
        <f>AK36-IF(BA36=1,AN36*AP36+AN36*vivienda_cierrePct,0)</f>
        <v/>
      </c>
      <c r="BE36" s="7">
        <f>IF(BA36=1,AN36,IF(3=0,0,BE35))</f>
        <v/>
      </c>
      <c r="BF36" s="7">
        <f>IF(BA36=1,AR36,IF(3=0,0,BF35))</f>
        <v/>
      </c>
      <c r="BG36" s="7">
        <f>IF(BA36=1,IF(AND(AO36=0,AP36&lt;0.2),1,0),IF(3=0,0,BY35))</f>
        <v/>
      </c>
      <c r="BH36" s="7">
        <f>IF(sel_cfg="casaAdu",1,0)</f>
        <v/>
      </c>
      <c r="BI36" s="7">
        <f>IF(AND(BB36=1,BH36=1,IF(3=0,0,BJ35)=0,A36&gt;=IF(BC36="",9999,BC36)+vivienda_aduRetrasoAnios),1,0)</f>
        <v/>
      </c>
      <c r="BJ36" s="7">
        <f>MAX(IF(3=0,0,BJ35),BI36)</f>
        <v/>
      </c>
      <c r="BK36" s="7">
        <f>IF(BI36=1,PMT((g_mortRate+0.005)/12,180,-loc_precio_aduCosto*C36),IF(3=0,0,BK35))</f>
        <v/>
      </c>
      <c r="BL36" s="7">
        <f>IF(BA36=1,AN36,IF(3=0,0,DT35))+IF(BI36=1,loc_precio_aduCosto*C36,0)</f>
        <v/>
      </c>
      <c r="BM36" s="7">
        <f>IF(BA36=1,AQ36,IF(3=0,0,DU35))</f>
        <v/>
      </c>
      <c r="BN36" s="7">
        <f>IF(BM36&lt;=0,0,FV(g_mortRate/12,12,BF36,-BM36))</f>
        <v/>
      </c>
      <c r="BO36" s="7">
        <f>IF(BM36&lt;=0,0,12*BF36+MIN(0,BN36))</f>
        <v/>
      </c>
      <c r="BP36" s="7">
        <f>MAX(0,BN36)</f>
        <v/>
      </c>
      <c r="BQ36" s="7">
        <f>IF(BI36=1,loc_precio_aduCosto*C36,IF(3=0,0,DV35))</f>
        <v/>
      </c>
      <c r="BR36" s="7">
        <f>IF(BQ36&lt;=0,0,FV((g_mortRate+0.005)/12,12,BK36,-BQ36))</f>
        <v/>
      </c>
      <c r="BS36" s="7">
        <f>IF(BQ36&lt;=0,0,12*BK36+MIN(0,BR36))</f>
        <v/>
      </c>
      <c r="BT36" s="7">
        <f>MAX(0,BR36)</f>
        <v/>
      </c>
      <c r="BU36" s="7">
        <f>IF(BB36=1,AM36*loc_seguroPct*(1+vivienda_inflacionSeguro)^(A36-2026)*IF(BJ36=1,1+loc_precio_aduCosto/AM36,1),0)</f>
        <v/>
      </c>
      <c r="BV36" s="7">
        <f>BL36*loc_impuestoPropPct</f>
        <v/>
      </c>
      <c r="BW36" s="7">
        <f>BL36*vivienda_mantenimientoPct</f>
        <v/>
      </c>
      <c r="BX36" s="7">
        <f>IF(AND(BG36=1,BP36&gt;0.8*BE36),BE36*(1-vivienda_enganchePct)*vivienda_pmiTasa,0)</f>
        <v/>
      </c>
      <c r="BY36" s="7">
        <f>IF(AND(BG36=1,BP36&gt;0.8*BE36),1,0)</f>
        <v/>
      </c>
      <c r="BZ36" s="7">
        <f>IF(BB36=1,AS36*loc_rentaUnidad*12*C36*(1-vivienda_vacancia)*(1-vivienda_gestionPct),0)</f>
        <v/>
      </c>
      <c r="CA36" s="7">
        <f>IF(BB36=1,BO36+BS36+BU36+BV36+BW36+BX36,loc_rentaMensual*12*C36)</f>
        <v/>
      </c>
      <c r="CB36" s="7">
        <f>IF(BB36=1,personal_aporteFamiliaMensual*12,0)</f>
        <v/>
      </c>
      <c r="CC36" s="7">
        <f>MIN(IF(3=0,personal_irsSaldo,CD35),personal_irsPagoMensual*12)</f>
        <v/>
      </c>
      <c r="CD36" s="7">
        <f>IF(3=0,personal_irsSaldo,CD35)-CC36</f>
        <v/>
      </c>
      <c r="CE36" s="7">
        <f>IF(3=0,IF(personal_deudaEsFederal=1,personal_deudaEstudiantil,0),DW35)</f>
        <v/>
      </c>
      <c r="CF36" s="7">
        <f>IF(3=0,personal_tasaDeudaEstudiantil,DX35)</f>
        <v/>
      </c>
      <c r="CG36" s="7">
        <f>IF(3=0,0,DY35)</f>
        <v/>
      </c>
      <c r="CH36" s="7">
        <f>IF(J36&gt;=0.5,1,0)</f>
        <v/>
      </c>
      <c r="CI36" s="7">
        <f>IF(AND(CH36=0,prestamos_pslfActivo=1,K36&gt;=0.5,CE36&gt;0),1,0)</f>
        <v/>
      </c>
      <c r="CJ36" s="7">
        <f>CE36*CF36</f>
        <v/>
      </c>
      <c r="CK36" s="7">
        <f>MAX(prestamos_rapPagoMinimoAnual,IF(Y36&lt;10000,0,MIN(0.1,INT(Y36/10000)/100))*Y36)</f>
        <v/>
      </c>
      <c r="CL36" s="7">
        <f>IF(CE36&lt;=0,0,IF(CH36=1,0,IF(CI36=1,MIN(CE36+CJ36,CK36),PMT(CF36,MAX(1,prestamos_plazoAnios-CG36),-CE36))))</f>
        <v/>
      </c>
      <c r="CM36" s="7">
        <f>IF(CE36&lt;=0,0,IF(CH36=1,CE36+CJ36,IF(CI36=1,MAX(0,CE36-MAX(CL36-CJ36,MIN(600,CL36))),MAX(0,CE36*(1+CF36)-CL36))))</f>
        <v/>
      </c>
      <c r="CN36" s="7">
        <f>IF(3=0,0,CN35)+IF(CI36=1,12*MIN(1,K36),0)</f>
        <v/>
      </c>
      <c r="CO36" s="7">
        <f>IF(AND(CI36=1,CN36&gt;=prestamos_pslfPagos,CM36&gt;0),CM36,0)</f>
        <v/>
      </c>
      <c r="CP36" s="7">
        <f>CM36-CO36</f>
        <v/>
      </c>
      <c r="CQ36" s="7">
        <f>IF(AND(CE36&gt;0,CH36=0,CI36=0),CG36+1,CG36)</f>
        <v/>
      </c>
      <c r="CR36" s="7">
        <f>IF(3=0,IF(personal_deudaEsFederal=1,0,personal_deudaEstudiantil),EA35)</f>
        <v/>
      </c>
      <c r="CS36" s="7">
        <f>IF(3=0,IF(personal_deudaEsFederal=1,prestamos_tasaPrivada,personal_tasaDeudaEstudiantil),EB35)</f>
        <v/>
      </c>
      <c r="CT36" s="7">
        <f>IF(3=0,0,EC35)</f>
        <v/>
      </c>
      <c r="CU36" s="7">
        <f>IF(OR(CR36&lt;=0,CH36=1),0,PMT(CS36,MAX(1,prestamos_plazoAnios-CT36),-CR36))</f>
        <v/>
      </c>
      <c r="CV36" s="7">
        <f>IF(CR36&lt;=0,0,IF(CH36=1,CR36*(1+CS36),MAX(0,CR36*(1+CS36)-CU36)))</f>
        <v/>
      </c>
      <c r="CW36" s="7">
        <f>IF(AND(CR36&gt;0,CH36=0),CT36+1,CT36)</f>
        <v/>
      </c>
      <c r="CX36" s="7">
        <f>IF(3=0,0,ED35)*(1+general_tasaDeudaConsumo)</f>
        <v/>
      </c>
      <c r="CY36" s="7">
        <f>L36*12*tiempos_travelGastoExtraMes*C36</f>
        <v/>
      </c>
      <c r="CZ36" s="7">
        <f>AJ36+CY36+CA36+CC36+CL36+CU36+I36+N36-BZ36-CB36</f>
        <v/>
      </c>
      <c r="DA36" s="7">
        <f>AH36-CZ36</f>
        <v/>
      </c>
      <c r="DB36" s="7">
        <f>IF(3=0,0,DB35)+DA36</f>
        <v/>
      </c>
      <c r="DC36" s="7">
        <f>AN36*vivienda_enganchePct+AN36*vivienda_cierrePct+general_reservaMeses/12*AJ36</f>
        <v/>
      </c>
      <c r="DD36" s="7">
        <f>IF(BB36=1,g_ret,IF(BD36&gt;0,MIN(1,DC36/BD36),1)*g_cash+(1-IF(BD36&gt;0,MIN(1,DC36/BD36),1))*g_ret)</f>
        <v/>
      </c>
      <c r="DE36" s="7">
        <f>IF(DA36&gt;=0,MIN(CX36,DA36),0)</f>
        <v/>
      </c>
      <c r="DF36" s="7">
        <f>IF(DA36&gt;=0,(1-general_tasaAhorro)*(DA36-DE36),0)</f>
        <v/>
      </c>
      <c r="DG36" s="7">
        <f>IF(DA36&gt;=0,DA36-DE36-DF36,0)</f>
        <v/>
      </c>
      <c r="DH36" s="7">
        <f>MIN(personal_rothAnual,DG36)</f>
        <v/>
      </c>
      <c r="DI36" s="7">
        <f>IF(AND(DA36&gt;=0,BB36=1,BP36+BT36&gt;0),MIN(vivienda_prepagoPct*(DG36-DH36),BP36+BT36),0)</f>
        <v/>
      </c>
      <c r="DJ36" s="7">
        <f>MIN(DI36,BP36)</f>
        <v/>
      </c>
      <c r="DK36" s="7">
        <f>IF(DA36&lt;0,MIN(MAX(0,BD36),-DA36),0)</f>
        <v/>
      </c>
      <c r="DL36" s="7">
        <f>IF(DA36&lt;0,-DA36-DK36,0)</f>
        <v/>
      </c>
      <c r="DM36" s="7">
        <f>IF(3=0,0,DZ35)</f>
        <v/>
      </c>
      <c r="DN36" s="7">
        <f>IF(AND(DL36&gt;0,J36&gt;0),MIN(DL36,MIN(prestamos_topeAnualPosgrado*MIN(1,J36),MAX(0,prestamos_topeTotalPosgrado-DM36))),0)</f>
        <v/>
      </c>
      <c r="DO36" s="7">
        <f>IF(AND(DL36&gt;0,J36&gt;0),DL36-DN36,0)</f>
        <v/>
      </c>
      <c r="DP36" s="7">
        <f>IF(AND(DL36&gt;0,J36&lt;=0),DL36,0)</f>
        <v/>
      </c>
      <c r="DQ36" s="7">
        <f>IF(DA36&gt;=0,DG36-DH36-DI36,-DK36)</f>
        <v/>
      </c>
      <c r="DR36" s="7">
        <f>BD36*(1+DD36)+DQ36*(1+DD36/2)</f>
        <v/>
      </c>
      <c r="DS36" s="7">
        <f>IF(3=0,personal_retiroInicial,DS35)*(1+g_ret)+(O36+P36+DH36)*(1+g_ret/2)</f>
        <v/>
      </c>
      <c r="DT36" s="7">
        <f>IF(BB36=1,BL36*(1+g_appr),0)</f>
        <v/>
      </c>
      <c r="DU36" s="7">
        <f>BP36-DJ36</f>
        <v/>
      </c>
      <c r="DV36" s="7">
        <f>BT36-(DI36-DJ36)</f>
        <v/>
      </c>
      <c r="DW36" s="7">
        <f>CP36+DN36</f>
        <v/>
      </c>
      <c r="DX36" s="7">
        <f>IF(DN36&gt;0,(CP36*CF36+DN36*prestamos_tasaFederalPosgrado)/(CP36+DN36),CF36)</f>
        <v/>
      </c>
      <c r="DY36" s="7">
        <f>IF(DN36&gt;0,0,CQ36)</f>
        <v/>
      </c>
      <c r="DZ36" s="7">
        <f>DM36+DN36</f>
        <v/>
      </c>
      <c r="EA36" s="7">
        <f>CV36+DO36</f>
        <v/>
      </c>
      <c r="EB36" s="7">
        <f>IF(DO36&gt;0,(CV36*CS36+DO36*prestamos_tasaPrivada)/(CV36+DO36),CS36)</f>
        <v/>
      </c>
      <c r="EC36" s="7">
        <f>IF(DO36&gt;0,0,CW36)</f>
        <v/>
      </c>
      <c r="ED36" s="7">
        <f>CX36-DE36+DP36</f>
        <v/>
      </c>
      <c r="EE36" s="7">
        <f>IF(IF(3=0,"",EE35)&lt;&gt;"",EE35,IF(AND(BB36=1,DU36&lt;=0.5,DV36&lt;=0.5,OR(BH36=0,BJ36=1)),A36,""))</f>
        <v/>
      </c>
      <c r="EF36" s="7">
        <f>DU36+DV36+DW36+EA36+ED36+CD36</f>
        <v/>
      </c>
      <c r="EG36" s="7">
        <f>DR36+DS36+DT36-EF36</f>
        <v/>
      </c>
      <c r="EH36" s="7">
        <f>EG36/(1+g_inf)^(A36+1-2026)</f>
        <v/>
      </c>
    </row>
    <row r="37">
      <c r="A37" t="n">
        <v>2031</v>
      </c>
      <c r="B37" t="n">
        <v>4</v>
      </c>
      <c r="C37" s="7">
        <f>(1+g_inf)^(A37-2026)</f>
        <v/>
      </c>
      <c r="D37" s="7">
        <f>SUMPRODUCT($X$5:$X$29,$E$5:$E$29*(1+$F$5:$F$29)^(A37-2026)*$G$5:$G$29*$H$5:$H$29*(1-$N$5:$N$29*$O$5:$O$29))*g_salMult+SUMPRODUCT(($B$5:$B$29&gt;=A37)*($B$5:$B$29&lt;A37+1)*$I$5:$I$29)*g_salMult</f>
        <v/>
      </c>
      <c r="E37" s="7">
        <f>SUMPRODUCT($X$5:$X$29,$E$5:$E$29*(1+$F$5:$F$29)^(A37-2026)*$G$5:$G$29*$H$5:$H$29*$M$5:$M$29)*g_salMult</f>
        <v/>
      </c>
      <c r="F37" s="7">
        <f>SUMPRODUCT($X$5:$X$29,$E$5:$E$29*(1+$F$5:$F$29)^(A37-2026)*$G$5:$G$29*$H$5:$H$29*$N$5:$N$29*$O$5:$O$29)*g_salMult</f>
        <v/>
      </c>
      <c r="G37" s="7">
        <f>SUMPRODUCT($X$5:$X$29,$P$5:$P$29*(1+$F$5:$F$29)^(A37-2026))</f>
        <v/>
      </c>
      <c r="H37" s="7">
        <f>SUMPRODUCT($X$5:$X$29,$Q$5:$Q$29*(1+$F$5:$F$29)^(A37-2026))+IF(personal_llcActivo=1,personal_llcNeto*(1+personal_llcCrecimiento)^4,0)</f>
        <v/>
      </c>
      <c r="I37" s="7">
        <f>SUMPRODUCT($X$5:$X$29,$J$5:$J$29/($C$5:$C$29-$B$5:$B$29+($C$5:$C$29=$B$5:$B$29)))*C37</f>
        <v/>
      </c>
      <c r="J37" s="7">
        <f>SUMPRODUCT($X$5:$X$29,$K$5:$K$29)</f>
        <v/>
      </c>
      <c r="K37" s="7">
        <f>SUMPRODUCT($X$5:$X$29,$L$5:$L$29)</f>
        <v/>
      </c>
      <c r="L37" s="7">
        <f>SUMPRODUCT($X$5:$X$29,$N$5:$N$29)</f>
        <v/>
      </c>
      <c r="M37" s="7">
        <f>IF(SUMPRODUCT($X$5:$X$29,$R$5:$R$29)&gt;0,1,0)</f>
        <v/>
      </c>
      <c r="N37" s="7">
        <f>SUMPRODUCT(($AO$5:$AO$24&gt;=A37)*($AO$5:$AO$24&lt;A37+1)*$AP$5:$AP$24)*C37+IF(4=0,IF(sel_loc&lt;&gt;"miami",personal_costoMudanzaInicial,0),0)</f>
        <v/>
      </c>
      <c r="O37" s="7">
        <f>MIN(personal_aporte403bPct*D37,retiro_limite403b*C37)</f>
        <v/>
      </c>
      <c r="P37" s="7">
        <f>MIN(personal_aporte403bPct,personal_match403bPct)*E37</f>
        <v/>
      </c>
      <c r="Q37" s="7">
        <f>IF(G37&gt;0,MAX(0,G37-impuestos_scorpCostoAnual*C37),0)</f>
        <v/>
      </c>
      <c r="R37" s="7">
        <f>Q37*impuestos_scorpSalarioPct/(1+impuestos_ssTasa+impuestos_medicareTasa)</f>
        <v/>
      </c>
      <c r="S37" s="7">
        <f>impuestos_ssTasa*MIN(R37,MAX(0,impuestos_ssTope*C37-D37))+impuestos_medicareTasa*R37</f>
        <v/>
      </c>
      <c r="T37" s="7">
        <f>Q37-R37-S37</f>
        <v/>
      </c>
      <c r="U37" s="7">
        <f>D37+R37</f>
        <v/>
      </c>
      <c r="V37" s="7">
        <f>H37*0.9235</f>
        <v/>
      </c>
      <c r="W37" s="7">
        <f>IF(H37&gt;0,2*impuestos_ssTasa*MIN(V37,MAX(0,impuestos_ssTope*C37-U37))+2*impuestos_medicareTasa*V37,0)</f>
        <v/>
      </c>
      <c r="X37" s="7">
        <f>impuestos_ssTasa*MIN(U37,impuestos_ssTope*C37)+impuestos_medicareTasa*U37+impuestos_medicareAdicional*MAX(0,U37+H37*0.9235-impuestos_medicareUmbral)</f>
        <v/>
      </c>
      <c r="Y37" s="7">
        <f>MAX(0,D37-O37+R37+T37+H37-W37/2)</f>
        <v/>
      </c>
      <c r="Z37" s="7">
        <f>MAX(0,Y37-impuestos_deduccionEstandar*C37)</f>
        <v/>
      </c>
      <c r="AA37" s="7">
        <f>MIN(0.2*MAX(0,T37+H37-W37/2)*MAX(0,MIN(1,1-(Z37-impuestos_qbiUmbral*C37)/(impuestos_qbiRango*C37))),0.2*Z37)</f>
        <v/>
      </c>
      <c r="AB37" s="7">
        <f>MAX(0,Z37-AA37)</f>
        <v/>
      </c>
      <c r="AC37" s="7">
        <f>SUMPRODUCT((AB37&gt;tb_federalBrackets_lo*C37)*(AB37-tb_federalBrackets_lo*C37)*tb_federalBrackets_dr)</f>
        <v/>
      </c>
      <c r="AD37" s="7">
        <f>MAX(0,Y37-impuestos_nyDeduccion*C37)</f>
        <v/>
      </c>
      <c r="AE37" s="7">
        <f>CHOOSE(loc_taxcode,0,impuestos_ohTasa*MAX(0,Y37-impuestos_ohExento*C37)+impuestos_ohMunicipal*U37,SUMPRODUCT((AD37&gt;tb_nyBrackets_lo*C37)*(AD37-tb_nyBrackets_lo*C37)*tb_nyBrackets_dr)+loc_nyc*SUMPRODUCT((AD37&gt;tb_nycBrackets_lo*C37)*(AD37-tb_nycBrackets_lo*C37)*tb_nycBrackets_dr))</f>
        <v/>
      </c>
      <c r="AF37" s="7">
        <f>AC37+AE37+X37+W37</f>
        <v/>
      </c>
      <c r="AG37" s="7">
        <f>D37+F37+R37+T37+H37</f>
        <v/>
      </c>
      <c r="AH37" s="7">
        <f>AG37-AF37-O37</f>
        <v/>
      </c>
      <c r="AI37" s="7">
        <f>D37+F37+G37+H37</f>
        <v/>
      </c>
      <c r="AJ37" s="7">
        <f>loc_gastosVida*C37*g_gastos</f>
        <v/>
      </c>
      <c r="AK37" s="7">
        <f>IF(4=0,personal_liquidoInicial,DR36)</f>
        <v/>
      </c>
      <c r="AL37" s="7">
        <f>IF(4=0,0,BB36)</f>
        <v/>
      </c>
      <c r="AM37" s="7">
        <f>CHOOSE(sel_cfgIdx,loc_precio_duplex,loc_precio_inlaw,loc_precio_dosCasas,loc_precio_casaAdu,loc_precio_multi)</f>
        <v/>
      </c>
      <c r="AN37" s="7">
        <f>AM37*(1+g_appr)^(A37-2026)</f>
        <v/>
      </c>
      <c r="AO37" s="7">
        <f>IF(AND(M37=1,vivienda_prestamoMedico=1),1,0)</f>
        <v/>
      </c>
      <c r="AP37" s="7">
        <f>IF(AO37=1,0.05,vivienda_enganchePct)</f>
        <v/>
      </c>
      <c r="AQ37" s="7">
        <f>AN37*(1-AP37)</f>
        <v/>
      </c>
      <c r="AR37" s="7">
        <f>PMT(g_mortRate/12,vivienda_plazoHipoteca*12,-AQ37)</f>
        <v/>
      </c>
      <c r="AS37" s="7">
        <f>INDEX(cfg_units,sel_cfgIdx)</f>
        <v/>
      </c>
      <c r="AT37" s="7">
        <f>AS37*loc_rentaUnidad*(1+g_inf)^(A37-2026)*(1-vivienda_vacancia)</f>
        <v/>
      </c>
      <c r="AU37" s="7">
        <f>AR37+AN37*loc_impuestoPropPct/12+AM37*loc_seguroPct*(1+vivienda_inflacionSeguro)^(A37-2026)/12+IF(AND(AO37=0,AP37&lt;0.2),AQ37*vivienda_pmiTasa/12,0)</f>
        <v/>
      </c>
      <c r="AV37" s="7">
        <f>AN37*AP37+AN37*vivienda_cierrePct+general_reservaMeses/12*AJ37</f>
        <v/>
      </c>
      <c r="AW37" s="7">
        <f>(IF(4=0,MIN(personal_irsSaldo,personal_irsPagoMensual*12),MIN(CD36,personal_irsPagoMensual*12))+IF(CE37&gt;0,PMT(CF37,MAX(1,prestamos_plazoAnios-CG37),-CE37),0)+IF(CR37&gt;0,PMT(CS37,MAX(1,prestamos_plazoAnios-CT37),-CR37),0))/12</f>
        <v/>
      </c>
      <c r="AX37" s="7">
        <f>IF(OR(sel_cfg="duplex",sel_cfg="multi",sel_cfg="dosCasas"),0.75*personal_aporteFamiliaMensual,0)</f>
        <v/>
      </c>
      <c r="AY37" s="7">
        <f>AU37-0.75*AT37-AX37+AW37</f>
        <v/>
      </c>
      <c r="AZ37" s="7">
        <f>(D37+G37+H37+0.5*F37)/12</f>
        <v/>
      </c>
      <c r="BA37" s="7">
        <f>IF(AND(AL37=0,A37&gt;=vivienda_anioMinCompra,J37&lt;0.5,AI37&gt;0,AK37&gt;=AV37,AY37&lt;=vivienda_dtiMax*AZ37),1,0)</f>
        <v/>
      </c>
      <c r="BB37" s="7">
        <f>MAX(AL37,BA37)</f>
        <v/>
      </c>
      <c r="BC37" s="7">
        <f>IF(BA37=1,A37,IF(4=0,"",BC36))</f>
        <v/>
      </c>
      <c r="BD37" s="7">
        <f>AK37-IF(BA37=1,AN37*AP37+AN37*vivienda_cierrePct,0)</f>
        <v/>
      </c>
      <c r="BE37" s="7">
        <f>IF(BA37=1,AN37,IF(4=0,0,BE36))</f>
        <v/>
      </c>
      <c r="BF37" s="7">
        <f>IF(BA37=1,AR37,IF(4=0,0,BF36))</f>
        <v/>
      </c>
      <c r="BG37" s="7">
        <f>IF(BA37=1,IF(AND(AO37=0,AP37&lt;0.2),1,0),IF(4=0,0,BY36))</f>
        <v/>
      </c>
      <c r="BH37" s="7">
        <f>IF(sel_cfg="casaAdu",1,0)</f>
        <v/>
      </c>
      <c r="BI37" s="7">
        <f>IF(AND(BB37=1,BH37=1,IF(4=0,0,BJ36)=0,A37&gt;=IF(BC37="",9999,BC37)+vivienda_aduRetrasoAnios),1,0)</f>
        <v/>
      </c>
      <c r="BJ37" s="7">
        <f>MAX(IF(4=0,0,BJ36),BI37)</f>
        <v/>
      </c>
      <c r="BK37" s="7">
        <f>IF(BI37=1,PMT((g_mortRate+0.005)/12,180,-loc_precio_aduCosto*C37),IF(4=0,0,BK36))</f>
        <v/>
      </c>
      <c r="BL37" s="7">
        <f>IF(BA37=1,AN37,IF(4=0,0,DT36))+IF(BI37=1,loc_precio_aduCosto*C37,0)</f>
        <v/>
      </c>
      <c r="BM37" s="7">
        <f>IF(BA37=1,AQ37,IF(4=0,0,DU36))</f>
        <v/>
      </c>
      <c r="BN37" s="7">
        <f>IF(BM37&lt;=0,0,FV(g_mortRate/12,12,BF37,-BM37))</f>
        <v/>
      </c>
      <c r="BO37" s="7">
        <f>IF(BM37&lt;=0,0,12*BF37+MIN(0,BN37))</f>
        <v/>
      </c>
      <c r="BP37" s="7">
        <f>MAX(0,BN37)</f>
        <v/>
      </c>
      <c r="BQ37" s="7">
        <f>IF(BI37=1,loc_precio_aduCosto*C37,IF(4=0,0,DV36))</f>
        <v/>
      </c>
      <c r="BR37" s="7">
        <f>IF(BQ37&lt;=0,0,FV((g_mortRate+0.005)/12,12,BK37,-BQ37))</f>
        <v/>
      </c>
      <c r="BS37" s="7">
        <f>IF(BQ37&lt;=0,0,12*BK37+MIN(0,BR37))</f>
        <v/>
      </c>
      <c r="BT37" s="7">
        <f>MAX(0,BR37)</f>
        <v/>
      </c>
      <c r="BU37" s="7">
        <f>IF(BB37=1,AM37*loc_seguroPct*(1+vivienda_inflacionSeguro)^(A37-2026)*IF(BJ37=1,1+loc_precio_aduCosto/AM37,1),0)</f>
        <v/>
      </c>
      <c r="BV37" s="7">
        <f>BL37*loc_impuestoPropPct</f>
        <v/>
      </c>
      <c r="BW37" s="7">
        <f>BL37*vivienda_mantenimientoPct</f>
        <v/>
      </c>
      <c r="BX37" s="7">
        <f>IF(AND(BG37=1,BP37&gt;0.8*BE37),BE37*(1-vivienda_enganchePct)*vivienda_pmiTasa,0)</f>
        <v/>
      </c>
      <c r="BY37" s="7">
        <f>IF(AND(BG37=1,BP37&gt;0.8*BE37),1,0)</f>
        <v/>
      </c>
      <c r="BZ37" s="7">
        <f>IF(BB37=1,AS37*loc_rentaUnidad*12*C37*(1-vivienda_vacancia)*(1-vivienda_gestionPct),0)</f>
        <v/>
      </c>
      <c r="CA37" s="7">
        <f>IF(BB37=1,BO37+BS37+BU37+BV37+BW37+BX37,loc_rentaMensual*12*C37)</f>
        <v/>
      </c>
      <c r="CB37" s="7">
        <f>IF(BB37=1,personal_aporteFamiliaMensual*12,0)</f>
        <v/>
      </c>
      <c r="CC37" s="7">
        <f>MIN(IF(4=0,personal_irsSaldo,CD36),personal_irsPagoMensual*12)</f>
        <v/>
      </c>
      <c r="CD37" s="7">
        <f>IF(4=0,personal_irsSaldo,CD36)-CC37</f>
        <v/>
      </c>
      <c r="CE37" s="7">
        <f>IF(4=0,IF(personal_deudaEsFederal=1,personal_deudaEstudiantil,0),DW36)</f>
        <v/>
      </c>
      <c r="CF37" s="7">
        <f>IF(4=0,personal_tasaDeudaEstudiantil,DX36)</f>
        <v/>
      </c>
      <c r="CG37" s="7">
        <f>IF(4=0,0,DY36)</f>
        <v/>
      </c>
      <c r="CH37" s="7">
        <f>IF(J37&gt;=0.5,1,0)</f>
        <v/>
      </c>
      <c r="CI37" s="7">
        <f>IF(AND(CH37=0,prestamos_pslfActivo=1,K37&gt;=0.5,CE37&gt;0),1,0)</f>
        <v/>
      </c>
      <c r="CJ37" s="7">
        <f>CE37*CF37</f>
        <v/>
      </c>
      <c r="CK37" s="7">
        <f>MAX(prestamos_rapPagoMinimoAnual,IF(Y37&lt;10000,0,MIN(0.1,INT(Y37/10000)/100))*Y37)</f>
        <v/>
      </c>
      <c r="CL37" s="7">
        <f>IF(CE37&lt;=0,0,IF(CH37=1,0,IF(CI37=1,MIN(CE37+CJ37,CK37),PMT(CF37,MAX(1,prestamos_plazoAnios-CG37),-CE37))))</f>
        <v/>
      </c>
      <c r="CM37" s="7">
        <f>IF(CE37&lt;=0,0,IF(CH37=1,CE37+CJ37,IF(CI37=1,MAX(0,CE37-MAX(CL37-CJ37,MIN(600,CL37))),MAX(0,CE37*(1+CF37)-CL37))))</f>
        <v/>
      </c>
      <c r="CN37" s="7">
        <f>IF(4=0,0,CN36)+IF(CI37=1,12*MIN(1,K37),0)</f>
        <v/>
      </c>
      <c r="CO37" s="7">
        <f>IF(AND(CI37=1,CN37&gt;=prestamos_pslfPagos,CM37&gt;0),CM37,0)</f>
        <v/>
      </c>
      <c r="CP37" s="7">
        <f>CM37-CO37</f>
        <v/>
      </c>
      <c r="CQ37" s="7">
        <f>IF(AND(CE37&gt;0,CH37=0,CI37=0),CG37+1,CG37)</f>
        <v/>
      </c>
      <c r="CR37" s="7">
        <f>IF(4=0,IF(personal_deudaEsFederal=1,0,personal_deudaEstudiantil),EA36)</f>
        <v/>
      </c>
      <c r="CS37" s="7">
        <f>IF(4=0,IF(personal_deudaEsFederal=1,prestamos_tasaPrivada,personal_tasaDeudaEstudiantil),EB36)</f>
        <v/>
      </c>
      <c r="CT37" s="7">
        <f>IF(4=0,0,EC36)</f>
        <v/>
      </c>
      <c r="CU37" s="7">
        <f>IF(OR(CR37&lt;=0,CH37=1),0,PMT(CS37,MAX(1,prestamos_plazoAnios-CT37),-CR37))</f>
        <v/>
      </c>
      <c r="CV37" s="7">
        <f>IF(CR37&lt;=0,0,IF(CH37=1,CR37*(1+CS37),MAX(0,CR37*(1+CS37)-CU37)))</f>
        <v/>
      </c>
      <c r="CW37" s="7">
        <f>IF(AND(CR37&gt;0,CH37=0),CT37+1,CT37)</f>
        <v/>
      </c>
      <c r="CX37" s="7">
        <f>IF(4=0,0,ED36)*(1+general_tasaDeudaConsumo)</f>
        <v/>
      </c>
      <c r="CY37" s="7">
        <f>L37*12*tiempos_travelGastoExtraMes*C37</f>
        <v/>
      </c>
      <c r="CZ37" s="7">
        <f>AJ37+CY37+CA37+CC37+CL37+CU37+I37+N37-BZ37-CB37</f>
        <v/>
      </c>
      <c r="DA37" s="7">
        <f>AH37-CZ37</f>
        <v/>
      </c>
      <c r="DB37" s="7">
        <f>IF(4=0,0,DB36)+DA37</f>
        <v/>
      </c>
      <c r="DC37" s="7">
        <f>AN37*vivienda_enganchePct+AN37*vivienda_cierrePct+general_reservaMeses/12*AJ37</f>
        <v/>
      </c>
      <c r="DD37" s="7">
        <f>IF(BB37=1,g_ret,IF(BD37&gt;0,MIN(1,DC37/BD37),1)*g_cash+(1-IF(BD37&gt;0,MIN(1,DC37/BD37),1))*g_ret)</f>
        <v/>
      </c>
      <c r="DE37" s="7">
        <f>IF(DA37&gt;=0,MIN(CX37,DA37),0)</f>
        <v/>
      </c>
      <c r="DF37" s="7">
        <f>IF(DA37&gt;=0,(1-general_tasaAhorro)*(DA37-DE37),0)</f>
        <v/>
      </c>
      <c r="DG37" s="7">
        <f>IF(DA37&gt;=0,DA37-DE37-DF37,0)</f>
        <v/>
      </c>
      <c r="DH37" s="7">
        <f>MIN(personal_rothAnual,DG37)</f>
        <v/>
      </c>
      <c r="DI37" s="7">
        <f>IF(AND(DA37&gt;=0,BB37=1,BP37+BT37&gt;0),MIN(vivienda_prepagoPct*(DG37-DH37),BP37+BT37),0)</f>
        <v/>
      </c>
      <c r="DJ37" s="7">
        <f>MIN(DI37,BP37)</f>
        <v/>
      </c>
      <c r="DK37" s="7">
        <f>IF(DA37&lt;0,MIN(MAX(0,BD37),-DA37),0)</f>
        <v/>
      </c>
      <c r="DL37" s="7">
        <f>IF(DA37&lt;0,-DA37-DK37,0)</f>
        <v/>
      </c>
      <c r="DM37" s="7">
        <f>IF(4=0,0,DZ36)</f>
        <v/>
      </c>
      <c r="DN37" s="7">
        <f>IF(AND(DL37&gt;0,J37&gt;0),MIN(DL37,MIN(prestamos_topeAnualPosgrado*MIN(1,J37),MAX(0,prestamos_topeTotalPosgrado-DM37))),0)</f>
        <v/>
      </c>
      <c r="DO37" s="7">
        <f>IF(AND(DL37&gt;0,J37&gt;0),DL37-DN37,0)</f>
        <v/>
      </c>
      <c r="DP37" s="7">
        <f>IF(AND(DL37&gt;0,J37&lt;=0),DL37,0)</f>
        <v/>
      </c>
      <c r="DQ37" s="7">
        <f>IF(DA37&gt;=0,DG37-DH37-DI37,-DK37)</f>
        <v/>
      </c>
      <c r="DR37" s="7">
        <f>BD37*(1+DD37)+DQ37*(1+DD37/2)</f>
        <v/>
      </c>
      <c r="DS37" s="7">
        <f>IF(4=0,personal_retiroInicial,DS36)*(1+g_ret)+(O37+P37+DH37)*(1+g_ret/2)</f>
        <v/>
      </c>
      <c r="DT37" s="7">
        <f>IF(BB37=1,BL37*(1+g_appr),0)</f>
        <v/>
      </c>
      <c r="DU37" s="7">
        <f>BP37-DJ37</f>
        <v/>
      </c>
      <c r="DV37" s="7">
        <f>BT37-(DI37-DJ37)</f>
        <v/>
      </c>
      <c r="DW37" s="7">
        <f>CP37+DN37</f>
        <v/>
      </c>
      <c r="DX37" s="7">
        <f>IF(DN37&gt;0,(CP37*CF37+DN37*prestamos_tasaFederalPosgrado)/(CP37+DN37),CF37)</f>
        <v/>
      </c>
      <c r="DY37" s="7">
        <f>IF(DN37&gt;0,0,CQ37)</f>
        <v/>
      </c>
      <c r="DZ37" s="7">
        <f>DM37+DN37</f>
        <v/>
      </c>
      <c r="EA37" s="7">
        <f>CV37+DO37</f>
        <v/>
      </c>
      <c r="EB37" s="7">
        <f>IF(DO37&gt;0,(CV37*CS37+DO37*prestamos_tasaPrivada)/(CV37+DO37),CS37)</f>
        <v/>
      </c>
      <c r="EC37" s="7">
        <f>IF(DO37&gt;0,0,CW37)</f>
        <v/>
      </c>
      <c r="ED37" s="7">
        <f>CX37-DE37+DP37</f>
        <v/>
      </c>
      <c r="EE37" s="7">
        <f>IF(IF(4=0,"",EE36)&lt;&gt;"",EE36,IF(AND(BB37=1,DU37&lt;=0.5,DV37&lt;=0.5,OR(BH37=0,BJ37=1)),A37,""))</f>
        <v/>
      </c>
      <c r="EF37" s="7">
        <f>DU37+DV37+DW37+EA37+ED37+CD37</f>
        <v/>
      </c>
      <c r="EG37" s="7">
        <f>DR37+DS37+DT37-EF37</f>
        <v/>
      </c>
      <c r="EH37" s="7">
        <f>EG37/(1+g_inf)^(A37+1-2026)</f>
        <v/>
      </c>
    </row>
    <row r="38">
      <c r="A38" t="n">
        <v>2032</v>
      </c>
      <c r="B38" t="n">
        <v>5</v>
      </c>
      <c r="C38" s="7">
        <f>(1+g_inf)^(A38-2026)</f>
        <v/>
      </c>
      <c r="D38" s="7">
        <f>SUMPRODUCT($Y$5:$Y$29,$E$5:$E$29*(1+$F$5:$F$29)^(A38-2026)*$G$5:$G$29*$H$5:$H$29*(1-$N$5:$N$29*$O$5:$O$29))*g_salMult+SUMPRODUCT(($B$5:$B$29&gt;=A38)*($B$5:$B$29&lt;A38+1)*$I$5:$I$29)*g_salMult</f>
        <v/>
      </c>
      <c r="E38" s="7">
        <f>SUMPRODUCT($Y$5:$Y$29,$E$5:$E$29*(1+$F$5:$F$29)^(A38-2026)*$G$5:$G$29*$H$5:$H$29*$M$5:$M$29)*g_salMult</f>
        <v/>
      </c>
      <c r="F38" s="7">
        <f>SUMPRODUCT($Y$5:$Y$29,$E$5:$E$29*(1+$F$5:$F$29)^(A38-2026)*$G$5:$G$29*$H$5:$H$29*$N$5:$N$29*$O$5:$O$29)*g_salMult</f>
        <v/>
      </c>
      <c r="G38" s="7">
        <f>SUMPRODUCT($Y$5:$Y$29,$P$5:$P$29*(1+$F$5:$F$29)^(A38-2026))</f>
        <v/>
      </c>
      <c r="H38" s="7">
        <f>SUMPRODUCT($Y$5:$Y$29,$Q$5:$Q$29*(1+$F$5:$F$29)^(A38-2026))+IF(personal_llcActivo=1,personal_llcNeto*(1+personal_llcCrecimiento)^5,0)</f>
        <v/>
      </c>
      <c r="I38" s="7">
        <f>SUMPRODUCT($Y$5:$Y$29,$J$5:$J$29/($C$5:$C$29-$B$5:$B$29+($C$5:$C$29=$B$5:$B$29)))*C38</f>
        <v/>
      </c>
      <c r="J38" s="7">
        <f>SUMPRODUCT($Y$5:$Y$29,$K$5:$K$29)</f>
        <v/>
      </c>
      <c r="K38" s="7">
        <f>SUMPRODUCT($Y$5:$Y$29,$L$5:$L$29)</f>
        <v/>
      </c>
      <c r="L38" s="7">
        <f>SUMPRODUCT($Y$5:$Y$29,$N$5:$N$29)</f>
        <v/>
      </c>
      <c r="M38" s="7">
        <f>IF(SUMPRODUCT($Y$5:$Y$29,$R$5:$R$29)&gt;0,1,0)</f>
        <v/>
      </c>
      <c r="N38" s="7">
        <f>SUMPRODUCT(($AO$5:$AO$24&gt;=A38)*($AO$5:$AO$24&lt;A38+1)*$AP$5:$AP$24)*C38+IF(5=0,IF(sel_loc&lt;&gt;"miami",personal_costoMudanzaInicial,0),0)</f>
        <v/>
      </c>
      <c r="O38" s="7">
        <f>MIN(personal_aporte403bPct*D38,retiro_limite403b*C38)</f>
        <v/>
      </c>
      <c r="P38" s="7">
        <f>MIN(personal_aporte403bPct,personal_match403bPct)*E38</f>
        <v/>
      </c>
      <c r="Q38" s="7">
        <f>IF(G38&gt;0,MAX(0,G38-impuestos_scorpCostoAnual*C38),0)</f>
        <v/>
      </c>
      <c r="R38" s="7">
        <f>Q38*impuestos_scorpSalarioPct/(1+impuestos_ssTasa+impuestos_medicareTasa)</f>
        <v/>
      </c>
      <c r="S38" s="7">
        <f>impuestos_ssTasa*MIN(R38,MAX(0,impuestos_ssTope*C38-D38))+impuestos_medicareTasa*R38</f>
        <v/>
      </c>
      <c r="T38" s="7">
        <f>Q38-R38-S38</f>
        <v/>
      </c>
      <c r="U38" s="7">
        <f>D38+R38</f>
        <v/>
      </c>
      <c r="V38" s="7">
        <f>H38*0.9235</f>
        <v/>
      </c>
      <c r="W38" s="7">
        <f>IF(H38&gt;0,2*impuestos_ssTasa*MIN(V38,MAX(0,impuestos_ssTope*C38-U38))+2*impuestos_medicareTasa*V38,0)</f>
        <v/>
      </c>
      <c r="X38" s="7">
        <f>impuestos_ssTasa*MIN(U38,impuestos_ssTope*C38)+impuestos_medicareTasa*U38+impuestos_medicareAdicional*MAX(0,U38+H38*0.9235-impuestos_medicareUmbral)</f>
        <v/>
      </c>
      <c r="Y38" s="7">
        <f>MAX(0,D38-O38+R38+T38+H38-W38/2)</f>
        <v/>
      </c>
      <c r="Z38" s="7">
        <f>MAX(0,Y38-impuestos_deduccionEstandar*C38)</f>
        <v/>
      </c>
      <c r="AA38" s="7">
        <f>MIN(0.2*MAX(0,T38+H38-W38/2)*MAX(0,MIN(1,1-(Z38-impuestos_qbiUmbral*C38)/(impuestos_qbiRango*C38))),0.2*Z38)</f>
        <v/>
      </c>
      <c r="AB38" s="7">
        <f>MAX(0,Z38-AA38)</f>
        <v/>
      </c>
      <c r="AC38" s="7">
        <f>SUMPRODUCT((AB38&gt;tb_federalBrackets_lo*C38)*(AB38-tb_federalBrackets_lo*C38)*tb_federalBrackets_dr)</f>
        <v/>
      </c>
      <c r="AD38" s="7">
        <f>MAX(0,Y38-impuestos_nyDeduccion*C38)</f>
        <v/>
      </c>
      <c r="AE38" s="7">
        <f>CHOOSE(loc_taxcode,0,impuestos_ohTasa*MAX(0,Y38-impuestos_ohExento*C38)+impuestos_ohMunicipal*U38,SUMPRODUCT((AD38&gt;tb_nyBrackets_lo*C38)*(AD38-tb_nyBrackets_lo*C38)*tb_nyBrackets_dr)+loc_nyc*SUMPRODUCT((AD38&gt;tb_nycBrackets_lo*C38)*(AD38-tb_nycBrackets_lo*C38)*tb_nycBrackets_dr))</f>
        <v/>
      </c>
      <c r="AF38" s="7">
        <f>AC38+AE38+X38+W38</f>
        <v/>
      </c>
      <c r="AG38" s="7">
        <f>D38+F38+R38+T38+H38</f>
        <v/>
      </c>
      <c r="AH38" s="7">
        <f>AG38-AF38-O38</f>
        <v/>
      </c>
      <c r="AI38" s="7">
        <f>D38+F38+G38+H38</f>
        <v/>
      </c>
      <c r="AJ38" s="7">
        <f>loc_gastosVida*C38*g_gastos</f>
        <v/>
      </c>
      <c r="AK38" s="7">
        <f>IF(5=0,personal_liquidoInicial,DR37)</f>
        <v/>
      </c>
      <c r="AL38" s="7">
        <f>IF(5=0,0,BB37)</f>
        <v/>
      </c>
      <c r="AM38" s="7">
        <f>CHOOSE(sel_cfgIdx,loc_precio_duplex,loc_precio_inlaw,loc_precio_dosCasas,loc_precio_casaAdu,loc_precio_multi)</f>
        <v/>
      </c>
      <c r="AN38" s="7">
        <f>AM38*(1+g_appr)^(A38-2026)</f>
        <v/>
      </c>
      <c r="AO38" s="7">
        <f>IF(AND(M38=1,vivienda_prestamoMedico=1),1,0)</f>
        <v/>
      </c>
      <c r="AP38" s="7">
        <f>IF(AO38=1,0.05,vivienda_enganchePct)</f>
        <v/>
      </c>
      <c r="AQ38" s="7">
        <f>AN38*(1-AP38)</f>
        <v/>
      </c>
      <c r="AR38" s="7">
        <f>PMT(g_mortRate/12,vivienda_plazoHipoteca*12,-AQ38)</f>
        <v/>
      </c>
      <c r="AS38" s="7">
        <f>INDEX(cfg_units,sel_cfgIdx)</f>
        <v/>
      </c>
      <c r="AT38" s="7">
        <f>AS38*loc_rentaUnidad*(1+g_inf)^(A38-2026)*(1-vivienda_vacancia)</f>
        <v/>
      </c>
      <c r="AU38" s="7">
        <f>AR38+AN38*loc_impuestoPropPct/12+AM38*loc_seguroPct*(1+vivienda_inflacionSeguro)^(A38-2026)/12+IF(AND(AO38=0,AP38&lt;0.2),AQ38*vivienda_pmiTasa/12,0)</f>
        <v/>
      </c>
      <c r="AV38" s="7">
        <f>AN38*AP38+AN38*vivienda_cierrePct+general_reservaMeses/12*AJ38</f>
        <v/>
      </c>
      <c r="AW38" s="7">
        <f>(IF(5=0,MIN(personal_irsSaldo,personal_irsPagoMensual*12),MIN(CD37,personal_irsPagoMensual*12))+IF(CE38&gt;0,PMT(CF38,MAX(1,prestamos_plazoAnios-CG38),-CE38),0)+IF(CR38&gt;0,PMT(CS38,MAX(1,prestamos_plazoAnios-CT38),-CR38),0))/12</f>
        <v/>
      </c>
      <c r="AX38" s="7">
        <f>IF(OR(sel_cfg="duplex",sel_cfg="multi",sel_cfg="dosCasas"),0.75*personal_aporteFamiliaMensual,0)</f>
        <v/>
      </c>
      <c r="AY38" s="7">
        <f>AU38-0.75*AT38-AX38+AW38</f>
        <v/>
      </c>
      <c r="AZ38" s="7">
        <f>(D38+G38+H38+0.5*F38)/12</f>
        <v/>
      </c>
      <c r="BA38" s="7">
        <f>IF(AND(AL38=0,A38&gt;=vivienda_anioMinCompra,J38&lt;0.5,AI38&gt;0,AK38&gt;=AV38,AY38&lt;=vivienda_dtiMax*AZ38),1,0)</f>
        <v/>
      </c>
      <c r="BB38" s="7">
        <f>MAX(AL38,BA38)</f>
        <v/>
      </c>
      <c r="BC38" s="7">
        <f>IF(BA38=1,A38,IF(5=0,"",BC37))</f>
        <v/>
      </c>
      <c r="BD38" s="7">
        <f>AK38-IF(BA38=1,AN38*AP38+AN38*vivienda_cierrePct,0)</f>
        <v/>
      </c>
      <c r="BE38" s="7">
        <f>IF(BA38=1,AN38,IF(5=0,0,BE37))</f>
        <v/>
      </c>
      <c r="BF38" s="7">
        <f>IF(BA38=1,AR38,IF(5=0,0,BF37))</f>
        <v/>
      </c>
      <c r="BG38" s="7">
        <f>IF(BA38=1,IF(AND(AO38=0,AP38&lt;0.2),1,0),IF(5=0,0,BY37))</f>
        <v/>
      </c>
      <c r="BH38" s="7">
        <f>IF(sel_cfg="casaAdu",1,0)</f>
        <v/>
      </c>
      <c r="BI38" s="7">
        <f>IF(AND(BB38=1,BH38=1,IF(5=0,0,BJ37)=0,A38&gt;=IF(BC38="",9999,BC38)+vivienda_aduRetrasoAnios),1,0)</f>
        <v/>
      </c>
      <c r="BJ38" s="7">
        <f>MAX(IF(5=0,0,BJ37),BI38)</f>
        <v/>
      </c>
      <c r="BK38" s="7">
        <f>IF(BI38=1,PMT((g_mortRate+0.005)/12,180,-loc_precio_aduCosto*C38),IF(5=0,0,BK37))</f>
        <v/>
      </c>
      <c r="BL38" s="7">
        <f>IF(BA38=1,AN38,IF(5=0,0,DT37))+IF(BI38=1,loc_precio_aduCosto*C38,0)</f>
        <v/>
      </c>
      <c r="BM38" s="7">
        <f>IF(BA38=1,AQ38,IF(5=0,0,DU37))</f>
        <v/>
      </c>
      <c r="BN38" s="7">
        <f>IF(BM38&lt;=0,0,FV(g_mortRate/12,12,BF38,-BM38))</f>
        <v/>
      </c>
      <c r="BO38" s="7">
        <f>IF(BM38&lt;=0,0,12*BF38+MIN(0,BN38))</f>
        <v/>
      </c>
      <c r="BP38" s="7">
        <f>MAX(0,BN38)</f>
        <v/>
      </c>
      <c r="BQ38" s="7">
        <f>IF(BI38=1,loc_precio_aduCosto*C38,IF(5=0,0,DV37))</f>
        <v/>
      </c>
      <c r="BR38" s="7">
        <f>IF(BQ38&lt;=0,0,FV((g_mortRate+0.005)/12,12,BK38,-BQ38))</f>
        <v/>
      </c>
      <c r="BS38" s="7">
        <f>IF(BQ38&lt;=0,0,12*BK38+MIN(0,BR38))</f>
        <v/>
      </c>
      <c r="BT38" s="7">
        <f>MAX(0,BR38)</f>
        <v/>
      </c>
      <c r="BU38" s="7">
        <f>IF(BB38=1,AM38*loc_seguroPct*(1+vivienda_inflacionSeguro)^(A38-2026)*IF(BJ38=1,1+loc_precio_aduCosto/AM38,1),0)</f>
        <v/>
      </c>
      <c r="BV38" s="7">
        <f>BL38*loc_impuestoPropPct</f>
        <v/>
      </c>
      <c r="BW38" s="7">
        <f>BL38*vivienda_mantenimientoPct</f>
        <v/>
      </c>
      <c r="BX38" s="7">
        <f>IF(AND(BG38=1,BP38&gt;0.8*BE38),BE38*(1-vivienda_enganchePct)*vivienda_pmiTasa,0)</f>
        <v/>
      </c>
      <c r="BY38" s="7">
        <f>IF(AND(BG38=1,BP38&gt;0.8*BE38),1,0)</f>
        <v/>
      </c>
      <c r="BZ38" s="7">
        <f>IF(BB38=1,AS38*loc_rentaUnidad*12*C38*(1-vivienda_vacancia)*(1-vivienda_gestionPct),0)</f>
        <v/>
      </c>
      <c r="CA38" s="7">
        <f>IF(BB38=1,BO38+BS38+BU38+BV38+BW38+BX38,loc_rentaMensual*12*C38)</f>
        <v/>
      </c>
      <c r="CB38" s="7">
        <f>IF(BB38=1,personal_aporteFamiliaMensual*12,0)</f>
        <v/>
      </c>
      <c r="CC38" s="7">
        <f>MIN(IF(5=0,personal_irsSaldo,CD37),personal_irsPagoMensual*12)</f>
        <v/>
      </c>
      <c r="CD38" s="7">
        <f>IF(5=0,personal_irsSaldo,CD37)-CC38</f>
        <v/>
      </c>
      <c r="CE38" s="7">
        <f>IF(5=0,IF(personal_deudaEsFederal=1,personal_deudaEstudiantil,0),DW37)</f>
        <v/>
      </c>
      <c r="CF38" s="7">
        <f>IF(5=0,personal_tasaDeudaEstudiantil,DX37)</f>
        <v/>
      </c>
      <c r="CG38" s="7">
        <f>IF(5=0,0,DY37)</f>
        <v/>
      </c>
      <c r="CH38" s="7">
        <f>IF(J38&gt;=0.5,1,0)</f>
        <v/>
      </c>
      <c r="CI38" s="7">
        <f>IF(AND(CH38=0,prestamos_pslfActivo=1,K38&gt;=0.5,CE38&gt;0),1,0)</f>
        <v/>
      </c>
      <c r="CJ38" s="7">
        <f>CE38*CF38</f>
        <v/>
      </c>
      <c r="CK38" s="7">
        <f>MAX(prestamos_rapPagoMinimoAnual,IF(Y38&lt;10000,0,MIN(0.1,INT(Y38/10000)/100))*Y38)</f>
        <v/>
      </c>
      <c r="CL38" s="7">
        <f>IF(CE38&lt;=0,0,IF(CH38=1,0,IF(CI38=1,MIN(CE38+CJ38,CK38),PMT(CF38,MAX(1,prestamos_plazoAnios-CG38),-CE38))))</f>
        <v/>
      </c>
      <c r="CM38" s="7">
        <f>IF(CE38&lt;=0,0,IF(CH38=1,CE38+CJ38,IF(CI38=1,MAX(0,CE38-MAX(CL38-CJ38,MIN(600,CL38))),MAX(0,CE38*(1+CF38)-CL38))))</f>
        <v/>
      </c>
      <c r="CN38" s="7">
        <f>IF(5=0,0,CN37)+IF(CI38=1,12*MIN(1,K38),0)</f>
        <v/>
      </c>
      <c r="CO38" s="7">
        <f>IF(AND(CI38=1,CN38&gt;=prestamos_pslfPagos,CM38&gt;0),CM38,0)</f>
        <v/>
      </c>
      <c r="CP38" s="7">
        <f>CM38-CO38</f>
        <v/>
      </c>
      <c r="CQ38" s="7">
        <f>IF(AND(CE38&gt;0,CH38=0,CI38=0),CG38+1,CG38)</f>
        <v/>
      </c>
      <c r="CR38" s="7">
        <f>IF(5=0,IF(personal_deudaEsFederal=1,0,personal_deudaEstudiantil),EA37)</f>
        <v/>
      </c>
      <c r="CS38" s="7">
        <f>IF(5=0,IF(personal_deudaEsFederal=1,prestamos_tasaPrivada,personal_tasaDeudaEstudiantil),EB37)</f>
        <v/>
      </c>
      <c r="CT38" s="7">
        <f>IF(5=0,0,EC37)</f>
        <v/>
      </c>
      <c r="CU38" s="7">
        <f>IF(OR(CR38&lt;=0,CH38=1),0,PMT(CS38,MAX(1,prestamos_plazoAnios-CT38),-CR38))</f>
        <v/>
      </c>
      <c r="CV38" s="7">
        <f>IF(CR38&lt;=0,0,IF(CH38=1,CR38*(1+CS38),MAX(0,CR38*(1+CS38)-CU38)))</f>
        <v/>
      </c>
      <c r="CW38" s="7">
        <f>IF(AND(CR38&gt;0,CH38=0),CT38+1,CT38)</f>
        <v/>
      </c>
      <c r="CX38" s="7">
        <f>IF(5=0,0,ED37)*(1+general_tasaDeudaConsumo)</f>
        <v/>
      </c>
      <c r="CY38" s="7">
        <f>L38*12*tiempos_travelGastoExtraMes*C38</f>
        <v/>
      </c>
      <c r="CZ38" s="7">
        <f>AJ38+CY38+CA38+CC38+CL38+CU38+I38+N38-BZ38-CB38</f>
        <v/>
      </c>
      <c r="DA38" s="7">
        <f>AH38-CZ38</f>
        <v/>
      </c>
      <c r="DB38" s="7">
        <f>IF(5=0,0,DB37)+DA38</f>
        <v/>
      </c>
      <c r="DC38" s="7">
        <f>AN38*vivienda_enganchePct+AN38*vivienda_cierrePct+general_reservaMeses/12*AJ38</f>
        <v/>
      </c>
      <c r="DD38" s="7">
        <f>IF(BB38=1,g_ret,IF(BD38&gt;0,MIN(1,DC38/BD38),1)*g_cash+(1-IF(BD38&gt;0,MIN(1,DC38/BD38),1))*g_ret)</f>
        <v/>
      </c>
      <c r="DE38" s="7">
        <f>IF(DA38&gt;=0,MIN(CX38,DA38),0)</f>
        <v/>
      </c>
      <c r="DF38" s="7">
        <f>IF(DA38&gt;=0,(1-general_tasaAhorro)*(DA38-DE38),0)</f>
        <v/>
      </c>
      <c r="DG38" s="7">
        <f>IF(DA38&gt;=0,DA38-DE38-DF38,0)</f>
        <v/>
      </c>
      <c r="DH38" s="7">
        <f>MIN(personal_rothAnual,DG38)</f>
        <v/>
      </c>
      <c r="DI38" s="7">
        <f>IF(AND(DA38&gt;=0,BB38=1,BP38+BT38&gt;0),MIN(vivienda_prepagoPct*(DG38-DH38),BP38+BT38),0)</f>
        <v/>
      </c>
      <c r="DJ38" s="7">
        <f>MIN(DI38,BP38)</f>
        <v/>
      </c>
      <c r="DK38" s="7">
        <f>IF(DA38&lt;0,MIN(MAX(0,BD38),-DA38),0)</f>
        <v/>
      </c>
      <c r="DL38" s="7">
        <f>IF(DA38&lt;0,-DA38-DK38,0)</f>
        <v/>
      </c>
      <c r="DM38" s="7">
        <f>IF(5=0,0,DZ37)</f>
        <v/>
      </c>
      <c r="DN38" s="7">
        <f>IF(AND(DL38&gt;0,J38&gt;0),MIN(DL38,MIN(prestamos_topeAnualPosgrado*MIN(1,J38),MAX(0,prestamos_topeTotalPosgrado-DM38))),0)</f>
        <v/>
      </c>
      <c r="DO38" s="7">
        <f>IF(AND(DL38&gt;0,J38&gt;0),DL38-DN38,0)</f>
        <v/>
      </c>
      <c r="DP38" s="7">
        <f>IF(AND(DL38&gt;0,J38&lt;=0),DL38,0)</f>
        <v/>
      </c>
      <c r="DQ38" s="7">
        <f>IF(DA38&gt;=0,DG38-DH38-DI38,-DK38)</f>
        <v/>
      </c>
      <c r="DR38" s="7">
        <f>BD38*(1+DD38)+DQ38*(1+DD38/2)</f>
        <v/>
      </c>
      <c r="DS38" s="7">
        <f>IF(5=0,personal_retiroInicial,DS37)*(1+g_ret)+(O38+P38+DH38)*(1+g_ret/2)</f>
        <v/>
      </c>
      <c r="DT38" s="7">
        <f>IF(BB38=1,BL38*(1+g_appr),0)</f>
        <v/>
      </c>
      <c r="DU38" s="7">
        <f>BP38-DJ38</f>
        <v/>
      </c>
      <c r="DV38" s="7">
        <f>BT38-(DI38-DJ38)</f>
        <v/>
      </c>
      <c r="DW38" s="7">
        <f>CP38+DN38</f>
        <v/>
      </c>
      <c r="DX38" s="7">
        <f>IF(DN38&gt;0,(CP38*CF38+DN38*prestamos_tasaFederalPosgrado)/(CP38+DN38),CF38)</f>
        <v/>
      </c>
      <c r="DY38" s="7">
        <f>IF(DN38&gt;0,0,CQ38)</f>
        <v/>
      </c>
      <c r="DZ38" s="7">
        <f>DM38+DN38</f>
        <v/>
      </c>
      <c r="EA38" s="7">
        <f>CV38+DO38</f>
        <v/>
      </c>
      <c r="EB38" s="7">
        <f>IF(DO38&gt;0,(CV38*CS38+DO38*prestamos_tasaPrivada)/(CV38+DO38),CS38)</f>
        <v/>
      </c>
      <c r="EC38" s="7">
        <f>IF(DO38&gt;0,0,CW38)</f>
        <v/>
      </c>
      <c r="ED38" s="7">
        <f>CX38-DE38+DP38</f>
        <v/>
      </c>
      <c r="EE38" s="7">
        <f>IF(IF(5=0,"",EE37)&lt;&gt;"",EE37,IF(AND(BB38=1,DU38&lt;=0.5,DV38&lt;=0.5,OR(BH38=0,BJ38=1)),A38,""))</f>
        <v/>
      </c>
      <c r="EF38" s="7">
        <f>DU38+DV38+DW38+EA38+ED38+CD38</f>
        <v/>
      </c>
      <c r="EG38" s="7">
        <f>DR38+DS38+DT38-EF38</f>
        <v/>
      </c>
      <c r="EH38" s="7">
        <f>EG38/(1+g_inf)^(A38+1-2026)</f>
        <v/>
      </c>
    </row>
    <row r="39">
      <c r="A39" t="n">
        <v>2033</v>
      </c>
      <c r="B39" t="n">
        <v>6</v>
      </c>
      <c r="C39" s="7">
        <f>(1+g_inf)^(A39-2026)</f>
        <v/>
      </c>
      <c r="D39" s="7">
        <f>SUMPRODUCT($Z$5:$Z$29,$E$5:$E$29*(1+$F$5:$F$29)^(A39-2026)*$G$5:$G$29*$H$5:$H$29*(1-$N$5:$N$29*$O$5:$O$29))*g_salMult+SUMPRODUCT(($B$5:$B$29&gt;=A39)*($B$5:$B$29&lt;A39+1)*$I$5:$I$29)*g_salMult</f>
        <v/>
      </c>
      <c r="E39" s="7">
        <f>SUMPRODUCT($Z$5:$Z$29,$E$5:$E$29*(1+$F$5:$F$29)^(A39-2026)*$G$5:$G$29*$H$5:$H$29*$M$5:$M$29)*g_salMult</f>
        <v/>
      </c>
      <c r="F39" s="7">
        <f>SUMPRODUCT($Z$5:$Z$29,$E$5:$E$29*(1+$F$5:$F$29)^(A39-2026)*$G$5:$G$29*$H$5:$H$29*$N$5:$N$29*$O$5:$O$29)*g_salMult</f>
        <v/>
      </c>
      <c r="G39" s="7">
        <f>SUMPRODUCT($Z$5:$Z$29,$P$5:$P$29*(1+$F$5:$F$29)^(A39-2026))</f>
        <v/>
      </c>
      <c r="H39" s="7">
        <f>SUMPRODUCT($Z$5:$Z$29,$Q$5:$Q$29*(1+$F$5:$F$29)^(A39-2026))+IF(personal_llcActivo=1,personal_llcNeto*(1+personal_llcCrecimiento)^6,0)</f>
        <v/>
      </c>
      <c r="I39" s="7">
        <f>SUMPRODUCT($Z$5:$Z$29,$J$5:$J$29/($C$5:$C$29-$B$5:$B$29+($C$5:$C$29=$B$5:$B$29)))*C39</f>
        <v/>
      </c>
      <c r="J39" s="7">
        <f>SUMPRODUCT($Z$5:$Z$29,$K$5:$K$29)</f>
        <v/>
      </c>
      <c r="K39" s="7">
        <f>SUMPRODUCT($Z$5:$Z$29,$L$5:$L$29)</f>
        <v/>
      </c>
      <c r="L39" s="7">
        <f>SUMPRODUCT($Z$5:$Z$29,$N$5:$N$29)</f>
        <v/>
      </c>
      <c r="M39" s="7">
        <f>IF(SUMPRODUCT($Z$5:$Z$29,$R$5:$R$29)&gt;0,1,0)</f>
        <v/>
      </c>
      <c r="N39" s="7">
        <f>SUMPRODUCT(($AO$5:$AO$24&gt;=A39)*($AO$5:$AO$24&lt;A39+1)*$AP$5:$AP$24)*C39+IF(6=0,IF(sel_loc&lt;&gt;"miami",personal_costoMudanzaInicial,0),0)</f>
        <v/>
      </c>
      <c r="O39" s="7">
        <f>MIN(personal_aporte403bPct*D39,retiro_limite403b*C39)</f>
        <v/>
      </c>
      <c r="P39" s="7">
        <f>MIN(personal_aporte403bPct,personal_match403bPct)*E39</f>
        <v/>
      </c>
      <c r="Q39" s="7">
        <f>IF(G39&gt;0,MAX(0,G39-impuestos_scorpCostoAnual*C39),0)</f>
        <v/>
      </c>
      <c r="R39" s="7">
        <f>Q39*impuestos_scorpSalarioPct/(1+impuestos_ssTasa+impuestos_medicareTasa)</f>
        <v/>
      </c>
      <c r="S39" s="7">
        <f>impuestos_ssTasa*MIN(R39,MAX(0,impuestos_ssTope*C39-D39))+impuestos_medicareTasa*R39</f>
        <v/>
      </c>
      <c r="T39" s="7">
        <f>Q39-R39-S39</f>
        <v/>
      </c>
      <c r="U39" s="7">
        <f>D39+R39</f>
        <v/>
      </c>
      <c r="V39" s="7">
        <f>H39*0.9235</f>
        <v/>
      </c>
      <c r="W39" s="7">
        <f>IF(H39&gt;0,2*impuestos_ssTasa*MIN(V39,MAX(0,impuestos_ssTope*C39-U39))+2*impuestos_medicareTasa*V39,0)</f>
        <v/>
      </c>
      <c r="X39" s="7">
        <f>impuestos_ssTasa*MIN(U39,impuestos_ssTope*C39)+impuestos_medicareTasa*U39+impuestos_medicareAdicional*MAX(0,U39+H39*0.9235-impuestos_medicareUmbral)</f>
        <v/>
      </c>
      <c r="Y39" s="7">
        <f>MAX(0,D39-O39+R39+T39+H39-W39/2)</f>
        <v/>
      </c>
      <c r="Z39" s="7">
        <f>MAX(0,Y39-impuestos_deduccionEstandar*C39)</f>
        <v/>
      </c>
      <c r="AA39" s="7">
        <f>MIN(0.2*MAX(0,T39+H39-W39/2)*MAX(0,MIN(1,1-(Z39-impuestos_qbiUmbral*C39)/(impuestos_qbiRango*C39))),0.2*Z39)</f>
        <v/>
      </c>
      <c r="AB39" s="7">
        <f>MAX(0,Z39-AA39)</f>
        <v/>
      </c>
      <c r="AC39" s="7">
        <f>SUMPRODUCT((AB39&gt;tb_federalBrackets_lo*C39)*(AB39-tb_federalBrackets_lo*C39)*tb_federalBrackets_dr)</f>
        <v/>
      </c>
      <c r="AD39" s="7">
        <f>MAX(0,Y39-impuestos_nyDeduccion*C39)</f>
        <v/>
      </c>
      <c r="AE39" s="7">
        <f>CHOOSE(loc_taxcode,0,impuestos_ohTasa*MAX(0,Y39-impuestos_ohExento*C39)+impuestos_ohMunicipal*U39,SUMPRODUCT((AD39&gt;tb_nyBrackets_lo*C39)*(AD39-tb_nyBrackets_lo*C39)*tb_nyBrackets_dr)+loc_nyc*SUMPRODUCT((AD39&gt;tb_nycBrackets_lo*C39)*(AD39-tb_nycBrackets_lo*C39)*tb_nycBrackets_dr))</f>
        <v/>
      </c>
      <c r="AF39" s="7">
        <f>AC39+AE39+X39+W39</f>
        <v/>
      </c>
      <c r="AG39" s="7">
        <f>D39+F39+R39+T39+H39</f>
        <v/>
      </c>
      <c r="AH39" s="7">
        <f>AG39-AF39-O39</f>
        <v/>
      </c>
      <c r="AI39" s="7">
        <f>D39+F39+G39+H39</f>
        <v/>
      </c>
      <c r="AJ39" s="7">
        <f>loc_gastosVida*C39*g_gastos</f>
        <v/>
      </c>
      <c r="AK39" s="7">
        <f>IF(6=0,personal_liquidoInicial,DR38)</f>
        <v/>
      </c>
      <c r="AL39" s="7">
        <f>IF(6=0,0,BB38)</f>
        <v/>
      </c>
      <c r="AM39" s="7">
        <f>CHOOSE(sel_cfgIdx,loc_precio_duplex,loc_precio_inlaw,loc_precio_dosCasas,loc_precio_casaAdu,loc_precio_multi)</f>
        <v/>
      </c>
      <c r="AN39" s="7">
        <f>AM39*(1+g_appr)^(A39-2026)</f>
        <v/>
      </c>
      <c r="AO39" s="7">
        <f>IF(AND(M39=1,vivienda_prestamoMedico=1),1,0)</f>
        <v/>
      </c>
      <c r="AP39" s="7">
        <f>IF(AO39=1,0.05,vivienda_enganchePct)</f>
        <v/>
      </c>
      <c r="AQ39" s="7">
        <f>AN39*(1-AP39)</f>
        <v/>
      </c>
      <c r="AR39" s="7">
        <f>PMT(g_mortRate/12,vivienda_plazoHipoteca*12,-AQ39)</f>
        <v/>
      </c>
      <c r="AS39" s="7">
        <f>INDEX(cfg_units,sel_cfgIdx)</f>
        <v/>
      </c>
      <c r="AT39" s="7">
        <f>AS39*loc_rentaUnidad*(1+g_inf)^(A39-2026)*(1-vivienda_vacancia)</f>
        <v/>
      </c>
      <c r="AU39" s="7">
        <f>AR39+AN39*loc_impuestoPropPct/12+AM39*loc_seguroPct*(1+vivienda_inflacionSeguro)^(A39-2026)/12+IF(AND(AO39=0,AP39&lt;0.2),AQ39*vivienda_pmiTasa/12,0)</f>
        <v/>
      </c>
      <c r="AV39" s="7">
        <f>AN39*AP39+AN39*vivienda_cierrePct+general_reservaMeses/12*AJ39</f>
        <v/>
      </c>
      <c r="AW39" s="7">
        <f>(IF(6=0,MIN(personal_irsSaldo,personal_irsPagoMensual*12),MIN(CD38,personal_irsPagoMensual*12))+IF(CE39&gt;0,PMT(CF39,MAX(1,prestamos_plazoAnios-CG39),-CE39),0)+IF(CR39&gt;0,PMT(CS39,MAX(1,prestamos_plazoAnios-CT39),-CR39),0))/12</f>
        <v/>
      </c>
      <c r="AX39" s="7">
        <f>IF(OR(sel_cfg="duplex",sel_cfg="multi",sel_cfg="dosCasas"),0.75*personal_aporteFamiliaMensual,0)</f>
        <v/>
      </c>
      <c r="AY39" s="7">
        <f>AU39-0.75*AT39-AX39+AW39</f>
        <v/>
      </c>
      <c r="AZ39" s="7">
        <f>(D39+G39+H39+0.5*F39)/12</f>
        <v/>
      </c>
      <c r="BA39" s="7">
        <f>IF(AND(AL39=0,A39&gt;=vivienda_anioMinCompra,J39&lt;0.5,AI39&gt;0,AK39&gt;=AV39,AY39&lt;=vivienda_dtiMax*AZ39),1,0)</f>
        <v/>
      </c>
      <c r="BB39" s="7">
        <f>MAX(AL39,BA39)</f>
        <v/>
      </c>
      <c r="BC39" s="7">
        <f>IF(BA39=1,A39,IF(6=0,"",BC38))</f>
        <v/>
      </c>
      <c r="BD39" s="7">
        <f>AK39-IF(BA39=1,AN39*AP39+AN39*vivienda_cierrePct,0)</f>
        <v/>
      </c>
      <c r="BE39" s="7">
        <f>IF(BA39=1,AN39,IF(6=0,0,BE38))</f>
        <v/>
      </c>
      <c r="BF39" s="7">
        <f>IF(BA39=1,AR39,IF(6=0,0,BF38))</f>
        <v/>
      </c>
      <c r="BG39" s="7">
        <f>IF(BA39=1,IF(AND(AO39=0,AP39&lt;0.2),1,0),IF(6=0,0,BY38))</f>
        <v/>
      </c>
      <c r="BH39" s="7">
        <f>IF(sel_cfg="casaAdu",1,0)</f>
        <v/>
      </c>
      <c r="BI39" s="7">
        <f>IF(AND(BB39=1,BH39=1,IF(6=0,0,BJ38)=0,A39&gt;=IF(BC39="",9999,BC39)+vivienda_aduRetrasoAnios),1,0)</f>
        <v/>
      </c>
      <c r="BJ39" s="7">
        <f>MAX(IF(6=0,0,BJ38),BI39)</f>
        <v/>
      </c>
      <c r="BK39" s="7">
        <f>IF(BI39=1,PMT((g_mortRate+0.005)/12,180,-loc_precio_aduCosto*C39),IF(6=0,0,BK38))</f>
        <v/>
      </c>
      <c r="BL39" s="7">
        <f>IF(BA39=1,AN39,IF(6=0,0,DT38))+IF(BI39=1,loc_precio_aduCosto*C39,0)</f>
        <v/>
      </c>
      <c r="BM39" s="7">
        <f>IF(BA39=1,AQ39,IF(6=0,0,DU38))</f>
        <v/>
      </c>
      <c r="BN39" s="7">
        <f>IF(BM39&lt;=0,0,FV(g_mortRate/12,12,BF39,-BM39))</f>
        <v/>
      </c>
      <c r="BO39" s="7">
        <f>IF(BM39&lt;=0,0,12*BF39+MIN(0,BN39))</f>
        <v/>
      </c>
      <c r="BP39" s="7">
        <f>MAX(0,BN39)</f>
        <v/>
      </c>
      <c r="BQ39" s="7">
        <f>IF(BI39=1,loc_precio_aduCosto*C39,IF(6=0,0,DV38))</f>
        <v/>
      </c>
      <c r="BR39" s="7">
        <f>IF(BQ39&lt;=0,0,FV((g_mortRate+0.005)/12,12,BK39,-BQ39))</f>
        <v/>
      </c>
      <c r="BS39" s="7">
        <f>IF(BQ39&lt;=0,0,12*BK39+MIN(0,BR39))</f>
        <v/>
      </c>
      <c r="BT39" s="7">
        <f>MAX(0,BR39)</f>
        <v/>
      </c>
      <c r="BU39" s="7">
        <f>IF(BB39=1,AM39*loc_seguroPct*(1+vivienda_inflacionSeguro)^(A39-2026)*IF(BJ39=1,1+loc_precio_aduCosto/AM39,1),0)</f>
        <v/>
      </c>
      <c r="BV39" s="7">
        <f>BL39*loc_impuestoPropPct</f>
        <v/>
      </c>
      <c r="BW39" s="7">
        <f>BL39*vivienda_mantenimientoPct</f>
        <v/>
      </c>
      <c r="BX39" s="7">
        <f>IF(AND(BG39=1,BP39&gt;0.8*BE39),BE39*(1-vivienda_enganchePct)*vivienda_pmiTasa,0)</f>
        <v/>
      </c>
      <c r="BY39" s="7">
        <f>IF(AND(BG39=1,BP39&gt;0.8*BE39),1,0)</f>
        <v/>
      </c>
      <c r="BZ39" s="7">
        <f>IF(BB39=1,AS39*loc_rentaUnidad*12*C39*(1-vivienda_vacancia)*(1-vivienda_gestionPct),0)</f>
        <v/>
      </c>
      <c r="CA39" s="7">
        <f>IF(BB39=1,BO39+BS39+BU39+BV39+BW39+BX39,loc_rentaMensual*12*C39)</f>
        <v/>
      </c>
      <c r="CB39" s="7">
        <f>IF(BB39=1,personal_aporteFamiliaMensual*12,0)</f>
        <v/>
      </c>
      <c r="CC39" s="7">
        <f>MIN(IF(6=0,personal_irsSaldo,CD38),personal_irsPagoMensual*12)</f>
        <v/>
      </c>
      <c r="CD39" s="7">
        <f>IF(6=0,personal_irsSaldo,CD38)-CC39</f>
        <v/>
      </c>
      <c r="CE39" s="7">
        <f>IF(6=0,IF(personal_deudaEsFederal=1,personal_deudaEstudiantil,0),DW38)</f>
        <v/>
      </c>
      <c r="CF39" s="7">
        <f>IF(6=0,personal_tasaDeudaEstudiantil,DX38)</f>
        <v/>
      </c>
      <c r="CG39" s="7">
        <f>IF(6=0,0,DY38)</f>
        <v/>
      </c>
      <c r="CH39" s="7">
        <f>IF(J39&gt;=0.5,1,0)</f>
        <v/>
      </c>
      <c r="CI39" s="7">
        <f>IF(AND(CH39=0,prestamos_pslfActivo=1,K39&gt;=0.5,CE39&gt;0),1,0)</f>
        <v/>
      </c>
      <c r="CJ39" s="7">
        <f>CE39*CF39</f>
        <v/>
      </c>
      <c r="CK39" s="7">
        <f>MAX(prestamos_rapPagoMinimoAnual,IF(Y39&lt;10000,0,MIN(0.1,INT(Y39/10000)/100))*Y39)</f>
        <v/>
      </c>
      <c r="CL39" s="7">
        <f>IF(CE39&lt;=0,0,IF(CH39=1,0,IF(CI39=1,MIN(CE39+CJ39,CK39),PMT(CF39,MAX(1,prestamos_plazoAnios-CG39),-CE39))))</f>
        <v/>
      </c>
      <c r="CM39" s="7">
        <f>IF(CE39&lt;=0,0,IF(CH39=1,CE39+CJ39,IF(CI39=1,MAX(0,CE39-MAX(CL39-CJ39,MIN(600,CL39))),MAX(0,CE39*(1+CF39)-CL39))))</f>
        <v/>
      </c>
      <c r="CN39" s="7">
        <f>IF(6=0,0,CN38)+IF(CI39=1,12*MIN(1,K39),0)</f>
        <v/>
      </c>
      <c r="CO39" s="7">
        <f>IF(AND(CI39=1,CN39&gt;=prestamos_pslfPagos,CM39&gt;0),CM39,0)</f>
        <v/>
      </c>
      <c r="CP39" s="7">
        <f>CM39-CO39</f>
        <v/>
      </c>
      <c r="CQ39" s="7">
        <f>IF(AND(CE39&gt;0,CH39=0,CI39=0),CG39+1,CG39)</f>
        <v/>
      </c>
      <c r="CR39" s="7">
        <f>IF(6=0,IF(personal_deudaEsFederal=1,0,personal_deudaEstudiantil),EA38)</f>
        <v/>
      </c>
      <c r="CS39" s="7">
        <f>IF(6=0,IF(personal_deudaEsFederal=1,prestamos_tasaPrivada,personal_tasaDeudaEstudiantil),EB38)</f>
        <v/>
      </c>
      <c r="CT39" s="7">
        <f>IF(6=0,0,EC38)</f>
        <v/>
      </c>
      <c r="CU39" s="7">
        <f>IF(OR(CR39&lt;=0,CH39=1),0,PMT(CS39,MAX(1,prestamos_plazoAnios-CT39),-CR39))</f>
        <v/>
      </c>
      <c r="CV39" s="7">
        <f>IF(CR39&lt;=0,0,IF(CH39=1,CR39*(1+CS39),MAX(0,CR39*(1+CS39)-CU39)))</f>
        <v/>
      </c>
      <c r="CW39" s="7">
        <f>IF(AND(CR39&gt;0,CH39=0),CT39+1,CT39)</f>
        <v/>
      </c>
      <c r="CX39" s="7">
        <f>IF(6=0,0,ED38)*(1+general_tasaDeudaConsumo)</f>
        <v/>
      </c>
      <c r="CY39" s="7">
        <f>L39*12*tiempos_travelGastoExtraMes*C39</f>
        <v/>
      </c>
      <c r="CZ39" s="7">
        <f>AJ39+CY39+CA39+CC39+CL39+CU39+I39+N39-BZ39-CB39</f>
        <v/>
      </c>
      <c r="DA39" s="7">
        <f>AH39-CZ39</f>
        <v/>
      </c>
      <c r="DB39" s="7">
        <f>IF(6=0,0,DB38)+DA39</f>
        <v/>
      </c>
      <c r="DC39" s="7">
        <f>AN39*vivienda_enganchePct+AN39*vivienda_cierrePct+general_reservaMeses/12*AJ39</f>
        <v/>
      </c>
      <c r="DD39" s="7">
        <f>IF(BB39=1,g_ret,IF(BD39&gt;0,MIN(1,DC39/BD39),1)*g_cash+(1-IF(BD39&gt;0,MIN(1,DC39/BD39),1))*g_ret)</f>
        <v/>
      </c>
      <c r="DE39" s="7">
        <f>IF(DA39&gt;=0,MIN(CX39,DA39),0)</f>
        <v/>
      </c>
      <c r="DF39" s="7">
        <f>IF(DA39&gt;=0,(1-general_tasaAhorro)*(DA39-DE39),0)</f>
        <v/>
      </c>
      <c r="DG39" s="7">
        <f>IF(DA39&gt;=0,DA39-DE39-DF39,0)</f>
        <v/>
      </c>
      <c r="DH39" s="7">
        <f>MIN(personal_rothAnual,DG39)</f>
        <v/>
      </c>
      <c r="DI39" s="7">
        <f>IF(AND(DA39&gt;=0,BB39=1,BP39+BT39&gt;0),MIN(vivienda_prepagoPct*(DG39-DH39),BP39+BT39),0)</f>
        <v/>
      </c>
      <c r="DJ39" s="7">
        <f>MIN(DI39,BP39)</f>
        <v/>
      </c>
      <c r="DK39" s="7">
        <f>IF(DA39&lt;0,MIN(MAX(0,BD39),-DA39),0)</f>
        <v/>
      </c>
      <c r="DL39" s="7">
        <f>IF(DA39&lt;0,-DA39-DK39,0)</f>
        <v/>
      </c>
      <c r="DM39" s="7">
        <f>IF(6=0,0,DZ38)</f>
        <v/>
      </c>
      <c r="DN39" s="7">
        <f>IF(AND(DL39&gt;0,J39&gt;0),MIN(DL39,MIN(prestamos_topeAnualPosgrado*MIN(1,J39),MAX(0,prestamos_topeTotalPosgrado-DM39))),0)</f>
        <v/>
      </c>
      <c r="DO39" s="7">
        <f>IF(AND(DL39&gt;0,J39&gt;0),DL39-DN39,0)</f>
        <v/>
      </c>
      <c r="DP39" s="7">
        <f>IF(AND(DL39&gt;0,J39&lt;=0),DL39,0)</f>
        <v/>
      </c>
      <c r="DQ39" s="7">
        <f>IF(DA39&gt;=0,DG39-DH39-DI39,-DK39)</f>
        <v/>
      </c>
      <c r="DR39" s="7">
        <f>BD39*(1+DD39)+DQ39*(1+DD39/2)</f>
        <v/>
      </c>
      <c r="DS39" s="7">
        <f>IF(6=0,personal_retiroInicial,DS38)*(1+g_ret)+(O39+P39+DH39)*(1+g_ret/2)</f>
        <v/>
      </c>
      <c r="DT39" s="7">
        <f>IF(BB39=1,BL39*(1+g_appr),0)</f>
        <v/>
      </c>
      <c r="DU39" s="7">
        <f>BP39-DJ39</f>
        <v/>
      </c>
      <c r="DV39" s="7">
        <f>BT39-(DI39-DJ39)</f>
        <v/>
      </c>
      <c r="DW39" s="7">
        <f>CP39+DN39</f>
        <v/>
      </c>
      <c r="DX39" s="7">
        <f>IF(DN39&gt;0,(CP39*CF39+DN39*prestamos_tasaFederalPosgrado)/(CP39+DN39),CF39)</f>
        <v/>
      </c>
      <c r="DY39" s="7">
        <f>IF(DN39&gt;0,0,CQ39)</f>
        <v/>
      </c>
      <c r="DZ39" s="7">
        <f>DM39+DN39</f>
        <v/>
      </c>
      <c r="EA39" s="7">
        <f>CV39+DO39</f>
        <v/>
      </c>
      <c r="EB39" s="7">
        <f>IF(DO39&gt;0,(CV39*CS39+DO39*prestamos_tasaPrivada)/(CV39+DO39),CS39)</f>
        <v/>
      </c>
      <c r="EC39" s="7">
        <f>IF(DO39&gt;0,0,CW39)</f>
        <v/>
      </c>
      <c r="ED39" s="7">
        <f>CX39-DE39+DP39</f>
        <v/>
      </c>
      <c r="EE39" s="7">
        <f>IF(IF(6=0,"",EE38)&lt;&gt;"",EE38,IF(AND(BB39=1,DU39&lt;=0.5,DV39&lt;=0.5,OR(BH39=0,BJ39=1)),A39,""))</f>
        <v/>
      </c>
      <c r="EF39" s="7">
        <f>DU39+DV39+DW39+EA39+ED39+CD39</f>
        <v/>
      </c>
      <c r="EG39" s="7">
        <f>DR39+DS39+DT39-EF39</f>
        <v/>
      </c>
      <c r="EH39" s="7">
        <f>EG39/(1+g_inf)^(A39+1-2026)</f>
        <v/>
      </c>
    </row>
    <row r="40">
      <c r="A40" t="n">
        <v>2034</v>
      </c>
      <c r="B40" t="n">
        <v>7</v>
      </c>
      <c r="C40" s="7">
        <f>(1+g_inf)^(A40-2026)</f>
        <v/>
      </c>
      <c r="D40" s="7">
        <f>SUMPRODUCT($AA$5:$AA$29,$E$5:$E$29*(1+$F$5:$F$29)^(A40-2026)*$G$5:$G$29*$H$5:$H$29*(1-$N$5:$N$29*$O$5:$O$29))*g_salMult+SUMPRODUCT(($B$5:$B$29&gt;=A40)*($B$5:$B$29&lt;A40+1)*$I$5:$I$29)*g_salMult</f>
        <v/>
      </c>
      <c r="E40" s="7">
        <f>SUMPRODUCT($AA$5:$AA$29,$E$5:$E$29*(1+$F$5:$F$29)^(A40-2026)*$G$5:$G$29*$H$5:$H$29*$M$5:$M$29)*g_salMult</f>
        <v/>
      </c>
      <c r="F40" s="7">
        <f>SUMPRODUCT($AA$5:$AA$29,$E$5:$E$29*(1+$F$5:$F$29)^(A40-2026)*$G$5:$G$29*$H$5:$H$29*$N$5:$N$29*$O$5:$O$29)*g_salMult</f>
        <v/>
      </c>
      <c r="G40" s="7">
        <f>SUMPRODUCT($AA$5:$AA$29,$P$5:$P$29*(1+$F$5:$F$29)^(A40-2026))</f>
        <v/>
      </c>
      <c r="H40" s="7">
        <f>SUMPRODUCT($AA$5:$AA$29,$Q$5:$Q$29*(1+$F$5:$F$29)^(A40-2026))+IF(personal_llcActivo=1,personal_llcNeto*(1+personal_llcCrecimiento)^7,0)</f>
        <v/>
      </c>
      <c r="I40" s="7">
        <f>SUMPRODUCT($AA$5:$AA$29,$J$5:$J$29/($C$5:$C$29-$B$5:$B$29+($C$5:$C$29=$B$5:$B$29)))*C40</f>
        <v/>
      </c>
      <c r="J40" s="7">
        <f>SUMPRODUCT($AA$5:$AA$29,$K$5:$K$29)</f>
        <v/>
      </c>
      <c r="K40" s="7">
        <f>SUMPRODUCT($AA$5:$AA$29,$L$5:$L$29)</f>
        <v/>
      </c>
      <c r="L40" s="7">
        <f>SUMPRODUCT($AA$5:$AA$29,$N$5:$N$29)</f>
        <v/>
      </c>
      <c r="M40" s="7">
        <f>IF(SUMPRODUCT($AA$5:$AA$29,$R$5:$R$29)&gt;0,1,0)</f>
        <v/>
      </c>
      <c r="N40" s="7">
        <f>SUMPRODUCT(($AO$5:$AO$24&gt;=A40)*($AO$5:$AO$24&lt;A40+1)*$AP$5:$AP$24)*C40+IF(7=0,IF(sel_loc&lt;&gt;"miami",personal_costoMudanzaInicial,0),0)</f>
        <v/>
      </c>
      <c r="O40" s="7">
        <f>MIN(personal_aporte403bPct*D40,retiro_limite403b*C40)</f>
        <v/>
      </c>
      <c r="P40" s="7">
        <f>MIN(personal_aporte403bPct,personal_match403bPct)*E40</f>
        <v/>
      </c>
      <c r="Q40" s="7">
        <f>IF(G40&gt;0,MAX(0,G40-impuestos_scorpCostoAnual*C40),0)</f>
        <v/>
      </c>
      <c r="R40" s="7">
        <f>Q40*impuestos_scorpSalarioPct/(1+impuestos_ssTasa+impuestos_medicareTasa)</f>
        <v/>
      </c>
      <c r="S40" s="7">
        <f>impuestos_ssTasa*MIN(R40,MAX(0,impuestos_ssTope*C40-D40))+impuestos_medicareTasa*R40</f>
        <v/>
      </c>
      <c r="T40" s="7">
        <f>Q40-R40-S40</f>
        <v/>
      </c>
      <c r="U40" s="7">
        <f>D40+R40</f>
        <v/>
      </c>
      <c r="V40" s="7">
        <f>H40*0.9235</f>
        <v/>
      </c>
      <c r="W40" s="7">
        <f>IF(H40&gt;0,2*impuestos_ssTasa*MIN(V40,MAX(0,impuestos_ssTope*C40-U40))+2*impuestos_medicareTasa*V40,0)</f>
        <v/>
      </c>
      <c r="X40" s="7">
        <f>impuestos_ssTasa*MIN(U40,impuestos_ssTope*C40)+impuestos_medicareTasa*U40+impuestos_medicareAdicional*MAX(0,U40+H40*0.9235-impuestos_medicareUmbral)</f>
        <v/>
      </c>
      <c r="Y40" s="7">
        <f>MAX(0,D40-O40+R40+T40+H40-W40/2)</f>
        <v/>
      </c>
      <c r="Z40" s="7">
        <f>MAX(0,Y40-impuestos_deduccionEstandar*C40)</f>
        <v/>
      </c>
      <c r="AA40" s="7">
        <f>MIN(0.2*MAX(0,T40+H40-W40/2)*MAX(0,MIN(1,1-(Z40-impuestos_qbiUmbral*C40)/(impuestos_qbiRango*C40))),0.2*Z40)</f>
        <v/>
      </c>
      <c r="AB40" s="7">
        <f>MAX(0,Z40-AA40)</f>
        <v/>
      </c>
      <c r="AC40" s="7">
        <f>SUMPRODUCT((AB40&gt;tb_federalBrackets_lo*C40)*(AB40-tb_federalBrackets_lo*C40)*tb_federalBrackets_dr)</f>
        <v/>
      </c>
      <c r="AD40" s="7">
        <f>MAX(0,Y40-impuestos_nyDeduccion*C40)</f>
        <v/>
      </c>
      <c r="AE40" s="7">
        <f>CHOOSE(loc_taxcode,0,impuestos_ohTasa*MAX(0,Y40-impuestos_ohExento*C40)+impuestos_ohMunicipal*U40,SUMPRODUCT((AD40&gt;tb_nyBrackets_lo*C40)*(AD40-tb_nyBrackets_lo*C40)*tb_nyBrackets_dr)+loc_nyc*SUMPRODUCT((AD40&gt;tb_nycBrackets_lo*C40)*(AD40-tb_nycBrackets_lo*C40)*tb_nycBrackets_dr))</f>
        <v/>
      </c>
      <c r="AF40" s="7">
        <f>AC40+AE40+X40+W40</f>
        <v/>
      </c>
      <c r="AG40" s="7">
        <f>D40+F40+R40+T40+H40</f>
        <v/>
      </c>
      <c r="AH40" s="7">
        <f>AG40-AF40-O40</f>
        <v/>
      </c>
      <c r="AI40" s="7">
        <f>D40+F40+G40+H40</f>
        <v/>
      </c>
      <c r="AJ40" s="7">
        <f>loc_gastosVida*C40*g_gastos</f>
        <v/>
      </c>
      <c r="AK40" s="7">
        <f>IF(7=0,personal_liquidoInicial,DR39)</f>
        <v/>
      </c>
      <c r="AL40" s="7">
        <f>IF(7=0,0,BB39)</f>
        <v/>
      </c>
      <c r="AM40" s="7">
        <f>CHOOSE(sel_cfgIdx,loc_precio_duplex,loc_precio_inlaw,loc_precio_dosCasas,loc_precio_casaAdu,loc_precio_multi)</f>
        <v/>
      </c>
      <c r="AN40" s="7">
        <f>AM40*(1+g_appr)^(A40-2026)</f>
        <v/>
      </c>
      <c r="AO40" s="7">
        <f>IF(AND(M40=1,vivienda_prestamoMedico=1),1,0)</f>
        <v/>
      </c>
      <c r="AP40" s="7">
        <f>IF(AO40=1,0.05,vivienda_enganchePct)</f>
        <v/>
      </c>
      <c r="AQ40" s="7">
        <f>AN40*(1-AP40)</f>
        <v/>
      </c>
      <c r="AR40" s="7">
        <f>PMT(g_mortRate/12,vivienda_plazoHipoteca*12,-AQ40)</f>
        <v/>
      </c>
      <c r="AS40" s="7">
        <f>INDEX(cfg_units,sel_cfgIdx)</f>
        <v/>
      </c>
      <c r="AT40" s="7">
        <f>AS40*loc_rentaUnidad*(1+g_inf)^(A40-2026)*(1-vivienda_vacancia)</f>
        <v/>
      </c>
      <c r="AU40" s="7">
        <f>AR40+AN40*loc_impuestoPropPct/12+AM40*loc_seguroPct*(1+vivienda_inflacionSeguro)^(A40-2026)/12+IF(AND(AO40=0,AP40&lt;0.2),AQ40*vivienda_pmiTasa/12,0)</f>
        <v/>
      </c>
      <c r="AV40" s="7">
        <f>AN40*AP40+AN40*vivienda_cierrePct+general_reservaMeses/12*AJ40</f>
        <v/>
      </c>
      <c r="AW40" s="7">
        <f>(IF(7=0,MIN(personal_irsSaldo,personal_irsPagoMensual*12),MIN(CD39,personal_irsPagoMensual*12))+IF(CE40&gt;0,PMT(CF40,MAX(1,prestamos_plazoAnios-CG40),-CE40),0)+IF(CR40&gt;0,PMT(CS40,MAX(1,prestamos_plazoAnios-CT40),-CR40),0))/12</f>
        <v/>
      </c>
      <c r="AX40" s="7">
        <f>IF(OR(sel_cfg="duplex",sel_cfg="multi",sel_cfg="dosCasas"),0.75*personal_aporteFamiliaMensual,0)</f>
        <v/>
      </c>
      <c r="AY40" s="7">
        <f>AU40-0.75*AT40-AX40+AW40</f>
        <v/>
      </c>
      <c r="AZ40" s="7">
        <f>(D40+G40+H40+0.5*F40)/12</f>
        <v/>
      </c>
      <c r="BA40" s="7">
        <f>IF(AND(AL40=0,A40&gt;=vivienda_anioMinCompra,J40&lt;0.5,AI40&gt;0,AK40&gt;=AV40,AY40&lt;=vivienda_dtiMax*AZ40),1,0)</f>
        <v/>
      </c>
      <c r="BB40" s="7">
        <f>MAX(AL40,BA40)</f>
        <v/>
      </c>
      <c r="BC40" s="7">
        <f>IF(BA40=1,A40,IF(7=0,"",BC39))</f>
        <v/>
      </c>
      <c r="BD40" s="7">
        <f>AK40-IF(BA40=1,AN40*AP40+AN40*vivienda_cierrePct,0)</f>
        <v/>
      </c>
      <c r="BE40" s="7">
        <f>IF(BA40=1,AN40,IF(7=0,0,BE39))</f>
        <v/>
      </c>
      <c r="BF40" s="7">
        <f>IF(BA40=1,AR40,IF(7=0,0,BF39))</f>
        <v/>
      </c>
      <c r="BG40" s="7">
        <f>IF(BA40=1,IF(AND(AO40=0,AP40&lt;0.2),1,0),IF(7=0,0,BY39))</f>
        <v/>
      </c>
      <c r="BH40" s="7">
        <f>IF(sel_cfg="casaAdu",1,0)</f>
        <v/>
      </c>
      <c r="BI40" s="7">
        <f>IF(AND(BB40=1,BH40=1,IF(7=0,0,BJ39)=0,A40&gt;=IF(BC40="",9999,BC40)+vivienda_aduRetrasoAnios),1,0)</f>
        <v/>
      </c>
      <c r="BJ40" s="7">
        <f>MAX(IF(7=0,0,BJ39),BI40)</f>
        <v/>
      </c>
      <c r="BK40" s="7">
        <f>IF(BI40=1,PMT((g_mortRate+0.005)/12,180,-loc_precio_aduCosto*C40),IF(7=0,0,BK39))</f>
        <v/>
      </c>
      <c r="BL40" s="7">
        <f>IF(BA40=1,AN40,IF(7=0,0,DT39))+IF(BI40=1,loc_precio_aduCosto*C40,0)</f>
        <v/>
      </c>
      <c r="BM40" s="7">
        <f>IF(BA40=1,AQ40,IF(7=0,0,DU39))</f>
        <v/>
      </c>
      <c r="BN40" s="7">
        <f>IF(BM40&lt;=0,0,FV(g_mortRate/12,12,BF40,-BM40))</f>
        <v/>
      </c>
      <c r="BO40" s="7">
        <f>IF(BM40&lt;=0,0,12*BF40+MIN(0,BN40))</f>
        <v/>
      </c>
      <c r="BP40" s="7">
        <f>MAX(0,BN40)</f>
        <v/>
      </c>
      <c r="BQ40" s="7">
        <f>IF(BI40=1,loc_precio_aduCosto*C40,IF(7=0,0,DV39))</f>
        <v/>
      </c>
      <c r="BR40" s="7">
        <f>IF(BQ40&lt;=0,0,FV((g_mortRate+0.005)/12,12,BK40,-BQ40))</f>
        <v/>
      </c>
      <c r="BS40" s="7">
        <f>IF(BQ40&lt;=0,0,12*BK40+MIN(0,BR40))</f>
        <v/>
      </c>
      <c r="BT40" s="7">
        <f>MAX(0,BR40)</f>
        <v/>
      </c>
      <c r="BU40" s="7">
        <f>IF(BB40=1,AM40*loc_seguroPct*(1+vivienda_inflacionSeguro)^(A40-2026)*IF(BJ40=1,1+loc_precio_aduCosto/AM40,1),0)</f>
        <v/>
      </c>
      <c r="BV40" s="7">
        <f>BL40*loc_impuestoPropPct</f>
        <v/>
      </c>
      <c r="BW40" s="7">
        <f>BL40*vivienda_mantenimientoPct</f>
        <v/>
      </c>
      <c r="BX40" s="7">
        <f>IF(AND(BG40=1,BP40&gt;0.8*BE40),BE40*(1-vivienda_enganchePct)*vivienda_pmiTasa,0)</f>
        <v/>
      </c>
      <c r="BY40" s="7">
        <f>IF(AND(BG40=1,BP40&gt;0.8*BE40),1,0)</f>
        <v/>
      </c>
      <c r="BZ40" s="7">
        <f>IF(BB40=1,AS40*loc_rentaUnidad*12*C40*(1-vivienda_vacancia)*(1-vivienda_gestionPct),0)</f>
        <v/>
      </c>
      <c r="CA40" s="7">
        <f>IF(BB40=1,BO40+BS40+BU40+BV40+BW40+BX40,loc_rentaMensual*12*C40)</f>
        <v/>
      </c>
      <c r="CB40" s="7">
        <f>IF(BB40=1,personal_aporteFamiliaMensual*12,0)</f>
        <v/>
      </c>
      <c r="CC40" s="7">
        <f>MIN(IF(7=0,personal_irsSaldo,CD39),personal_irsPagoMensual*12)</f>
        <v/>
      </c>
      <c r="CD40" s="7">
        <f>IF(7=0,personal_irsSaldo,CD39)-CC40</f>
        <v/>
      </c>
      <c r="CE40" s="7">
        <f>IF(7=0,IF(personal_deudaEsFederal=1,personal_deudaEstudiantil,0),DW39)</f>
        <v/>
      </c>
      <c r="CF40" s="7">
        <f>IF(7=0,personal_tasaDeudaEstudiantil,DX39)</f>
        <v/>
      </c>
      <c r="CG40" s="7">
        <f>IF(7=0,0,DY39)</f>
        <v/>
      </c>
      <c r="CH40" s="7">
        <f>IF(J40&gt;=0.5,1,0)</f>
        <v/>
      </c>
      <c r="CI40" s="7">
        <f>IF(AND(CH40=0,prestamos_pslfActivo=1,K40&gt;=0.5,CE40&gt;0),1,0)</f>
        <v/>
      </c>
      <c r="CJ40" s="7">
        <f>CE40*CF40</f>
        <v/>
      </c>
      <c r="CK40" s="7">
        <f>MAX(prestamos_rapPagoMinimoAnual,IF(Y40&lt;10000,0,MIN(0.1,INT(Y40/10000)/100))*Y40)</f>
        <v/>
      </c>
      <c r="CL40" s="7">
        <f>IF(CE40&lt;=0,0,IF(CH40=1,0,IF(CI40=1,MIN(CE40+CJ40,CK40),PMT(CF40,MAX(1,prestamos_plazoAnios-CG40),-CE40))))</f>
        <v/>
      </c>
      <c r="CM40" s="7">
        <f>IF(CE40&lt;=0,0,IF(CH40=1,CE40+CJ40,IF(CI40=1,MAX(0,CE40-MAX(CL40-CJ40,MIN(600,CL40))),MAX(0,CE40*(1+CF40)-CL40))))</f>
        <v/>
      </c>
      <c r="CN40" s="7">
        <f>IF(7=0,0,CN39)+IF(CI40=1,12*MIN(1,K40),0)</f>
        <v/>
      </c>
      <c r="CO40" s="7">
        <f>IF(AND(CI40=1,CN40&gt;=prestamos_pslfPagos,CM40&gt;0),CM40,0)</f>
        <v/>
      </c>
      <c r="CP40" s="7">
        <f>CM40-CO40</f>
        <v/>
      </c>
      <c r="CQ40" s="7">
        <f>IF(AND(CE40&gt;0,CH40=0,CI40=0),CG40+1,CG40)</f>
        <v/>
      </c>
      <c r="CR40" s="7">
        <f>IF(7=0,IF(personal_deudaEsFederal=1,0,personal_deudaEstudiantil),EA39)</f>
        <v/>
      </c>
      <c r="CS40" s="7">
        <f>IF(7=0,IF(personal_deudaEsFederal=1,prestamos_tasaPrivada,personal_tasaDeudaEstudiantil),EB39)</f>
        <v/>
      </c>
      <c r="CT40" s="7">
        <f>IF(7=0,0,EC39)</f>
        <v/>
      </c>
      <c r="CU40" s="7">
        <f>IF(OR(CR40&lt;=0,CH40=1),0,PMT(CS40,MAX(1,prestamos_plazoAnios-CT40),-CR40))</f>
        <v/>
      </c>
      <c r="CV40" s="7">
        <f>IF(CR40&lt;=0,0,IF(CH40=1,CR40*(1+CS40),MAX(0,CR40*(1+CS40)-CU40)))</f>
        <v/>
      </c>
      <c r="CW40" s="7">
        <f>IF(AND(CR40&gt;0,CH40=0),CT40+1,CT40)</f>
        <v/>
      </c>
      <c r="CX40" s="7">
        <f>IF(7=0,0,ED39)*(1+general_tasaDeudaConsumo)</f>
        <v/>
      </c>
      <c r="CY40" s="7">
        <f>L40*12*tiempos_travelGastoExtraMes*C40</f>
        <v/>
      </c>
      <c r="CZ40" s="7">
        <f>AJ40+CY40+CA40+CC40+CL40+CU40+I40+N40-BZ40-CB40</f>
        <v/>
      </c>
      <c r="DA40" s="7">
        <f>AH40-CZ40</f>
        <v/>
      </c>
      <c r="DB40" s="7">
        <f>IF(7=0,0,DB39)+DA40</f>
        <v/>
      </c>
      <c r="DC40" s="7">
        <f>AN40*vivienda_enganchePct+AN40*vivienda_cierrePct+general_reservaMeses/12*AJ40</f>
        <v/>
      </c>
      <c r="DD40" s="7">
        <f>IF(BB40=1,g_ret,IF(BD40&gt;0,MIN(1,DC40/BD40),1)*g_cash+(1-IF(BD40&gt;0,MIN(1,DC40/BD40),1))*g_ret)</f>
        <v/>
      </c>
      <c r="DE40" s="7">
        <f>IF(DA40&gt;=0,MIN(CX40,DA40),0)</f>
        <v/>
      </c>
      <c r="DF40" s="7">
        <f>IF(DA40&gt;=0,(1-general_tasaAhorro)*(DA40-DE40),0)</f>
        <v/>
      </c>
      <c r="DG40" s="7">
        <f>IF(DA40&gt;=0,DA40-DE40-DF40,0)</f>
        <v/>
      </c>
      <c r="DH40" s="7">
        <f>MIN(personal_rothAnual,DG40)</f>
        <v/>
      </c>
      <c r="DI40" s="7">
        <f>IF(AND(DA40&gt;=0,BB40=1,BP40+BT40&gt;0),MIN(vivienda_prepagoPct*(DG40-DH40),BP40+BT40),0)</f>
        <v/>
      </c>
      <c r="DJ40" s="7">
        <f>MIN(DI40,BP40)</f>
        <v/>
      </c>
      <c r="DK40" s="7">
        <f>IF(DA40&lt;0,MIN(MAX(0,BD40),-DA40),0)</f>
        <v/>
      </c>
      <c r="DL40" s="7">
        <f>IF(DA40&lt;0,-DA40-DK40,0)</f>
        <v/>
      </c>
      <c r="DM40" s="7">
        <f>IF(7=0,0,DZ39)</f>
        <v/>
      </c>
      <c r="DN40" s="7">
        <f>IF(AND(DL40&gt;0,J40&gt;0),MIN(DL40,MIN(prestamos_topeAnualPosgrado*MIN(1,J40),MAX(0,prestamos_topeTotalPosgrado-DM40))),0)</f>
        <v/>
      </c>
      <c r="DO40" s="7">
        <f>IF(AND(DL40&gt;0,J40&gt;0),DL40-DN40,0)</f>
        <v/>
      </c>
      <c r="DP40" s="7">
        <f>IF(AND(DL40&gt;0,J40&lt;=0),DL40,0)</f>
        <v/>
      </c>
      <c r="DQ40" s="7">
        <f>IF(DA40&gt;=0,DG40-DH40-DI40,-DK40)</f>
        <v/>
      </c>
      <c r="DR40" s="7">
        <f>BD40*(1+DD40)+DQ40*(1+DD40/2)</f>
        <v/>
      </c>
      <c r="DS40" s="7">
        <f>IF(7=0,personal_retiroInicial,DS39)*(1+g_ret)+(O40+P40+DH40)*(1+g_ret/2)</f>
        <v/>
      </c>
      <c r="DT40" s="7">
        <f>IF(BB40=1,BL40*(1+g_appr),0)</f>
        <v/>
      </c>
      <c r="DU40" s="7">
        <f>BP40-DJ40</f>
        <v/>
      </c>
      <c r="DV40" s="7">
        <f>BT40-(DI40-DJ40)</f>
        <v/>
      </c>
      <c r="DW40" s="7">
        <f>CP40+DN40</f>
        <v/>
      </c>
      <c r="DX40" s="7">
        <f>IF(DN40&gt;0,(CP40*CF40+DN40*prestamos_tasaFederalPosgrado)/(CP40+DN40),CF40)</f>
        <v/>
      </c>
      <c r="DY40" s="7">
        <f>IF(DN40&gt;0,0,CQ40)</f>
        <v/>
      </c>
      <c r="DZ40" s="7">
        <f>DM40+DN40</f>
        <v/>
      </c>
      <c r="EA40" s="7">
        <f>CV40+DO40</f>
        <v/>
      </c>
      <c r="EB40" s="7">
        <f>IF(DO40&gt;0,(CV40*CS40+DO40*prestamos_tasaPrivada)/(CV40+DO40),CS40)</f>
        <v/>
      </c>
      <c r="EC40" s="7">
        <f>IF(DO40&gt;0,0,CW40)</f>
        <v/>
      </c>
      <c r="ED40" s="7">
        <f>CX40-DE40+DP40</f>
        <v/>
      </c>
      <c r="EE40" s="7">
        <f>IF(IF(7=0,"",EE39)&lt;&gt;"",EE39,IF(AND(BB40=1,DU40&lt;=0.5,DV40&lt;=0.5,OR(BH40=0,BJ40=1)),A40,""))</f>
        <v/>
      </c>
      <c r="EF40" s="7">
        <f>DU40+DV40+DW40+EA40+ED40+CD40</f>
        <v/>
      </c>
      <c r="EG40" s="7">
        <f>DR40+DS40+DT40-EF40</f>
        <v/>
      </c>
      <c r="EH40" s="7">
        <f>EG40/(1+g_inf)^(A40+1-2026)</f>
        <v/>
      </c>
    </row>
    <row r="41">
      <c r="A41" t="n">
        <v>2035</v>
      </c>
      <c r="B41" t="n">
        <v>8</v>
      </c>
      <c r="C41" s="7">
        <f>(1+g_inf)^(A41-2026)</f>
        <v/>
      </c>
      <c r="D41" s="7">
        <f>SUMPRODUCT($AB$5:$AB$29,$E$5:$E$29*(1+$F$5:$F$29)^(A41-2026)*$G$5:$G$29*$H$5:$H$29*(1-$N$5:$N$29*$O$5:$O$29))*g_salMult+SUMPRODUCT(($B$5:$B$29&gt;=A41)*($B$5:$B$29&lt;A41+1)*$I$5:$I$29)*g_salMult</f>
        <v/>
      </c>
      <c r="E41" s="7">
        <f>SUMPRODUCT($AB$5:$AB$29,$E$5:$E$29*(1+$F$5:$F$29)^(A41-2026)*$G$5:$G$29*$H$5:$H$29*$M$5:$M$29)*g_salMult</f>
        <v/>
      </c>
      <c r="F41" s="7">
        <f>SUMPRODUCT($AB$5:$AB$29,$E$5:$E$29*(1+$F$5:$F$29)^(A41-2026)*$G$5:$G$29*$H$5:$H$29*$N$5:$N$29*$O$5:$O$29)*g_salMult</f>
        <v/>
      </c>
      <c r="G41" s="7">
        <f>SUMPRODUCT($AB$5:$AB$29,$P$5:$P$29*(1+$F$5:$F$29)^(A41-2026))</f>
        <v/>
      </c>
      <c r="H41" s="7">
        <f>SUMPRODUCT($AB$5:$AB$29,$Q$5:$Q$29*(1+$F$5:$F$29)^(A41-2026))+IF(personal_llcActivo=1,personal_llcNeto*(1+personal_llcCrecimiento)^8,0)</f>
        <v/>
      </c>
      <c r="I41" s="7">
        <f>SUMPRODUCT($AB$5:$AB$29,$J$5:$J$29/($C$5:$C$29-$B$5:$B$29+($C$5:$C$29=$B$5:$B$29)))*C41</f>
        <v/>
      </c>
      <c r="J41" s="7">
        <f>SUMPRODUCT($AB$5:$AB$29,$K$5:$K$29)</f>
        <v/>
      </c>
      <c r="K41" s="7">
        <f>SUMPRODUCT($AB$5:$AB$29,$L$5:$L$29)</f>
        <v/>
      </c>
      <c r="L41" s="7">
        <f>SUMPRODUCT($AB$5:$AB$29,$N$5:$N$29)</f>
        <v/>
      </c>
      <c r="M41" s="7">
        <f>IF(SUMPRODUCT($AB$5:$AB$29,$R$5:$R$29)&gt;0,1,0)</f>
        <v/>
      </c>
      <c r="N41" s="7">
        <f>SUMPRODUCT(($AO$5:$AO$24&gt;=A41)*($AO$5:$AO$24&lt;A41+1)*$AP$5:$AP$24)*C41+IF(8=0,IF(sel_loc&lt;&gt;"miami",personal_costoMudanzaInicial,0),0)</f>
        <v/>
      </c>
      <c r="O41" s="7">
        <f>MIN(personal_aporte403bPct*D41,retiro_limite403b*C41)</f>
        <v/>
      </c>
      <c r="P41" s="7">
        <f>MIN(personal_aporte403bPct,personal_match403bPct)*E41</f>
        <v/>
      </c>
      <c r="Q41" s="7">
        <f>IF(G41&gt;0,MAX(0,G41-impuestos_scorpCostoAnual*C41),0)</f>
        <v/>
      </c>
      <c r="R41" s="7">
        <f>Q41*impuestos_scorpSalarioPct/(1+impuestos_ssTasa+impuestos_medicareTasa)</f>
        <v/>
      </c>
      <c r="S41" s="7">
        <f>impuestos_ssTasa*MIN(R41,MAX(0,impuestos_ssTope*C41-D41))+impuestos_medicareTasa*R41</f>
        <v/>
      </c>
      <c r="T41" s="7">
        <f>Q41-R41-S41</f>
        <v/>
      </c>
      <c r="U41" s="7">
        <f>D41+R41</f>
        <v/>
      </c>
      <c r="V41" s="7">
        <f>H41*0.9235</f>
        <v/>
      </c>
      <c r="W41" s="7">
        <f>IF(H41&gt;0,2*impuestos_ssTasa*MIN(V41,MAX(0,impuestos_ssTope*C41-U41))+2*impuestos_medicareTasa*V41,0)</f>
        <v/>
      </c>
      <c r="X41" s="7">
        <f>impuestos_ssTasa*MIN(U41,impuestos_ssTope*C41)+impuestos_medicareTasa*U41+impuestos_medicareAdicional*MAX(0,U41+H41*0.9235-impuestos_medicareUmbral)</f>
        <v/>
      </c>
      <c r="Y41" s="7">
        <f>MAX(0,D41-O41+R41+T41+H41-W41/2)</f>
        <v/>
      </c>
      <c r="Z41" s="7">
        <f>MAX(0,Y41-impuestos_deduccionEstandar*C41)</f>
        <v/>
      </c>
      <c r="AA41" s="7">
        <f>MIN(0.2*MAX(0,T41+H41-W41/2)*MAX(0,MIN(1,1-(Z41-impuestos_qbiUmbral*C41)/(impuestos_qbiRango*C41))),0.2*Z41)</f>
        <v/>
      </c>
      <c r="AB41" s="7">
        <f>MAX(0,Z41-AA41)</f>
        <v/>
      </c>
      <c r="AC41" s="7">
        <f>SUMPRODUCT((AB41&gt;tb_federalBrackets_lo*C41)*(AB41-tb_federalBrackets_lo*C41)*tb_federalBrackets_dr)</f>
        <v/>
      </c>
      <c r="AD41" s="7">
        <f>MAX(0,Y41-impuestos_nyDeduccion*C41)</f>
        <v/>
      </c>
      <c r="AE41" s="7">
        <f>CHOOSE(loc_taxcode,0,impuestos_ohTasa*MAX(0,Y41-impuestos_ohExento*C41)+impuestos_ohMunicipal*U41,SUMPRODUCT((AD41&gt;tb_nyBrackets_lo*C41)*(AD41-tb_nyBrackets_lo*C41)*tb_nyBrackets_dr)+loc_nyc*SUMPRODUCT((AD41&gt;tb_nycBrackets_lo*C41)*(AD41-tb_nycBrackets_lo*C41)*tb_nycBrackets_dr))</f>
        <v/>
      </c>
      <c r="AF41" s="7">
        <f>AC41+AE41+X41+W41</f>
        <v/>
      </c>
      <c r="AG41" s="7">
        <f>D41+F41+R41+T41+H41</f>
        <v/>
      </c>
      <c r="AH41" s="7">
        <f>AG41-AF41-O41</f>
        <v/>
      </c>
      <c r="AI41" s="7">
        <f>D41+F41+G41+H41</f>
        <v/>
      </c>
      <c r="AJ41" s="7">
        <f>loc_gastosVida*C41*g_gastos</f>
        <v/>
      </c>
      <c r="AK41" s="7">
        <f>IF(8=0,personal_liquidoInicial,DR40)</f>
        <v/>
      </c>
      <c r="AL41" s="7">
        <f>IF(8=0,0,BB40)</f>
        <v/>
      </c>
      <c r="AM41" s="7">
        <f>CHOOSE(sel_cfgIdx,loc_precio_duplex,loc_precio_inlaw,loc_precio_dosCasas,loc_precio_casaAdu,loc_precio_multi)</f>
        <v/>
      </c>
      <c r="AN41" s="7">
        <f>AM41*(1+g_appr)^(A41-2026)</f>
        <v/>
      </c>
      <c r="AO41" s="7">
        <f>IF(AND(M41=1,vivienda_prestamoMedico=1),1,0)</f>
        <v/>
      </c>
      <c r="AP41" s="7">
        <f>IF(AO41=1,0.05,vivienda_enganchePct)</f>
        <v/>
      </c>
      <c r="AQ41" s="7">
        <f>AN41*(1-AP41)</f>
        <v/>
      </c>
      <c r="AR41" s="7">
        <f>PMT(g_mortRate/12,vivienda_plazoHipoteca*12,-AQ41)</f>
        <v/>
      </c>
      <c r="AS41" s="7">
        <f>INDEX(cfg_units,sel_cfgIdx)</f>
        <v/>
      </c>
      <c r="AT41" s="7">
        <f>AS41*loc_rentaUnidad*(1+g_inf)^(A41-2026)*(1-vivienda_vacancia)</f>
        <v/>
      </c>
      <c r="AU41" s="7">
        <f>AR41+AN41*loc_impuestoPropPct/12+AM41*loc_seguroPct*(1+vivienda_inflacionSeguro)^(A41-2026)/12+IF(AND(AO41=0,AP41&lt;0.2),AQ41*vivienda_pmiTasa/12,0)</f>
        <v/>
      </c>
      <c r="AV41" s="7">
        <f>AN41*AP41+AN41*vivienda_cierrePct+general_reservaMeses/12*AJ41</f>
        <v/>
      </c>
      <c r="AW41" s="7">
        <f>(IF(8=0,MIN(personal_irsSaldo,personal_irsPagoMensual*12),MIN(CD40,personal_irsPagoMensual*12))+IF(CE41&gt;0,PMT(CF41,MAX(1,prestamos_plazoAnios-CG41),-CE41),0)+IF(CR41&gt;0,PMT(CS41,MAX(1,prestamos_plazoAnios-CT41),-CR41),0))/12</f>
        <v/>
      </c>
      <c r="AX41" s="7">
        <f>IF(OR(sel_cfg="duplex",sel_cfg="multi",sel_cfg="dosCasas"),0.75*personal_aporteFamiliaMensual,0)</f>
        <v/>
      </c>
      <c r="AY41" s="7">
        <f>AU41-0.75*AT41-AX41+AW41</f>
        <v/>
      </c>
      <c r="AZ41" s="7">
        <f>(D41+G41+H41+0.5*F41)/12</f>
        <v/>
      </c>
      <c r="BA41" s="7">
        <f>IF(AND(AL41=0,A41&gt;=vivienda_anioMinCompra,J41&lt;0.5,AI41&gt;0,AK41&gt;=AV41,AY41&lt;=vivienda_dtiMax*AZ41),1,0)</f>
        <v/>
      </c>
      <c r="BB41" s="7">
        <f>MAX(AL41,BA41)</f>
        <v/>
      </c>
      <c r="BC41" s="7">
        <f>IF(BA41=1,A41,IF(8=0,"",BC40))</f>
        <v/>
      </c>
      <c r="BD41" s="7">
        <f>AK41-IF(BA41=1,AN41*AP41+AN41*vivienda_cierrePct,0)</f>
        <v/>
      </c>
      <c r="BE41" s="7">
        <f>IF(BA41=1,AN41,IF(8=0,0,BE40))</f>
        <v/>
      </c>
      <c r="BF41" s="7">
        <f>IF(BA41=1,AR41,IF(8=0,0,BF40))</f>
        <v/>
      </c>
      <c r="BG41" s="7">
        <f>IF(BA41=1,IF(AND(AO41=0,AP41&lt;0.2),1,0),IF(8=0,0,BY40))</f>
        <v/>
      </c>
      <c r="BH41" s="7">
        <f>IF(sel_cfg="casaAdu",1,0)</f>
        <v/>
      </c>
      <c r="BI41" s="7">
        <f>IF(AND(BB41=1,BH41=1,IF(8=0,0,BJ40)=0,A41&gt;=IF(BC41="",9999,BC41)+vivienda_aduRetrasoAnios),1,0)</f>
        <v/>
      </c>
      <c r="BJ41" s="7">
        <f>MAX(IF(8=0,0,BJ40),BI41)</f>
        <v/>
      </c>
      <c r="BK41" s="7">
        <f>IF(BI41=1,PMT((g_mortRate+0.005)/12,180,-loc_precio_aduCosto*C41),IF(8=0,0,BK40))</f>
        <v/>
      </c>
      <c r="BL41" s="7">
        <f>IF(BA41=1,AN41,IF(8=0,0,DT40))+IF(BI41=1,loc_precio_aduCosto*C41,0)</f>
        <v/>
      </c>
      <c r="BM41" s="7">
        <f>IF(BA41=1,AQ41,IF(8=0,0,DU40))</f>
        <v/>
      </c>
      <c r="BN41" s="7">
        <f>IF(BM41&lt;=0,0,FV(g_mortRate/12,12,BF41,-BM41))</f>
        <v/>
      </c>
      <c r="BO41" s="7">
        <f>IF(BM41&lt;=0,0,12*BF41+MIN(0,BN41))</f>
        <v/>
      </c>
      <c r="BP41" s="7">
        <f>MAX(0,BN41)</f>
        <v/>
      </c>
      <c r="BQ41" s="7">
        <f>IF(BI41=1,loc_precio_aduCosto*C41,IF(8=0,0,DV40))</f>
        <v/>
      </c>
      <c r="BR41" s="7">
        <f>IF(BQ41&lt;=0,0,FV((g_mortRate+0.005)/12,12,BK41,-BQ41))</f>
        <v/>
      </c>
      <c r="BS41" s="7">
        <f>IF(BQ41&lt;=0,0,12*BK41+MIN(0,BR41))</f>
        <v/>
      </c>
      <c r="BT41" s="7">
        <f>MAX(0,BR41)</f>
        <v/>
      </c>
      <c r="BU41" s="7">
        <f>IF(BB41=1,AM41*loc_seguroPct*(1+vivienda_inflacionSeguro)^(A41-2026)*IF(BJ41=1,1+loc_precio_aduCosto/AM41,1),0)</f>
        <v/>
      </c>
      <c r="BV41" s="7">
        <f>BL41*loc_impuestoPropPct</f>
        <v/>
      </c>
      <c r="BW41" s="7">
        <f>BL41*vivienda_mantenimientoPct</f>
        <v/>
      </c>
      <c r="BX41" s="7">
        <f>IF(AND(BG41=1,BP41&gt;0.8*BE41),BE41*(1-vivienda_enganchePct)*vivienda_pmiTasa,0)</f>
        <v/>
      </c>
      <c r="BY41" s="7">
        <f>IF(AND(BG41=1,BP41&gt;0.8*BE41),1,0)</f>
        <v/>
      </c>
      <c r="BZ41" s="7">
        <f>IF(BB41=1,AS41*loc_rentaUnidad*12*C41*(1-vivienda_vacancia)*(1-vivienda_gestionPct),0)</f>
        <v/>
      </c>
      <c r="CA41" s="7">
        <f>IF(BB41=1,BO41+BS41+BU41+BV41+BW41+BX41,loc_rentaMensual*12*C41)</f>
        <v/>
      </c>
      <c r="CB41" s="7">
        <f>IF(BB41=1,personal_aporteFamiliaMensual*12,0)</f>
        <v/>
      </c>
      <c r="CC41" s="7">
        <f>MIN(IF(8=0,personal_irsSaldo,CD40),personal_irsPagoMensual*12)</f>
        <v/>
      </c>
      <c r="CD41" s="7">
        <f>IF(8=0,personal_irsSaldo,CD40)-CC41</f>
        <v/>
      </c>
      <c r="CE41" s="7">
        <f>IF(8=0,IF(personal_deudaEsFederal=1,personal_deudaEstudiantil,0),DW40)</f>
        <v/>
      </c>
      <c r="CF41" s="7">
        <f>IF(8=0,personal_tasaDeudaEstudiantil,DX40)</f>
        <v/>
      </c>
      <c r="CG41" s="7">
        <f>IF(8=0,0,DY40)</f>
        <v/>
      </c>
      <c r="CH41" s="7">
        <f>IF(J41&gt;=0.5,1,0)</f>
        <v/>
      </c>
      <c r="CI41" s="7">
        <f>IF(AND(CH41=0,prestamos_pslfActivo=1,K41&gt;=0.5,CE41&gt;0),1,0)</f>
        <v/>
      </c>
      <c r="CJ41" s="7">
        <f>CE41*CF41</f>
        <v/>
      </c>
      <c r="CK41" s="7">
        <f>MAX(prestamos_rapPagoMinimoAnual,IF(Y41&lt;10000,0,MIN(0.1,INT(Y41/10000)/100))*Y41)</f>
        <v/>
      </c>
      <c r="CL41" s="7">
        <f>IF(CE41&lt;=0,0,IF(CH41=1,0,IF(CI41=1,MIN(CE41+CJ41,CK41),PMT(CF41,MAX(1,prestamos_plazoAnios-CG41),-CE41))))</f>
        <v/>
      </c>
      <c r="CM41" s="7">
        <f>IF(CE41&lt;=0,0,IF(CH41=1,CE41+CJ41,IF(CI41=1,MAX(0,CE41-MAX(CL41-CJ41,MIN(600,CL41))),MAX(0,CE41*(1+CF41)-CL41))))</f>
        <v/>
      </c>
      <c r="CN41" s="7">
        <f>IF(8=0,0,CN40)+IF(CI41=1,12*MIN(1,K41),0)</f>
        <v/>
      </c>
      <c r="CO41" s="7">
        <f>IF(AND(CI41=1,CN41&gt;=prestamos_pslfPagos,CM41&gt;0),CM41,0)</f>
        <v/>
      </c>
      <c r="CP41" s="7">
        <f>CM41-CO41</f>
        <v/>
      </c>
      <c r="CQ41" s="7">
        <f>IF(AND(CE41&gt;0,CH41=0,CI41=0),CG41+1,CG41)</f>
        <v/>
      </c>
      <c r="CR41" s="7">
        <f>IF(8=0,IF(personal_deudaEsFederal=1,0,personal_deudaEstudiantil),EA40)</f>
        <v/>
      </c>
      <c r="CS41" s="7">
        <f>IF(8=0,IF(personal_deudaEsFederal=1,prestamos_tasaPrivada,personal_tasaDeudaEstudiantil),EB40)</f>
        <v/>
      </c>
      <c r="CT41" s="7">
        <f>IF(8=0,0,EC40)</f>
        <v/>
      </c>
      <c r="CU41" s="7">
        <f>IF(OR(CR41&lt;=0,CH41=1),0,PMT(CS41,MAX(1,prestamos_plazoAnios-CT41),-CR41))</f>
        <v/>
      </c>
      <c r="CV41" s="7">
        <f>IF(CR41&lt;=0,0,IF(CH41=1,CR41*(1+CS41),MAX(0,CR41*(1+CS41)-CU41)))</f>
        <v/>
      </c>
      <c r="CW41" s="7">
        <f>IF(AND(CR41&gt;0,CH41=0),CT41+1,CT41)</f>
        <v/>
      </c>
      <c r="CX41" s="7">
        <f>IF(8=0,0,ED40)*(1+general_tasaDeudaConsumo)</f>
        <v/>
      </c>
      <c r="CY41" s="7">
        <f>L41*12*tiempos_travelGastoExtraMes*C41</f>
        <v/>
      </c>
      <c r="CZ41" s="7">
        <f>AJ41+CY41+CA41+CC41+CL41+CU41+I41+N41-BZ41-CB41</f>
        <v/>
      </c>
      <c r="DA41" s="7">
        <f>AH41-CZ41</f>
        <v/>
      </c>
      <c r="DB41" s="7">
        <f>IF(8=0,0,DB40)+DA41</f>
        <v/>
      </c>
      <c r="DC41" s="7">
        <f>AN41*vivienda_enganchePct+AN41*vivienda_cierrePct+general_reservaMeses/12*AJ41</f>
        <v/>
      </c>
      <c r="DD41" s="7">
        <f>IF(BB41=1,g_ret,IF(BD41&gt;0,MIN(1,DC41/BD41),1)*g_cash+(1-IF(BD41&gt;0,MIN(1,DC41/BD41),1))*g_ret)</f>
        <v/>
      </c>
      <c r="DE41" s="7">
        <f>IF(DA41&gt;=0,MIN(CX41,DA41),0)</f>
        <v/>
      </c>
      <c r="DF41" s="7">
        <f>IF(DA41&gt;=0,(1-general_tasaAhorro)*(DA41-DE41),0)</f>
        <v/>
      </c>
      <c r="DG41" s="7">
        <f>IF(DA41&gt;=0,DA41-DE41-DF41,0)</f>
        <v/>
      </c>
      <c r="DH41" s="7">
        <f>MIN(personal_rothAnual,DG41)</f>
        <v/>
      </c>
      <c r="DI41" s="7">
        <f>IF(AND(DA41&gt;=0,BB41=1,BP41+BT41&gt;0),MIN(vivienda_prepagoPct*(DG41-DH41),BP41+BT41),0)</f>
        <v/>
      </c>
      <c r="DJ41" s="7">
        <f>MIN(DI41,BP41)</f>
        <v/>
      </c>
      <c r="DK41" s="7">
        <f>IF(DA41&lt;0,MIN(MAX(0,BD41),-DA41),0)</f>
        <v/>
      </c>
      <c r="DL41" s="7">
        <f>IF(DA41&lt;0,-DA41-DK41,0)</f>
        <v/>
      </c>
      <c r="DM41" s="7">
        <f>IF(8=0,0,DZ40)</f>
        <v/>
      </c>
      <c r="DN41" s="7">
        <f>IF(AND(DL41&gt;0,J41&gt;0),MIN(DL41,MIN(prestamos_topeAnualPosgrado*MIN(1,J41),MAX(0,prestamos_topeTotalPosgrado-DM41))),0)</f>
        <v/>
      </c>
      <c r="DO41" s="7">
        <f>IF(AND(DL41&gt;0,J41&gt;0),DL41-DN41,0)</f>
        <v/>
      </c>
      <c r="DP41" s="7">
        <f>IF(AND(DL41&gt;0,J41&lt;=0),DL41,0)</f>
        <v/>
      </c>
      <c r="DQ41" s="7">
        <f>IF(DA41&gt;=0,DG41-DH41-DI41,-DK41)</f>
        <v/>
      </c>
      <c r="DR41" s="7">
        <f>BD41*(1+DD41)+DQ41*(1+DD41/2)</f>
        <v/>
      </c>
      <c r="DS41" s="7">
        <f>IF(8=0,personal_retiroInicial,DS40)*(1+g_ret)+(O41+P41+DH41)*(1+g_ret/2)</f>
        <v/>
      </c>
      <c r="DT41" s="7">
        <f>IF(BB41=1,BL41*(1+g_appr),0)</f>
        <v/>
      </c>
      <c r="DU41" s="7">
        <f>BP41-DJ41</f>
        <v/>
      </c>
      <c r="DV41" s="7">
        <f>BT41-(DI41-DJ41)</f>
        <v/>
      </c>
      <c r="DW41" s="7">
        <f>CP41+DN41</f>
        <v/>
      </c>
      <c r="DX41" s="7">
        <f>IF(DN41&gt;0,(CP41*CF41+DN41*prestamos_tasaFederalPosgrado)/(CP41+DN41),CF41)</f>
        <v/>
      </c>
      <c r="DY41" s="7">
        <f>IF(DN41&gt;0,0,CQ41)</f>
        <v/>
      </c>
      <c r="DZ41" s="7">
        <f>DM41+DN41</f>
        <v/>
      </c>
      <c r="EA41" s="7">
        <f>CV41+DO41</f>
        <v/>
      </c>
      <c r="EB41" s="7">
        <f>IF(DO41&gt;0,(CV41*CS41+DO41*prestamos_tasaPrivada)/(CV41+DO41),CS41)</f>
        <v/>
      </c>
      <c r="EC41" s="7">
        <f>IF(DO41&gt;0,0,CW41)</f>
        <v/>
      </c>
      <c r="ED41" s="7">
        <f>CX41-DE41+DP41</f>
        <v/>
      </c>
      <c r="EE41" s="7">
        <f>IF(IF(8=0,"",EE40)&lt;&gt;"",EE40,IF(AND(BB41=1,DU41&lt;=0.5,DV41&lt;=0.5,OR(BH41=0,BJ41=1)),A41,""))</f>
        <v/>
      </c>
      <c r="EF41" s="7">
        <f>DU41+DV41+DW41+EA41+ED41+CD41</f>
        <v/>
      </c>
      <c r="EG41" s="7">
        <f>DR41+DS41+DT41-EF41</f>
        <v/>
      </c>
      <c r="EH41" s="7">
        <f>EG41/(1+g_inf)^(A41+1-2026)</f>
        <v/>
      </c>
    </row>
    <row r="42">
      <c r="A42" t="n">
        <v>2036</v>
      </c>
      <c r="B42" t="n">
        <v>9</v>
      </c>
      <c r="C42" s="7">
        <f>(1+g_inf)^(A42-2026)</f>
        <v/>
      </c>
      <c r="D42" s="7">
        <f>SUMPRODUCT($AC$5:$AC$29,$E$5:$E$29*(1+$F$5:$F$29)^(A42-2026)*$G$5:$G$29*$H$5:$H$29*(1-$N$5:$N$29*$O$5:$O$29))*g_salMult+SUMPRODUCT(($B$5:$B$29&gt;=A42)*($B$5:$B$29&lt;A42+1)*$I$5:$I$29)*g_salMult</f>
        <v/>
      </c>
      <c r="E42" s="7">
        <f>SUMPRODUCT($AC$5:$AC$29,$E$5:$E$29*(1+$F$5:$F$29)^(A42-2026)*$G$5:$G$29*$H$5:$H$29*$M$5:$M$29)*g_salMult</f>
        <v/>
      </c>
      <c r="F42" s="7">
        <f>SUMPRODUCT($AC$5:$AC$29,$E$5:$E$29*(1+$F$5:$F$29)^(A42-2026)*$G$5:$G$29*$H$5:$H$29*$N$5:$N$29*$O$5:$O$29)*g_salMult</f>
        <v/>
      </c>
      <c r="G42" s="7">
        <f>SUMPRODUCT($AC$5:$AC$29,$P$5:$P$29*(1+$F$5:$F$29)^(A42-2026))</f>
        <v/>
      </c>
      <c r="H42" s="7">
        <f>SUMPRODUCT($AC$5:$AC$29,$Q$5:$Q$29*(1+$F$5:$F$29)^(A42-2026))+IF(personal_llcActivo=1,personal_llcNeto*(1+personal_llcCrecimiento)^9,0)</f>
        <v/>
      </c>
      <c r="I42" s="7">
        <f>SUMPRODUCT($AC$5:$AC$29,$J$5:$J$29/($C$5:$C$29-$B$5:$B$29+($C$5:$C$29=$B$5:$B$29)))*C42</f>
        <v/>
      </c>
      <c r="J42" s="7">
        <f>SUMPRODUCT($AC$5:$AC$29,$K$5:$K$29)</f>
        <v/>
      </c>
      <c r="K42" s="7">
        <f>SUMPRODUCT($AC$5:$AC$29,$L$5:$L$29)</f>
        <v/>
      </c>
      <c r="L42" s="7">
        <f>SUMPRODUCT($AC$5:$AC$29,$N$5:$N$29)</f>
        <v/>
      </c>
      <c r="M42" s="7">
        <f>IF(SUMPRODUCT($AC$5:$AC$29,$R$5:$R$29)&gt;0,1,0)</f>
        <v/>
      </c>
      <c r="N42" s="7">
        <f>SUMPRODUCT(($AO$5:$AO$24&gt;=A42)*($AO$5:$AO$24&lt;A42+1)*$AP$5:$AP$24)*C42+IF(9=0,IF(sel_loc&lt;&gt;"miami",personal_costoMudanzaInicial,0),0)</f>
        <v/>
      </c>
      <c r="O42" s="7">
        <f>MIN(personal_aporte403bPct*D42,retiro_limite403b*C42)</f>
        <v/>
      </c>
      <c r="P42" s="7">
        <f>MIN(personal_aporte403bPct,personal_match403bPct)*E42</f>
        <v/>
      </c>
      <c r="Q42" s="7">
        <f>IF(G42&gt;0,MAX(0,G42-impuestos_scorpCostoAnual*C42),0)</f>
        <v/>
      </c>
      <c r="R42" s="7">
        <f>Q42*impuestos_scorpSalarioPct/(1+impuestos_ssTasa+impuestos_medicareTasa)</f>
        <v/>
      </c>
      <c r="S42" s="7">
        <f>impuestos_ssTasa*MIN(R42,MAX(0,impuestos_ssTope*C42-D42))+impuestos_medicareTasa*R42</f>
        <v/>
      </c>
      <c r="T42" s="7">
        <f>Q42-R42-S42</f>
        <v/>
      </c>
      <c r="U42" s="7">
        <f>D42+R42</f>
        <v/>
      </c>
      <c r="V42" s="7">
        <f>H42*0.9235</f>
        <v/>
      </c>
      <c r="W42" s="7">
        <f>IF(H42&gt;0,2*impuestos_ssTasa*MIN(V42,MAX(0,impuestos_ssTope*C42-U42))+2*impuestos_medicareTasa*V42,0)</f>
        <v/>
      </c>
      <c r="X42" s="7">
        <f>impuestos_ssTasa*MIN(U42,impuestos_ssTope*C42)+impuestos_medicareTasa*U42+impuestos_medicareAdicional*MAX(0,U42+H42*0.9235-impuestos_medicareUmbral)</f>
        <v/>
      </c>
      <c r="Y42" s="7">
        <f>MAX(0,D42-O42+R42+T42+H42-W42/2)</f>
        <v/>
      </c>
      <c r="Z42" s="7">
        <f>MAX(0,Y42-impuestos_deduccionEstandar*C42)</f>
        <v/>
      </c>
      <c r="AA42" s="7">
        <f>MIN(0.2*MAX(0,T42+H42-W42/2)*MAX(0,MIN(1,1-(Z42-impuestos_qbiUmbral*C42)/(impuestos_qbiRango*C42))),0.2*Z42)</f>
        <v/>
      </c>
      <c r="AB42" s="7">
        <f>MAX(0,Z42-AA42)</f>
        <v/>
      </c>
      <c r="AC42" s="7">
        <f>SUMPRODUCT((AB42&gt;tb_federalBrackets_lo*C42)*(AB42-tb_federalBrackets_lo*C42)*tb_federalBrackets_dr)</f>
        <v/>
      </c>
      <c r="AD42" s="7">
        <f>MAX(0,Y42-impuestos_nyDeduccion*C42)</f>
        <v/>
      </c>
      <c r="AE42" s="7">
        <f>CHOOSE(loc_taxcode,0,impuestos_ohTasa*MAX(0,Y42-impuestos_ohExento*C42)+impuestos_ohMunicipal*U42,SUMPRODUCT((AD42&gt;tb_nyBrackets_lo*C42)*(AD42-tb_nyBrackets_lo*C42)*tb_nyBrackets_dr)+loc_nyc*SUMPRODUCT((AD42&gt;tb_nycBrackets_lo*C42)*(AD42-tb_nycBrackets_lo*C42)*tb_nycBrackets_dr))</f>
        <v/>
      </c>
      <c r="AF42" s="7">
        <f>AC42+AE42+X42+W42</f>
        <v/>
      </c>
      <c r="AG42" s="7">
        <f>D42+F42+R42+T42+H42</f>
        <v/>
      </c>
      <c r="AH42" s="7">
        <f>AG42-AF42-O42</f>
        <v/>
      </c>
      <c r="AI42" s="7">
        <f>D42+F42+G42+H42</f>
        <v/>
      </c>
      <c r="AJ42" s="7">
        <f>loc_gastosVida*C42*g_gastos</f>
        <v/>
      </c>
      <c r="AK42" s="7">
        <f>IF(9=0,personal_liquidoInicial,DR41)</f>
        <v/>
      </c>
      <c r="AL42" s="7">
        <f>IF(9=0,0,BB41)</f>
        <v/>
      </c>
      <c r="AM42" s="7">
        <f>CHOOSE(sel_cfgIdx,loc_precio_duplex,loc_precio_inlaw,loc_precio_dosCasas,loc_precio_casaAdu,loc_precio_multi)</f>
        <v/>
      </c>
      <c r="AN42" s="7">
        <f>AM42*(1+g_appr)^(A42-2026)</f>
        <v/>
      </c>
      <c r="AO42" s="7">
        <f>IF(AND(M42=1,vivienda_prestamoMedico=1),1,0)</f>
        <v/>
      </c>
      <c r="AP42" s="7">
        <f>IF(AO42=1,0.05,vivienda_enganchePct)</f>
        <v/>
      </c>
      <c r="AQ42" s="7">
        <f>AN42*(1-AP42)</f>
        <v/>
      </c>
      <c r="AR42" s="7">
        <f>PMT(g_mortRate/12,vivienda_plazoHipoteca*12,-AQ42)</f>
        <v/>
      </c>
      <c r="AS42" s="7">
        <f>INDEX(cfg_units,sel_cfgIdx)</f>
        <v/>
      </c>
      <c r="AT42" s="7">
        <f>AS42*loc_rentaUnidad*(1+g_inf)^(A42-2026)*(1-vivienda_vacancia)</f>
        <v/>
      </c>
      <c r="AU42" s="7">
        <f>AR42+AN42*loc_impuestoPropPct/12+AM42*loc_seguroPct*(1+vivienda_inflacionSeguro)^(A42-2026)/12+IF(AND(AO42=0,AP42&lt;0.2),AQ42*vivienda_pmiTasa/12,0)</f>
        <v/>
      </c>
      <c r="AV42" s="7">
        <f>AN42*AP42+AN42*vivienda_cierrePct+general_reservaMeses/12*AJ42</f>
        <v/>
      </c>
      <c r="AW42" s="7">
        <f>(IF(9=0,MIN(personal_irsSaldo,personal_irsPagoMensual*12),MIN(CD41,personal_irsPagoMensual*12))+IF(CE42&gt;0,PMT(CF42,MAX(1,prestamos_plazoAnios-CG42),-CE42),0)+IF(CR42&gt;0,PMT(CS42,MAX(1,prestamos_plazoAnios-CT42),-CR42),0))/12</f>
        <v/>
      </c>
      <c r="AX42" s="7">
        <f>IF(OR(sel_cfg="duplex",sel_cfg="multi",sel_cfg="dosCasas"),0.75*personal_aporteFamiliaMensual,0)</f>
        <v/>
      </c>
      <c r="AY42" s="7">
        <f>AU42-0.75*AT42-AX42+AW42</f>
        <v/>
      </c>
      <c r="AZ42" s="7">
        <f>(D42+G42+H42+0.5*F42)/12</f>
        <v/>
      </c>
      <c r="BA42" s="7">
        <f>IF(AND(AL42=0,A42&gt;=vivienda_anioMinCompra,J42&lt;0.5,AI42&gt;0,AK42&gt;=AV42,AY42&lt;=vivienda_dtiMax*AZ42),1,0)</f>
        <v/>
      </c>
      <c r="BB42" s="7">
        <f>MAX(AL42,BA42)</f>
        <v/>
      </c>
      <c r="BC42" s="7">
        <f>IF(BA42=1,A42,IF(9=0,"",BC41))</f>
        <v/>
      </c>
      <c r="BD42" s="7">
        <f>AK42-IF(BA42=1,AN42*AP42+AN42*vivienda_cierrePct,0)</f>
        <v/>
      </c>
      <c r="BE42" s="7">
        <f>IF(BA42=1,AN42,IF(9=0,0,BE41))</f>
        <v/>
      </c>
      <c r="BF42" s="7">
        <f>IF(BA42=1,AR42,IF(9=0,0,BF41))</f>
        <v/>
      </c>
      <c r="BG42" s="7">
        <f>IF(BA42=1,IF(AND(AO42=0,AP42&lt;0.2),1,0),IF(9=0,0,BY41))</f>
        <v/>
      </c>
      <c r="BH42" s="7">
        <f>IF(sel_cfg="casaAdu",1,0)</f>
        <v/>
      </c>
      <c r="BI42" s="7">
        <f>IF(AND(BB42=1,BH42=1,IF(9=0,0,BJ41)=0,A42&gt;=IF(BC42="",9999,BC42)+vivienda_aduRetrasoAnios),1,0)</f>
        <v/>
      </c>
      <c r="BJ42" s="7">
        <f>MAX(IF(9=0,0,BJ41),BI42)</f>
        <v/>
      </c>
      <c r="BK42" s="7">
        <f>IF(BI42=1,PMT((g_mortRate+0.005)/12,180,-loc_precio_aduCosto*C42),IF(9=0,0,BK41))</f>
        <v/>
      </c>
      <c r="BL42" s="7">
        <f>IF(BA42=1,AN42,IF(9=0,0,DT41))+IF(BI42=1,loc_precio_aduCosto*C42,0)</f>
        <v/>
      </c>
      <c r="BM42" s="7">
        <f>IF(BA42=1,AQ42,IF(9=0,0,DU41))</f>
        <v/>
      </c>
      <c r="BN42" s="7">
        <f>IF(BM42&lt;=0,0,FV(g_mortRate/12,12,BF42,-BM42))</f>
        <v/>
      </c>
      <c r="BO42" s="7">
        <f>IF(BM42&lt;=0,0,12*BF42+MIN(0,BN42))</f>
        <v/>
      </c>
      <c r="BP42" s="7">
        <f>MAX(0,BN42)</f>
        <v/>
      </c>
      <c r="BQ42" s="7">
        <f>IF(BI42=1,loc_precio_aduCosto*C42,IF(9=0,0,DV41))</f>
        <v/>
      </c>
      <c r="BR42" s="7">
        <f>IF(BQ42&lt;=0,0,FV((g_mortRate+0.005)/12,12,BK42,-BQ42))</f>
        <v/>
      </c>
      <c r="BS42" s="7">
        <f>IF(BQ42&lt;=0,0,12*BK42+MIN(0,BR42))</f>
        <v/>
      </c>
      <c r="BT42" s="7">
        <f>MAX(0,BR42)</f>
        <v/>
      </c>
      <c r="BU42" s="7">
        <f>IF(BB42=1,AM42*loc_seguroPct*(1+vivienda_inflacionSeguro)^(A42-2026)*IF(BJ42=1,1+loc_precio_aduCosto/AM42,1),0)</f>
        <v/>
      </c>
      <c r="BV42" s="7">
        <f>BL42*loc_impuestoPropPct</f>
        <v/>
      </c>
      <c r="BW42" s="7">
        <f>BL42*vivienda_mantenimientoPct</f>
        <v/>
      </c>
      <c r="BX42" s="7">
        <f>IF(AND(BG42=1,BP42&gt;0.8*BE42),BE42*(1-vivienda_enganchePct)*vivienda_pmiTasa,0)</f>
        <v/>
      </c>
      <c r="BY42" s="7">
        <f>IF(AND(BG42=1,BP42&gt;0.8*BE42),1,0)</f>
        <v/>
      </c>
      <c r="BZ42" s="7">
        <f>IF(BB42=1,AS42*loc_rentaUnidad*12*C42*(1-vivienda_vacancia)*(1-vivienda_gestionPct),0)</f>
        <v/>
      </c>
      <c r="CA42" s="7">
        <f>IF(BB42=1,BO42+BS42+BU42+BV42+BW42+BX42,loc_rentaMensual*12*C42)</f>
        <v/>
      </c>
      <c r="CB42" s="7">
        <f>IF(BB42=1,personal_aporteFamiliaMensual*12,0)</f>
        <v/>
      </c>
      <c r="CC42" s="7">
        <f>MIN(IF(9=0,personal_irsSaldo,CD41),personal_irsPagoMensual*12)</f>
        <v/>
      </c>
      <c r="CD42" s="7">
        <f>IF(9=0,personal_irsSaldo,CD41)-CC42</f>
        <v/>
      </c>
      <c r="CE42" s="7">
        <f>IF(9=0,IF(personal_deudaEsFederal=1,personal_deudaEstudiantil,0),DW41)</f>
        <v/>
      </c>
      <c r="CF42" s="7">
        <f>IF(9=0,personal_tasaDeudaEstudiantil,DX41)</f>
        <v/>
      </c>
      <c r="CG42" s="7">
        <f>IF(9=0,0,DY41)</f>
        <v/>
      </c>
      <c r="CH42" s="7">
        <f>IF(J42&gt;=0.5,1,0)</f>
        <v/>
      </c>
      <c r="CI42" s="7">
        <f>IF(AND(CH42=0,prestamos_pslfActivo=1,K42&gt;=0.5,CE42&gt;0),1,0)</f>
        <v/>
      </c>
      <c r="CJ42" s="7">
        <f>CE42*CF42</f>
        <v/>
      </c>
      <c r="CK42" s="7">
        <f>MAX(prestamos_rapPagoMinimoAnual,IF(Y42&lt;10000,0,MIN(0.1,INT(Y42/10000)/100))*Y42)</f>
        <v/>
      </c>
      <c r="CL42" s="7">
        <f>IF(CE42&lt;=0,0,IF(CH42=1,0,IF(CI42=1,MIN(CE42+CJ42,CK42),PMT(CF42,MAX(1,prestamos_plazoAnios-CG42),-CE42))))</f>
        <v/>
      </c>
      <c r="CM42" s="7">
        <f>IF(CE42&lt;=0,0,IF(CH42=1,CE42+CJ42,IF(CI42=1,MAX(0,CE42-MAX(CL42-CJ42,MIN(600,CL42))),MAX(0,CE42*(1+CF42)-CL42))))</f>
        <v/>
      </c>
      <c r="CN42" s="7">
        <f>IF(9=0,0,CN41)+IF(CI42=1,12*MIN(1,K42),0)</f>
        <v/>
      </c>
      <c r="CO42" s="7">
        <f>IF(AND(CI42=1,CN42&gt;=prestamos_pslfPagos,CM42&gt;0),CM42,0)</f>
        <v/>
      </c>
      <c r="CP42" s="7">
        <f>CM42-CO42</f>
        <v/>
      </c>
      <c r="CQ42" s="7">
        <f>IF(AND(CE42&gt;0,CH42=0,CI42=0),CG42+1,CG42)</f>
        <v/>
      </c>
      <c r="CR42" s="7">
        <f>IF(9=0,IF(personal_deudaEsFederal=1,0,personal_deudaEstudiantil),EA41)</f>
        <v/>
      </c>
      <c r="CS42" s="7">
        <f>IF(9=0,IF(personal_deudaEsFederal=1,prestamos_tasaPrivada,personal_tasaDeudaEstudiantil),EB41)</f>
        <v/>
      </c>
      <c r="CT42" s="7">
        <f>IF(9=0,0,EC41)</f>
        <v/>
      </c>
      <c r="CU42" s="7">
        <f>IF(OR(CR42&lt;=0,CH42=1),0,PMT(CS42,MAX(1,prestamos_plazoAnios-CT42),-CR42))</f>
        <v/>
      </c>
      <c r="CV42" s="7">
        <f>IF(CR42&lt;=0,0,IF(CH42=1,CR42*(1+CS42),MAX(0,CR42*(1+CS42)-CU42)))</f>
        <v/>
      </c>
      <c r="CW42" s="7">
        <f>IF(AND(CR42&gt;0,CH42=0),CT42+1,CT42)</f>
        <v/>
      </c>
      <c r="CX42" s="7">
        <f>IF(9=0,0,ED41)*(1+general_tasaDeudaConsumo)</f>
        <v/>
      </c>
      <c r="CY42" s="7">
        <f>L42*12*tiempos_travelGastoExtraMes*C42</f>
        <v/>
      </c>
      <c r="CZ42" s="7">
        <f>AJ42+CY42+CA42+CC42+CL42+CU42+I42+N42-BZ42-CB42</f>
        <v/>
      </c>
      <c r="DA42" s="7">
        <f>AH42-CZ42</f>
        <v/>
      </c>
      <c r="DB42" s="7">
        <f>IF(9=0,0,DB41)+DA42</f>
        <v/>
      </c>
      <c r="DC42" s="7">
        <f>AN42*vivienda_enganchePct+AN42*vivienda_cierrePct+general_reservaMeses/12*AJ42</f>
        <v/>
      </c>
      <c r="DD42" s="7">
        <f>IF(BB42=1,g_ret,IF(BD42&gt;0,MIN(1,DC42/BD42),1)*g_cash+(1-IF(BD42&gt;0,MIN(1,DC42/BD42),1))*g_ret)</f>
        <v/>
      </c>
      <c r="DE42" s="7">
        <f>IF(DA42&gt;=0,MIN(CX42,DA42),0)</f>
        <v/>
      </c>
      <c r="DF42" s="7">
        <f>IF(DA42&gt;=0,(1-general_tasaAhorro)*(DA42-DE42),0)</f>
        <v/>
      </c>
      <c r="DG42" s="7">
        <f>IF(DA42&gt;=0,DA42-DE42-DF42,0)</f>
        <v/>
      </c>
      <c r="DH42" s="7">
        <f>MIN(personal_rothAnual,DG42)</f>
        <v/>
      </c>
      <c r="DI42" s="7">
        <f>IF(AND(DA42&gt;=0,BB42=1,BP42+BT42&gt;0),MIN(vivienda_prepagoPct*(DG42-DH42),BP42+BT42),0)</f>
        <v/>
      </c>
      <c r="DJ42" s="7">
        <f>MIN(DI42,BP42)</f>
        <v/>
      </c>
      <c r="DK42" s="7">
        <f>IF(DA42&lt;0,MIN(MAX(0,BD42),-DA42),0)</f>
        <v/>
      </c>
      <c r="DL42" s="7">
        <f>IF(DA42&lt;0,-DA42-DK42,0)</f>
        <v/>
      </c>
      <c r="DM42" s="7">
        <f>IF(9=0,0,DZ41)</f>
        <v/>
      </c>
      <c r="DN42" s="7">
        <f>IF(AND(DL42&gt;0,J42&gt;0),MIN(DL42,MIN(prestamos_topeAnualPosgrado*MIN(1,J42),MAX(0,prestamos_topeTotalPosgrado-DM42))),0)</f>
        <v/>
      </c>
      <c r="DO42" s="7">
        <f>IF(AND(DL42&gt;0,J42&gt;0),DL42-DN42,0)</f>
        <v/>
      </c>
      <c r="DP42" s="7">
        <f>IF(AND(DL42&gt;0,J42&lt;=0),DL42,0)</f>
        <v/>
      </c>
      <c r="DQ42" s="7">
        <f>IF(DA42&gt;=0,DG42-DH42-DI42,-DK42)</f>
        <v/>
      </c>
      <c r="DR42" s="7">
        <f>BD42*(1+DD42)+DQ42*(1+DD42/2)</f>
        <v/>
      </c>
      <c r="DS42" s="7">
        <f>IF(9=0,personal_retiroInicial,DS41)*(1+g_ret)+(O42+P42+DH42)*(1+g_ret/2)</f>
        <v/>
      </c>
      <c r="DT42" s="7">
        <f>IF(BB42=1,BL42*(1+g_appr),0)</f>
        <v/>
      </c>
      <c r="DU42" s="7">
        <f>BP42-DJ42</f>
        <v/>
      </c>
      <c r="DV42" s="7">
        <f>BT42-(DI42-DJ42)</f>
        <v/>
      </c>
      <c r="DW42" s="7">
        <f>CP42+DN42</f>
        <v/>
      </c>
      <c r="DX42" s="7">
        <f>IF(DN42&gt;0,(CP42*CF42+DN42*prestamos_tasaFederalPosgrado)/(CP42+DN42),CF42)</f>
        <v/>
      </c>
      <c r="DY42" s="7">
        <f>IF(DN42&gt;0,0,CQ42)</f>
        <v/>
      </c>
      <c r="DZ42" s="7">
        <f>DM42+DN42</f>
        <v/>
      </c>
      <c r="EA42" s="7">
        <f>CV42+DO42</f>
        <v/>
      </c>
      <c r="EB42" s="7">
        <f>IF(DO42&gt;0,(CV42*CS42+DO42*prestamos_tasaPrivada)/(CV42+DO42),CS42)</f>
        <v/>
      </c>
      <c r="EC42" s="7">
        <f>IF(DO42&gt;0,0,CW42)</f>
        <v/>
      </c>
      <c r="ED42" s="7">
        <f>CX42-DE42+DP42</f>
        <v/>
      </c>
      <c r="EE42" s="7">
        <f>IF(IF(9=0,"",EE41)&lt;&gt;"",EE41,IF(AND(BB42=1,DU42&lt;=0.5,DV42&lt;=0.5,OR(BH42=0,BJ42=1)),A42,""))</f>
        <v/>
      </c>
      <c r="EF42" s="7">
        <f>DU42+DV42+DW42+EA42+ED42+CD42</f>
        <v/>
      </c>
      <c r="EG42" s="7">
        <f>DR42+DS42+DT42-EF42</f>
        <v/>
      </c>
      <c r="EH42" s="7">
        <f>EG42/(1+g_inf)^(A42+1-2026)</f>
        <v/>
      </c>
    </row>
    <row r="43">
      <c r="A43" t="n">
        <v>2037</v>
      </c>
      <c r="B43" t="n">
        <v>10</v>
      </c>
      <c r="C43" s="7">
        <f>(1+g_inf)^(A43-2026)</f>
        <v/>
      </c>
      <c r="D43" s="7">
        <f>SUMPRODUCT($AD$5:$AD$29,$E$5:$E$29*(1+$F$5:$F$29)^(A43-2026)*$G$5:$G$29*$H$5:$H$29*(1-$N$5:$N$29*$O$5:$O$29))*g_salMult+SUMPRODUCT(($B$5:$B$29&gt;=A43)*($B$5:$B$29&lt;A43+1)*$I$5:$I$29)*g_salMult</f>
        <v/>
      </c>
      <c r="E43" s="7">
        <f>SUMPRODUCT($AD$5:$AD$29,$E$5:$E$29*(1+$F$5:$F$29)^(A43-2026)*$G$5:$G$29*$H$5:$H$29*$M$5:$M$29)*g_salMult</f>
        <v/>
      </c>
      <c r="F43" s="7">
        <f>SUMPRODUCT($AD$5:$AD$29,$E$5:$E$29*(1+$F$5:$F$29)^(A43-2026)*$G$5:$G$29*$H$5:$H$29*$N$5:$N$29*$O$5:$O$29)*g_salMult</f>
        <v/>
      </c>
      <c r="G43" s="7">
        <f>SUMPRODUCT($AD$5:$AD$29,$P$5:$P$29*(1+$F$5:$F$29)^(A43-2026))</f>
        <v/>
      </c>
      <c r="H43" s="7">
        <f>SUMPRODUCT($AD$5:$AD$29,$Q$5:$Q$29*(1+$F$5:$F$29)^(A43-2026))+IF(personal_llcActivo=1,personal_llcNeto*(1+personal_llcCrecimiento)^10,0)</f>
        <v/>
      </c>
      <c r="I43" s="7">
        <f>SUMPRODUCT($AD$5:$AD$29,$J$5:$J$29/($C$5:$C$29-$B$5:$B$29+($C$5:$C$29=$B$5:$B$29)))*C43</f>
        <v/>
      </c>
      <c r="J43" s="7">
        <f>SUMPRODUCT($AD$5:$AD$29,$K$5:$K$29)</f>
        <v/>
      </c>
      <c r="K43" s="7">
        <f>SUMPRODUCT($AD$5:$AD$29,$L$5:$L$29)</f>
        <v/>
      </c>
      <c r="L43" s="7">
        <f>SUMPRODUCT($AD$5:$AD$29,$N$5:$N$29)</f>
        <v/>
      </c>
      <c r="M43" s="7">
        <f>IF(SUMPRODUCT($AD$5:$AD$29,$R$5:$R$29)&gt;0,1,0)</f>
        <v/>
      </c>
      <c r="N43" s="7">
        <f>SUMPRODUCT(($AO$5:$AO$24&gt;=A43)*($AO$5:$AO$24&lt;A43+1)*$AP$5:$AP$24)*C43+IF(10=0,IF(sel_loc&lt;&gt;"miami",personal_costoMudanzaInicial,0),0)</f>
        <v/>
      </c>
      <c r="O43" s="7">
        <f>MIN(personal_aporte403bPct*D43,retiro_limite403b*C43)</f>
        <v/>
      </c>
      <c r="P43" s="7">
        <f>MIN(personal_aporte403bPct,personal_match403bPct)*E43</f>
        <v/>
      </c>
      <c r="Q43" s="7">
        <f>IF(G43&gt;0,MAX(0,G43-impuestos_scorpCostoAnual*C43),0)</f>
        <v/>
      </c>
      <c r="R43" s="7">
        <f>Q43*impuestos_scorpSalarioPct/(1+impuestos_ssTasa+impuestos_medicareTasa)</f>
        <v/>
      </c>
      <c r="S43" s="7">
        <f>impuestos_ssTasa*MIN(R43,MAX(0,impuestos_ssTope*C43-D43))+impuestos_medicareTasa*R43</f>
        <v/>
      </c>
      <c r="T43" s="7">
        <f>Q43-R43-S43</f>
        <v/>
      </c>
      <c r="U43" s="7">
        <f>D43+R43</f>
        <v/>
      </c>
      <c r="V43" s="7">
        <f>H43*0.9235</f>
        <v/>
      </c>
      <c r="W43" s="7">
        <f>IF(H43&gt;0,2*impuestos_ssTasa*MIN(V43,MAX(0,impuestos_ssTope*C43-U43))+2*impuestos_medicareTasa*V43,0)</f>
        <v/>
      </c>
      <c r="X43" s="7">
        <f>impuestos_ssTasa*MIN(U43,impuestos_ssTope*C43)+impuestos_medicareTasa*U43+impuestos_medicareAdicional*MAX(0,U43+H43*0.9235-impuestos_medicareUmbral)</f>
        <v/>
      </c>
      <c r="Y43" s="7">
        <f>MAX(0,D43-O43+R43+T43+H43-W43/2)</f>
        <v/>
      </c>
      <c r="Z43" s="7">
        <f>MAX(0,Y43-impuestos_deduccionEstandar*C43)</f>
        <v/>
      </c>
      <c r="AA43" s="7">
        <f>MIN(0.2*MAX(0,T43+H43-W43/2)*MAX(0,MIN(1,1-(Z43-impuestos_qbiUmbral*C43)/(impuestos_qbiRango*C43))),0.2*Z43)</f>
        <v/>
      </c>
      <c r="AB43" s="7">
        <f>MAX(0,Z43-AA43)</f>
        <v/>
      </c>
      <c r="AC43" s="7">
        <f>SUMPRODUCT((AB43&gt;tb_federalBrackets_lo*C43)*(AB43-tb_federalBrackets_lo*C43)*tb_federalBrackets_dr)</f>
        <v/>
      </c>
      <c r="AD43" s="7">
        <f>MAX(0,Y43-impuestos_nyDeduccion*C43)</f>
        <v/>
      </c>
      <c r="AE43" s="7">
        <f>CHOOSE(loc_taxcode,0,impuestos_ohTasa*MAX(0,Y43-impuestos_ohExento*C43)+impuestos_ohMunicipal*U43,SUMPRODUCT((AD43&gt;tb_nyBrackets_lo*C43)*(AD43-tb_nyBrackets_lo*C43)*tb_nyBrackets_dr)+loc_nyc*SUMPRODUCT((AD43&gt;tb_nycBrackets_lo*C43)*(AD43-tb_nycBrackets_lo*C43)*tb_nycBrackets_dr))</f>
        <v/>
      </c>
      <c r="AF43" s="7">
        <f>AC43+AE43+X43+W43</f>
        <v/>
      </c>
      <c r="AG43" s="7">
        <f>D43+F43+R43+T43+H43</f>
        <v/>
      </c>
      <c r="AH43" s="7">
        <f>AG43-AF43-O43</f>
        <v/>
      </c>
      <c r="AI43" s="7">
        <f>D43+F43+G43+H43</f>
        <v/>
      </c>
      <c r="AJ43" s="7">
        <f>loc_gastosVida*C43*g_gastos</f>
        <v/>
      </c>
      <c r="AK43" s="7">
        <f>IF(10=0,personal_liquidoInicial,DR42)</f>
        <v/>
      </c>
      <c r="AL43" s="7">
        <f>IF(10=0,0,BB42)</f>
        <v/>
      </c>
      <c r="AM43" s="7">
        <f>CHOOSE(sel_cfgIdx,loc_precio_duplex,loc_precio_inlaw,loc_precio_dosCasas,loc_precio_casaAdu,loc_precio_multi)</f>
        <v/>
      </c>
      <c r="AN43" s="7">
        <f>AM43*(1+g_appr)^(A43-2026)</f>
        <v/>
      </c>
      <c r="AO43" s="7">
        <f>IF(AND(M43=1,vivienda_prestamoMedico=1),1,0)</f>
        <v/>
      </c>
      <c r="AP43" s="7">
        <f>IF(AO43=1,0.05,vivienda_enganchePct)</f>
        <v/>
      </c>
      <c r="AQ43" s="7">
        <f>AN43*(1-AP43)</f>
        <v/>
      </c>
      <c r="AR43" s="7">
        <f>PMT(g_mortRate/12,vivienda_plazoHipoteca*12,-AQ43)</f>
        <v/>
      </c>
      <c r="AS43" s="7">
        <f>INDEX(cfg_units,sel_cfgIdx)</f>
        <v/>
      </c>
      <c r="AT43" s="7">
        <f>AS43*loc_rentaUnidad*(1+g_inf)^(A43-2026)*(1-vivienda_vacancia)</f>
        <v/>
      </c>
      <c r="AU43" s="7">
        <f>AR43+AN43*loc_impuestoPropPct/12+AM43*loc_seguroPct*(1+vivienda_inflacionSeguro)^(A43-2026)/12+IF(AND(AO43=0,AP43&lt;0.2),AQ43*vivienda_pmiTasa/12,0)</f>
        <v/>
      </c>
      <c r="AV43" s="7">
        <f>AN43*AP43+AN43*vivienda_cierrePct+general_reservaMeses/12*AJ43</f>
        <v/>
      </c>
      <c r="AW43" s="7">
        <f>(IF(10=0,MIN(personal_irsSaldo,personal_irsPagoMensual*12),MIN(CD42,personal_irsPagoMensual*12))+IF(CE43&gt;0,PMT(CF43,MAX(1,prestamos_plazoAnios-CG43),-CE43),0)+IF(CR43&gt;0,PMT(CS43,MAX(1,prestamos_plazoAnios-CT43),-CR43),0))/12</f>
        <v/>
      </c>
      <c r="AX43" s="7">
        <f>IF(OR(sel_cfg="duplex",sel_cfg="multi",sel_cfg="dosCasas"),0.75*personal_aporteFamiliaMensual,0)</f>
        <v/>
      </c>
      <c r="AY43" s="7">
        <f>AU43-0.75*AT43-AX43+AW43</f>
        <v/>
      </c>
      <c r="AZ43" s="7">
        <f>(D43+G43+H43+0.5*F43)/12</f>
        <v/>
      </c>
      <c r="BA43" s="7">
        <f>IF(AND(AL43=0,A43&gt;=vivienda_anioMinCompra,J43&lt;0.5,AI43&gt;0,AK43&gt;=AV43,AY43&lt;=vivienda_dtiMax*AZ43),1,0)</f>
        <v/>
      </c>
      <c r="BB43" s="7">
        <f>MAX(AL43,BA43)</f>
        <v/>
      </c>
      <c r="BC43" s="7">
        <f>IF(BA43=1,A43,IF(10=0,"",BC42))</f>
        <v/>
      </c>
      <c r="BD43" s="7">
        <f>AK43-IF(BA43=1,AN43*AP43+AN43*vivienda_cierrePct,0)</f>
        <v/>
      </c>
      <c r="BE43" s="7">
        <f>IF(BA43=1,AN43,IF(10=0,0,BE42))</f>
        <v/>
      </c>
      <c r="BF43" s="7">
        <f>IF(BA43=1,AR43,IF(10=0,0,BF42))</f>
        <v/>
      </c>
      <c r="BG43" s="7">
        <f>IF(BA43=1,IF(AND(AO43=0,AP43&lt;0.2),1,0),IF(10=0,0,BY42))</f>
        <v/>
      </c>
      <c r="BH43" s="7">
        <f>IF(sel_cfg="casaAdu",1,0)</f>
        <v/>
      </c>
      <c r="BI43" s="7">
        <f>IF(AND(BB43=1,BH43=1,IF(10=0,0,BJ42)=0,A43&gt;=IF(BC43="",9999,BC43)+vivienda_aduRetrasoAnios),1,0)</f>
        <v/>
      </c>
      <c r="BJ43" s="7">
        <f>MAX(IF(10=0,0,BJ42),BI43)</f>
        <v/>
      </c>
      <c r="BK43" s="7">
        <f>IF(BI43=1,PMT((g_mortRate+0.005)/12,180,-loc_precio_aduCosto*C43),IF(10=0,0,BK42))</f>
        <v/>
      </c>
      <c r="BL43" s="7">
        <f>IF(BA43=1,AN43,IF(10=0,0,DT42))+IF(BI43=1,loc_precio_aduCosto*C43,0)</f>
        <v/>
      </c>
      <c r="BM43" s="7">
        <f>IF(BA43=1,AQ43,IF(10=0,0,DU42))</f>
        <v/>
      </c>
      <c r="BN43" s="7">
        <f>IF(BM43&lt;=0,0,FV(g_mortRate/12,12,BF43,-BM43))</f>
        <v/>
      </c>
      <c r="BO43" s="7">
        <f>IF(BM43&lt;=0,0,12*BF43+MIN(0,BN43))</f>
        <v/>
      </c>
      <c r="BP43" s="7">
        <f>MAX(0,BN43)</f>
        <v/>
      </c>
      <c r="BQ43" s="7">
        <f>IF(BI43=1,loc_precio_aduCosto*C43,IF(10=0,0,DV42))</f>
        <v/>
      </c>
      <c r="BR43" s="7">
        <f>IF(BQ43&lt;=0,0,FV((g_mortRate+0.005)/12,12,BK43,-BQ43))</f>
        <v/>
      </c>
      <c r="BS43" s="7">
        <f>IF(BQ43&lt;=0,0,12*BK43+MIN(0,BR43))</f>
        <v/>
      </c>
      <c r="BT43" s="7">
        <f>MAX(0,BR43)</f>
        <v/>
      </c>
      <c r="BU43" s="7">
        <f>IF(BB43=1,AM43*loc_seguroPct*(1+vivienda_inflacionSeguro)^(A43-2026)*IF(BJ43=1,1+loc_precio_aduCosto/AM43,1),0)</f>
        <v/>
      </c>
      <c r="BV43" s="7">
        <f>BL43*loc_impuestoPropPct</f>
        <v/>
      </c>
      <c r="BW43" s="7">
        <f>BL43*vivienda_mantenimientoPct</f>
        <v/>
      </c>
      <c r="BX43" s="7">
        <f>IF(AND(BG43=1,BP43&gt;0.8*BE43),BE43*(1-vivienda_enganchePct)*vivienda_pmiTasa,0)</f>
        <v/>
      </c>
      <c r="BY43" s="7">
        <f>IF(AND(BG43=1,BP43&gt;0.8*BE43),1,0)</f>
        <v/>
      </c>
      <c r="BZ43" s="7">
        <f>IF(BB43=1,AS43*loc_rentaUnidad*12*C43*(1-vivienda_vacancia)*(1-vivienda_gestionPct),0)</f>
        <v/>
      </c>
      <c r="CA43" s="7">
        <f>IF(BB43=1,BO43+BS43+BU43+BV43+BW43+BX43,loc_rentaMensual*12*C43)</f>
        <v/>
      </c>
      <c r="CB43" s="7">
        <f>IF(BB43=1,personal_aporteFamiliaMensual*12,0)</f>
        <v/>
      </c>
      <c r="CC43" s="7">
        <f>MIN(IF(10=0,personal_irsSaldo,CD42),personal_irsPagoMensual*12)</f>
        <v/>
      </c>
      <c r="CD43" s="7">
        <f>IF(10=0,personal_irsSaldo,CD42)-CC43</f>
        <v/>
      </c>
      <c r="CE43" s="7">
        <f>IF(10=0,IF(personal_deudaEsFederal=1,personal_deudaEstudiantil,0),DW42)</f>
        <v/>
      </c>
      <c r="CF43" s="7">
        <f>IF(10=0,personal_tasaDeudaEstudiantil,DX42)</f>
        <v/>
      </c>
      <c r="CG43" s="7">
        <f>IF(10=0,0,DY42)</f>
        <v/>
      </c>
      <c r="CH43" s="7">
        <f>IF(J43&gt;=0.5,1,0)</f>
        <v/>
      </c>
      <c r="CI43" s="7">
        <f>IF(AND(CH43=0,prestamos_pslfActivo=1,K43&gt;=0.5,CE43&gt;0),1,0)</f>
        <v/>
      </c>
      <c r="CJ43" s="7">
        <f>CE43*CF43</f>
        <v/>
      </c>
      <c r="CK43" s="7">
        <f>MAX(prestamos_rapPagoMinimoAnual,IF(Y43&lt;10000,0,MIN(0.1,INT(Y43/10000)/100))*Y43)</f>
        <v/>
      </c>
      <c r="CL43" s="7">
        <f>IF(CE43&lt;=0,0,IF(CH43=1,0,IF(CI43=1,MIN(CE43+CJ43,CK43),PMT(CF43,MAX(1,prestamos_plazoAnios-CG43),-CE43))))</f>
        <v/>
      </c>
      <c r="CM43" s="7">
        <f>IF(CE43&lt;=0,0,IF(CH43=1,CE43+CJ43,IF(CI43=1,MAX(0,CE43-MAX(CL43-CJ43,MIN(600,CL43))),MAX(0,CE43*(1+CF43)-CL43))))</f>
        <v/>
      </c>
      <c r="CN43" s="7">
        <f>IF(10=0,0,CN42)+IF(CI43=1,12*MIN(1,K43),0)</f>
        <v/>
      </c>
      <c r="CO43" s="7">
        <f>IF(AND(CI43=1,CN43&gt;=prestamos_pslfPagos,CM43&gt;0),CM43,0)</f>
        <v/>
      </c>
      <c r="CP43" s="7">
        <f>CM43-CO43</f>
        <v/>
      </c>
      <c r="CQ43" s="7">
        <f>IF(AND(CE43&gt;0,CH43=0,CI43=0),CG43+1,CG43)</f>
        <v/>
      </c>
      <c r="CR43" s="7">
        <f>IF(10=0,IF(personal_deudaEsFederal=1,0,personal_deudaEstudiantil),EA42)</f>
        <v/>
      </c>
      <c r="CS43" s="7">
        <f>IF(10=0,IF(personal_deudaEsFederal=1,prestamos_tasaPrivada,personal_tasaDeudaEstudiantil),EB42)</f>
        <v/>
      </c>
      <c r="CT43" s="7">
        <f>IF(10=0,0,EC42)</f>
        <v/>
      </c>
      <c r="CU43" s="7">
        <f>IF(OR(CR43&lt;=0,CH43=1),0,PMT(CS43,MAX(1,prestamos_plazoAnios-CT43),-CR43))</f>
        <v/>
      </c>
      <c r="CV43" s="7">
        <f>IF(CR43&lt;=0,0,IF(CH43=1,CR43*(1+CS43),MAX(0,CR43*(1+CS43)-CU43)))</f>
        <v/>
      </c>
      <c r="CW43" s="7">
        <f>IF(AND(CR43&gt;0,CH43=0),CT43+1,CT43)</f>
        <v/>
      </c>
      <c r="CX43" s="7">
        <f>IF(10=0,0,ED42)*(1+general_tasaDeudaConsumo)</f>
        <v/>
      </c>
      <c r="CY43" s="7">
        <f>L43*12*tiempos_travelGastoExtraMes*C43</f>
        <v/>
      </c>
      <c r="CZ43" s="7">
        <f>AJ43+CY43+CA43+CC43+CL43+CU43+I43+N43-BZ43-CB43</f>
        <v/>
      </c>
      <c r="DA43" s="7">
        <f>AH43-CZ43</f>
        <v/>
      </c>
      <c r="DB43" s="7">
        <f>IF(10=0,0,DB42)+DA43</f>
        <v/>
      </c>
      <c r="DC43" s="7">
        <f>AN43*vivienda_enganchePct+AN43*vivienda_cierrePct+general_reservaMeses/12*AJ43</f>
        <v/>
      </c>
      <c r="DD43" s="7">
        <f>IF(BB43=1,g_ret,IF(BD43&gt;0,MIN(1,DC43/BD43),1)*g_cash+(1-IF(BD43&gt;0,MIN(1,DC43/BD43),1))*g_ret)</f>
        <v/>
      </c>
      <c r="DE43" s="7">
        <f>IF(DA43&gt;=0,MIN(CX43,DA43),0)</f>
        <v/>
      </c>
      <c r="DF43" s="7">
        <f>IF(DA43&gt;=0,(1-general_tasaAhorro)*(DA43-DE43),0)</f>
        <v/>
      </c>
      <c r="DG43" s="7">
        <f>IF(DA43&gt;=0,DA43-DE43-DF43,0)</f>
        <v/>
      </c>
      <c r="DH43" s="7">
        <f>MIN(personal_rothAnual,DG43)</f>
        <v/>
      </c>
      <c r="DI43" s="7">
        <f>IF(AND(DA43&gt;=0,BB43=1,BP43+BT43&gt;0),MIN(vivienda_prepagoPct*(DG43-DH43),BP43+BT43),0)</f>
        <v/>
      </c>
      <c r="DJ43" s="7">
        <f>MIN(DI43,BP43)</f>
        <v/>
      </c>
      <c r="DK43" s="7">
        <f>IF(DA43&lt;0,MIN(MAX(0,BD43),-DA43),0)</f>
        <v/>
      </c>
      <c r="DL43" s="7">
        <f>IF(DA43&lt;0,-DA43-DK43,0)</f>
        <v/>
      </c>
      <c r="DM43" s="7">
        <f>IF(10=0,0,DZ42)</f>
        <v/>
      </c>
      <c r="DN43" s="7">
        <f>IF(AND(DL43&gt;0,J43&gt;0),MIN(DL43,MIN(prestamos_topeAnualPosgrado*MIN(1,J43),MAX(0,prestamos_topeTotalPosgrado-DM43))),0)</f>
        <v/>
      </c>
      <c r="DO43" s="7">
        <f>IF(AND(DL43&gt;0,J43&gt;0),DL43-DN43,0)</f>
        <v/>
      </c>
      <c r="DP43" s="7">
        <f>IF(AND(DL43&gt;0,J43&lt;=0),DL43,0)</f>
        <v/>
      </c>
      <c r="DQ43" s="7">
        <f>IF(DA43&gt;=0,DG43-DH43-DI43,-DK43)</f>
        <v/>
      </c>
      <c r="DR43" s="7">
        <f>BD43*(1+DD43)+DQ43*(1+DD43/2)</f>
        <v/>
      </c>
      <c r="DS43" s="7">
        <f>IF(10=0,personal_retiroInicial,DS42)*(1+g_ret)+(O43+P43+DH43)*(1+g_ret/2)</f>
        <v/>
      </c>
      <c r="DT43" s="7">
        <f>IF(BB43=1,BL43*(1+g_appr),0)</f>
        <v/>
      </c>
      <c r="DU43" s="7">
        <f>BP43-DJ43</f>
        <v/>
      </c>
      <c r="DV43" s="7">
        <f>BT43-(DI43-DJ43)</f>
        <v/>
      </c>
      <c r="DW43" s="7">
        <f>CP43+DN43</f>
        <v/>
      </c>
      <c r="DX43" s="7">
        <f>IF(DN43&gt;0,(CP43*CF43+DN43*prestamos_tasaFederalPosgrado)/(CP43+DN43),CF43)</f>
        <v/>
      </c>
      <c r="DY43" s="7">
        <f>IF(DN43&gt;0,0,CQ43)</f>
        <v/>
      </c>
      <c r="DZ43" s="7">
        <f>DM43+DN43</f>
        <v/>
      </c>
      <c r="EA43" s="7">
        <f>CV43+DO43</f>
        <v/>
      </c>
      <c r="EB43" s="7">
        <f>IF(DO43&gt;0,(CV43*CS43+DO43*prestamos_tasaPrivada)/(CV43+DO43),CS43)</f>
        <v/>
      </c>
      <c r="EC43" s="7">
        <f>IF(DO43&gt;0,0,CW43)</f>
        <v/>
      </c>
      <c r="ED43" s="7">
        <f>CX43-DE43+DP43</f>
        <v/>
      </c>
      <c r="EE43" s="7">
        <f>IF(IF(10=0,"",EE42)&lt;&gt;"",EE42,IF(AND(BB43=1,DU43&lt;=0.5,DV43&lt;=0.5,OR(BH43=0,BJ43=1)),A43,""))</f>
        <v/>
      </c>
      <c r="EF43" s="7">
        <f>DU43+DV43+DW43+EA43+ED43+CD43</f>
        <v/>
      </c>
      <c r="EG43" s="7">
        <f>DR43+DS43+DT43-EF43</f>
        <v/>
      </c>
      <c r="EH43" s="7">
        <f>EG43/(1+g_inf)^(A43+1-2026)</f>
        <v/>
      </c>
    </row>
    <row r="44">
      <c r="A44" t="n">
        <v>2038</v>
      </c>
      <c r="B44" t="n">
        <v>11</v>
      </c>
      <c r="C44" s="7">
        <f>(1+g_inf)^(A44-2026)</f>
        <v/>
      </c>
      <c r="D44" s="7">
        <f>SUMPRODUCT($AE$5:$AE$29,$E$5:$E$29*(1+$F$5:$F$29)^(A44-2026)*$G$5:$G$29*$H$5:$H$29*(1-$N$5:$N$29*$O$5:$O$29))*g_salMult+SUMPRODUCT(($B$5:$B$29&gt;=A44)*($B$5:$B$29&lt;A44+1)*$I$5:$I$29)*g_salMult</f>
        <v/>
      </c>
      <c r="E44" s="7">
        <f>SUMPRODUCT($AE$5:$AE$29,$E$5:$E$29*(1+$F$5:$F$29)^(A44-2026)*$G$5:$G$29*$H$5:$H$29*$M$5:$M$29)*g_salMult</f>
        <v/>
      </c>
      <c r="F44" s="7">
        <f>SUMPRODUCT($AE$5:$AE$29,$E$5:$E$29*(1+$F$5:$F$29)^(A44-2026)*$G$5:$G$29*$H$5:$H$29*$N$5:$N$29*$O$5:$O$29)*g_salMult</f>
        <v/>
      </c>
      <c r="G44" s="7">
        <f>SUMPRODUCT($AE$5:$AE$29,$P$5:$P$29*(1+$F$5:$F$29)^(A44-2026))</f>
        <v/>
      </c>
      <c r="H44" s="7">
        <f>SUMPRODUCT($AE$5:$AE$29,$Q$5:$Q$29*(1+$F$5:$F$29)^(A44-2026))+IF(personal_llcActivo=1,personal_llcNeto*(1+personal_llcCrecimiento)^11,0)</f>
        <v/>
      </c>
      <c r="I44" s="7">
        <f>SUMPRODUCT($AE$5:$AE$29,$J$5:$J$29/($C$5:$C$29-$B$5:$B$29+($C$5:$C$29=$B$5:$B$29)))*C44</f>
        <v/>
      </c>
      <c r="J44" s="7">
        <f>SUMPRODUCT($AE$5:$AE$29,$K$5:$K$29)</f>
        <v/>
      </c>
      <c r="K44" s="7">
        <f>SUMPRODUCT($AE$5:$AE$29,$L$5:$L$29)</f>
        <v/>
      </c>
      <c r="L44" s="7">
        <f>SUMPRODUCT($AE$5:$AE$29,$N$5:$N$29)</f>
        <v/>
      </c>
      <c r="M44" s="7">
        <f>IF(SUMPRODUCT($AE$5:$AE$29,$R$5:$R$29)&gt;0,1,0)</f>
        <v/>
      </c>
      <c r="N44" s="7">
        <f>SUMPRODUCT(($AO$5:$AO$24&gt;=A44)*($AO$5:$AO$24&lt;A44+1)*$AP$5:$AP$24)*C44+IF(11=0,IF(sel_loc&lt;&gt;"miami",personal_costoMudanzaInicial,0),0)</f>
        <v/>
      </c>
      <c r="O44" s="7">
        <f>MIN(personal_aporte403bPct*D44,retiro_limite403b*C44)</f>
        <v/>
      </c>
      <c r="P44" s="7">
        <f>MIN(personal_aporte403bPct,personal_match403bPct)*E44</f>
        <v/>
      </c>
      <c r="Q44" s="7">
        <f>IF(G44&gt;0,MAX(0,G44-impuestos_scorpCostoAnual*C44),0)</f>
        <v/>
      </c>
      <c r="R44" s="7">
        <f>Q44*impuestos_scorpSalarioPct/(1+impuestos_ssTasa+impuestos_medicareTasa)</f>
        <v/>
      </c>
      <c r="S44" s="7">
        <f>impuestos_ssTasa*MIN(R44,MAX(0,impuestos_ssTope*C44-D44))+impuestos_medicareTasa*R44</f>
        <v/>
      </c>
      <c r="T44" s="7">
        <f>Q44-R44-S44</f>
        <v/>
      </c>
      <c r="U44" s="7">
        <f>D44+R44</f>
        <v/>
      </c>
      <c r="V44" s="7">
        <f>H44*0.9235</f>
        <v/>
      </c>
      <c r="W44" s="7">
        <f>IF(H44&gt;0,2*impuestos_ssTasa*MIN(V44,MAX(0,impuestos_ssTope*C44-U44))+2*impuestos_medicareTasa*V44,0)</f>
        <v/>
      </c>
      <c r="X44" s="7">
        <f>impuestos_ssTasa*MIN(U44,impuestos_ssTope*C44)+impuestos_medicareTasa*U44+impuestos_medicareAdicional*MAX(0,U44+H44*0.9235-impuestos_medicareUmbral)</f>
        <v/>
      </c>
      <c r="Y44" s="7">
        <f>MAX(0,D44-O44+R44+T44+H44-W44/2)</f>
        <v/>
      </c>
      <c r="Z44" s="7">
        <f>MAX(0,Y44-impuestos_deduccionEstandar*C44)</f>
        <v/>
      </c>
      <c r="AA44" s="7">
        <f>MIN(0.2*MAX(0,T44+H44-W44/2)*MAX(0,MIN(1,1-(Z44-impuestos_qbiUmbral*C44)/(impuestos_qbiRango*C44))),0.2*Z44)</f>
        <v/>
      </c>
      <c r="AB44" s="7">
        <f>MAX(0,Z44-AA44)</f>
        <v/>
      </c>
      <c r="AC44" s="7">
        <f>SUMPRODUCT((AB44&gt;tb_federalBrackets_lo*C44)*(AB44-tb_federalBrackets_lo*C44)*tb_federalBrackets_dr)</f>
        <v/>
      </c>
      <c r="AD44" s="7">
        <f>MAX(0,Y44-impuestos_nyDeduccion*C44)</f>
        <v/>
      </c>
      <c r="AE44" s="7">
        <f>CHOOSE(loc_taxcode,0,impuestos_ohTasa*MAX(0,Y44-impuestos_ohExento*C44)+impuestos_ohMunicipal*U44,SUMPRODUCT((AD44&gt;tb_nyBrackets_lo*C44)*(AD44-tb_nyBrackets_lo*C44)*tb_nyBrackets_dr)+loc_nyc*SUMPRODUCT((AD44&gt;tb_nycBrackets_lo*C44)*(AD44-tb_nycBrackets_lo*C44)*tb_nycBrackets_dr))</f>
        <v/>
      </c>
      <c r="AF44" s="7">
        <f>AC44+AE44+X44+W44</f>
        <v/>
      </c>
      <c r="AG44" s="7">
        <f>D44+F44+R44+T44+H44</f>
        <v/>
      </c>
      <c r="AH44" s="7">
        <f>AG44-AF44-O44</f>
        <v/>
      </c>
      <c r="AI44" s="7">
        <f>D44+F44+G44+H44</f>
        <v/>
      </c>
      <c r="AJ44" s="7">
        <f>loc_gastosVida*C44*g_gastos</f>
        <v/>
      </c>
      <c r="AK44" s="7">
        <f>IF(11=0,personal_liquidoInicial,DR43)</f>
        <v/>
      </c>
      <c r="AL44" s="7">
        <f>IF(11=0,0,BB43)</f>
        <v/>
      </c>
      <c r="AM44" s="7">
        <f>CHOOSE(sel_cfgIdx,loc_precio_duplex,loc_precio_inlaw,loc_precio_dosCasas,loc_precio_casaAdu,loc_precio_multi)</f>
        <v/>
      </c>
      <c r="AN44" s="7">
        <f>AM44*(1+g_appr)^(A44-2026)</f>
        <v/>
      </c>
      <c r="AO44" s="7">
        <f>IF(AND(M44=1,vivienda_prestamoMedico=1),1,0)</f>
        <v/>
      </c>
      <c r="AP44" s="7">
        <f>IF(AO44=1,0.05,vivienda_enganchePct)</f>
        <v/>
      </c>
      <c r="AQ44" s="7">
        <f>AN44*(1-AP44)</f>
        <v/>
      </c>
      <c r="AR44" s="7">
        <f>PMT(g_mortRate/12,vivienda_plazoHipoteca*12,-AQ44)</f>
        <v/>
      </c>
      <c r="AS44" s="7">
        <f>INDEX(cfg_units,sel_cfgIdx)</f>
        <v/>
      </c>
      <c r="AT44" s="7">
        <f>AS44*loc_rentaUnidad*(1+g_inf)^(A44-2026)*(1-vivienda_vacancia)</f>
        <v/>
      </c>
      <c r="AU44" s="7">
        <f>AR44+AN44*loc_impuestoPropPct/12+AM44*loc_seguroPct*(1+vivienda_inflacionSeguro)^(A44-2026)/12+IF(AND(AO44=0,AP44&lt;0.2),AQ44*vivienda_pmiTasa/12,0)</f>
        <v/>
      </c>
      <c r="AV44" s="7">
        <f>AN44*AP44+AN44*vivienda_cierrePct+general_reservaMeses/12*AJ44</f>
        <v/>
      </c>
      <c r="AW44" s="7">
        <f>(IF(11=0,MIN(personal_irsSaldo,personal_irsPagoMensual*12),MIN(CD43,personal_irsPagoMensual*12))+IF(CE44&gt;0,PMT(CF44,MAX(1,prestamos_plazoAnios-CG44),-CE44),0)+IF(CR44&gt;0,PMT(CS44,MAX(1,prestamos_plazoAnios-CT44),-CR44),0))/12</f>
        <v/>
      </c>
      <c r="AX44" s="7">
        <f>IF(OR(sel_cfg="duplex",sel_cfg="multi",sel_cfg="dosCasas"),0.75*personal_aporteFamiliaMensual,0)</f>
        <v/>
      </c>
      <c r="AY44" s="7">
        <f>AU44-0.75*AT44-AX44+AW44</f>
        <v/>
      </c>
      <c r="AZ44" s="7">
        <f>(D44+G44+H44+0.5*F44)/12</f>
        <v/>
      </c>
      <c r="BA44" s="7">
        <f>IF(AND(AL44=0,A44&gt;=vivienda_anioMinCompra,J44&lt;0.5,AI44&gt;0,AK44&gt;=AV44,AY44&lt;=vivienda_dtiMax*AZ44),1,0)</f>
        <v/>
      </c>
      <c r="BB44" s="7">
        <f>MAX(AL44,BA44)</f>
        <v/>
      </c>
      <c r="BC44" s="7">
        <f>IF(BA44=1,A44,IF(11=0,"",BC43))</f>
        <v/>
      </c>
      <c r="BD44" s="7">
        <f>AK44-IF(BA44=1,AN44*AP44+AN44*vivienda_cierrePct,0)</f>
        <v/>
      </c>
      <c r="BE44" s="7">
        <f>IF(BA44=1,AN44,IF(11=0,0,BE43))</f>
        <v/>
      </c>
      <c r="BF44" s="7">
        <f>IF(BA44=1,AR44,IF(11=0,0,BF43))</f>
        <v/>
      </c>
      <c r="BG44" s="7">
        <f>IF(BA44=1,IF(AND(AO44=0,AP44&lt;0.2),1,0),IF(11=0,0,BY43))</f>
        <v/>
      </c>
      <c r="BH44" s="7">
        <f>IF(sel_cfg="casaAdu",1,0)</f>
        <v/>
      </c>
      <c r="BI44" s="7">
        <f>IF(AND(BB44=1,BH44=1,IF(11=0,0,BJ43)=0,A44&gt;=IF(BC44="",9999,BC44)+vivienda_aduRetrasoAnios),1,0)</f>
        <v/>
      </c>
      <c r="BJ44" s="7">
        <f>MAX(IF(11=0,0,BJ43),BI44)</f>
        <v/>
      </c>
      <c r="BK44" s="7">
        <f>IF(BI44=1,PMT((g_mortRate+0.005)/12,180,-loc_precio_aduCosto*C44),IF(11=0,0,BK43))</f>
        <v/>
      </c>
      <c r="BL44" s="7">
        <f>IF(BA44=1,AN44,IF(11=0,0,DT43))+IF(BI44=1,loc_precio_aduCosto*C44,0)</f>
        <v/>
      </c>
      <c r="BM44" s="7">
        <f>IF(BA44=1,AQ44,IF(11=0,0,DU43))</f>
        <v/>
      </c>
      <c r="BN44" s="7">
        <f>IF(BM44&lt;=0,0,FV(g_mortRate/12,12,BF44,-BM44))</f>
        <v/>
      </c>
      <c r="BO44" s="7">
        <f>IF(BM44&lt;=0,0,12*BF44+MIN(0,BN44))</f>
        <v/>
      </c>
      <c r="BP44" s="7">
        <f>MAX(0,BN44)</f>
        <v/>
      </c>
      <c r="BQ44" s="7">
        <f>IF(BI44=1,loc_precio_aduCosto*C44,IF(11=0,0,DV43))</f>
        <v/>
      </c>
      <c r="BR44" s="7">
        <f>IF(BQ44&lt;=0,0,FV((g_mortRate+0.005)/12,12,BK44,-BQ44))</f>
        <v/>
      </c>
      <c r="BS44" s="7">
        <f>IF(BQ44&lt;=0,0,12*BK44+MIN(0,BR44))</f>
        <v/>
      </c>
      <c r="BT44" s="7">
        <f>MAX(0,BR44)</f>
        <v/>
      </c>
      <c r="BU44" s="7">
        <f>IF(BB44=1,AM44*loc_seguroPct*(1+vivienda_inflacionSeguro)^(A44-2026)*IF(BJ44=1,1+loc_precio_aduCosto/AM44,1),0)</f>
        <v/>
      </c>
      <c r="BV44" s="7">
        <f>BL44*loc_impuestoPropPct</f>
        <v/>
      </c>
      <c r="BW44" s="7">
        <f>BL44*vivienda_mantenimientoPct</f>
        <v/>
      </c>
      <c r="BX44" s="7">
        <f>IF(AND(BG44=1,BP44&gt;0.8*BE44),BE44*(1-vivienda_enganchePct)*vivienda_pmiTasa,0)</f>
        <v/>
      </c>
      <c r="BY44" s="7">
        <f>IF(AND(BG44=1,BP44&gt;0.8*BE44),1,0)</f>
        <v/>
      </c>
      <c r="BZ44" s="7">
        <f>IF(BB44=1,AS44*loc_rentaUnidad*12*C44*(1-vivienda_vacancia)*(1-vivienda_gestionPct),0)</f>
        <v/>
      </c>
      <c r="CA44" s="7">
        <f>IF(BB44=1,BO44+BS44+BU44+BV44+BW44+BX44,loc_rentaMensual*12*C44)</f>
        <v/>
      </c>
      <c r="CB44" s="7">
        <f>IF(BB44=1,personal_aporteFamiliaMensual*12,0)</f>
        <v/>
      </c>
      <c r="CC44" s="7">
        <f>MIN(IF(11=0,personal_irsSaldo,CD43),personal_irsPagoMensual*12)</f>
        <v/>
      </c>
      <c r="CD44" s="7">
        <f>IF(11=0,personal_irsSaldo,CD43)-CC44</f>
        <v/>
      </c>
      <c r="CE44" s="7">
        <f>IF(11=0,IF(personal_deudaEsFederal=1,personal_deudaEstudiantil,0),DW43)</f>
        <v/>
      </c>
      <c r="CF44" s="7">
        <f>IF(11=0,personal_tasaDeudaEstudiantil,DX43)</f>
        <v/>
      </c>
      <c r="CG44" s="7">
        <f>IF(11=0,0,DY43)</f>
        <v/>
      </c>
      <c r="CH44" s="7">
        <f>IF(J44&gt;=0.5,1,0)</f>
        <v/>
      </c>
      <c r="CI44" s="7">
        <f>IF(AND(CH44=0,prestamos_pslfActivo=1,K44&gt;=0.5,CE44&gt;0),1,0)</f>
        <v/>
      </c>
      <c r="CJ44" s="7">
        <f>CE44*CF44</f>
        <v/>
      </c>
      <c r="CK44" s="7">
        <f>MAX(prestamos_rapPagoMinimoAnual,IF(Y44&lt;10000,0,MIN(0.1,INT(Y44/10000)/100))*Y44)</f>
        <v/>
      </c>
      <c r="CL44" s="7">
        <f>IF(CE44&lt;=0,0,IF(CH44=1,0,IF(CI44=1,MIN(CE44+CJ44,CK44),PMT(CF44,MAX(1,prestamos_plazoAnios-CG44),-CE44))))</f>
        <v/>
      </c>
      <c r="CM44" s="7">
        <f>IF(CE44&lt;=0,0,IF(CH44=1,CE44+CJ44,IF(CI44=1,MAX(0,CE44-MAX(CL44-CJ44,MIN(600,CL44))),MAX(0,CE44*(1+CF44)-CL44))))</f>
        <v/>
      </c>
      <c r="CN44" s="7">
        <f>IF(11=0,0,CN43)+IF(CI44=1,12*MIN(1,K44),0)</f>
        <v/>
      </c>
      <c r="CO44" s="7">
        <f>IF(AND(CI44=1,CN44&gt;=prestamos_pslfPagos,CM44&gt;0),CM44,0)</f>
        <v/>
      </c>
      <c r="CP44" s="7">
        <f>CM44-CO44</f>
        <v/>
      </c>
      <c r="CQ44" s="7">
        <f>IF(AND(CE44&gt;0,CH44=0,CI44=0),CG44+1,CG44)</f>
        <v/>
      </c>
      <c r="CR44" s="7">
        <f>IF(11=0,IF(personal_deudaEsFederal=1,0,personal_deudaEstudiantil),EA43)</f>
        <v/>
      </c>
      <c r="CS44" s="7">
        <f>IF(11=0,IF(personal_deudaEsFederal=1,prestamos_tasaPrivada,personal_tasaDeudaEstudiantil),EB43)</f>
        <v/>
      </c>
      <c r="CT44" s="7">
        <f>IF(11=0,0,EC43)</f>
        <v/>
      </c>
      <c r="CU44" s="7">
        <f>IF(OR(CR44&lt;=0,CH44=1),0,PMT(CS44,MAX(1,prestamos_plazoAnios-CT44),-CR44))</f>
        <v/>
      </c>
      <c r="CV44" s="7">
        <f>IF(CR44&lt;=0,0,IF(CH44=1,CR44*(1+CS44),MAX(0,CR44*(1+CS44)-CU44)))</f>
        <v/>
      </c>
      <c r="CW44" s="7">
        <f>IF(AND(CR44&gt;0,CH44=0),CT44+1,CT44)</f>
        <v/>
      </c>
      <c r="CX44" s="7">
        <f>IF(11=0,0,ED43)*(1+general_tasaDeudaConsumo)</f>
        <v/>
      </c>
      <c r="CY44" s="7">
        <f>L44*12*tiempos_travelGastoExtraMes*C44</f>
        <v/>
      </c>
      <c r="CZ44" s="7">
        <f>AJ44+CY44+CA44+CC44+CL44+CU44+I44+N44-BZ44-CB44</f>
        <v/>
      </c>
      <c r="DA44" s="7">
        <f>AH44-CZ44</f>
        <v/>
      </c>
      <c r="DB44" s="7">
        <f>IF(11=0,0,DB43)+DA44</f>
        <v/>
      </c>
      <c r="DC44" s="7">
        <f>AN44*vivienda_enganchePct+AN44*vivienda_cierrePct+general_reservaMeses/12*AJ44</f>
        <v/>
      </c>
      <c r="DD44" s="7">
        <f>IF(BB44=1,g_ret,IF(BD44&gt;0,MIN(1,DC44/BD44),1)*g_cash+(1-IF(BD44&gt;0,MIN(1,DC44/BD44),1))*g_ret)</f>
        <v/>
      </c>
      <c r="DE44" s="7">
        <f>IF(DA44&gt;=0,MIN(CX44,DA44),0)</f>
        <v/>
      </c>
      <c r="DF44" s="7">
        <f>IF(DA44&gt;=0,(1-general_tasaAhorro)*(DA44-DE44),0)</f>
        <v/>
      </c>
      <c r="DG44" s="7">
        <f>IF(DA44&gt;=0,DA44-DE44-DF44,0)</f>
        <v/>
      </c>
      <c r="DH44" s="7">
        <f>MIN(personal_rothAnual,DG44)</f>
        <v/>
      </c>
      <c r="DI44" s="7">
        <f>IF(AND(DA44&gt;=0,BB44=1,BP44+BT44&gt;0),MIN(vivienda_prepagoPct*(DG44-DH44),BP44+BT44),0)</f>
        <v/>
      </c>
      <c r="DJ44" s="7">
        <f>MIN(DI44,BP44)</f>
        <v/>
      </c>
      <c r="DK44" s="7">
        <f>IF(DA44&lt;0,MIN(MAX(0,BD44),-DA44),0)</f>
        <v/>
      </c>
      <c r="DL44" s="7">
        <f>IF(DA44&lt;0,-DA44-DK44,0)</f>
        <v/>
      </c>
      <c r="DM44" s="7">
        <f>IF(11=0,0,DZ43)</f>
        <v/>
      </c>
      <c r="DN44" s="7">
        <f>IF(AND(DL44&gt;0,J44&gt;0),MIN(DL44,MIN(prestamos_topeAnualPosgrado*MIN(1,J44),MAX(0,prestamos_topeTotalPosgrado-DM44))),0)</f>
        <v/>
      </c>
      <c r="DO44" s="7">
        <f>IF(AND(DL44&gt;0,J44&gt;0),DL44-DN44,0)</f>
        <v/>
      </c>
      <c r="DP44" s="7">
        <f>IF(AND(DL44&gt;0,J44&lt;=0),DL44,0)</f>
        <v/>
      </c>
      <c r="DQ44" s="7">
        <f>IF(DA44&gt;=0,DG44-DH44-DI44,-DK44)</f>
        <v/>
      </c>
      <c r="DR44" s="7">
        <f>BD44*(1+DD44)+DQ44*(1+DD44/2)</f>
        <v/>
      </c>
      <c r="DS44" s="7">
        <f>IF(11=0,personal_retiroInicial,DS43)*(1+g_ret)+(O44+P44+DH44)*(1+g_ret/2)</f>
        <v/>
      </c>
      <c r="DT44" s="7">
        <f>IF(BB44=1,BL44*(1+g_appr),0)</f>
        <v/>
      </c>
      <c r="DU44" s="7">
        <f>BP44-DJ44</f>
        <v/>
      </c>
      <c r="DV44" s="7">
        <f>BT44-(DI44-DJ44)</f>
        <v/>
      </c>
      <c r="DW44" s="7">
        <f>CP44+DN44</f>
        <v/>
      </c>
      <c r="DX44" s="7">
        <f>IF(DN44&gt;0,(CP44*CF44+DN44*prestamos_tasaFederalPosgrado)/(CP44+DN44),CF44)</f>
        <v/>
      </c>
      <c r="DY44" s="7">
        <f>IF(DN44&gt;0,0,CQ44)</f>
        <v/>
      </c>
      <c r="DZ44" s="7">
        <f>DM44+DN44</f>
        <v/>
      </c>
      <c r="EA44" s="7">
        <f>CV44+DO44</f>
        <v/>
      </c>
      <c r="EB44" s="7">
        <f>IF(DO44&gt;0,(CV44*CS44+DO44*prestamos_tasaPrivada)/(CV44+DO44),CS44)</f>
        <v/>
      </c>
      <c r="EC44" s="7">
        <f>IF(DO44&gt;0,0,CW44)</f>
        <v/>
      </c>
      <c r="ED44" s="7">
        <f>CX44-DE44+DP44</f>
        <v/>
      </c>
      <c r="EE44" s="7">
        <f>IF(IF(11=0,"",EE43)&lt;&gt;"",EE43,IF(AND(BB44=1,DU44&lt;=0.5,DV44&lt;=0.5,OR(BH44=0,BJ44=1)),A44,""))</f>
        <v/>
      </c>
      <c r="EF44" s="7">
        <f>DU44+DV44+DW44+EA44+ED44+CD44</f>
        <v/>
      </c>
      <c r="EG44" s="7">
        <f>DR44+DS44+DT44-EF44</f>
        <v/>
      </c>
      <c r="EH44" s="7">
        <f>EG44/(1+g_inf)^(A44+1-2026)</f>
        <v/>
      </c>
    </row>
    <row r="45">
      <c r="A45" t="n">
        <v>2039</v>
      </c>
      <c r="B45" t="n">
        <v>12</v>
      </c>
      <c r="C45" s="7">
        <f>(1+g_inf)^(A45-2026)</f>
        <v/>
      </c>
      <c r="D45" s="7">
        <f>SUMPRODUCT($AF$5:$AF$29,$E$5:$E$29*(1+$F$5:$F$29)^(A45-2026)*$G$5:$G$29*$H$5:$H$29*(1-$N$5:$N$29*$O$5:$O$29))*g_salMult+SUMPRODUCT(($B$5:$B$29&gt;=A45)*($B$5:$B$29&lt;A45+1)*$I$5:$I$29)*g_salMult</f>
        <v/>
      </c>
      <c r="E45" s="7">
        <f>SUMPRODUCT($AF$5:$AF$29,$E$5:$E$29*(1+$F$5:$F$29)^(A45-2026)*$G$5:$G$29*$H$5:$H$29*$M$5:$M$29)*g_salMult</f>
        <v/>
      </c>
      <c r="F45" s="7">
        <f>SUMPRODUCT($AF$5:$AF$29,$E$5:$E$29*(1+$F$5:$F$29)^(A45-2026)*$G$5:$G$29*$H$5:$H$29*$N$5:$N$29*$O$5:$O$29)*g_salMult</f>
        <v/>
      </c>
      <c r="G45" s="7">
        <f>SUMPRODUCT($AF$5:$AF$29,$P$5:$P$29*(1+$F$5:$F$29)^(A45-2026))</f>
        <v/>
      </c>
      <c r="H45" s="7">
        <f>SUMPRODUCT($AF$5:$AF$29,$Q$5:$Q$29*(1+$F$5:$F$29)^(A45-2026))+IF(personal_llcActivo=1,personal_llcNeto*(1+personal_llcCrecimiento)^12,0)</f>
        <v/>
      </c>
      <c r="I45" s="7">
        <f>SUMPRODUCT($AF$5:$AF$29,$J$5:$J$29/($C$5:$C$29-$B$5:$B$29+($C$5:$C$29=$B$5:$B$29)))*C45</f>
        <v/>
      </c>
      <c r="J45" s="7">
        <f>SUMPRODUCT($AF$5:$AF$29,$K$5:$K$29)</f>
        <v/>
      </c>
      <c r="K45" s="7">
        <f>SUMPRODUCT($AF$5:$AF$29,$L$5:$L$29)</f>
        <v/>
      </c>
      <c r="L45" s="7">
        <f>SUMPRODUCT($AF$5:$AF$29,$N$5:$N$29)</f>
        <v/>
      </c>
      <c r="M45" s="7">
        <f>IF(SUMPRODUCT($AF$5:$AF$29,$R$5:$R$29)&gt;0,1,0)</f>
        <v/>
      </c>
      <c r="N45" s="7">
        <f>SUMPRODUCT(($AO$5:$AO$24&gt;=A45)*($AO$5:$AO$24&lt;A45+1)*$AP$5:$AP$24)*C45+IF(12=0,IF(sel_loc&lt;&gt;"miami",personal_costoMudanzaInicial,0),0)</f>
        <v/>
      </c>
      <c r="O45" s="7">
        <f>MIN(personal_aporte403bPct*D45,retiro_limite403b*C45)</f>
        <v/>
      </c>
      <c r="P45" s="7">
        <f>MIN(personal_aporte403bPct,personal_match403bPct)*E45</f>
        <v/>
      </c>
      <c r="Q45" s="7">
        <f>IF(G45&gt;0,MAX(0,G45-impuestos_scorpCostoAnual*C45),0)</f>
        <v/>
      </c>
      <c r="R45" s="7">
        <f>Q45*impuestos_scorpSalarioPct/(1+impuestos_ssTasa+impuestos_medicareTasa)</f>
        <v/>
      </c>
      <c r="S45" s="7">
        <f>impuestos_ssTasa*MIN(R45,MAX(0,impuestos_ssTope*C45-D45))+impuestos_medicareTasa*R45</f>
        <v/>
      </c>
      <c r="T45" s="7">
        <f>Q45-R45-S45</f>
        <v/>
      </c>
      <c r="U45" s="7">
        <f>D45+R45</f>
        <v/>
      </c>
      <c r="V45" s="7">
        <f>H45*0.9235</f>
        <v/>
      </c>
      <c r="W45" s="7">
        <f>IF(H45&gt;0,2*impuestos_ssTasa*MIN(V45,MAX(0,impuestos_ssTope*C45-U45))+2*impuestos_medicareTasa*V45,0)</f>
        <v/>
      </c>
      <c r="X45" s="7">
        <f>impuestos_ssTasa*MIN(U45,impuestos_ssTope*C45)+impuestos_medicareTasa*U45+impuestos_medicareAdicional*MAX(0,U45+H45*0.9235-impuestos_medicareUmbral)</f>
        <v/>
      </c>
      <c r="Y45" s="7">
        <f>MAX(0,D45-O45+R45+T45+H45-W45/2)</f>
        <v/>
      </c>
      <c r="Z45" s="7">
        <f>MAX(0,Y45-impuestos_deduccionEstandar*C45)</f>
        <v/>
      </c>
      <c r="AA45" s="7">
        <f>MIN(0.2*MAX(0,T45+H45-W45/2)*MAX(0,MIN(1,1-(Z45-impuestos_qbiUmbral*C45)/(impuestos_qbiRango*C45))),0.2*Z45)</f>
        <v/>
      </c>
      <c r="AB45" s="7">
        <f>MAX(0,Z45-AA45)</f>
        <v/>
      </c>
      <c r="AC45" s="7">
        <f>SUMPRODUCT((AB45&gt;tb_federalBrackets_lo*C45)*(AB45-tb_federalBrackets_lo*C45)*tb_federalBrackets_dr)</f>
        <v/>
      </c>
      <c r="AD45" s="7">
        <f>MAX(0,Y45-impuestos_nyDeduccion*C45)</f>
        <v/>
      </c>
      <c r="AE45" s="7">
        <f>CHOOSE(loc_taxcode,0,impuestos_ohTasa*MAX(0,Y45-impuestos_ohExento*C45)+impuestos_ohMunicipal*U45,SUMPRODUCT((AD45&gt;tb_nyBrackets_lo*C45)*(AD45-tb_nyBrackets_lo*C45)*tb_nyBrackets_dr)+loc_nyc*SUMPRODUCT((AD45&gt;tb_nycBrackets_lo*C45)*(AD45-tb_nycBrackets_lo*C45)*tb_nycBrackets_dr))</f>
        <v/>
      </c>
      <c r="AF45" s="7">
        <f>AC45+AE45+X45+W45</f>
        <v/>
      </c>
      <c r="AG45" s="7">
        <f>D45+F45+R45+T45+H45</f>
        <v/>
      </c>
      <c r="AH45" s="7">
        <f>AG45-AF45-O45</f>
        <v/>
      </c>
      <c r="AI45" s="7">
        <f>D45+F45+G45+H45</f>
        <v/>
      </c>
      <c r="AJ45" s="7">
        <f>loc_gastosVida*C45*g_gastos</f>
        <v/>
      </c>
      <c r="AK45" s="7">
        <f>IF(12=0,personal_liquidoInicial,DR44)</f>
        <v/>
      </c>
      <c r="AL45" s="7">
        <f>IF(12=0,0,BB44)</f>
        <v/>
      </c>
      <c r="AM45" s="7">
        <f>CHOOSE(sel_cfgIdx,loc_precio_duplex,loc_precio_inlaw,loc_precio_dosCasas,loc_precio_casaAdu,loc_precio_multi)</f>
        <v/>
      </c>
      <c r="AN45" s="7">
        <f>AM45*(1+g_appr)^(A45-2026)</f>
        <v/>
      </c>
      <c r="AO45" s="7">
        <f>IF(AND(M45=1,vivienda_prestamoMedico=1),1,0)</f>
        <v/>
      </c>
      <c r="AP45" s="7">
        <f>IF(AO45=1,0.05,vivienda_enganchePct)</f>
        <v/>
      </c>
      <c r="AQ45" s="7">
        <f>AN45*(1-AP45)</f>
        <v/>
      </c>
      <c r="AR45" s="7">
        <f>PMT(g_mortRate/12,vivienda_plazoHipoteca*12,-AQ45)</f>
        <v/>
      </c>
      <c r="AS45" s="7">
        <f>INDEX(cfg_units,sel_cfgIdx)</f>
        <v/>
      </c>
      <c r="AT45" s="7">
        <f>AS45*loc_rentaUnidad*(1+g_inf)^(A45-2026)*(1-vivienda_vacancia)</f>
        <v/>
      </c>
      <c r="AU45" s="7">
        <f>AR45+AN45*loc_impuestoPropPct/12+AM45*loc_seguroPct*(1+vivienda_inflacionSeguro)^(A45-2026)/12+IF(AND(AO45=0,AP45&lt;0.2),AQ45*vivienda_pmiTasa/12,0)</f>
        <v/>
      </c>
      <c r="AV45" s="7">
        <f>AN45*AP45+AN45*vivienda_cierrePct+general_reservaMeses/12*AJ45</f>
        <v/>
      </c>
      <c r="AW45" s="7">
        <f>(IF(12=0,MIN(personal_irsSaldo,personal_irsPagoMensual*12),MIN(CD44,personal_irsPagoMensual*12))+IF(CE45&gt;0,PMT(CF45,MAX(1,prestamos_plazoAnios-CG45),-CE45),0)+IF(CR45&gt;0,PMT(CS45,MAX(1,prestamos_plazoAnios-CT45),-CR45),0))/12</f>
        <v/>
      </c>
      <c r="AX45" s="7">
        <f>IF(OR(sel_cfg="duplex",sel_cfg="multi",sel_cfg="dosCasas"),0.75*personal_aporteFamiliaMensual,0)</f>
        <v/>
      </c>
      <c r="AY45" s="7">
        <f>AU45-0.75*AT45-AX45+AW45</f>
        <v/>
      </c>
      <c r="AZ45" s="7">
        <f>(D45+G45+H45+0.5*F45)/12</f>
        <v/>
      </c>
      <c r="BA45" s="7">
        <f>IF(AND(AL45=0,A45&gt;=vivienda_anioMinCompra,J45&lt;0.5,AI45&gt;0,AK45&gt;=AV45,AY45&lt;=vivienda_dtiMax*AZ45),1,0)</f>
        <v/>
      </c>
      <c r="BB45" s="7">
        <f>MAX(AL45,BA45)</f>
        <v/>
      </c>
      <c r="BC45" s="7">
        <f>IF(BA45=1,A45,IF(12=0,"",BC44))</f>
        <v/>
      </c>
      <c r="BD45" s="7">
        <f>AK45-IF(BA45=1,AN45*AP45+AN45*vivienda_cierrePct,0)</f>
        <v/>
      </c>
      <c r="BE45" s="7">
        <f>IF(BA45=1,AN45,IF(12=0,0,BE44))</f>
        <v/>
      </c>
      <c r="BF45" s="7">
        <f>IF(BA45=1,AR45,IF(12=0,0,BF44))</f>
        <v/>
      </c>
      <c r="BG45" s="7">
        <f>IF(BA45=1,IF(AND(AO45=0,AP45&lt;0.2),1,0),IF(12=0,0,BY44))</f>
        <v/>
      </c>
      <c r="BH45" s="7">
        <f>IF(sel_cfg="casaAdu",1,0)</f>
        <v/>
      </c>
      <c r="BI45" s="7">
        <f>IF(AND(BB45=1,BH45=1,IF(12=0,0,BJ44)=0,A45&gt;=IF(BC45="",9999,BC45)+vivienda_aduRetrasoAnios),1,0)</f>
        <v/>
      </c>
      <c r="BJ45" s="7">
        <f>MAX(IF(12=0,0,BJ44),BI45)</f>
        <v/>
      </c>
      <c r="BK45" s="7">
        <f>IF(BI45=1,PMT((g_mortRate+0.005)/12,180,-loc_precio_aduCosto*C45),IF(12=0,0,BK44))</f>
        <v/>
      </c>
      <c r="BL45" s="7">
        <f>IF(BA45=1,AN45,IF(12=0,0,DT44))+IF(BI45=1,loc_precio_aduCosto*C45,0)</f>
        <v/>
      </c>
      <c r="BM45" s="7">
        <f>IF(BA45=1,AQ45,IF(12=0,0,DU44))</f>
        <v/>
      </c>
      <c r="BN45" s="7">
        <f>IF(BM45&lt;=0,0,FV(g_mortRate/12,12,BF45,-BM45))</f>
        <v/>
      </c>
      <c r="BO45" s="7">
        <f>IF(BM45&lt;=0,0,12*BF45+MIN(0,BN45))</f>
        <v/>
      </c>
      <c r="BP45" s="7">
        <f>MAX(0,BN45)</f>
        <v/>
      </c>
      <c r="BQ45" s="7">
        <f>IF(BI45=1,loc_precio_aduCosto*C45,IF(12=0,0,DV44))</f>
        <v/>
      </c>
      <c r="BR45" s="7">
        <f>IF(BQ45&lt;=0,0,FV((g_mortRate+0.005)/12,12,BK45,-BQ45))</f>
        <v/>
      </c>
      <c r="BS45" s="7">
        <f>IF(BQ45&lt;=0,0,12*BK45+MIN(0,BR45))</f>
        <v/>
      </c>
      <c r="BT45" s="7">
        <f>MAX(0,BR45)</f>
        <v/>
      </c>
      <c r="BU45" s="7">
        <f>IF(BB45=1,AM45*loc_seguroPct*(1+vivienda_inflacionSeguro)^(A45-2026)*IF(BJ45=1,1+loc_precio_aduCosto/AM45,1),0)</f>
        <v/>
      </c>
      <c r="BV45" s="7">
        <f>BL45*loc_impuestoPropPct</f>
        <v/>
      </c>
      <c r="BW45" s="7">
        <f>BL45*vivienda_mantenimientoPct</f>
        <v/>
      </c>
      <c r="BX45" s="7">
        <f>IF(AND(BG45=1,BP45&gt;0.8*BE45),BE45*(1-vivienda_enganchePct)*vivienda_pmiTasa,0)</f>
        <v/>
      </c>
      <c r="BY45" s="7">
        <f>IF(AND(BG45=1,BP45&gt;0.8*BE45),1,0)</f>
        <v/>
      </c>
      <c r="BZ45" s="7">
        <f>IF(BB45=1,AS45*loc_rentaUnidad*12*C45*(1-vivienda_vacancia)*(1-vivienda_gestionPct),0)</f>
        <v/>
      </c>
      <c r="CA45" s="7">
        <f>IF(BB45=1,BO45+BS45+BU45+BV45+BW45+BX45,loc_rentaMensual*12*C45)</f>
        <v/>
      </c>
      <c r="CB45" s="7">
        <f>IF(BB45=1,personal_aporteFamiliaMensual*12,0)</f>
        <v/>
      </c>
      <c r="CC45" s="7">
        <f>MIN(IF(12=0,personal_irsSaldo,CD44),personal_irsPagoMensual*12)</f>
        <v/>
      </c>
      <c r="CD45" s="7">
        <f>IF(12=0,personal_irsSaldo,CD44)-CC45</f>
        <v/>
      </c>
      <c r="CE45" s="7">
        <f>IF(12=0,IF(personal_deudaEsFederal=1,personal_deudaEstudiantil,0),DW44)</f>
        <v/>
      </c>
      <c r="CF45" s="7">
        <f>IF(12=0,personal_tasaDeudaEstudiantil,DX44)</f>
        <v/>
      </c>
      <c r="CG45" s="7">
        <f>IF(12=0,0,DY44)</f>
        <v/>
      </c>
      <c r="CH45" s="7">
        <f>IF(J45&gt;=0.5,1,0)</f>
        <v/>
      </c>
      <c r="CI45" s="7">
        <f>IF(AND(CH45=0,prestamos_pslfActivo=1,K45&gt;=0.5,CE45&gt;0),1,0)</f>
        <v/>
      </c>
      <c r="CJ45" s="7">
        <f>CE45*CF45</f>
        <v/>
      </c>
      <c r="CK45" s="7">
        <f>MAX(prestamos_rapPagoMinimoAnual,IF(Y45&lt;10000,0,MIN(0.1,INT(Y45/10000)/100))*Y45)</f>
        <v/>
      </c>
      <c r="CL45" s="7">
        <f>IF(CE45&lt;=0,0,IF(CH45=1,0,IF(CI45=1,MIN(CE45+CJ45,CK45),PMT(CF45,MAX(1,prestamos_plazoAnios-CG45),-CE45))))</f>
        <v/>
      </c>
      <c r="CM45" s="7">
        <f>IF(CE45&lt;=0,0,IF(CH45=1,CE45+CJ45,IF(CI45=1,MAX(0,CE45-MAX(CL45-CJ45,MIN(600,CL45))),MAX(0,CE45*(1+CF45)-CL45))))</f>
        <v/>
      </c>
      <c r="CN45" s="7">
        <f>IF(12=0,0,CN44)+IF(CI45=1,12*MIN(1,K45),0)</f>
        <v/>
      </c>
      <c r="CO45" s="7">
        <f>IF(AND(CI45=1,CN45&gt;=prestamos_pslfPagos,CM45&gt;0),CM45,0)</f>
        <v/>
      </c>
      <c r="CP45" s="7">
        <f>CM45-CO45</f>
        <v/>
      </c>
      <c r="CQ45" s="7">
        <f>IF(AND(CE45&gt;0,CH45=0,CI45=0),CG45+1,CG45)</f>
        <v/>
      </c>
      <c r="CR45" s="7">
        <f>IF(12=0,IF(personal_deudaEsFederal=1,0,personal_deudaEstudiantil),EA44)</f>
        <v/>
      </c>
      <c r="CS45" s="7">
        <f>IF(12=0,IF(personal_deudaEsFederal=1,prestamos_tasaPrivada,personal_tasaDeudaEstudiantil),EB44)</f>
        <v/>
      </c>
      <c r="CT45" s="7">
        <f>IF(12=0,0,EC44)</f>
        <v/>
      </c>
      <c r="CU45" s="7">
        <f>IF(OR(CR45&lt;=0,CH45=1),0,PMT(CS45,MAX(1,prestamos_plazoAnios-CT45),-CR45))</f>
        <v/>
      </c>
      <c r="CV45" s="7">
        <f>IF(CR45&lt;=0,0,IF(CH45=1,CR45*(1+CS45),MAX(0,CR45*(1+CS45)-CU45)))</f>
        <v/>
      </c>
      <c r="CW45" s="7">
        <f>IF(AND(CR45&gt;0,CH45=0),CT45+1,CT45)</f>
        <v/>
      </c>
      <c r="CX45" s="7">
        <f>IF(12=0,0,ED44)*(1+general_tasaDeudaConsumo)</f>
        <v/>
      </c>
      <c r="CY45" s="7">
        <f>L45*12*tiempos_travelGastoExtraMes*C45</f>
        <v/>
      </c>
      <c r="CZ45" s="7">
        <f>AJ45+CY45+CA45+CC45+CL45+CU45+I45+N45-BZ45-CB45</f>
        <v/>
      </c>
      <c r="DA45" s="7">
        <f>AH45-CZ45</f>
        <v/>
      </c>
      <c r="DB45" s="7">
        <f>IF(12=0,0,DB44)+DA45</f>
        <v/>
      </c>
      <c r="DC45" s="7">
        <f>AN45*vivienda_enganchePct+AN45*vivienda_cierrePct+general_reservaMeses/12*AJ45</f>
        <v/>
      </c>
      <c r="DD45" s="7">
        <f>IF(BB45=1,g_ret,IF(BD45&gt;0,MIN(1,DC45/BD45),1)*g_cash+(1-IF(BD45&gt;0,MIN(1,DC45/BD45),1))*g_ret)</f>
        <v/>
      </c>
      <c r="DE45" s="7">
        <f>IF(DA45&gt;=0,MIN(CX45,DA45),0)</f>
        <v/>
      </c>
      <c r="DF45" s="7">
        <f>IF(DA45&gt;=0,(1-general_tasaAhorro)*(DA45-DE45),0)</f>
        <v/>
      </c>
      <c r="DG45" s="7">
        <f>IF(DA45&gt;=0,DA45-DE45-DF45,0)</f>
        <v/>
      </c>
      <c r="DH45" s="7">
        <f>MIN(personal_rothAnual,DG45)</f>
        <v/>
      </c>
      <c r="DI45" s="7">
        <f>IF(AND(DA45&gt;=0,BB45=1,BP45+BT45&gt;0),MIN(vivienda_prepagoPct*(DG45-DH45),BP45+BT45),0)</f>
        <v/>
      </c>
      <c r="DJ45" s="7">
        <f>MIN(DI45,BP45)</f>
        <v/>
      </c>
      <c r="DK45" s="7">
        <f>IF(DA45&lt;0,MIN(MAX(0,BD45),-DA45),0)</f>
        <v/>
      </c>
      <c r="DL45" s="7">
        <f>IF(DA45&lt;0,-DA45-DK45,0)</f>
        <v/>
      </c>
      <c r="DM45" s="7">
        <f>IF(12=0,0,DZ44)</f>
        <v/>
      </c>
      <c r="DN45" s="7">
        <f>IF(AND(DL45&gt;0,J45&gt;0),MIN(DL45,MIN(prestamos_topeAnualPosgrado*MIN(1,J45),MAX(0,prestamos_topeTotalPosgrado-DM45))),0)</f>
        <v/>
      </c>
      <c r="DO45" s="7">
        <f>IF(AND(DL45&gt;0,J45&gt;0),DL45-DN45,0)</f>
        <v/>
      </c>
      <c r="DP45" s="7">
        <f>IF(AND(DL45&gt;0,J45&lt;=0),DL45,0)</f>
        <v/>
      </c>
      <c r="DQ45" s="7">
        <f>IF(DA45&gt;=0,DG45-DH45-DI45,-DK45)</f>
        <v/>
      </c>
      <c r="DR45" s="7">
        <f>BD45*(1+DD45)+DQ45*(1+DD45/2)</f>
        <v/>
      </c>
      <c r="DS45" s="7">
        <f>IF(12=0,personal_retiroInicial,DS44)*(1+g_ret)+(O45+P45+DH45)*(1+g_ret/2)</f>
        <v/>
      </c>
      <c r="DT45" s="7">
        <f>IF(BB45=1,BL45*(1+g_appr),0)</f>
        <v/>
      </c>
      <c r="DU45" s="7">
        <f>BP45-DJ45</f>
        <v/>
      </c>
      <c r="DV45" s="7">
        <f>BT45-(DI45-DJ45)</f>
        <v/>
      </c>
      <c r="DW45" s="7">
        <f>CP45+DN45</f>
        <v/>
      </c>
      <c r="DX45" s="7">
        <f>IF(DN45&gt;0,(CP45*CF45+DN45*prestamos_tasaFederalPosgrado)/(CP45+DN45),CF45)</f>
        <v/>
      </c>
      <c r="DY45" s="7">
        <f>IF(DN45&gt;0,0,CQ45)</f>
        <v/>
      </c>
      <c r="DZ45" s="7">
        <f>DM45+DN45</f>
        <v/>
      </c>
      <c r="EA45" s="7">
        <f>CV45+DO45</f>
        <v/>
      </c>
      <c r="EB45" s="7">
        <f>IF(DO45&gt;0,(CV45*CS45+DO45*prestamos_tasaPrivada)/(CV45+DO45),CS45)</f>
        <v/>
      </c>
      <c r="EC45" s="7">
        <f>IF(DO45&gt;0,0,CW45)</f>
        <v/>
      </c>
      <c r="ED45" s="7">
        <f>CX45-DE45+DP45</f>
        <v/>
      </c>
      <c r="EE45" s="7">
        <f>IF(IF(12=0,"",EE44)&lt;&gt;"",EE44,IF(AND(BB45=1,DU45&lt;=0.5,DV45&lt;=0.5,OR(BH45=0,BJ45=1)),A45,""))</f>
        <v/>
      </c>
      <c r="EF45" s="7">
        <f>DU45+DV45+DW45+EA45+ED45+CD45</f>
        <v/>
      </c>
      <c r="EG45" s="7">
        <f>DR45+DS45+DT45-EF45</f>
        <v/>
      </c>
      <c r="EH45" s="7">
        <f>EG45/(1+g_inf)^(A45+1-2026)</f>
        <v/>
      </c>
    </row>
    <row r="46">
      <c r="A46" t="n">
        <v>2040</v>
      </c>
      <c r="B46" t="n">
        <v>13</v>
      </c>
      <c r="C46" s="7">
        <f>(1+g_inf)^(A46-2026)</f>
        <v/>
      </c>
      <c r="D46" s="7">
        <f>SUMPRODUCT($AG$5:$AG$29,$E$5:$E$29*(1+$F$5:$F$29)^(A46-2026)*$G$5:$G$29*$H$5:$H$29*(1-$N$5:$N$29*$O$5:$O$29))*g_salMult+SUMPRODUCT(($B$5:$B$29&gt;=A46)*($B$5:$B$29&lt;A46+1)*$I$5:$I$29)*g_salMult</f>
        <v/>
      </c>
      <c r="E46" s="7">
        <f>SUMPRODUCT($AG$5:$AG$29,$E$5:$E$29*(1+$F$5:$F$29)^(A46-2026)*$G$5:$G$29*$H$5:$H$29*$M$5:$M$29)*g_salMult</f>
        <v/>
      </c>
      <c r="F46" s="7">
        <f>SUMPRODUCT($AG$5:$AG$29,$E$5:$E$29*(1+$F$5:$F$29)^(A46-2026)*$G$5:$G$29*$H$5:$H$29*$N$5:$N$29*$O$5:$O$29)*g_salMult</f>
        <v/>
      </c>
      <c r="G46" s="7">
        <f>SUMPRODUCT($AG$5:$AG$29,$P$5:$P$29*(1+$F$5:$F$29)^(A46-2026))</f>
        <v/>
      </c>
      <c r="H46" s="7">
        <f>SUMPRODUCT($AG$5:$AG$29,$Q$5:$Q$29*(1+$F$5:$F$29)^(A46-2026))+IF(personal_llcActivo=1,personal_llcNeto*(1+personal_llcCrecimiento)^13,0)</f>
        <v/>
      </c>
      <c r="I46" s="7">
        <f>SUMPRODUCT($AG$5:$AG$29,$J$5:$J$29/($C$5:$C$29-$B$5:$B$29+($C$5:$C$29=$B$5:$B$29)))*C46</f>
        <v/>
      </c>
      <c r="J46" s="7">
        <f>SUMPRODUCT($AG$5:$AG$29,$K$5:$K$29)</f>
        <v/>
      </c>
      <c r="K46" s="7">
        <f>SUMPRODUCT($AG$5:$AG$29,$L$5:$L$29)</f>
        <v/>
      </c>
      <c r="L46" s="7">
        <f>SUMPRODUCT($AG$5:$AG$29,$N$5:$N$29)</f>
        <v/>
      </c>
      <c r="M46" s="7">
        <f>IF(SUMPRODUCT($AG$5:$AG$29,$R$5:$R$29)&gt;0,1,0)</f>
        <v/>
      </c>
      <c r="N46" s="7">
        <f>SUMPRODUCT(($AO$5:$AO$24&gt;=A46)*($AO$5:$AO$24&lt;A46+1)*$AP$5:$AP$24)*C46+IF(13=0,IF(sel_loc&lt;&gt;"miami",personal_costoMudanzaInicial,0),0)</f>
        <v/>
      </c>
      <c r="O46" s="7">
        <f>MIN(personal_aporte403bPct*D46,retiro_limite403b*C46)</f>
        <v/>
      </c>
      <c r="P46" s="7">
        <f>MIN(personal_aporte403bPct,personal_match403bPct)*E46</f>
        <v/>
      </c>
      <c r="Q46" s="7">
        <f>IF(G46&gt;0,MAX(0,G46-impuestos_scorpCostoAnual*C46),0)</f>
        <v/>
      </c>
      <c r="R46" s="7">
        <f>Q46*impuestos_scorpSalarioPct/(1+impuestos_ssTasa+impuestos_medicareTasa)</f>
        <v/>
      </c>
      <c r="S46" s="7">
        <f>impuestos_ssTasa*MIN(R46,MAX(0,impuestos_ssTope*C46-D46))+impuestos_medicareTasa*R46</f>
        <v/>
      </c>
      <c r="T46" s="7">
        <f>Q46-R46-S46</f>
        <v/>
      </c>
      <c r="U46" s="7">
        <f>D46+R46</f>
        <v/>
      </c>
      <c r="V46" s="7">
        <f>H46*0.9235</f>
        <v/>
      </c>
      <c r="W46" s="7">
        <f>IF(H46&gt;0,2*impuestos_ssTasa*MIN(V46,MAX(0,impuestos_ssTope*C46-U46))+2*impuestos_medicareTasa*V46,0)</f>
        <v/>
      </c>
      <c r="X46" s="7">
        <f>impuestos_ssTasa*MIN(U46,impuestos_ssTope*C46)+impuestos_medicareTasa*U46+impuestos_medicareAdicional*MAX(0,U46+H46*0.9235-impuestos_medicareUmbral)</f>
        <v/>
      </c>
      <c r="Y46" s="7">
        <f>MAX(0,D46-O46+R46+T46+H46-W46/2)</f>
        <v/>
      </c>
      <c r="Z46" s="7">
        <f>MAX(0,Y46-impuestos_deduccionEstandar*C46)</f>
        <v/>
      </c>
      <c r="AA46" s="7">
        <f>MIN(0.2*MAX(0,T46+H46-W46/2)*MAX(0,MIN(1,1-(Z46-impuestos_qbiUmbral*C46)/(impuestos_qbiRango*C46))),0.2*Z46)</f>
        <v/>
      </c>
      <c r="AB46" s="7">
        <f>MAX(0,Z46-AA46)</f>
        <v/>
      </c>
      <c r="AC46" s="7">
        <f>SUMPRODUCT((AB46&gt;tb_federalBrackets_lo*C46)*(AB46-tb_federalBrackets_lo*C46)*tb_federalBrackets_dr)</f>
        <v/>
      </c>
      <c r="AD46" s="7">
        <f>MAX(0,Y46-impuestos_nyDeduccion*C46)</f>
        <v/>
      </c>
      <c r="AE46" s="7">
        <f>CHOOSE(loc_taxcode,0,impuestos_ohTasa*MAX(0,Y46-impuestos_ohExento*C46)+impuestos_ohMunicipal*U46,SUMPRODUCT((AD46&gt;tb_nyBrackets_lo*C46)*(AD46-tb_nyBrackets_lo*C46)*tb_nyBrackets_dr)+loc_nyc*SUMPRODUCT((AD46&gt;tb_nycBrackets_lo*C46)*(AD46-tb_nycBrackets_lo*C46)*tb_nycBrackets_dr))</f>
        <v/>
      </c>
      <c r="AF46" s="7">
        <f>AC46+AE46+X46+W46</f>
        <v/>
      </c>
      <c r="AG46" s="7">
        <f>D46+F46+R46+T46+H46</f>
        <v/>
      </c>
      <c r="AH46" s="7">
        <f>AG46-AF46-O46</f>
        <v/>
      </c>
      <c r="AI46" s="7">
        <f>D46+F46+G46+H46</f>
        <v/>
      </c>
      <c r="AJ46" s="7">
        <f>loc_gastosVida*C46*g_gastos</f>
        <v/>
      </c>
      <c r="AK46" s="7">
        <f>IF(13=0,personal_liquidoInicial,DR45)</f>
        <v/>
      </c>
      <c r="AL46" s="7">
        <f>IF(13=0,0,BB45)</f>
        <v/>
      </c>
      <c r="AM46" s="7">
        <f>CHOOSE(sel_cfgIdx,loc_precio_duplex,loc_precio_inlaw,loc_precio_dosCasas,loc_precio_casaAdu,loc_precio_multi)</f>
        <v/>
      </c>
      <c r="AN46" s="7">
        <f>AM46*(1+g_appr)^(A46-2026)</f>
        <v/>
      </c>
      <c r="AO46" s="7">
        <f>IF(AND(M46=1,vivienda_prestamoMedico=1),1,0)</f>
        <v/>
      </c>
      <c r="AP46" s="7">
        <f>IF(AO46=1,0.05,vivienda_enganchePct)</f>
        <v/>
      </c>
      <c r="AQ46" s="7">
        <f>AN46*(1-AP46)</f>
        <v/>
      </c>
      <c r="AR46" s="7">
        <f>PMT(g_mortRate/12,vivienda_plazoHipoteca*12,-AQ46)</f>
        <v/>
      </c>
      <c r="AS46" s="7">
        <f>INDEX(cfg_units,sel_cfgIdx)</f>
        <v/>
      </c>
      <c r="AT46" s="7">
        <f>AS46*loc_rentaUnidad*(1+g_inf)^(A46-2026)*(1-vivienda_vacancia)</f>
        <v/>
      </c>
      <c r="AU46" s="7">
        <f>AR46+AN46*loc_impuestoPropPct/12+AM46*loc_seguroPct*(1+vivienda_inflacionSeguro)^(A46-2026)/12+IF(AND(AO46=0,AP46&lt;0.2),AQ46*vivienda_pmiTasa/12,0)</f>
        <v/>
      </c>
      <c r="AV46" s="7">
        <f>AN46*AP46+AN46*vivienda_cierrePct+general_reservaMeses/12*AJ46</f>
        <v/>
      </c>
      <c r="AW46" s="7">
        <f>(IF(13=0,MIN(personal_irsSaldo,personal_irsPagoMensual*12),MIN(CD45,personal_irsPagoMensual*12))+IF(CE46&gt;0,PMT(CF46,MAX(1,prestamos_plazoAnios-CG46),-CE46),0)+IF(CR46&gt;0,PMT(CS46,MAX(1,prestamos_plazoAnios-CT46),-CR46),0))/12</f>
        <v/>
      </c>
      <c r="AX46" s="7">
        <f>IF(OR(sel_cfg="duplex",sel_cfg="multi",sel_cfg="dosCasas"),0.75*personal_aporteFamiliaMensual,0)</f>
        <v/>
      </c>
      <c r="AY46" s="7">
        <f>AU46-0.75*AT46-AX46+AW46</f>
        <v/>
      </c>
      <c r="AZ46" s="7">
        <f>(D46+G46+H46+0.5*F46)/12</f>
        <v/>
      </c>
      <c r="BA46" s="7">
        <f>IF(AND(AL46=0,A46&gt;=vivienda_anioMinCompra,J46&lt;0.5,AI46&gt;0,AK46&gt;=AV46,AY46&lt;=vivienda_dtiMax*AZ46),1,0)</f>
        <v/>
      </c>
      <c r="BB46" s="7">
        <f>MAX(AL46,BA46)</f>
        <v/>
      </c>
      <c r="BC46" s="7">
        <f>IF(BA46=1,A46,IF(13=0,"",BC45))</f>
        <v/>
      </c>
      <c r="BD46" s="7">
        <f>AK46-IF(BA46=1,AN46*AP46+AN46*vivienda_cierrePct,0)</f>
        <v/>
      </c>
      <c r="BE46" s="7">
        <f>IF(BA46=1,AN46,IF(13=0,0,BE45))</f>
        <v/>
      </c>
      <c r="BF46" s="7">
        <f>IF(BA46=1,AR46,IF(13=0,0,BF45))</f>
        <v/>
      </c>
      <c r="BG46" s="7">
        <f>IF(BA46=1,IF(AND(AO46=0,AP46&lt;0.2),1,0),IF(13=0,0,BY45))</f>
        <v/>
      </c>
      <c r="BH46" s="7">
        <f>IF(sel_cfg="casaAdu",1,0)</f>
        <v/>
      </c>
      <c r="BI46" s="7">
        <f>IF(AND(BB46=1,BH46=1,IF(13=0,0,BJ45)=0,A46&gt;=IF(BC46="",9999,BC46)+vivienda_aduRetrasoAnios),1,0)</f>
        <v/>
      </c>
      <c r="BJ46" s="7">
        <f>MAX(IF(13=0,0,BJ45),BI46)</f>
        <v/>
      </c>
      <c r="BK46" s="7">
        <f>IF(BI46=1,PMT((g_mortRate+0.005)/12,180,-loc_precio_aduCosto*C46),IF(13=0,0,BK45))</f>
        <v/>
      </c>
      <c r="BL46" s="7">
        <f>IF(BA46=1,AN46,IF(13=0,0,DT45))+IF(BI46=1,loc_precio_aduCosto*C46,0)</f>
        <v/>
      </c>
      <c r="BM46" s="7">
        <f>IF(BA46=1,AQ46,IF(13=0,0,DU45))</f>
        <v/>
      </c>
      <c r="BN46" s="7">
        <f>IF(BM46&lt;=0,0,FV(g_mortRate/12,12,BF46,-BM46))</f>
        <v/>
      </c>
      <c r="BO46" s="7">
        <f>IF(BM46&lt;=0,0,12*BF46+MIN(0,BN46))</f>
        <v/>
      </c>
      <c r="BP46" s="7">
        <f>MAX(0,BN46)</f>
        <v/>
      </c>
      <c r="BQ46" s="7">
        <f>IF(BI46=1,loc_precio_aduCosto*C46,IF(13=0,0,DV45))</f>
        <v/>
      </c>
      <c r="BR46" s="7">
        <f>IF(BQ46&lt;=0,0,FV((g_mortRate+0.005)/12,12,BK46,-BQ46))</f>
        <v/>
      </c>
      <c r="BS46" s="7">
        <f>IF(BQ46&lt;=0,0,12*BK46+MIN(0,BR46))</f>
        <v/>
      </c>
      <c r="BT46" s="7">
        <f>MAX(0,BR46)</f>
        <v/>
      </c>
      <c r="BU46" s="7">
        <f>IF(BB46=1,AM46*loc_seguroPct*(1+vivienda_inflacionSeguro)^(A46-2026)*IF(BJ46=1,1+loc_precio_aduCosto/AM46,1),0)</f>
        <v/>
      </c>
      <c r="BV46" s="7">
        <f>BL46*loc_impuestoPropPct</f>
        <v/>
      </c>
      <c r="BW46" s="7">
        <f>BL46*vivienda_mantenimientoPct</f>
        <v/>
      </c>
      <c r="BX46" s="7">
        <f>IF(AND(BG46=1,BP46&gt;0.8*BE46),BE46*(1-vivienda_enganchePct)*vivienda_pmiTasa,0)</f>
        <v/>
      </c>
      <c r="BY46" s="7">
        <f>IF(AND(BG46=1,BP46&gt;0.8*BE46),1,0)</f>
        <v/>
      </c>
      <c r="BZ46" s="7">
        <f>IF(BB46=1,AS46*loc_rentaUnidad*12*C46*(1-vivienda_vacancia)*(1-vivienda_gestionPct),0)</f>
        <v/>
      </c>
      <c r="CA46" s="7">
        <f>IF(BB46=1,BO46+BS46+BU46+BV46+BW46+BX46,loc_rentaMensual*12*C46)</f>
        <v/>
      </c>
      <c r="CB46" s="7">
        <f>IF(BB46=1,personal_aporteFamiliaMensual*12,0)</f>
        <v/>
      </c>
      <c r="CC46" s="7">
        <f>MIN(IF(13=0,personal_irsSaldo,CD45),personal_irsPagoMensual*12)</f>
        <v/>
      </c>
      <c r="CD46" s="7">
        <f>IF(13=0,personal_irsSaldo,CD45)-CC46</f>
        <v/>
      </c>
      <c r="CE46" s="7">
        <f>IF(13=0,IF(personal_deudaEsFederal=1,personal_deudaEstudiantil,0),DW45)</f>
        <v/>
      </c>
      <c r="CF46" s="7">
        <f>IF(13=0,personal_tasaDeudaEstudiantil,DX45)</f>
        <v/>
      </c>
      <c r="CG46" s="7">
        <f>IF(13=0,0,DY45)</f>
        <v/>
      </c>
      <c r="CH46" s="7">
        <f>IF(J46&gt;=0.5,1,0)</f>
        <v/>
      </c>
      <c r="CI46" s="7">
        <f>IF(AND(CH46=0,prestamos_pslfActivo=1,K46&gt;=0.5,CE46&gt;0),1,0)</f>
        <v/>
      </c>
      <c r="CJ46" s="7">
        <f>CE46*CF46</f>
        <v/>
      </c>
      <c r="CK46" s="7">
        <f>MAX(prestamos_rapPagoMinimoAnual,IF(Y46&lt;10000,0,MIN(0.1,INT(Y46/10000)/100))*Y46)</f>
        <v/>
      </c>
      <c r="CL46" s="7">
        <f>IF(CE46&lt;=0,0,IF(CH46=1,0,IF(CI46=1,MIN(CE46+CJ46,CK46),PMT(CF46,MAX(1,prestamos_plazoAnios-CG46),-CE46))))</f>
        <v/>
      </c>
      <c r="CM46" s="7">
        <f>IF(CE46&lt;=0,0,IF(CH46=1,CE46+CJ46,IF(CI46=1,MAX(0,CE46-MAX(CL46-CJ46,MIN(600,CL46))),MAX(0,CE46*(1+CF46)-CL46))))</f>
        <v/>
      </c>
      <c r="CN46" s="7">
        <f>IF(13=0,0,CN45)+IF(CI46=1,12*MIN(1,K46),0)</f>
        <v/>
      </c>
      <c r="CO46" s="7">
        <f>IF(AND(CI46=1,CN46&gt;=prestamos_pslfPagos,CM46&gt;0),CM46,0)</f>
        <v/>
      </c>
      <c r="CP46" s="7">
        <f>CM46-CO46</f>
        <v/>
      </c>
      <c r="CQ46" s="7">
        <f>IF(AND(CE46&gt;0,CH46=0,CI46=0),CG46+1,CG46)</f>
        <v/>
      </c>
      <c r="CR46" s="7">
        <f>IF(13=0,IF(personal_deudaEsFederal=1,0,personal_deudaEstudiantil),EA45)</f>
        <v/>
      </c>
      <c r="CS46" s="7">
        <f>IF(13=0,IF(personal_deudaEsFederal=1,prestamos_tasaPrivada,personal_tasaDeudaEstudiantil),EB45)</f>
        <v/>
      </c>
      <c r="CT46" s="7">
        <f>IF(13=0,0,EC45)</f>
        <v/>
      </c>
      <c r="CU46" s="7">
        <f>IF(OR(CR46&lt;=0,CH46=1),0,PMT(CS46,MAX(1,prestamos_plazoAnios-CT46),-CR46))</f>
        <v/>
      </c>
      <c r="CV46" s="7">
        <f>IF(CR46&lt;=0,0,IF(CH46=1,CR46*(1+CS46),MAX(0,CR46*(1+CS46)-CU46)))</f>
        <v/>
      </c>
      <c r="CW46" s="7">
        <f>IF(AND(CR46&gt;0,CH46=0),CT46+1,CT46)</f>
        <v/>
      </c>
      <c r="CX46" s="7">
        <f>IF(13=0,0,ED45)*(1+general_tasaDeudaConsumo)</f>
        <v/>
      </c>
      <c r="CY46" s="7">
        <f>L46*12*tiempos_travelGastoExtraMes*C46</f>
        <v/>
      </c>
      <c r="CZ46" s="7">
        <f>AJ46+CY46+CA46+CC46+CL46+CU46+I46+N46-BZ46-CB46</f>
        <v/>
      </c>
      <c r="DA46" s="7">
        <f>AH46-CZ46</f>
        <v/>
      </c>
      <c r="DB46" s="7">
        <f>IF(13=0,0,DB45)+DA46</f>
        <v/>
      </c>
      <c r="DC46" s="7">
        <f>AN46*vivienda_enganchePct+AN46*vivienda_cierrePct+general_reservaMeses/12*AJ46</f>
        <v/>
      </c>
      <c r="DD46" s="7">
        <f>IF(BB46=1,g_ret,IF(BD46&gt;0,MIN(1,DC46/BD46),1)*g_cash+(1-IF(BD46&gt;0,MIN(1,DC46/BD46),1))*g_ret)</f>
        <v/>
      </c>
      <c r="DE46" s="7">
        <f>IF(DA46&gt;=0,MIN(CX46,DA46),0)</f>
        <v/>
      </c>
      <c r="DF46" s="7">
        <f>IF(DA46&gt;=0,(1-general_tasaAhorro)*(DA46-DE46),0)</f>
        <v/>
      </c>
      <c r="DG46" s="7">
        <f>IF(DA46&gt;=0,DA46-DE46-DF46,0)</f>
        <v/>
      </c>
      <c r="DH46" s="7">
        <f>MIN(personal_rothAnual,DG46)</f>
        <v/>
      </c>
      <c r="DI46" s="7">
        <f>IF(AND(DA46&gt;=0,BB46=1,BP46+BT46&gt;0),MIN(vivienda_prepagoPct*(DG46-DH46),BP46+BT46),0)</f>
        <v/>
      </c>
      <c r="DJ46" s="7">
        <f>MIN(DI46,BP46)</f>
        <v/>
      </c>
      <c r="DK46" s="7">
        <f>IF(DA46&lt;0,MIN(MAX(0,BD46),-DA46),0)</f>
        <v/>
      </c>
      <c r="DL46" s="7">
        <f>IF(DA46&lt;0,-DA46-DK46,0)</f>
        <v/>
      </c>
      <c r="DM46" s="7">
        <f>IF(13=0,0,DZ45)</f>
        <v/>
      </c>
      <c r="DN46" s="7">
        <f>IF(AND(DL46&gt;0,J46&gt;0),MIN(DL46,MIN(prestamos_topeAnualPosgrado*MIN(1,J46),MAX(0,prestamos_topeTotalPosgrado-DM46))),0)</f>
        <v/>
      </c>
      <c r="DO46" s="7">
        <f>IF(AND(DL46&gt;0,J46&gt;0),DL46-DN46,0)</f>
        <v/>
      </c>
      <c r="DP46" s="7">
        <f>IF(AND(DL46&gt;0,J46&lt;=0),DL46,0)</f>
        <v/>
      </c>
      <c r="DQ46" s="7">
        <f>IF(DA46&gt;=0,DG46-DH46-DI46,-DK46)</f>
        <v/>
      </c>
      <c r="DR46" s="7">
        <f>BD46*(1+DD46)+DQ46*(1+DD46/2)</f>
        <v/>
      </c>
      <c r="DS46" s="7">
        <f>IF(13=0,personal_retiroInicial,DS45)*(1+g_ret)+(O46+P46+DH46)*(1+g_ret/2)</f>
        <v/>
      </c>
      <c r="DT46" s="7">
        <f>IF(BB46=1,BL46*(1+g_appr),0)</f>
        <v/>
      </c>
      <c r="DU46" s="7">
        <f>BP46-DJ46</f>
        <v/>
      </c>
      <c r="DV46" s="7">
        <f>BT46-(DI46-DJ46)</f>
        <v/>
      </c>
      <c r="DW46" s="7">
        <f>CP46+DN46</f>
        <v/>
      </c>
      <c r="DX46" s="7">
        <f>IF(DN46&gt;0,(CP46*CF46+DN46*prestamos_tasaFederalPosgrado)/(CP46+DN46),CF46)</f>
        <v/>
      </c>
      <c r="DY46" s="7">
        <f>IF(DN46&gt;0,0,CQ46)</f>
        <v/>
      </c>
      <c r="DZ46" s="7">
        <f>DM46+DN46</f>
        <v/>
      </c>
      <c r="EA46" s="7">
        <f>CV46+DO46</f>
        <v/>
      </c>
      <c r="EB46" s="7">
        <f>IF(DO46&gt;0,(CV46*CS46+DO46*prestamos_tasaPrivada)/(CV46+DO46),CS46)</f>
        <v/>
      </c>
      <c r="EC46" s="7">
        <f>IF(DO46&gt;0,0,CW46)</f>
        <v/>
      </c>
      <c r="ED46" s="7">
        <f>CX46-DE46+DP46</f>
        <v/>
      </c>
      <c r="EE46" s="7">
        <f>IF(IF(13=0,"",EE45)&lt;&gt;"",EE45,IF(AND(BB46=1,DU46&lt;=0.5,DV46&lt;=0.5,OR(BH46=0,BJ46=1)),A46,""))</f>
        <v/>
      </c>
      <c r="EF46" s="7">
        <f>DU46+DV46+DW46+EA46+ED46+CD46</f>
        <v/>
      </c>
      <c r="EG46" s="7">
        <f>DR46+DS46+DT46-EF46</f>
        <v/>
      </c>
      <c r="EH46" s="7">
        <f>EG46/(1+g_inf)^(A46+1-2026)</f>
        <v/>
      </c>
    </row>
    <row r="47">
      <c r="A47" t="n">
        <v>2041</v>
      </c>
      <c r="B47" t="n">
        <v>14</v>
      </c>
      <c r="C47" s="7">
        <f>(1+g_inf)^(A47-2026)</f>
        <v/>
      </c>
      <c r="D47" s="7">
        <f>SUMPRODUCT($AH$5:$AH$29,$E$5:$E$29*(1+$F$5:$F$29)^(A47-2026)*$G$5:$G$29*$H$5:$H$29*(1-$N$5:$N$29*$O$5:$O$29))*g_salMult+SUMPRODUCT(($B$5:$B$29&gt;=A47)*($B$5:$B$29&lt;A47+1)*$I$5:$I$29)*g_salMult</f>
        <v/>
      </c>
      <c r="E47" s="7">
        <f>SUMPRODUCT($AH$5:$AH$29,$E$5:$E$29*(1+$F$5:$F$29)^(A47-2026)*$G$5:$G$29*$H$5:$H$29*$M$5:$M$29)*g_salMult</f>
        <v/>
      </c>
      <c r="F47" s="7">
        <f>SUMPRODUCT($AH$5:$AH$29,$E$5:$E$29*(1+$F$5:$F$29)^(A47-2026)*$G$5:$G$29*$H$5:$H$29*$N$5:$N$29*$O$5:$O$29)*g_salMult</f>
        <v/>
      </c>
      <c r="G47" s="7">
        <f>SUMPRODUCT($AH$5:$AH$29,$P$5:$P$29*(1+$F$5:$F$29)^(A47-2026))</f>
        <v/>
      </c>
      <c r="H47" s="7">
        <f>SUMPRODUCT($AH$5:$AH$29,$Q$5:$Q$29*(1+$F$5:$F$29)^(A47-2026))+IF(personal_llcActivo=1,personal_llcNeto*(1+personal_llcCrecimiento)^14,0)</f>
        <v/>
      </c>
      <c r="I47" s="7">
        <f>SUMPRODUCT($AH$5:$AH$29,$J$5:$J$29/($C$5:$C$29-$B$5:$B$29+($C$5:$C$29=$B$5:$B$29)))*C47</f>
        <v/>
      </c>
      <c r="J47" s="7">
        <f>SUMPRODUCT($AH$5:$AH$29,$K$5:$K$29)</f>
        <v/>
      </c>
      <c r="K47" s="7">
        <f>SUMPRODUCT($AH$5:$AH$29,$L$5:$L$29)</f>
        <v/>
      </c>
      <c r="L47" s="7">
        <f>SUMPRODUCT($AH$5:$AH$29,$N$5:$N$29)</f>
        <v/>
      </c>
      <c r="M47" s="7">
        <f>IF(SUMPRODUCT($AH$5:$AH$29,$R$5:$R$29)&gt;0,1,0)</f>
        <v/>
      </c>
      <c r="N47" s="7">
        <f>SUMPRODUCT(($AO$5:$AO$24&gt;=A47)*($AO$5:$AO$24&lt;A47+1)*$AP$5:$AP$24)*C47+IF(14=0,IF(sel_loc&lt;&gt;"miami",personal_costoMudanzaInicial,0),0)</f>
        <v/>
      </c>
      <c r="O47" s="7">
        <f>MIN(personal_aporte403bPct*D47,retiro_limite403b*C47)</f>
        <v/>
      </c>
      <c r="P47" s="7">
        <f>MIN(personal_aporte403bPct,personal_match403bPct)*E47</f>
        <v/>
      </c>
      <c r="Q47" s="7">
        <f>IF(G47&gt;0,MAX(0,G47-impuestos_scorpCostoAnual*C47),0)</f>
        <v/>
      </c>
      <c r="R47" s="7">
        <f>Q47*impuestos_scorpSalarioPct/(1+impuestos_ssTasa+impuestos_medicareTasa)</f>
        <v/>
      </c>
      <c r="S47" s="7">
        <f>impuestos_ssTasa*MIN(R47,MAX(0,impuestos_ssTope*C47-D47))+impuestos_medicareTasa*R47</f>
        <v/>
      </c>
      <c r="T47" s="7">
        <f>Q47-R47-S47</f>
        <v/>
      </c>
      <c r="U47" s="7">
        <f>D47+R47</f>
        <v/>
      </c>
      <c r="V47" s="7">
        <f>H47*0.9235</f>
        <v/>
      </c>
      <c r="W47" s="7">
        <f>IF(H47&gt;0,2*impuestos_ssTasa*MIN(V47,MAX(0,impuestos_ssTope*C47-U47))+2*impuestos_medicareTasa*V47,0)</f>
        <v/>
      </c>
      <c r="X47" s="7">
        <f>impuestos_ssTasa*MIN(U47,impuestos_ssTope*C47)+impuestos_medicareTasa*U47+impuestos_medicareAdicional*MAX(0,U47+H47*0.9235-impuestos_medicareUmbral)</f>
        <v/>
      </c>
      <c r="Y47" s="7">
        <f>MAX(0,D47-O47+R47+T47+H47-W47/2)</f>
        <v/>
      </c>
      <c r="Z47" s="7">
        <f>MAX(0,Y47-impuestos_deduccionEstandar*C47)</f>
        <v/>
      </c>
      <c r="AA47" s="7">
        <f>MIN(0.2*MAX(0,T47+H47-W47/2)*MAX(0,MIN(1,1-(Z47-impuestos_qbiUmbral*C47)/(impuestos_qbiRango*C47))),0.2*Z47)</f>
        <v/>
      </c>
      <c r="AB47" s="7">
        <f>MAX(0,Z47-AA47)</f>
        <v/>
      </c>
      <c r="AC47" s="7">
        <f>SUMPRODUCT((AB47&gt;tb_federalBrackets_lo*C47)*(AB47-tb_federalBrackets_lo*C47)*tb_federalBrackets_dr)</f>
        <v/>
      </c>
      <c r="AD47" s="7">
        <f>MAX(0,Y47-impuestos_nyDeduccion*C47)</f>
        <v/>
      </c>
      <c r="AE47" s="7">
        <f>CHOOSE(loc_taxcode,0,impuestos_ohTasa*MAX(0,Y47-impuestos_ohExento*C47)+impuestos_ohMunicipal*U47,SUMPRODUCT((AD47&gt;tb_nyBrackets_lo*C47)*(AD47-tb_nyBrackets_lo*C47)*tb_nyBrackets_dr)+loc_nyc*SUMPRODUCT((AD47&gt;tb_nycBrackets_lo*C47)*(AD47-tb_nycBrackets_lo*C47)*tb_nycBrackets_dr))</f>
        <v/>
      </c>
      <c r="AF47" s="7">
        <f>AC47+AE47+X47+W47</f>
        <v/>
      </c>
      <c r="AG47" s="7">
        <f>D47+F47+R47+T47+H47</f>
        <v/>
      </c>
      <c r="AH47" s="7">
        <f>AG47-AF47-O47</f>
        <v/>
      </c>
      <c r="AI47" s="7">
        <f>D47+F47+G47+H47</f>
        <v/>
      </c>
      <c r="AJ47" s="7">
        <f>loc_gastosVida*C47*g_gastos</f>
        <v/>
      </c>
      <c r="AK47" s="7">
        <f>IF(14=0,personal_liquidoInicial,DR46)</f>
        <v/>
      </c>
      <c r="AL47" s="7">
        <f>IF(14=0,0,BB46)</f>
        <v/>
      </c>
      <c r="AM47" s="7">
        <f>CHOOSE(sel_cfgIdx,loc_precio_duplex,loc_precio_inlaw,loc_precio_dosCasas,loc_precio_casaAdu,loc_precio_multi)</f>
        <v/>
      </c>
      <c r="AN47" s="7">
        <f>AM47*(1+g_appr)^(A47-2026)</f>
        <v/>
      </c>
      <c r="AO47" s="7">
        <f>IF(AND(M47=1,vivienda_prestamoMedico=1),1,0)</f>
        <v/>
      </c>
      <c r="AP47" s="7">
        <f>IF(AO47=1,0.05,vivienda_enganchePct)</f>
        <v/>
      </c>
      <c r="AQ47" s="7">
        <f>AN47*(1-AP47)</f>
        <v/>
      </c>
      <c r="AR47" s="7">
        <f>PMT(g_mortRate/12,vivienda_plazoHipoteca*12,-AQ47)</f>
        <v/>
      </c>
      <c r="AS47" s="7">
        <f>INDEX(cfg_units,sel_cfgIdx)</f>
        <v/>
      </c>
      <c r="AT47" s="7">
        <f>AS47*loc_rentaUnidad*(1+g_inf)^(A47-2026)*(1-vivienda_vacancia)</f>
        <v/>
      </c>
      <c r="AU47" s="7">
        <f>AR47+AN47*loc_impuestoPropPct/12+AM47*loc_seguroPct*(1+vivienda_inflacionSeguro)^(A47-2026)/12+IF(AND(AO47=0,AP47&lt;0.2),AQ47*vivienda_pmiTasa/12,0)</f>
        <v/>
      </c>
      <c r="AV47" s="7">
        <f>AN47*AP47+AN47*vivienda_cierrePct+general_reservaMeses/12*AJ47</f>
        <v/>
      </c>
      <c r="AW47" s="7">
        <f>(IF(14=0,MIN(personal_irsSaldo,personal_irsPagoMensual*12),MIN(CD46,personal_irsPagoMensual*12))+IF(CE47&gt;0,PMT(CF47,MAX(1,prestamos_plazoAnios-CG47),-CE47),0)+IF(CR47&gt;0,PMT(CS47,MAX(1,prestamos_plazoAnios-CT47),-CR47),0))/12</f>
        <v/>
      </c>
      <c r="AX47" s="7">
        <f>IF(OR(sel_cfg="duplex",sel_cfg="multi",sel_cfg="dosCasas"),0.75*personal_aporteFamiliaMensual,0)</f>
        <v/>
      </c>
      <c r="AY47" s="7">
        <f>AU47-0.75*AT47-AX47+AW47</f>
        <v/>
      </c>
      <c r="AZ47" s="7">
        <f>(D47+G47+H47+0.5*F47)/12</f>
        <v/>
      </c>
      <c r="BA47" s="7">
        <f>IF(AND(AL47=0,A47&gt;=vivienda_anioMinCompra,J47&lt;0.5,AI47&gt;0,AK47&gt;=AV47,AY47&lt;=vivienda_dtiMax*AZ47),1,0)</f>
        <v/>
      </c>
      <c r="BB47" s="7">
        <f>MAX(AL47,BA47)</f>
        <v/>
      </c>
      <c r="BC47" s="7">
        <f>IF(BA47=1,A47,IF(14=0,"",BC46))</f>
        <v/>
      </c>
      <c r="BD47" s="7">
        <f>AK47-IF(BA47=1,AN47*AP47+AN47*vivienda_cierrePct,0)</f>
        <v/>
      </c>
      <c r="BE47" s="7">
        <f>IF(BA47=1,AN47,IF(14=0,0,BE46))</f>
        <v/>
      </c>
      <c r="BF47" s="7">
        <f>IF(BA47=1,AR47,IF(14=0,0,BF46))</f>
        <v/>
      </c>
      <c r="BG47" s="7">
        <f>IF(BA47=1,IF(AND(AO47=0,AP47&lt;0.2),1,0),IF(14=0,0,BY46))</f>
        <v/>
      </c>
      <c r="BH47" s="7">
        <f>IF(sel_cfg="casaAdu",1,0)</f>
        <v/>
      </c>
      <c r="BI47" s="7">
        <f>IF(AND(BB47=1,BH47=1,IF(14=0,0,BJ46)=0,A47&gt;=IF(BC47="",9999,BC47)+vivienda_aduRetrasoAnios),1,0)</f>
        <v/>
      </c>
      <c r="BJ47" s="7">
        <f>MAX(IF(14=0,0,BJ46),BI47)</f>
        <v/>
      </c>
      <c r="BK47" s="7">
        <f>IF(BI47=1,PMT((g_mortRate+0.005)/12,180,-loc_precio_aduCosto*C47),IF(14=0,0,BK46))</f>
        <v/>
      </c>
      <c r="BL47" s="7">
        <f>IF(BA47=1,AN47,IF(14=0,0,DT46))+IF(BI47=1,loc_precio_aduCosto*C47,0)</f>
        <v/>
      </c>
      <c r="BM47" s="7">
        <f>IF(BA47=1,AQ47,IF(14=0,0,DU46))</f>
        <v/>
      </c>
      <c r="BN47" s="7">
        <f>IF(BM47&lt;=0,0,FV(g_mortRate/12,12,BF47,-BM47))</f>
        <v/>
      </c>
      <c r="BO47" s="7">
        <f>IF(BM47&lt;=0,0,12*BF47+MIN(0,BN47))</f>
        <v/>
      </c>
      <c r="BP47" s="7">
        <f>MAX(0,BN47)</f>
        <v/>
      </c>
      <c r="BQ47" s="7">
        <f>IF(BI47=1,loc_precio_aduCosto*C47,IF(14=0,0,DV46))</f>
        <v/>
      </c>
      <c r="BR47" s="7">
        <f>IF(BQ47&lt;=0,0,FV((g_mortRate+0.005)/12,12,BK47,-BQ47))</f>
        <v/>
      </c>
      <c r="BS47" s="7">
        <f>IF(BQ47&lt;=0,0,12*BK47+MIN(0,BR47))</f>
        <v/>
      </c>
      <c r="BT47" s="7">
        <f>MAX(0,BR47)</f>
        <v/>
      </c>
      <c r="BU47" s="7">
        <f>IF(BB47=1,AM47*loc_seguroPct*(1+vivienda_inflacionSeguro)^(A47-2026)*IF(BJ47=1,1+loc_precio_aduCosto/AM47,1),0)</f>
        <v/>
      </c>
      <c r="BV47" s="7">
        <f>BL47*loc_impuestoPropPct</f>
        <v/>
      </c>
      <c r="BW47" s="7">
        <f>BL47*vivienda_mantenimientoPct</f>
        <v/>
      </c>
      <c r="BX47" s="7">
        <f>IF(AND(BG47=1,BP47&gt;0.8*BE47),BE47*(1-vivienda_enganchePct)*vivienda_pmiTasa,0)</f>
        <v/>
      </c>
      <c r="BY47" s="7">
        <f>IF(AND(BG47=1,BP47&gt;0.8*BE47),1,0)</f>
        <v/>
      </c>
      <c r="BZ47" s="7">
        <f>IF(BB47=1,AS47*loc_rentaUnidad*12*C47*(1-vivienda_vacancia)*(1-vivienda_gestionPct),0)</f>
        <v/>
      </c>
      <c r="CA47" s="7">
        <f>IF(BB47=1,BO47+BS47+BU47+BV47+BW47+BX47,loc_rentaMensual*12*C47)</f>
        <v/>
      </c>
      <c r="CB47" s="7">
        <f>IF(BB47=1,personal_aporteFamiliaMensual*12,0)</f>
        <v/>
      </c>
      <c r="CC47" s="7">
        <f>MIN(IF(14=0,personal_irsSaldo,CD46),personal_irsPagoMensual*12)</f>
        <v/>
      </c>
      <c r="CD47" s="7">
        <f>IF(14=0,personal_irsSaldo,CD46)-CC47</f>
        <v/>
      </c>
      <c r="CE47" s="7">
        <f>IF(14=0,IF(personal_deudaEsFederal=1,personal_deudaEstudiantil,0),DW46)</f>
        <v/>
      </c>
      <c r="CF47" s="7">
        <f>IF(14=0,personal_tasaDeudaEstudiantil,DX46)</f>
        <v/>
      </c>
      <c r="CG47" s="7">
        <f>IF(14=0,0,DY46)</f>
        <v/>
      </c>
      <c r="CH47" s="7">
        <f>IF(J47&gt;=0.5,1,0)</f>
        <v/>
      </c>
      <c r="CI47" s="7">
        <f>IF(AND(CH47=0,prestamos_pslfActivo=1,K47&gt;=0.5,CE47&gt;0),1,0)</f>
        <v/>
      </c>
      <c r="CJ47" s="7">
        <f>CE47*CF47</f>
        <v/>
      </c>
      <c r="CK47" s="7">
        <f>MAX(prestamos_rapPagoMinimoAnual,IF(Y47&lt;10000,0,MIN(0.1,INT(Y47/10000)/100))*Y47)</f>
        <v/>
      </c>
      <c r="CL47" s="7">
        <f>IF(CE47&lt;=0,0,IF(CH47=1,0,IF(CI47=1,MIN(CE47+CJ47,CK47),PMT(CF47,MAX(1,prestamos_plazoAnios-CG47),-CE47))))</f>
        <v/>
      </c>
      <c r="CM47" s="7">
        <f>IF(CE47&lt;=0,0,IF(CH47=1,CE47+CJ47,IF(CI47=1,MAX(0,CE47-MAX(CL47-CJ47,MIN(600,CL47))),MAX(0,CE47*(1+CF47)-CL47))))</f>
        <v/>
      </c>
      <c r="CN47" s="7">
        <f>IF(14=0,0,CN46)+IF(CI47=1,12*MIN(1,K47),0)</f>
        <v/>
      </c>
      <c r="CO47" s="7">
        <f>IF(AND(CI47=1,CN47&gt;=prestamos_pslfPagos,CM47&gt;0),CM47,0)</f>
        <v/>
      </c>
      <c r="CP47" s="7">
        <f>CM47-CO47</f>
        <v/>
      </c>
      <c r="CQ47" s="7">
        <f>IF(AND(CE47&gt;0,CH47=0,CI47=0),CG47+1,CG47)</f>
        <v/>
      </c>
      <c r="CR47" s="7">
        <f>IF(14=0,IF(personal_deudaEsFederal=1,0,personal_deudaEstudiantil),EA46)</f>
        <v/>
      </c>
      <c r="CS47" s="7">
        <f>IF(14=0,IF(personal_deudaEsFederal=1,prestamos_tasaPrivada,personal_tasaDeudaEstudiantil),EB46)</f>
        <v/>
      </c>
      <c r="CT47" s="7">
        <f>IF(14=0,0,EC46)</f>
        <v/>
      </c>
      <c r="CU47" s="7">
        <f>IF(OR(CR47&lt;=0,CH47=1),0,PMT(CS47,MAX(1,prestamos_plazoAnios-CT47),-CR47))</f>
        <v/>
      </c>
      <c r="CV47" s="7">
        <f>IF(CR47&lt;=0,0,IF(CH47=1,CR47*(1+CS47),MAX(0,CR47*(1+CS47)-CU47)))</f>
        <v/>
      </c>
      <c r="CW47" s="7">
        <f>IF(AND(CR47&gt;0,CH47=0),CT47+1,CT47)</f>
        <v/>
      </c>
      <c r="CX47" s="7">
        <f>IF(14=0,0,ED46)*(1+general_tasaDeudaConsumo)</f>
        <v/>
      </c>
      <c r="CY47" s="7">
        <f>L47*12*tiempos_travelGastoExtraMes*C47</f>
        <v/>
      </c>
      <c r="CZ47" s="7">
        <f>AJ47+CY47+CA47+CC47+CL47+CU47+I47+N47-BZ47-CB47</f>
        <v/>
      </c>
      <c r="DA47" s="7">
        <f>AH47-CZ47</f>
        <v/>
      </c>
      <c r="DB47" s="7">
        <f>IF(14=0,0,DB46)+DA47</f>
        <v/>
      </c>
      <c r="DC47" s="7">
        <f>AN47*vivienda_enganchePct+AN47*vivienda_cierrePct+general_reservaMeses/12*AJ47</f>
        <v/>
      </c>
      <c r="DD47" s="7">
        <f>IF(BB47=1,g_ret,IF(BD47&gt;0,MIN(1,DC47/BD47),1)*g_cash+(1-IF(BD47&gt;0,MIN(1,DC47/BD47),1))*g_ret)</f>
        <v/>
      </c>
      <c r="DE47" s="7">
        <f>IF(DA47&gt;=0,MIN(CX47,DA47),0)</f>
        <v/>
      </c>
      <c r="DF47" s="7">
        <f>IF(DA47&gt;=0,(1-general_tasaAhorro)*(DA47-DE47),0)</f>
        <v/>
      </c>
      <c r="DG47" s="7">
        <f>IF(DA47&gt;=0,DA47-DE47-DF47,0)</f>
        <v/>
      </c>
      <c r="DH47" s="7">
        <f>MIN(personal_rothAnual,DG47)</f>
        <v/>
      </c>
      <c r="DI47" s="7">
        <f>IF(AND(DA47&gt;=0,BB47=1,BP47+BT47&gt;0),MIN(vivienda_prepagoPct*(DG47-DH47),BP47+BT47),0)</f>
        <v/>
      </c>
      <c r="DJ47" s="7">
        <f>MIN(DI47,BP47)</f>
        <v/>
      </c>
      <c r="DK47" s="7">
        <f>IF(DA47&lt;0,MIN(MAX(0,BD47),-DA47),0)</f>
        <v/>
      </c>
      <c r="DL47" s="7">
        <f>IF(DA47&lt;0,-DA47-DK47,0)</f>
        <v/>
      </c>
      <c r="DM47" s="7">
        <f>IF(14=0,0,DZ46)</f>
        <v/>
      </c>
      <c r="DN47" s="7">
        <f>IF(AND(DL47&gt;0,J47&gt;0),MIN(DL47,MIN(prestamos_topeAnualPosgrado*MIN(1,J47),MAX(0,prestamos_topeTotalPosgrado-DM47))),0)</f>
        <v/>
      </c>
      <c r="DO47" s="7">
        <f>IF(AND(DL47&gt;0,J47&gt;0),DL47-DN47,0)</f>
        <v/>
      </c>
      <c r="DP47" s="7">
        <f>IF(AND(DL47&gt;0,J47&lt;=0),DL47,0)</f>
        <v/>
      </c>
      <c r="DQ47" s="7">
        <f>IF(DA47&gt;=0,DG47-DH47-DI47,-DK47)</f>
        <v/>
      </c>
      <c r="DR47" s="7">
        <f>BD47*(1+DD47)+DQ47*(1+DD47/2)</f>
        <v/>
      </c>
      <c r="DS47" s="7">
        <f>IF(14=0,personal_retiroInicial,DS46)*(1+g_ret)+(O47+P47+DH47)*(1+g_ret/2)</f>
        <v/>
      </c>
      <c r="DT47" s="7">
        <f>IF(BB47=1,BL47*(1+g_appr),0)</f>
        <v/>
      </c>
      <c r="DU47" s="7">
        <f>BP47-DJ47</f>
        <v/>
      </c>
      <c r="DV47" s="7">
        <f>BT47-(DI47-DJ47)</f>
        <v/>
      </c>
      <c r="DW47" s="7">
        <f>CP47+DN47</f>
        <v/>
      </c>
      <c r="DX47" s="7">
        <f>IF(DN47&gt;0,(CP47*CF47+DN47*prestamos_tasaFederalPosgrado)/(CP47+DN47),CF47)</f>
        <v/>
      </c>
      <c r="DY47" s="7">
        <f>IF(DN47&gt;0,0,CQ47)</f>
        <v/>
      </c>
      <c r="DZ47" s="7">
        <f>DM47+DN47</f>
        <v/>
      </c>
      <c r="EA47" s="7">
        <f>CV47+DO47</f>
        <v/>
      </c>
      <c r="EB47" s="7">
        <f>IF(DO47&gt;0,(CV47*CS47+DO47*prestamos_tasaPrivada)/(CV47+DO47),CS47)</f>
        <v/>
      </c>
      <c r="EC47" s="7">
        <f>IF(DO47&gt;0,0,CW47)</f>
        <v/>
      </c>
      <c r="ED47" s="7">
        <f>CX47-DE47+DP47</f>
        <v/>
      </c>
      <c r="EE47" s="7">
        <f>IF(IF(14=0,"",EE46)&lt;&gt;"",EE46,IF(AND(BB47=1,DU47&lt;=0.5,DV47&lt;=0.5,OR(BH47=0,BJ47=1)),A47,""))</f>
        <v/>
      </c>
      <c r="EF47" s="7">
        <f>DU47+DV47+DW47+EA47+ED47+CD47</f>
        <v/>
      </c>
      <c r="EG47" s="7">
        <f>DR47+DS47+DT47-EF47</f>
        <v/>
      </c>
      <c r="EH47" s="7">
        <f>EG47/(1+g_inf)^(A47+1-2026)</f>
        <v/>
      </c>
    </row>
    <row r="48">
      <c r="A48" t="n">
        <v>2042</v>
      </c>
      <c r="B48" t="n">
        <v>15</v>
      </c>
      <c r="C48" s="7">
        <f>(1+g_inf)^(A48-2026)</f>
        <v/>
      </c>
      <c r="D48" s="7">
        <f>SUMPRODUCT($AI$5:$AI$29,$E$5:$E$29*(1+$F$5:$F$29)^(A48-2026)*$G$5:$G$29*$H$5:$H$29*(1-$N$5:$N$29*$O$5:$O$29))*g_salMult+SUMPRODUCT(($B$5:$B$29&gt;=A48)*($B$5:$B$29&lt;A48+1)*$I$5:$I$29)*g_salMult</f>
        <v/>
      </c>
      <c r="E48" s="7">
        <f>SUMPRODUCT($AI$5:$AI$29,$E$5:$E$29*(1+$F$5:$F$29)^(A48-2026)*$G$5:$G$29*$H$5:$H$29*$M$5:$M$29)*g_salMult</f>
        <v/>
      </c>
      <c r="F48" s="7">
        <f>SUMPRODUCT($AI$5:$AI$29,$E$5:$E$29*(1+$F$5:$F$29)^(A48-2026)*$G$5:$G$29*$H$5:$H$29*$N$5:$N$29*$O$5:$O$29)*g_salMult</f>
        <v/>
      </c>
      <c r="G48" s="7">
        <f>SUMPRODUCT($AI$5:$AI$29,$P$5:$P$29*(1+$F$5:$F$29)^(A48-2026))</f>
        <v/>
      </c>
      <c r="H48" s="7">
        <f>SUMPRODUCT($AI$5:$AI$29,$Q$5:$Q$29*(1+$F$5:$F$29)^(A48-2026))+IF(personal_llcActivo=1,personal_llcNeto*(1+personal_llcCrecimiento)^15,0)</f>
        <v/>
      </c>
      <c r="I48" s="7">
        <f>SUMPRODUCT($AI$5:$AI$29,$J$5:$J$29/($C$5:$C$29-$B$5:$B$29+($C$5:$C$29=$B$5:$B$29)))*C48</f>
        <v/>
      </c>
      <c r="J48" s="7">
        <f>SUMPRODUCT($AI$5:$AI$29,$K$5:$K$29)</f>
        <v/>
      </c>
      <c r="K48" s="7">
        <f>SUMPRODUCT($AI$5:$AI$29,$L$5:$L$29)</f>
        <v/>
      </c>
      <c r="L48" s="7">
        <f>SUMPRODUCT($AI$5:$AI$29,$N$5:$N$29)</f>
        <v/>
      </c>
      <c r="M48" s="7">
        <f>IF(SUMPRODUCT($AI$5:$AI$29,$R$5:$R$29)&gt;0,1,0)</f>
        <v/>
      </c>
      <c r="N48" s="7">
        <f>SUMPRODUCT(($AO$5:$AO$24&gt;=A48)*($AO$5:$AO$24&lt;A48+1)*$AP$5:$AP$24)*C48+IF(15=0,IF(sel_loc&lt;&gt;"miami",personal_costoMudanzaInicial,0),0)</f>
        <v/>
      </c>
      <c r="O48" s="7">
        <f>MIN(personal_aporte403bPct*D48,retiro_limite403b*C48)</f>
        <v/>
      </c>
      <c r="P48" s="7">
        <f>MIN(personal_aporte403bPct,personal_match403bPct)*E48</f>
        <v/>
      </c>
      <c r="Q48" s="7">
        <f>IF(G48&gt;0,MAX(0,G48-impuestos_scorpCostoAnual*C48),0)</f>
        <v/>
      </c>
      <c r="R48" s="7">
        <f>Q48*impuestos_scorpSalarioPct/(1+impuestos_ssTasa+impuestos_medicareTasa)</f>
        <v/>
      </c>
      <c r="S48" s="7">
        <f>impuestos_ssTasa*MIN(R48,MAX(0,impuestos_ssTope*C48-D48))+impuestos_medicareTasa*R48</f>
        <v/>
      </c>
      <c r="T48" s="7">
        <f>Q48-R48-S48</f>
        <v/>
      </c>
      <c r="U48" s="7">
        <f>D48+R48</f>
        <v/>
      </c>
      <c r="V48" s="7">
        <f>H48*0.9235</f>
        <v/>
      </c>
      <c r="W48" s="7">
        <f>IF(H48&gt;0,2*impuestos_ssTasa*MIN(V48,MAX(0,impuestos_ssTope*C48-U48))+2*impuestos_medicareTasa*V48,0)</f>
        <v/>
      </c>
      <c r="X48" s="7">
        <f>impuestos_ssTasa*MIN(U48,impuestos_ssTope*C48)+impuestos_medicareTasa*U48+impuestos_medicareAdicional*MAX(0,U48+H48*0.9235-impuestos_medicareUmbral)</f>
        <v/>
      </c>
      <c r="Y48" s="7">
        <f>MAX(0,D48-O48+R48+T48+H48-W48/2)</f>
        <v/>
      </c>
      <c r="Z48" s="7">
        <f>MAX(0,Y48-impuestos_deduccionEstandar*C48)</f>
        <v/>
      </c>
      <c r="AA48" s="7">
        <f>MIN(0.2*MAX(0,T48+H48-W48/2)*MAX(0,MIN(1,1-(Z48-impuestos_qbiUmbral*C48)/(impuestos_qbiRango*C48))),0.2*Z48)</f>
        <v/>
      </c>
      <c r="AB48" s="7">
        <f>MAX(0,Z48-AA48)</f>
        <v/>
      </c>
      <c r="AC48" s="7">
        <f>SUMPRODUCT((AB48&gt;tb_federalBrackets_lo*C48)*(AB48-tb_federalBrackets_lo*C48)*tb_federalBrackets_dr)</f>
        <v/>
      </c>
      <c r="AD48" s="7">
        <f>MAX(0,Y48-impuestos_nyDeduccion*C48)</f>
        <v/>
      </c>
      <c r="AE48" s="7">
        <f>CHOOSE(loc_taxcode,0,impuestos_ohTasa*MAX(0,Y48-impuestos_ohExento*C48)+impuestos_ohMunicipal*U48,SUMPRODUCT((AD48&gt;tb_nyBrackets_lo*C48)*(AD48-tb_nyBrackets_lo*C48)*tb_nyBrackets_dr)+loc_nyc*SUMPRODUCT((AD48&gt;tb_nycBrackets_lo*C48)*(AD48-tb_nycBrackets_lo*C48)*tb_nycBrackets_dr))</f>
        <v/>
      </c>
      <c r="AF48" s="7">
        <f>AC48+AE48+X48+W48</f>
        <v/>
      </c>
      <c r="AG48" s="7">
        <f>D48+F48+R48+T48+H48</f>
        <v/>
      </c>
      <c r="AH48" s="7">
        <f>AG48-AF48-O48</f>
        <v/>
      </c>
      <c r="AI48" s="7">
        <f>D48+F48+G48+H48</f>
        <v/>
      </c>
      <c r="AJ48" s="7">
        <f>loc_gastosVida*C48*g_gastos</f>
        <v/>
      </c>
      <c r="AK48" s="7">
        <f>IF(15=0,personal_liquidoInicial,DR47)</f>
        <v/>
      </c>
      <c r="AL48" s="7">
        <f>IF(15=0,0,BB47)</f>
        <v/>
      </c>
      <c r="AM48" s="7">
        <f>CHOOSE(sel_cfgIdx,loc_precio_duplex,loc_precio_inlaw,loc_precio_dosCasas,loc_precio_casaAdu,loc_precio_multi)</f>
        <v/>
      </c>
      <c r="AN48" s="7">
        <f>AM48*(1+g_appr)^(A48-2026)</f>
        <v/>
      </c>
      <c r="AO48" s="7">
        <f>IF(AND(M48=1,vivienda_prestamoMedico=1),1,0)</f>
        <v/>
      </c>
      <c r="AP48" s="7">
        <f>IF(AO48=1,0.05,vivienda_enganchePct)</f>
        <v/>
      </c>
      <c r="AQ48" s="7">
        <f>AN48*(1-AP48)</f>
        <v/>
      </c>
      <c r="AR48" s="7">
        <f>PMT(g_mortRate/12,vivienda_plazoHipoteca*12,-AQ48)</f>
        <v/>
      </c>
      <c r="AS48" s="7">
        <f>INDEX(cfg_units,sel_cfgIdx)</f>
        <v/>
      </c>
      <c r="AT48" s="7">
        <f>AS48*loc_rentaUnidad*(1+g_inf)^(A48-2026)*(1-vivienda_vacancia)</f>
        <v/>
      </c>
      <c r="AU48" s="7">
        <f>AR48+AN48*loc_impuestoPropPct/12+AM48*loc_seguroPct*(1+vivienda_inflacionSeguro)^(A48-2026)/12+IF(AND(AO48=0,AP48&lt;0.2),AQ48*vivienda_pmiTasa/12,0)</f>
        <v/>
      </c>
      <c r="AV48" s="7">
        <f>AN48*AP48+AN48*vivienda_cierrePct+general_reservaMeses/12*AJ48</f>
        <v/>
      </c>
      <c r="AW48" s="7">
        <f>(IF(15=0,MIN(personal_irsSaldo,personal_irsPagoMensual*12),MIN(CD47,personal_irsPagoMensual*12))+IF(CE48&gt;0,PMT(CF48,MAX(1,prestamos_plazoAnios-CG48),-CE48),0)+IF(CR48&gt;0,PMT(CS48,MAX(1,prestamos_plazoAnios-CT48),-CR48),0))/12</f>
        <v/>
      </c>
      <c r="AX48" s="7">
        <f>IF(OR(sel_cfg="duplex",sel_cfg="multi",sel_cfg="dosCasas"),0.75*personal_aporteFamiliaMensual,0)</f>
        <v/>
      </c>
      <c r="AY48" s="7">
        <f>AU48-0.75*AT48-AX48+AW48</f>
        <v/>
      </c>
      <c r="AZ48" s="7">
        <f>(D48+G48+H48+0.5*F48)/12</f>
        <v/>
      </c>
      <c r="BA48" s="7">
        <f>IF(AND(AL48=0,A48&gt;=vivienda_anioMinCompra,J48&lt;0.5,AI48&gt;0,AK48&gt;=AV48,AY48&lt;=vivienda_dtiMax*AZ48),1,0)</f>
        <v/>
      </c>
      <c r="BB48" s="7">
        <f>MAX(AL48,BA48)</f>
        <v/>
      </c>
      <c r="BC48" s="7">
        <f>IF(BA48=1,A48,IF(15=0,"",BC47))</f>
        <v/>
      </c>
      <c r="BD48" s="7">
        <f>AK48-IF(BA48=1,AN48*AP48+AN48*vivienda_cierrePct,0)</f>
        <v/>
      </c>
      <c r="BE48" s="7">
        <f>IF(BA48=1,AN48,IF(15=0,0,BE47))</f>
        <v/>
      </c>
      <c r="BF48" s="7">
        <f>IF(BA48=1,AR48,IF(15=0,0,BF47))</f>
        <v/>
      </c>
      <c r="BG48" s="7">
        <f>IF(BA48=1,IF(AND(AO48=0,AP48&lt;0.2),1,0),IF(15=0,0,BY47))</f>
        <v/>
      </c>
      <c r="BH48" s="7">
        <f>IF(sel_cfg="casaAdu",1,0)</f>
        <v/>
      </c>
      <c r="BI48" s="7">
        <f>IF(AND(BB48=1,BH48=1,IF(15=0,0,BJ47)=0,A48&gt;=IF(BC48="",9999,BC48)+vivienda_aduRetrasoAnios),1,0)</f>
        <v/>
      </c>
      <c r="BJ48" s="7">
        <f>MAX(IF(15=0,0,BJ47),BI48)</f>
        <v/>
      </c>
      <c r="BK48" s="7">
        <f>IF(BI48=1,PMT((g_mortRate+0.005)/12,180,-loc_precio_aduCosto*C48),IF(15=0,0,BK47))</f>
        <v/>
      </c>
      <c r="BL48" s="7">
        <f>IF(BA48=1,AN48,IF(15=0,0,DT47))+IF(BI48=1,loc_precio_aduCosto*C48,0)</f>
        <v/>
      </c>
      <c r="BM48" s="7">
        <f>IF(BA48=1,AQ48,IF(15=0,0,DU47))</f>
        <v/>
      </c>
      <c r="BN48" s="7">
        <f>IF(BM48&lt;=0,0,FV(g_mortRate/12,12,BF48,-BM48))</f>
        <v/>
      </c>
      <c r="BO48" s="7">
        <f>IF(BM48&lt;=0,0,12*BF48+MIN(0,BN48))</f>
        <v/>
      </c>
      <c r="BP48" s="7">
        <f>MAX(0,BN48)</f>
        <v/>
      </c>
      <c r="BQ48" s="7">
        <f>IF(BI48=1,loc_precio_aduCosto*C48,IF(15=0,0,DV47))</f>
        <v/>
      </c>
      <c r="BR48" s="7">
        <f>IF(BQ48&lt;=0,0,FV((g_mortRate+0.005)/12,12,BK48,-BQ48))</f>
        <v/>
      </c>
      <c r="BS48" s="7">
        <f>IF(BQ48&lt;=0,0,12*BK48+MIN(0,BR48))</f>
        <v/>
      </c>
      <c r="BT48" s="7">
        <f>MAX(0,BR48)</f>
        <v/>
      </c>
      <c r="BU48" s="7">
        <f>IF(BB48=1,AM48*loc_seguroPct*(1+vivienda_inflacionSeguro)^(A48-2026)*IF(BJ48=1,1+loc_precio_aduCosto/AM48,1),0)</f>
        <v/>
      </c>
      <c r="BV48" s="7">
        <f>BL48*loc_impuestoPropPct</f>
        <v/>
      </c>
      <c r="BW48" s="7">
        <f>BL48*vivienda_mantenimientoPct</f>
        <v/>
      </c>
      <c r="BX48" s="7">
        <f>IF(AND(BG48=1,BP48&gt;0.8*BE48),BE48*(1-vivienda_enganchePct)*vivienda_pmiTasa,0)</f>
        <v/>
      </c>
      <c r="BY48" s="7">
        <f>IF(AND(BG48=1,BP48&gt;0.8*BE48),1,0)</f>
        <v/>
      </c>
      <c r="BZ48" s="7">
        <f>IF(BB48=1,AS48*loc_rentaUnidad*12*C48*(1-vivienda_vacancia)*(1-vivienda_gestionPct),0)</f>
        <v/>
      </c>
      <c r="CA48" s="7">
        <f>IF(BB48=1,BO48+BS48+BU48+BV48+BW48+BX48,loc_rentaMensual*12*C48)</f>
        <v/>
      </c>
      <c r="CB48" s="7">
        <f>IF(BB48=1,personal_aporteFamiliaMensual*12,0)</f>
        <v/>
      </c>
      <c r="CC48" s="7">
        <f>MIN(IF(15=0,personal_irsSaldo,CD47),personal_irsPagoMensual*12)</f>
        <v/>
      </c>
      <c r="CD48" s="7">
        <f>IF(15=0,personal_irsSaldo,CD47)-CC48</f>
        <v/>
      </c>
      <c r="CE48" s="7">
        <f>IF(15=0,IF(personal_deudaEsFederal=1,personal_deudaEstudiantil,0),DW47)</f>
        <v/>
      </c>
      <c r="CF48" s="7">
        <f>IF(15=0,personal_tasaDeudaEstudiantil,DX47)</f>
        <v/>
      </c>
      <c r="CG48" s="7">
        <f>IF(15=0,0,DY47)</f>
        <v/>
      </c>
      <c r="CH48" s="7">
        <f>IF(J48&gt;=0.5,1,0)</f>
        <v/>
      </c>
      <c r="CI48" s="7">
        <f>IF(AND(CH48=0,prestamos_pslfActivo=1,K48&gt;=0.5,CE48&gt;0),1,0)</f>
        <v/>
      </c>
      <c r="CJ48" s="7">
        <f>CE48*CF48</f>
        <v/>
      </c>
      <c r="CK48" s="7">
        <f>MAX(prestamos_rapPagoMinimoAnual,IF(Y48&lt;10000,0,MIN(0.1,INT(Y48/10000)/100))*Y48)</f>
        <v/>
      </c>
      <c r="CL48" s="7">
        <f>IF(CE48&lt;=0,0,IF(CH48=1,0,IF(CI48=1,MIN(CE48+CJ48,CK48),PMT(CF48,MAX(1,prestamos_plazoAnios-CG48),-CE48))))</f>
        <v/>
      </c>
      <c r="CM48" s="7">
        <f>IF(CE48&lt;=0,0,IF(CH48=1,CE48+CJ48,IF(CI48=1,MAX(0,CE48-MAX(CL48-CJ48,MIN(600,CL48))),MAX(0,CE48*(1+CF48)-CL48))))</f>
        <v/>
      </c>
      <c r="CN48" s="7">
        <f>IF(15=0,0,CN47)+IF(CI48=1,12*MIN(1,K48),0)</f>
        <v/>
      </c>
      <c r="CO48" s="7">
        <f>IF(AND(CI48=1,CN48&gt;=prestamos_pslfPagos,CM48&gt;0),CM48,0)</f>
        <v/>
      </c>
      <c r="CP48" s="7">
        <f>CM48-CO48</f>
        <v/>
      </c>
      <c r="CQ48" s="7">
        <f>IF(AND(CE48&gt;0,CH48=0,CI48=0),CG48+1,CG48)</f>
        <v/>
      </c>
      <c r="CR48" s="7">
        <f>IF(15=0,IF(personal_deudaEsFederal=1,0,personal_deudaEstudiantil),EA47)</f>
        <v/>
      </c>
      <c r="CS48" s="7">
        <f>IF(15=0,IF(personal_deudaEsFederal=1,prestamos_tasaPrivada,personal_tasaDeudaEstudiantil),EB47)</f>
        <v/>
      </c>
      <c r="CT48" s="7">
        <f>IF(15=0,0,EC47)</f>
        <v/>
      </c>
      <c r="CU48" s="7">
        <f>IF(OR(CR48&lt;=0,CH48=1),0,PMT(CS48,MAX(1,prestamos_plazoAnios-CT48),-CR48))</f>
        <v/>
      </c>
      <c r="CV48" s="7">
        <f>IF(CR48&lt;=0,0,IF(CH48=1,CR48*(1+CS48),MAX(0,CR48*(1+CS48)-CU48)))</f>
        <v/>
      </c>
      <c r="CW48" s="7">
        <f>IF(AND(CR48&gt;0,CH48=0),CT48+1,CT48)</f>
        <v/>
      </c>
      <c r="CX48" s="7">
        <f>IF(15=0,0,ED47)*(1+general_tasaDeudaConsumo)</f>
        <v/>
      </c>
      <c r="CY48" s="7">
        <f>L48*12*tiempos_travelGastoExtraMes*C48</f>
        <v/>
      </c>
      <c r="CZ48" s="7">
        <f>AJ48+CY48+CA48+CC48+CL48+CU48+I48+N48-BZ48-CB48</f>
        <v/>
      </c>
      <c r="DA48" s="7">
        <f>AH48-CZ48</f>
        <v/>
      </c>
      <c r="DB48" s="7">
        <f>IF(15=0,0,DB47)+DA48</f>
        <v/>
      </c>
      <c r="DC48" s="7">
        <f>AN48*vivienda_enganchePct+AN48*vivienda_cierrePct+general_reservaMeses/12*AJ48</f>
        <v/>
      </c>
      <c r="DD48" s="7">
        <f>IF(BB48=1,g_ret,IF(BD48&gt;0,MIN(1,DC48/BD48),1)*g_cash+(1-IF(BD48&gt;0,MIN(1,DC48/BD48),1))*g_ret)</f>
        <v/>
      </c>
      <c r="DE48" s="7">
        <f>IF(DA48&gt;=0,MIN(CX48,DA48),0)</f>
        <v/>
      </c>
      <c r="DF48" s="7">
        <f>IF(DA48&gt;=0,(1-general_tasaAhorro)*(DA48-DE48),0)</f>
        <v/>
      </c>
      <c r="DG48" s="7">
        <f>IF(DA48&gt;=0,DA48-DE48-DF48,0)</f>
        <v/>
      </c>
      <c r="DH48" s="7">
        <f>MIN(personal_rothAnual,DG48)</f>
        <v/>
      </c>
      <c r="DI48" s="7">
        <f>IF(AND(DA48&gt;=0,BB48=1,BP48+BT48&gt;0),MIN(vivienda_prepagoPct*(DG48-DH48),BP48+BT48),0)</f>
        <v/>
      </c>
      <c r="DJ48" s="7">
        <f>MIN(DI48,BP48)</f>
        <v/>
      </c>
      <c r="DK48" s="7">
        <f>IF(DA48&lt;0,MIN(MAX(0,BD48),-DA48),0)</f>
        <v/>
      </c>
      <c r="DL48" s="7">
        <f>IF(DA48&lt;0,-DA48-DK48,0)</f>
        <v/>
      </c>
      <c r="DM48" s="7">
        <f>IF(15=0,0,DZ47)</f>
        <v/>
      </c>
      <c r="DN48" s="7">
        <f>IF(AND(DL48&gt;0,J48&gt;0),MIN(DL48,MIN(prestamos_topeAnualPosgrado*MIN(1,J48),MAX(0,prestamos_topeTotalPosgrado-DM48))),0)</f>
        <v/>
      </c>
      <c r="DO48" s="7">
        <f>IF(AND(DL48&gt;0,J48&gt;0),DL48-DN48,0)</f>
        <v/>
      </c>
      <c r="DP48" s="7">
        <f>IF(AND(DL48&gt;0,J48&lt;=0),DL48,0)</f>
        <v/>
      </c>
      <c r="DQ48" s="7">
        <f>IF(DA48&gt;=0,DG48-DH48-DI48,-DK48)</f>
        <v/>
      </c>
      <c r="DR48" s="7">
        <f>BD48*(1+DD48)+DQ48*(1+DD48/2)</f>
        <v/>
      </c>
      <c r="DS48" s="7">
        <f>IF(15=0,personal_retiroInicial,DS47)*(1+g_ret)+(O48+P48+DH48)*(1+g_ret/2)</f>
        <v/>
      </c>
      <c r="DT48" s="7">
        <f>IF(BB48=1,BL48*(1+g_appr),0)</f>
        <v/>
      </c>
      <c r="DU48" s="7">
        <f>BP48-DJ48</f>
        <v/>
      </c>
      <c r="DV48" s="7">
        <f>BT48-(DI48-DJ48)</f>
        <v/>
      </c>
      <c r="DW48" s="7">
        <f>CP48+DN48</f>
        <v/>
      </c>
      <c r="DX48" s="7">
        <f>IF(DN48&gt;0,(CP48*CF48+DN48*prestamos_tasaFederalPosgrado)/(CP48+DN48),CF48)</f>
        <v/>
      </c>
      <c r="DY48" s="7">
        <f>IF(DN48&gt;0,0,CQ48)</f>
        <v/>
      </c>
      <c r="DZ48" s="7">
        <f>DM48+DN48</f>
        <v/>
      </c>
      <c r="EA48" s="7">
        <f>CV48+DO48</f>
        <v/>
      </c>
      <c r="EB48" s="7">
        <f>IF(DO48&gt;0,(CV48*CS48+DO48*prestamos_tasaPrivada)/(CV48+DO48),CS48)</f>
        <v/>
      </c>
      <c r="EC48" s="7">
        <f>IF(DO48&gt;0,0,CW48)</f>
        <v/>
      </c>
      <c r="ED48" s="7">
        <f>CX48-DE48+DP48</f>
        <v/>
      </c>
      <c r="EE48" s="7">
        <f>IF(IF(15=0,"",EE47)&lt;&gt;"",EE47,IF(AND(BB48=1,DU48&lt;=0.5,DV48&lt;=0.5,OR(BH48=0,BJ48=1)),A48,""))</f>
        <v/>
      </c>
      <c r="EF48" s="7">
        <f>DU48+DV48+DW48+EA48+ED48+CD48</f>
        <v/>
      </c>
      <c r="EG48" s="7">
        <f>DR48+DS48+DT48-EF48</f>
        <v/>
      </c>
      <c r="EH48" s="7">
        <f>EG48/(1+g_inf)^(A48+1-2026)</f>
        <v/>
      </c>
    </row>
    <row r="49">
      <c r="A49" t="n">
        <v>2043</v>
      </c>
      <c r="B49" t="n">
        <v>16</v>
      </c>
      <c r="C49" s="7">
        <f>(1+g_inf)^(A49-2026)</f>
        <v/>
      </c>
      <c r="D49" s="7">
        <f>SUMPRODUCT($AJ$5:$AJ$29,$E$5:$E$29*(1+$F$5:$F$29)^(A49-2026)*$G$5:$G$29*$H$5:$H$29*(1-$N$5:$N$29*$O$5:$O$29))*g_salMult+SUMPRODUCT(($B$5:$B$29&gt;=A49)*($B$5:$B$29&lt;A49+1)*$I$5:$I$29)*g_salMult</f>
        <v/>
      </c>
      <c r="E49" s="7">
        <f>SUMPRODUCT($AJ$5:$AJ$29,$E$5:$E$29*(1+$F$5:$F$29)^(A49-2026)*$G$5:$G$29*$H$5:$H$29*$M$5:$M$29)*g_salMult</f>
        <v/>
      </c>
      <c r="F49" s="7">
        <f>SUMPRODUCT($AJ$5:$AJ$29,$E$5:$E$29*(1+$F$5:$F$29)^(A49-2026)*$G$5:$G$29*$H$5:$H$29*$N$5:$N$29*$O$5:$O$29)*g_salMult</f>
        <v/>
      </c>
      <c r="G49" s="7">
        <f>SUMPRODUCT($AJ$5:$AJ$29,$P$5:$P$29*(1+$F$5:$F$29)^(A49-2026))</f>
        <v/>
      </c>
      <c r="H49" s="7">
        <f>SUMPRODUCT($AJ$5:$AJ$29,$Q$5:$Q$29*(1+$F$5:$F$29)^(A49-2026))+IF(personal_llcActivo=1,personal_llcNeto*(1+personal_llcCrecimiento)^16,0)</f>
        <v/>
      </c>
      <c r="I49" s="7">
        <f>SUMPRODUCT($AJ$5:$AJ$29,$J$5:$J$29/($C$5:$C$29-$B$5:$B$29+($C$5:$C$29=$B$5:$B$29)))*C49</f>
        <v/>
      </c>
      <c r="J49" s="7">
        <f>SUMPRODUCT($AJ$5:$AJ$29,$K$5:$K$29)</f>
        <v/>
      </c>
      <c r="K49" s="7">
        <f>SUMPRODUCT($AJ$5:$AJ$29,$L$5:$L$29)</f>
        <v/>
      </c>
      <c r="L49" s="7">
        <f>SUMPRODUCT($AJ$5:$AJ$29,$N$5:$N$29)</f>
        <v/>
      </c>
      <c r="M49" s="7">
        <f>IF(SUMPRODUCT($AJ$5:$AJ$29,$R$5:$R$29)&gt;0,1,0)</f>
        <v/>
      </c>
      <c r="N49" s="7">
        <f>SUMPRODUCT(($AO$5:$AO$24&gt;=A49)*($AO$5:$AO$24&lt;A49+1)*$AP$5:$AP$24)*C49+IF(16=0,IF(sel_loc&lt;&gt;"miami",personal_costoMudanzaInicial,0),0)</f>
        <v/>
      </c>
      <c r="O49" s="7">
        <f>MIN(personal_aporte403bPct*D49,retiro_limite403b*C49)</f>
        <v/>
      </c>
      <c r="P49" s="7">
        <f>MIN(personal_aporte403bPct,personal_match403bPct)*E49</f>
        <v/>
      </c>
      <c r="Q49" s="7">
        <f>IF(G49&gt;0,MAX(0,G49-impuestos_scorpCostoAnual*C49),0)</f>
        <v/>
      </c>
      <c r="R49" s="7">
        <f>Q49*impuestos_scorpSalarioPct/(1+impuestos_ssTasa+impuestos_medicareTasa)</f>
        <v/>
      </c>
      <c r="S49" s="7">
        <f>impuestos_ssTasa*MIN(R49,MAX(0,impuestos_ssTope*C49-D49))+impuestos_medicareTasa*R49</f>
        <v/>
      </c>
      <c r="T49" s="7">
        <f>Q49-R49-S49</f>
        <v/>
      </c>
      <c r="U49" s="7">
        <f>D49+R49</f>
        <v/>
      </c>
      <c r="V49" s="7">
        <f>H49*0.9235</f>
        <v/>
      </c>
      <c r="W49" s="7">
        <f>IF(H49&gt;0,2*impuestos_ssTasa*MIN(V49,MAX(0,impuestos_ssTope*C49-U49))+2*impuestos_medicareTasa*V49,0)</f>
        <v/>
      </c>
      <c r="X49" s="7">
        <f>impuestos_ssTasa*MIN(U49,impuestos_ssTope*C49)+impuestos_medicareTasa*U49+impuestos_medicareAdicional*MAX(0,U49+H49*0.9235-impuestos_medicareUmbral)</f>
        <v/>
      </c>
      <c r="Y49" s="7">
        <f>MAX(0,D49-O49+R49+T49+H49-W49/2)</f>
        <v/>
      </c>
      <c r="Z49" s="7">
        <f>MAX(0,Y49-impuestos_deduccionEstandar*C49)</f>
        <v/>
      </c>
      <c r="AA49" s="7">
        <f>MIN(0.2*MAX(0,T49+H49-W49/2)*MAX(0,MIN(1,1-(Z49-impuestos_qbiUmbral*C49)/(impuestos_qbiRango*C49))),0.2*Z49)</f>
        <v/>
      </c>
      <c r="AB49" s="7">
        <f>MAX(0,Z49-AA49)</f>
        <v/>
      </c>
      <c r="AC49" s="7">
        <f>SUMPRODUCT((AB49&gt;tb_federalBrackets_lo*C49)*(AB49-tb_federalBrackets_lo*C49)*tb_federalBrackets_dr)</f>
        <v/>
      </c>
      <c r="AD49" s="7">
        <f>MAX(0,Y49-impuestos_nyDeduccion*C49)</f>
        <v/>
      </c>
      <c r="AE49" s="7">
        <f>CHOOSE(loc_taxcode,0,impuestos_ohTasa*MAX(0,Y49-impuestos_ohExento*C49)+impuestos_ohMunicipal*U49,SUMPRODUCT((AD49&gt;tb_nyBrackets_lo*C49)*(AD49-tb_nyBrackets_lo*C49)*tb_nyBrackets_dr)+loc_nyc*SUMPRODUCT((AD49&gt;tb_nycBrackets_lo*C49)*(AD49-tb_nycBrackets_lo*C49)*tb_nycBrackets_dr))</f>
        <v/>
      </c>
      <c r="AF49" s="7">
        <f>AC49+AE49+X49+W49</f>
        <v/>
      </c>
      <c r="AG49" s="7">
        <f>D49+F49+R49+T49+H49</f>
        <v/>
      </c>
      <c r="AH49" s="7">
        <f>AG49-AF49-O49</f>
        <v/>
      </c>
      <c r="AI49" s="7">
        <f>D49+F49+G49+H49</f>
        <v/>
      </c>
      <c r="AJ49" s="7">
        <f>loc_gastosVida*C49*g_gastos</f>
        <v/>
      </c>
      <c r="AK49" s="7">
        <f>IF(16=0,personal_liquidoInicial,DR48)</f>
        <v/>
      </c>
      <c r="AL49" s="7">
        <f>IF(16=0,0,BB48)</f>
        <v/>
      </c>
      <c r="AM49" s="7">
        <f>CHOOSE(sel_cfgIdx,loc_precio_duplex,loc_precio_inlaw,loc_precio_dosCasas,loc_precio_casaAdu,loc_precio_multi)</f>
        <v/>
      </c>
      <c r="AN49" s="7">
        <f>AM49*(1+g_appr)^(A49-2026)</f>
        <v/>
      </c>
      <c r="AO49" s="7">
        <f>IF(AND(M49=1,vivienda_prestamoMedico=1),1,0)</f>
        <v/>
      </c>
      <c r="AP49" s="7">
        <f>IF(AO49=1,0.05,vivienda_enganchePct)</f>
        <v/>
      </c>
      <c r="AQ49" s="7">
        <f>AN49*(1-AP49)</f>
        <v/>
      </c>
      <c r="AR49" s="7">
        <f>PMT(g_mortRate/12,vivienda_plazoHipoteca*12,-AQ49)</f>
        <v/>
      </c>
      <c r="AS49" s="7">
        <f>INDEX(cfg_units,sel_cfgIdx)</f>
        <v/>
      </c>
      <c r="AT49" s="7">
        <f>AS49*loc_rentaUnidad*(1+g_inf)^(A49-2026)*(1-vivienda_vacancia)</f>
        <v/>
      </c>
      <c r="AU49" s="7">
        <f>AR49+AN49*loc_impuestoPropPct/12+AM49*loc_seguroPct*(1+vivienda_inflacionSeguro)^(A49-2026)/12+IF(AND(AO49=0,AP49&lt;0.2),AQ49*vivienda_pmiTasa/12,0)</f>
        <v/>
      </c>
      <c r="AV49" s="7">
        <f>AN49*AP49+AN49*vivienda_cierrePct+general_reservaMeses/12*AJ49</f>
        <v/>
      </c>
      <c r="AW49" s="7">
        <f>(IF(16=0,MIN(personal_irsSaldo,personal_irsPagoMensual*12),MIN(CD48,personal_irsPagoMensual*12))+IF(CE49&gt;0,PMT(CF49,MAX(1,prestamos_plazoAnios-CG49),-CE49),0)+IF(CR49&gt;0,PMT(CS49,MAX(1,prestamos_plazoAnios-CT49),-CR49),0))/12</f>
        <v/>
      </c>
      <c r="AX49" s="7">
        <f>IF(OR(sel_cfg="duplex",sel_cfg="multi",sel_cfg="dosCasas"),0.75*personal_aporteFamiliaMensual,0)</f>
        <v/>
      </c>
      <c r="AY49" s="7">
        <f>AU49-0.75*AT49-AX49+AW49</f>
        <v/>
      </c>
      <c r="AZ49" s="7">
        <f>(D49+G49+H49+0.5*F49)/12</f>
        <v/>
      </c>
      <c r="BA49" s="7">
        <f>IF(AND(AL49=0,A49&gt;=vivienda_anioMinCompra,J49&lt;0.5,AI49&gt;0,AK49&gt;=AV49,AY49&lt;=vivienda_dtiMax*AZ49),1,0)</f>
        <v/>
      </c>
      <c r="BB49" s="7">
        <f>MAX(AL49,BA49)</f>
        <v/>
      </c>
      <c r="BC49" s="7">
        <f>IF(BA49=1,A49,IF(16=0,"",BC48))</f>
        <v/>
      </c>
      <c r="BD49" s="7">
        <f>AK49-IF(BA49=1,AN49*AP49+AN49*vivienda_cierrePct,0)</f>
        <v/>
      </c>
      <c r="BE49" s="7">
        <f>IF(BA49=1,AN49,IF(16=0,0,BE48))</f>
        <v/>
      </c>
      <c r="BF49" s="7">
        <f>IF(BA49=1,AR49,IF(16=0,0,BF48))</f>
        <v/>
      </c>
      <c r="BG49" s="7">
        <f>IF(BA49=1,IF(AND(AO49=0,AP49&lt;0.2),1,0),IF(16=0,0,BY48))</f>
        <v/>
      </c>
      <c r="BH49" s="7">
        <f>IF(sel_cfg="casaAdu",1,0)</f>
        <v/>
      </c>
      <c r="BI49" s="7">
        <f>IF(AND(BB49=1,BH49=1,IF(16=0,0,BJ48)=0,A49&gt;=IF(BC49="",9999,BC49)+vivienda_aduRetrasoAnios),1,0)</f>
        <v/>
      </c>
      <c r="BJ49" s="7">
        <f>MAX(IF(16=0,0,BJ48),BI49)</f>
        <v/>
      </c>
      <c r="BK49" s="7">
        <f>IF(BI49=1,PMT((g_mortRate+0.005)/12,180,-loc_precio_aduCosto*C49),IF(16=0,0,BK48))</f>
        <v/>
      </c>
      <c r="BL49" s="7">
        <f>IF(BA49=1,AN49,IF(16=0,0,DT48))+IF(BI49=1,loc_precio_aduCosto*C49,0)</f>
        <v/>
      </c>
      <c r="BM49" s="7">
        <f>IF(BA49=1,AQ49,IF(16=0,0,DU48))</f>
        <v/>
      </c>
      <c r="BN49" s="7">
        <f>IF(BM49&lt;=0,0,FV(g_mortRate/12,12,BF49,-BM49))</f>
        <v/>
      </c>
      <c r="BO49" s="7">
        <f>IF(BM49&lt;=0,0,12*BF49+MIN(0,BN49))</f>
        <v/>
      </c>
      <c r="BP49" s="7">
        <f>MAX(0,BN49)</f>
        <v/>
      </c>
      <c r="BQ49" s="7">
        <f>IF(BI49=1,loc_precio_aduCosto*C49,IF(16=0,0,DV48))</f>
        <v/>
      </c>
      <c r="BR49" s="7">
        <f>IF(BQ49&lt;=0,0,FV((g_mortRate+0.005)/12,12,BK49,-BQ49))</f>
        <v/>
      </c>
      <c r="BS49" s="7">
        <f>IF(BQ49&lt;=0,0,12*BK49+MIN(0,BR49))</f>
        <v/>
      </c>
      <c r="BT49" s="7">
        <f>MAX(0,BR49)</f>
        <v/>
      </c>
      <c r="BU49" s="7">
        <f>IF(BB49=1,AM49*loc_seguroPct*(1+vivienda_inflacionSeguro)^(A49-2026)*IF(BJ49=1,1+loc_precio_aduCosto/AM49,1),0)</f>
        <v/>
      </c>
      <c r="BV49" s="7">
        <f>BL49*loc_impuestoPropPct</f>
        <v/>
      </c>
      <c r="BW49" s="7">
        <f>BL49*vivienda_mantenimientoPct</f>
        <v/>
      </c>
      <c r="BX49" s="7">
        <f>IF(AND(BG49=1,BP49&gt;0.8*BE49),BE49*(1-vivienda_enganchePct)*vivienda_pmiTasa,0)</f>
        <v/>
      </c>
      <c r="BY49" s="7">
        <f>IF(AND(BG49=1,BP49&gt;0.8*BE49),1,0)</f>
        <v/>
      </c>
      <c r="BZ49" s="7">
        <f>IF(BB49=1,AS49*loc_rentaUnidad*12*C49*(1-vivienda_vacancia)*(1-vivienda_gestionPct),0)</f>
        <v/>
      </c>
      <c r="CA49" s="7">
        <f>IF(BB49=1,BO49+BS49+BU49+BV49+BW49+BX49,loc_rentaMensual*12*C49)</f>
        <v/>
      </c>
      <c r="CB49" s="7">
        <f>IF(BB49=1,personal_aporteFamiliaMensual*12,0)</f>
        <v/>
      </c>
      <c r="CC49" s="7">
        <f>MIN(IF(16=0,personal_irsSaldo,CD48),personal_irsPagoMensual*12)</f>
        <v/>
      </c>
      <c r="CD49" s="7">
        <f>IF(16=0,personal_irsSaldo,CD48)-CC49</f>
        <v/>
      </c>
      <c r="CE49" s="7">
        <f>IF(16=0,IF(personal_deudaEsFederal=1,personal_deudaEstudiantil,0),DW48)</f>
        <v/>
      </c>
      <c r="CF49" s="7">
        <f>IF(16=0,personal_tasaDeudaEstudiantil,DX48)</f>
        <v/>
      </c>
      <c r="CG49" s="7">
        <f>IF(16=0,0,DY48)</f>
        <v/>
      </c>
      <c r="CH49" s="7">
        <f>IF(J49&gt;=0.5,1,0)</f>
        <v/>
      </c>
      <c r="CI49" s="7">
        <f>IF(AND(CH49=0,prestamos_pslfActivo=1,K49&gt;=0.5,CE49&gt;0),1,0)</f>
        <v/>
      </c>
      <c r="CJ49" s="7">
        <f>CE49*CF49</f>
        <v/>
      </c>
      <c r="CK49" s="7">
        <f>MAX(prestamos_rapPagoMinimoAnual,IF(Y49&lt;10000,0,MIN(0.1,INT(Y49/10000)/100))*Y49)</f>
        <v/>
      </c>
      <c r="CL49" s="7">
        <f>IF(CE49&lt;=0,0,IF(CH49=1,0,IF(CI49=1,MIN(CE49+CJ49,CK49),PMT(CF49,MAX(1,prestamos_plazoAnios-CG49),-CE49))))</f>
        <v/>
      </c>
      <c r="CM49" s="7">
        <f>IF(CE49&lt;=0,0,IF(CH49=1,CE49+CJ49,IF(CI49=1,MAX(0,CE49-MAX(CL49-CJ49,MIN(600,CL49))),MAX(0,CE49*(1+CF49)-CL49))))</f>
        <v/>
      </c>
      <c r="CN49" s="7">
        <f>IF(16=0,0,CN48)+IF(CI49=1,12*MIN(1,K49),0)</f>
        <v/>
      </c>
      <c r="CO49" s="7">
        <f>IF(AND(CI49=1,CN49&gt;=prestamos_pslfPagos,CM49&gt;0),CM49,0)</f>
        <v/>
      </c>
      <c r="CP49" s="7">
        <f>CM49-CO49</f>
        <v/>
      </c>
      <c r="CQ49" s="7">
        <f>IF(AND(CE49&gt;0,CH49=0,CI49=0),CG49+1,CG49)</f>
        <v/>
      </c>
      <c r="CR49" s="7">
        <f>IF(16=0,IF(personal_deudaEsFederal=1,0,personal_deudaEstudiantil),EA48)</f>
        <v/>
      </c>
      <c r="CS49" s="7">
        <f>IF(16=0,IF(personal_deudaEsFederal=1,prestamos_tasaPrivada,personal_tasaDeudaEstudiantil),EB48)</f>
        <v/>
      </c>
      <c r="CT49" s="7">
        <f>IF(16=0,0,EC48)</f>
        <v/>
      </c>
      <c r="CU49" s="7">
        <f>IF(OR(CR49&lt;=0,CH49=1),0,PMT(CS49,MAX(1,prestamos_plazoAnios-CT49),-CR49))</f>
        <v/>
      </c>
      <c r="CV49" s="7">
        <f>IF(CR49&lt;=0,0,IF(CH49=1,CR49*(1+CS49),MAX(0,CR49*(1+CS49)-CU49)))</f>
        <v/>
      </c>
      <c r="CW49" s="7">
        <f>IF(AND(CR49&gt;0,CH49=0),CT49+1,CT49)</f>
        <v/>
      </c>
      <c r="CX49" s="7">
        <f>IF(16=0,0,ED48)*(1+general_tasaDeudaConsumo)</f>
        <v/>
      </c>
      <c r="CY49" s="7">
        <f>L49*12*tiempos_travelGastoExtraMes*C49</f>
        <v/>
      </c>
      <c r="CZ49" s="7">
        <f>AJ49+CY49+CA49+CC49+CL49+CU49+I49+N49-BZ49-CB49</f>
        <v/>
      </c>
      <c r="DA49" s="7">
        <f>AH49-CZ49</f>
        <v/>
      </c>
      <c r="DB49" s="7">
        <f>IF(16=0,0,DB48)+DA49</f>
        <v/>
      </c>
      <c r="DC49" s="7">
        <f>AN49*vivienda_enganchePct+AN49*vivienda_cierrePct+general_reservaMeses/12*AJ49</f>
        <v/>
      </c>
      <c r="DD49" s="7">
        <f>IF(BB49=1,g_ret,IF(BD49&gt;0,MIN(1,DC49/BD49),1)*g_cash+(1-IF(BD49&gt;0,MIN(1,DC49/BD49),1))*g_ret)</f>
        <v/>
      </c>
      <c r="DE49" s="7">
        <f>IF(DA49&gt;=0,MIN(CX49,DA49),0)</f>
        <v/>
      </c>
      <c r="DF49" s="7">
        <f>IF(DA49&gt;=0,(1-general_tasaAhorro)*(DA49-DE49),0)</f>
        <v/>
      </c>
      <c r="DG49" s="7">
        <f>IF(DA49&gt;=0,DA49-DE49-DF49,0)</f>
        <v/>
      </c>
      <c r="DH49" s="7">
        <f>MIN(personal_rothAnual,DG49)</f>
        <v/>
      </c>
      <c r="DI49" s="7">
        <f>IF(AND(DA49&gt;=0,BB49=1,BP49+BT49&gt;0),MIN(vivienda_prepagoPct*(DG49-DH49),BP49+BT49),0)</f>
        <v/>
      </c>
      <c r="DJ49" s="7">
        <f>MIN(DI49,BP49)</f>
        <v/>
      </c>
      <c r="DK49" s="7">
        <f>IF(DA49&lt;0,MIN(MAX(0,BD49),-DA49),0)</f>
        <v/>
      </c>
      <c r="DL49" s="7">
        <f>IF(DA49&lt;0,-DA49-DK49,0)</f>
        <v/>
      </c>
      <c r="DM49" s="7">
        <f>IF(16=0,0,DZ48)</f>
        <v/>
      </c>
      <c r="DN49" s="7">
        <f>IF(AND(DL49&gt;0,J49&gt;0),MIN(DL49,MIN(prestamos_topeAnualPosgrado*MIN(1,J49),MAX(0,prestamos_topeTotalPosgrado-DM49))),0)</f>
        <v/>
      </c>
      <c r="DO49" s="7">
        <f>IF(AND(DL49&gt;0,J49&gt;0),DL49-DN49,0)</f>
        <v/>
      </c>
      <c r="DP49" s="7">
        <f>IF(AND(DL49&gt;0,J49&lt;=0),DL49,0)</f>
        <v/>
      </c>
      <c r="DQ49" s="7">
        <f>IF(DA49&gt;=0,DG49-DH49-DI49,-DK49)</f>
        <v/>
      </c>
      <c r="DR49" s="7">
        <f>BD49*(1+DD49)+DQ49*(1+DD49/2)</f>
        <v/>
      </c>
      <c r="DS49" s="7">
        <f>IF(16=0,personal_retiroInicial,DS48)*(1+g_ret)+(O49+P49+DH49)*(1+g_ret/2)</f>
        <v/>
      </c>
      <c r="DT49" s="7">
        <f>IF(BB49=1,BL49*(1+g_appr),0)</f>
        <v/>
      </c>
      <c r="DU49" s="7">
        <f>BP49-DJ49</f>
        <v/>
      </c>
      <c r="DV49" s="7">
        <f>BT49-(DI49-DJ49)</f>
        <v/>
      </c>
      <c r="DW49" s="7">
        <f>CP49+DN49</f>
        <v/>
      </c>
      <c r="DX49" s="7">
        <f>IF(DN49&gt;0,(CP49*CF49+DN49*prestamos_tasaFederalPosgrado)/(CP49+DN49),CF49)</f>
        <v/>
      </c>
      <c r="DY49" s="7">
        <f>IF(DN49&gt;0,0,CQ49)</f>
        <v/>
      </c>
      <c r="DZ49" s="7">
        <f>DM49+DN49</f>
        <v/>
      </c>
      <c r="EA49" s="7">
        <f>CV49+DO49</f>
        <v/>
      </c>
      <c r="EB49" s="7">
        <f>IF(DO49&gt;0,(CV49*CS49+DO49*prestamos_tasaPrivada)/(CV49+DO49),CS49)</f>
        <v/>
      </c>
      <c r="EC49" s="7">
        <f>IF(DO49&gt;0,0,CW49)</f>
        <v/>
      </c>
      <c r="ED49" s="7">
        <f>CX49-DE49+DP49</f>
        <v/>
      </c>
      <c r="EE49" s="7">
        <f>IF(IF(16=0,"",EE48)&lt;&gt;"",EE48,IF(AND(BB49=1,DU49&lt;=0.5,DV49&lt;=0.5,OR(BH49=0,BJ49=1)),A49,""))</f>
        <v/>
      </c>
      <c r="EF49" s="7">
        <f>DU49+DV49+DW49+EA49+ED49+CD49</f>
        <v/>
      </c>
      <c r="EG49" s="7">
        <f>DR49+DS49+DT49-EF49</f>
        <v/>
      </c>
      <c r="EH49" s="7">
        <f>EG49/(1+g_inf)^(A49+1-2026)</f>
        <v/>
      </c>
    </row>
    <row r="50">
      <c r="A50" t="n">
        <v>2044</v>
      </c>
      <c r="B50" t="n">
        <v>17</v>
      </c>
      <c r="C50" s="7">
        <f>(1+g_inf)^(A50-2026)</f>
        <v/>
      </c>
      <c r="D50" s="7">
        <f>SUMPRODUCT($AK$5:$AK$29,$E$5:$E$29*(1+$F$5:$F$29)^(A50-2026)*$G$5:$G$29*$H$5:$H$29*(1-$N$5:$N$29*$O$5:$O$29))*g_salMult+SUMPRODUCT(($B$5:$B$29&gt;=A50)*($B$5:$B$29&lt;A50+1)*$I$5:$I$29)*g_salMult</f>
        <v/>
      </c>
      <c r="E50" s="7">
        <f>SUMPRODUCT($AK$5:$AK$29,$E$5:$E$29*(1+$F$5:$F$29)^(A50-2026)*$G$5:$G$29*$H$5:$H$29*$M$5:$M$29)*g_salMult</f>
        <v/>
      </c>
      <c r="F50" s="7">
        <f>SUMPRODUCT($AK$5:$AK$29,$E$5:$E$29*(1+$F$5:$F$29)^(A50-2026)*$G$5:$G$29*$H$5:$H$29*$N$5:$N$29*$O$5:$O$29)*g_salMult</f>
        <v/>
      </c>
      <c r="G50" s="7">
        <f>SUMPRODUCT($AK$5:$AK$29,$P$5:$P$29*(1+$F$5:$F$29)^(A50-2026))</f>
        <v/>
      </c>
      <c r="H50" s="7">
        <f>SUMPRODUCT($AK$5:$AK$29,$Q$5:$Q$29*(1+$F$5:$F$29)^(A50-2026))+IF(personal_llcActivo=1,personal_llcNeto*(1+personal_llcCrecimiento)^17,0)</f>
        <v/>
      </c>
      <c r="I50" s="7">
        <f>SUMPRODUCT($AK$5:$AK$29,$J$5:$J$29/($C$5:$C$29-$B$5:$B$29+($C$5:$C$29=$B$5:$B$29)))*C50</f>
        <v/>
      </c>
      <c r="J50" s="7">
        <f>SUMPRODUCT($AK$5:$AK$29,$K$5:$K$29)</f>
        <v/>
      </c>
      <c r="K50" s="7">
        <f>SUMPRODUCT($AK$5:$AK$29,$L$5:$L$29)</f>
        <v/>
      </c>
      <c r="L50" s="7">
        <f>SUMPRODUCT($AK$5:$AK$29,$N$5:$N$29)</f>
        <v/>
      </c>
      <c r="M50" s="7">
        <f>IF(SUMPRODUCT($AK$5:$AK$29,$R$5:$R$29)&gt;0,1,0)</f>
        <v/>
      </c>
      <c r="N50" s="7">
        <f>SUMPRODUCT(($AO$5:$AO$24&gt;=A50)*($AO$5:$AO$24&lt;A50+1)*$AP$5:$AP$24)*C50+IF(17=0,IF(sel_loc&lt;&gt;"miami",personal_costoMudanzaInicial,0),0)</f>
        <v/>
      </c>
      <c r="O50" s="7">
        <f>MIN(personal_aporte403bPct*D50,retiro_limite403b*C50)</f>
        <v/>
      </c>
      <c r="P50" s="7">
        <f>MIN(personal_aporte403bPct,personal_match403bPct)*E50</f>
        <v/>
      </c>
      <c r="Q50" s="7">
        <f>IF(G50&gt;0,MAX(0,G50-impuestos_scorpCostoAnual*C50),0)</f>
        <v/>
      </c>
      <c r="R50" s="7">
        <f>Q50*impuestos_scorpSalarioPct/(1+impuestos_ssTasa+impuestos_medicareTasa)</f>
        <v/>
      </c>
      <c r="S50" s="7">
        <f>impuestos_ssTasa*MIN(R50,MAX(0,impuestos_ssTope*C50-D50))+impuestos_medicareTasa*R50</f>
        <v/>
      </c>
      <c r="T50" s="7">
        <f>Q50-R50-S50</f>
        <v/>
      </c>
      <c r="U50" s="7">
        <f>D50+R50</f>
        <v/>
      </c>
      <c r="V50" s="7">
        <f>H50*0.9235</f>
        <v/>
      </c>
      <c r="W50" s="7">
        <f>IF(H50&gt;0,2*impuestos_ssTasa*MIN(V50,MAX(0,impuestos_ssTope*C50-U50))+2*impuestos_medicareTasa*V50,0)</f>
        <v/>
      </c>
      <c r="X50" s="7">
        <f>impuestos_ssTasa*MIN(U50,impuestos_ssTope*C50)+impuestos_medicareTasa*U50+impuestos_medicareAdicional*MAX(0,U50+H50*0.9235-impuestos_medicareUmbral)</f>
        <v/>
      </c>
      <c r="Y50" s="7">
        <f>MAX(0,D50-O50+R50+T50+H50-W50/2)</f>
        <v/>
      </c>
      <c r="Z50" s="7">
        <f>MAX(0,Y50-impuestos_deduccionEstandar*C50)</f>
        <v/>
      </c>
      <c r="AA50" s="7">
        <f>MIN(0.2*MAX(0,T50+H50-W50/2)*MAX(0,MIN(1,1-(Z50-impuestos_qbiUmbral*C50)/(impuestos_qbiRango*C50))),0.2*Z50)</f>
        <v/>
      </c>
      <c r="AB50" s="7">
        <f>MAX(0,Z50-AA50)</f>
        <v/>
      </c>
      <c r="AC50" s="7">
        <f>SUMPRODUCT((AB50&gt;tb_federalBrackets_lo*C50)*(AB50-tb_federalBrackets_lo*C50)*tb_federalBrackets_dr)</f>
        <v/>
      </c>
      <c r="AD50" s="7">
        <f>MAX(0,Y50-impuestos_nyDeduccion*C50)</f>
        <v/>
      </c>
      <c r="AE50" s="7">
        <f>CHOOSE(loc_taxcode,0,impuestos_ohTasa*MAX(0,Y50-impuestos_ohExento*C50)+impuestos_ohMunicipal*U50,SUMPRODUCT((AD50&gt;tb_nyBrackets_lo*C50)*(AD50-tb_nyBrackets_lo*C50)*tb_nyBrackets_dr)+loc_nyc*SUMPRODUCT((AD50&gt;tb_nycBrackets_lo*C50)*(AD50-tb_nycBrackets_lo*C50)*tb_nycBrackets_dr))</f>
        <v/>
      </c>
      <c r="AF50" s="7">
        <f>AC50+AE50+X50+W50</f>
        <v/>
      </c>
      <c r="AG50" s="7">
        <f>D50+F50+R50+T50+H50</f>
        <v/>
      </c>
      <c r="AH50" s="7">
        <f>AG50-AF50-O50</f>
        <v/>
      </c>
      <c r="AI50" s="7">
        <f>D50+F50+G50+H50</f>
        <v/>
      </c>
      <c r="AJ50" s="7">
        <f>loc_gastosVida*C50*g_gastos</f>
        <v/>
      </c>
      <c r="AK50" s="7">
        <f>IF(17=0,personal_liquidoInicial,DR49)</f>
        <v/>
      </c>
      <c r="AL50" s="7">
        <f>IF(17=0,0,BB49)</f>
        <v/>
      </c>
      <c r="AM50" s="7">
        <f>CHOOSE(sel_cfgIdx,loc_precio_duplex,loc_precio_inlaw,loc_precio_dosCasas,loc_precio_casaAdu,loc_precio_multi)</f>
        <v/>
      </c>
      <c r="AN50" s="7">
        <f>AM50*(1+g_appr)^(A50-2026)</f>
        <v/>
      </c>
      <c r="AO50" s="7">
        <f>IF(AND(M50=1,vivienda_prestamoMedico=1),1,0)</f>
        <v/>
      </c>
      <c r="AP50" s="7">
        <f>IF(AO50=1,0.05,vivienda_enganchePct)</f>
        <v/>
      </c>
      <c r="AQ50" s="7">
        <f>AN50*(1-AP50)</f>
        <v/>
      </c>
      <c r="AR50" s="7">
        <f>PMT(g_mortRate/12,vivienda_plazoHipoteca*12,-AQ50)</f>
        <v/>
      </c>
      <c r="AS50" s="7">
        <f>INDEX(cfg_units,sel_cfgIdx)</f>
        <v/>
      </c>
      <c r="AT50" s="7">
        <f>AS50*loc_rentaUnidad*(1+g_inf)^(A50-2026)*(1-vivienda_vacancia)</f>
        <v/>
      </c>
      <c r="AU50" s="7">
        <f>AR50+AN50*loc_impuestoPropPct/12+AM50*loc_seguroPct*(1+vivienda_inflacionSeguro)^(A50-2026)/12+IF(AND(AO50=0,AP50&lt;0.2),AQ50*vivienda_pmiTasa/12,0)</f>
        <v/>
      </c>
      <c r="AV50" s="7">
        <f>AN50*AP50+AN50*vivienda_cierrePct+general_reservaMeses/12*AJ50</f>
        <v/>
      </c>
      <c r="AW50" s="7">
        <f>(IF(17=0,MIN(personal_irsSaldo,personal_irsPagoMensual*12),MIN(CD49,personal_irsPagoMensual*12))+IF(CE50&gt;0,PMT(CF50,MAX(1,prestamos_plazoAnios-CG50),-CE50),0)+IF(CR50&gt;0,PMT(CS50,MAX(1,prestamos_plazoAnios-CT50),-CR50),0))/12</f>
        <v/>
      </c>
      <c r="AX50" s="7">
        <f>IF(OR(sel_cfg="duplex",sel_cfg="multi",sel_cfg="dosCasas"),0.75*personal_aporteFamiliaMensual,0)</f>
        <v/>
      </c>
      <c r="AY50" s="7">
        <f>AU50-0.75*AT50-AX50+AW50</f>
        <v/>
      </c>
      <c r="AZ50" s="7">
        <f>(D50+G50+H50+0.5*F50)/12</f>
        <v/>
      </c>
      <c r="BA50" s="7">
        <f>IF(AND(AL50=0,A50&gt;=vivienda_anioMinCompra,J50&lt;0.5,AI50&gt;0,AK50&gt;=AV50,AY50&lt;=vivienda_dtiMax*AZ50),1,0)</f>
        <v/>
      </c>
      <c r="BB50" s="7">
        <f>MAX(AL50,BA50)</f>
        <v/>
      </c>
      <c r="BC50" s="7">
        <f>IF(BA50=1,A50,IF(17=0,"",BC49))</f>
        <v/>
      </c>
      <c r="BD50" s="7">
        <f>AK50-IF(BA50=1,AN50*AP50+AN50*vivienda_cierrePct,0)</f>
        <v/>
      </c>
      <c r="BE50" s="7">
        <f>IF(BA50=1,AN50,IF(17=0,0,BE49))</f>
        <v/>
      </c>
      <c r="BF50" s="7">
        <f>IF(BA50=1,AR50,IF(17=0,0,BF49))</f>
        <v/>
      </c>
      <c r="BG50" s="7">
        <f>IF(BA50=1,IF(AND(AO50=0,AP50&lt;0.2),1,0),IF(17=0,0,BY49))</f>
        <v/>
      </c>
      <c r="BH50" s="7">
        <f>IF(sel_cfg="casaAdu",1,0)</f>
        <v/>
      </c>
      <c r="BI50" s="7">
        <f>IF(AND(BB50=1,BH50=1,IF(17=0,0,BJ49)=0,A50&gt;=IF(BC50="",9999,BC50)+vivienda_aduRetrasoAnios),1,0)</f>
        <v/>
      </c>
      <c r="BJ50" s="7">
        <f>MAX(IF(17=0,0,BJ49),BI50)</f>
        <v/>
      </c>
      <c r="BK50" s="7">
        <f>IF(BI50=1,PMT((g_mortRate+0.005)/12,180,-loc_precio_aduCosto*C50),IF(17=0,0,BK49))</f>
        <v/>
      </c>
      <c r="BL50" s="7">
        <f>IF(BA50=1,AN50,IF(17=0,0,DT49))+IF(BI50=1,loc_precio_aduCosto*C50,0)</f>
        <v/>
      </c>
      <c r="BM50" s="7">
        <f>IF(BA50=1,AQ50,IF(17=0,0,DU49))</f>
        <v/>
      </c>
      <c r="BN50" s="7">
        <f>IF(BM50&lt;=0,0,FV(g_mortRate/12,12,BF50,-BM50))</f>
        <v/>
      </c>
      <c r="BO50" s="7">
        <f>IF(BM50&lt;=0,0,12*BF50+MIN(0,BN50))</f>
        <v/>
      </c>
      <c r="BP50" s="7">
        <f>MAX(0,BN50)</f>
        <v/>
      </c>
      <c r="BQ50" s="7">
        <f>IF(BI50=1,loc_precio_aduCosto*C50,IF(17=0,0,DV49))</f>
        <v/>
      </c>
      <c r="BR50" s="7">
        <f>IF(BQ50&lt;=0,0,FV((g_mortRate+0.005)/12,12,BK50,-BQ50))</f>
        <v/>
      </c>
      <c r="BS50" s="7">
        <f>IF(BQ50&lt;=0,0,12*BK50+MIN(0,BR50))</f>
        <v/>
      </c>
      <c r="BT50" s="7">
        <f>MAX(0,BR50)</f>
        <v/>
      </c>
      <c r="BU50" s="7">
        <f>IF(BB50=1,AM50*loc_seguroPct*(1+vivienda_inflacionSeguro)^(A50-2026)*IF(BJ50=1,1+loc_precio_aduCosto/AM50,1),0)</f>
        <v/>
      </c>
      <c r="BV50" s="7">
        <f>BL50*loc_impuestoPropPct</f>
        <v/>
      </c>
      <c r="BW50" s="7">
        <f>BL50*vivienda_mantenimientoPct</f>
        <v/>
      </c>
      <c r="BX50" s="7">
        <f>IF(AND(BG50=1,BP50&gt;0.8*BE50),BE50*(1-vivienda_enganchePct)*vivienda_pmiTasa,0)</f>
        <v/>
      </c>
      <c r="BY50" s="7">
        <f>IF(AND(BG50=1,BP50&gt;0.8*BE50),1,0)</f>
        <v/>
      </c>
      <c r="BZ50" s="7">
        <f>IF(BB50=1,AS50*loc_rentaUnidad*12*C50*(1-vivienda_vacancia)*(1-vivienda_gestionPct),0)</f>
        <v/>
      </c>
      <c r="CA50" s="7">
        <f>IF(BB50=1,BO50+BS50+BU50+BV50+BW50+BX50,loc_rentaMensual*12*C50)</f>
        <v/>
      </c>
      <c r="CB50" s="7">
        <f>IF(BB50=1,personal_aporteFamiliaMensual*12,0)</f>
        <v/>
      </c>
      <c r="CC50" s="7">
        <f>MIN(IF(17=0,personal_irsSaldo,CD49),personal_irsPagoMensual*12)</f>
        <v/>
      </c>
      <c r="CD50" s="7">
        <f>IF(17=0,personal_irsSaldo,CD49)-CC50</f>
        <v/>
      </c>
      <c r="CE50" s="7">
        <f>IF(17=0,IF(personal_deudaEsFederal=1,personal_deudaEstudiantil,0),DW49)</f>
        <v/>
      </c>
      <c r="CF50" s="7">
        <f>IF(17=0,personal_tasaDeudaEstudiantil,DX49)</f>
        <v/>
      </c>
      <c r="CG50" s="7">
        <f>IF(17=0,0,DY49)</f>
        <v/>
      </c>
      <c r="CH50" s="7">
        <f>IF(J50&gt;=0.5,1,0)</f>
        <v/>
      </c>
      <c r="CI50" s="7">
        <f>IF(AND(CH50=0,prestamos_pslfActivo=1,K50&gt;=0.5,CE50&gt;0),1,0)</f>
        <v/>
      </c>
      <c r="CJ50" s="7">
        <f>CE50*CF50</f>
        <v/>
      </c>
      <c r="CK50" s="7">
        <f>MAX(prestamos_rapPagoMinimoAnual,IF(Y50&lt;10000,0,MIN(0.1,INT(Y50/10000)/100))*Y50)</f>
        <v/>
      </c>
      <c r="CL50" s="7">
        <f>IF(CE50&lt;=0,0,IF(CH50=1,0,IF(CI50=1,MIN(CE50+CJ50,CK50),PMT(CF50,MAX(1,prestamos_plazoAnios-CG50),-CE50))))</f>
        <v/>
      </c>
      <c r="CM50" s="7">
        <f>IF(CE50&lt;=0,0,IF(CH50=1,CE50+CJ50,IF(CI50=1,MAX(0,CE50-MAX(CL50-CJ50,MIN(600,CL50))),MAX(0,CE50*(1+CF50)-CL50))))</f>
        <v/>
      </c>
      <c r="CN50" s="7">
        <f>IF(17=0,0,CN49)+IF(CI50=1,12*MIN(1,K50),0)</f>
        <v/>
      </c>
      <c r="CO50" s="7">
        <f>IF(AND(CI50=1,CN50&gt;=prestamos_pslfPagos,CM50&gt;0),CM50,0)</f>
        <v/>
      </c>
      <c r="CP50" s="7">
        <f>CM50-CO50</f>
        <v/>
      </c>
      <c r="CQ50" s="7">
        <f>IF(AND(CE50&gt;0,CH50=0,CI50=0),CG50+1,CG50)</f>
        <v/>
      </c>
      <c r="CR50" s="7">
        <f>IF(17=0,IF(personal_deudaEsFederal=1,0,personal_deudaEstudiantil),EA49)</f>
        <v/>
      </c>
      <c r="CS50" s="7">
        <f>IF(17=0,IF(personal_deudaEsFederal=1,prestamos_tasaPrivada,personal_tasaDeudaEstudiantil),EB49)</f>
        <v/>
      </c>
      <c r="CT50" s="7">
        <f>IF(17=0,0,EC49)</f>
        <v/>
      </c>
      <c r="CU50" s="7">
        <f>IF(OR(CR50&lt;=0,CH50=1),0,PMT(CS50,MAX(1,prestamos_plazoAnios-CT50),-CR50))</f>
        <v/>
      </c>
      <c r="CV50" s="7">
        <f>IF(CR50&lt;=0,0,IF(CH50=1,CR50*(1+CS50),MAX(0,CR50*(1+CS50)-CU50)))</f>
        <v/>
      </c>
      <c r="CW50" s="7">
        <f>IF(AND(CR50&gt;0,CH50=0),CT50+1,CT50)</f>
        <v/>
      </c>
      <c r="CX50" s="7">
        <f>IF(17=0,0,ED49)*(1+general_tasaDeudaConsumo)</f>
        <v/>
      </c>
      <c r="CY50" s="7">
        <f>L50*12*tiempos_travelGastoExtraMes*C50</f>
        <v/>
      </c>
      <c r="CZ50" s="7">
        <f>AJ50+CY50+CA50+CC50+CL50+CU50+I50+N50-BZ50-CB50</f>
        <v/>
      </c>
      <c r="DA50" s="7">
        <f>AH50-CZ50</f>
        <v/>
      </c>
      <c r="DB50" s="7">
        <f>IF(17=0,0,DB49)+DA50</f>
        <v/>
      </c>
      <c r="DC50" s="7">
        <f>AN50*vivienda_enganchePct+AN50*vivienda_cierrePct+general_reservaMeses/12*AJ50</f>
        <v/>
      </c>
      <c r="DD50" s="7">
        <f>IF(BB50=1,g_ret,IF(BD50&gt;0,MIN(1,DC50/BD50),1)*g_cash+(1-IF(BD50&gt;0,MIN(1,DC50/BD50),1))*g_ret)</f>
        <v/>
      </c>
      <c r="DE50" s="7">
        <f>IF(DA50&gt;=0,MIN(CX50,DA50),0)</f>
        <v/>
      </c>
      <c r="DF50" s="7">
        <f>IF(DA50&gt;=0,(1-general_tasaAhorro)*(DA50-DE50),0)</f>
        <v/>
      </c>
      <c r="DG50" s="7">
        <f>IF(DA50&gt;=0,DA50-DE50-DF50,0)</f>
        <v/>
      </c>
      <c r="DH50" s="7">
        <f>MIN(personal_rothAnual,DG50)</f>
        <v/>
      </c>
      <c r="DI50" s="7">
        <f>IF(AND(DA50&gt;=0,BB50=1,BP50+BT50&gt;0),MIN(vivienda_prepagoPct*(DG50-DH50),BP50+BT50),0)</f>
        <v/>
      </c>
      <c r="DJ50" s="7">
        <f>MIN(DI50,BP50)</f>
        <v/>
      </c>
      <c r="DK50" s="7">
        <f>IF(DA50&lt;0,MIN(MAX(0,BD50),-DA50),0)</f>
        <v/>
      </c>
      <c r="DL50" s="7">
        <f>IF(DA50&lt;0,-DA50-DK50,0)</f>
        <v/>
      </c>
      <c r="DM50" s="7">
        <f>IF(17=0,0,DZ49)</f>
        <v/>
      </c>
      <c r="DN50" s="7">
        <f>IF(AND(DL50&gt;0,J50&gt;0),MIN(DL50,MIN(prestamos_topeAnualPosgrado*MIN(1,J50),MAX(0,prestamos_topeTotalPosgrado-DM50))),0)</f>
        <v/>
      </c>
      <c r="DO50" s="7">
        <f>IF(AND(DL50&gt;0,J50&gt;0),DL50-DN50,0)</f>
        <v/>
      </c>
      <c r="DP50" s="7">
        <f>IF(AND(DL50&gt;0,J50&lt;=0),DL50,0)</f>
        <v/>
      </c>
      <c r="DQ50" s="7">
        <f>IF(DA50&gt;=0,DG50-DH50-DI50,-DK50)</f>
        <v/>
      </c>
      <c r="DR50" s="7">
        <f>BD50*(1+DD50)+DQ50*(1+DD50/2)</f>
        <v/>
      </c>
      <c r="DS50" s="7">
        <f>IF(17=0,personal_retiroInicial,DS49)*(1+g_ret)+(O50+P50+DH50)*(1+g_ret/2)</f>
        <v/>
      </c>
      <c r="DT50" s="7">
        <f>IF(BB50=1,BL50*(1+g_appr),0)</f>
        <v/>
      </c>
      <c r="DU50" s="7">
        <f>BP50-DJ50</f>
        <v/>
      </c>
      <c r="DV50" s="7">
        <f>BT50-(DI50-DJ50)</f>
        <v/>
      </c>
      <c r="DW50" s="7">
        <f>CP50+DN50</f>
        <v/>
      </c>
      <c r="DX50" s="7">
        <f>IF(DN50&gt;0,(CP50*CF50+DN50*prestamos_tasaFederalPosgrado)/(CP50+DN50),CF50)</f>
        <v/>
      </c>
      <c r="DY50" s="7">
        <f>IF(DN50&gt;0,0,CQ50)</f>
        <v/>
      </c>
      <c r="DZ50" s="7">
        <f>DM50+DN50</f>
        <v/>
      </c>
      <c r="EA50" s="7">
        <f>CV50+DO50</f>
        <v/>
      </c>
      <c r="EB50" s="7">
        <f>IF(DO50&gt;0,(CV50*CS50+DO50*prestamos_tasaPrivada)/(CV50+DO50),CS50)</f>
        <v/>
      </c>
      <c r="EC50" s="7">
        <f>IF(DO50&gt;0,0,CW50)</f>
        <v/>
      </c>
      <c r="ED50" s="7">
        <f>CX50-DE50+DP50</f>
        <v/>
      </c>
      <c r="EE50" s="7">
        <f>IF(IF(17=0,"",EE49)&lt;&gt;"",EE49,IF(AND(BB50=1,DU50&lt;=0.5,DV50&lt;=0.5,OR(BH50=0,BJ50=1)),A50,""))</f>
        <v/>
      </c>
      <c r="EF50" s="7">
        <f>DU50+DV50+DW50+EA50+ED50+CD50</f>
        <v/>
      </c>
      <c r="EG50" s="7">
        <f>DR50+DS50+DT50-EF50</f>
        <v/>
      </c>
      <c r="EH50" s="7">
        <f>EG50/(1+g_inf)^(A50+1-2026)</f>
        <v/>
      </c>
    </row>
    <row r="51">
      <c r="A51" t="n">
        <v>2045</v>
      </c>
      <c r="B51" t="n">
        <v>18</v>
      </c>
      <c r="C51" s="7">
        <f>(1+g_inf)^(A51-2026)</f>
        <v/>
      </c>
      <c r="D51" s="7">
        <f>SUMPRODUCT($AL$5:$AL$29,$E$5:$E$29*(1+$F$5:$F$29)^(A51-2026)*$G$5:$G$29*$H$5:$H$29*(1-$N$5:$N$29*$O$5:$O$29))*g_salMult+SUMPRODUCT(($B$5:$B$29&gt;=A51)*($B$5:$B$29&lt;A51+1)*$I$5:$I$29)*g_salMult</f>
        <v/>
      </c>
      <c r="E51" s="7">
        <f>SUMPRODUCT($AL$5:$AL$29,$E$5:$E$29*(1+$F$5:$F$29)^(A51-2026)*$G$5:$G$29*$H$5:$H$29*$M$5:$M$29)*g_salMult</f>
        <v/>
      </c>
      <c r="F51" s="7">
        <f>SUMPRODUCT($AL$5:$AL$29,$E$5:$E$29*(1+$F$5:$F$29)^(A51-2026)*$G$5:$G$29*$H$5:$H$29*$N$5:$N$29*$O$5:$O$29)*g_salMult</f>
        <v/>
      </c>
      <c r="G51" s="7">
        <f>SUMPRODUCT($AL$5:$AL$29,$P$5:$P$29*(1+$F$5:$F$29)^(A51-2026))</f>
        <v/>
      </c>
      <c r="H51" s="7">
        <f>SUMPRODUCT($AL$5:$AL$29,$Q$5:$Q$29*(1+$F$5:$F$29)^(A51-2026))+IF(personal_llcActivo=1,personal_llcNeto*(1+personal_llcCrecimiento)^18,0)</f>
        <v/>
      </c>
      <c r="I51" s="7">
        <f>SUMPRODUCT($AL$5:$AL$29,$J$5:$J$29/($C$5:$C$29-$B$5:$B$29+($C$5:$C$29=$B$5:$B$29)))*C51</f>
        <v/>
      </c>
      <c r="J51" s="7">
        <f>SUMPRODUCT($AL$5:$AL$29,$K$5:$K$29)</f>
        <v/>
      </c>
      <c r="K51" s="7">
        <f>SUMPRODUCT($AL$5:$AL$29,$L$5:$L$29)</f>
        <v/>
      </c>
      <c r="L51" s="7">
        <f>SUMPRODUCT($AL$5:$AL$29,$N$5:$N$29)</f>
        <v/>
      </c>
      <c r="M51" s="7">
        <f>IF(SUMPRODUCT($AL$5:$AL$29,$R$5:$R$29)&gt;0,1,0)</f>
        <v/>
      </c>
      <c r="N51" s="7">
        <f>SUMPRODUCT(($AO$5:$AO$24&gt;=A51)*($AO$5:$AO$24&lt;A51+1)*$AP$5:$AP$24)*C51+IF(18=0,IF(sel_loc&lt;&gt;"miami",personal_costoMudanzaInicial,0),0)</f>
        <v/>
      </c>
      <c r="O51" s="7">
        <f>MIN(personal_aporte403bPct*D51,retiro_limite403b*C51)</f>
        <v/>
      </c>
      <c r="P51" s="7">
        <f>MIN(personal_aporte403bPct,personal_match403bPct)*E51</f>
        <v/>
      </c>
      <c r="Q51" s="7">
        <f>IF(G51&gt;0,MAX(0,G51-impuestos_scorpCostoAnual*C51),0)</f>
        <v/>
      </c>
      <c r="R51" s="7">
        <f>Q51*impuestos_scorpSalarioPct/(1+impuestos_ssTasa+impuestos_medicareTasa)</f>
        <v/>
      </c>
      <c r="S51" s="7">
        <f>impuestos_ssTasa*MIN(R51,MAX(0,impuestos_ssTope*C51-D51))+impuestos_medicareTasa*R51</f>
        <v/>
      </c>
      <c r="T51" s="7">
        <f>Q51-R51-S51</f>
        <v/>
      </c>
      <c r="U51" s="7">
        <f>D51+R51</f>
        <v/>
      </c>
      <c r="V51" s="7">
        <f>H51*0.9235</f>
        <v/>
      </c>
      <c r="W51" s="7">
        <f>IF(H51&gt;0,2*impuestos_ssTasa*MIN(V51,MAX(0,impuestos_ssTope*C51-U51))+2*impuestos_medicareTasa*V51,0)</f>
        <v/>
      </c>
      <c r="X51" s="7">
        <f>impuestos_ssTasa*MIN(U51,impuestos_ssTope*C51)+impuestos_medicareTasa*U51+impuestos_medicareAdicional*MAX(0,U51+H51*0.9235-impuestos_medicareUmbral)</f>
        <v/>
      </c>
      <c r="Y51" s="7">
        <f>MAX(0,D51-O51+R51+T51+H51-W51/2)</f>
        <v/>
      </c>
      <c r="Z51" s="7">
        <f>MAX(0,Y51-impuestos_deduccionEstandar*C51)</f>
        <v/>
      </c>
      <c r="AA51" s="7">
        <f>MIN(0.2*MAX(0,T51+H51-W51/2)*MAX(0,MIN(1,1-(Z51-impuestos_qbiUmbral*C51)/(impuestos_qbiRango*C51))),0.2*Z51)</f>
        <v/>
      </c>
      <c r="AB51" s="7">
        <f>MAX(0,Z51-AA51)</f>
        <v/>
      </c>
      <c r="AC51" s="7">
        <f>SUMPRODUCT((AB51&gt;tb_federalBrackets_lo*C51)*(AB51-tb_federalBrackets_lo*C51)*tb_federalBrackets_dr)</f>
        <v/>
      </c>
      <c r="AD51" s="7">
        <f>MAX(0,Y51-impuestos_nyDeduccion*C51)</f>
        <v/>
      </c>
      <c r="AE51" s="7">
        <f>CHOOSE(loc_taxcode,0,impuestos_ohTasa*MAX(0,Y51-impuestos_ohExento*C51)+impuestos_ohMunicipal*U51,SUMPRODUCT((AD51&gt;tb_nyBrackets_lo*C51)*(AD51-tb_nyBrackets_lo*C51)*tb_nyBrackets_dr)+loc_nyc*SUMPRODUCT((AD51&gt;tb_nycBrackets_lo*C51)*(AD51-tb_nycBrackets_lo*C51)*tb_nycBrackets_dr))</f>
        <v/>
      </c>
      <c r="AF51" s="7">
        <f>AC51+AE51+X51+W51</f>
        <v/>
      </c>
      <c r="AG51" s="7">
        <f>D51+F51+R51+T51+H51</f>
        <v/>
      </c>
      <c r="AH51" s="7">
        <f>AG51-AF51-O51</f>
        <v/>
      </c>
      <c r="AI51" s="7">
        <f>D51+F51+G51+H51</f>
        <v/>
      </c>
      <c r="AJ51" s="7">
        <f>loc_gastosVida*C51*g_gastos</f>
        <v/>
      </c>
      <c r="AK51" s="7">
        <f>IF(18=0,personal_liquidoInicial,DR50)</f>
        <v/>
      </c>
      <c r="AL51" s="7">
        <f>IF(18=0,0,BB50)</f>
        <v/>
      </c>
      <c r="AM51" s="7">
        <f>CHOOSE(sel_cfgIdx,loc_precio_duplex,loc_precio_inlaw,loc_precio_dosCasas,loc_precio_casaAdu,loc_precio_multi)</f>
        <v/>
      </c>
      <c r="AN51" s="7">
        <f>AM51*(1+g_appr)^(A51-2026)</f>
        <v/>
      </c>
      <c r="AO51" s="7">
        <f>IF(AND(M51=1,vivienda_prestamoMedico=1),1,0)</f>
        <v/>
      </c>
      <c r="AP51" s="7">
        <f>IF(AO51=1,0.05,vivienda_enganchePct)</f>
        <v/>
      </c>
      <c r="AQ51" s="7">
        <f>AN51*(1-AP51)</f>
        <v/>
      </c>
      <c r="AR51" s="7">
        <f>PMT(g_mortRate/12,vivienda_plazoHipoteca*12,-AQ51)</f>
        <v/>
      </c>
      <c r="AS51" s="7">
        <f>INDEX(cfg_units,sel_cfgIdx)</f>
        <v/>
      </c>
      <c r="AT51" s="7">
        <f>AS51*loc_rentaUnidad*(1+g_inf)^(A51-2026)*(1-vivienda_vacancia)</f>
        <v/>
      </c>
      <c r="AU51" s="7">
        <f>AR51+AN51*loc_impuestoPropPct/12+AM51*loc_seguroPct*(1+vivienda_inflacionSeguro)^(A51-2026)/12+IF(AND(AO51=0,AP51&lt;0.2),AQ51*vivienda_pmiTasa/12,0)</f>
        <v/>
      </c>
      <c r="AV51" s="7">
        <f>AN51*AP51+AN51*vivienda_cierrePct+general_reservaMeses/12*AJ51</f>
        <v/>
      </c>
      <c r="AW51" s="7">
        <f>(IF(18=0,MIN(personal_irsSaldo,personal_irsPagoMensual*12),MIN(CD50,personal_irsPagoMensual*12))+IF(CE51&gt;0,PMT(CF51,MAX(1,prestamos_plazoAnios-CG51),-CE51),0)+IF(CR51&gt;0,PMT(CS51,MAX(1,prestamos_plazoAnios-CT51),-CR51),0))/12</f>
        <v/>
      </c>
      <c r="AX51" s="7">
        <f>IF(OR(sel_cfg="duplex",sel_cfg="multi",sel_cfg="dosCasas"),0.75*personal_aporteFamiliaMensual,0)</f>
        <v/>
      </c>
      <c r="AY51" s="7">
        <f>AU51-0.75*AT51-AX51+AW51</f>
        <v/>
      </c>
      <c r="AZ51" s="7">
        <f>(D51+G51+H51+0.5*F51)/12</f>
        <v/>
      </c>
      <c r="BA51" s="7">
        <f>IF(AND(AL51=0,A51&gt;=vivienda_anioMinCompra,J51&lt;0.5,AI51&gt;0,AK51&gt;=AV51,AY51&lt;=vivienda_dtiMax*AZ51),1,0)</f>
        <v/>
      </c>
      <c r="BB51" s="7">
        <f>MAX(AL51,BA51)</f>
        <v/>
      </c>
      <c r="BC51" s="7">
        <f>IF(BA51=1,A51,IF(18=0,"",BC50))</f>
        <v/>
      </c>
      <c r="BD51" s="7">
        <f>AK51-IF(BA51=1,AN51*AP51+AN51*vivienda_cierrePct,0)</f>
        <v/>
      </c>
      <c r="BE51" s="7">
        <f>IF(BA51=1,AN51,IF(18=0,0,BE50))</f>
        <v/>
      </c>
      <c r="BF51" s="7">
        <f>IF(BA51=1,AR51,IF(18=0,0,BF50))</f>
        <v/>
      </c>
      <c r="BG51" s="7">
        <f>IF(BA51=1,IF(AND(AO51=0,AP51&lt;0.2),1,0),IF(18=0,0,BY50))</f>
        <v/>
      </c>
      <c r="BH51" s="7">
        <f>IF(sel_cfg="casaAdu",1,0)</f>
        <v/>
      </c>
      <c r="BI51" s="7">
        <f>IF(AND(BB51=1,BH51=1,IF(18=0,0,BJ50)=0,A51&gt;=IF(BC51="",9999,BC51)+vivienda_aduRetrasoAnios),1,0)</f>
        <v/>
      </c>
      <c r="BJ51" s="7">
        <f>MAX(IF(18=0,0,BJ50),BI51)</f>
        <v/>
      </c>
      <c r="BK51" s="7">
        <f>IF(BI51=1,PMT((g_mortRate+0.005)/12,180,-loc_precio_aduCosto*C51),IF(18=0,0,BK50))</f>
        <v/>
      </c>
      <c r="BL51" s="7">
        <f>IF(BA51=1,AN51,IF(18=0,0,DT50))+IF(BI51=1,loc_precio_aduCosto*C51,0)</f>
        <v/>
      </c>
      <c r="BM51" s="7">
        <f>IF(BA51=1,AQ51,IF(18=0,0,DU50))</f>
        <v/>
      </c>
      <c r="BN51" s="7">
        <f>IF(BM51&lt;=0,0,FV(g_mortRate/12,12,BF51,-BM51))</f>
        <v/>
      </c>
      <c r="BO51" s="7">
        <f>IF(BM51&lt;=0,0,12*BF51+MIN(0,BN51))</f>
        <v/>
      </c>
      <c r="BP51" s="7">
        <f>MAX(0,BN51)</f>
        <v/>
      </c>
      <c r="BQ51" s="7">
        <f>IF(BI51=1,loc_precio_aduCosto*C51,IF(18=0,0,DV50))</f>
        <v/>
      </c>
      <c r="BR51" s="7">
        <f>IF(BQ51&lt;=0,0,FV((g_mortRate+0.005)/12,12,BK51,-BQ51))</f>
        <v/>
      </c>
      <c r="BS51" s="7">
        <f>IF(BQ51&lt;=0,0,12*BK51+MIN(0,BR51))</f>
        <v/>
      </c>
      <c r="BT51" s="7">
        <f>MAX(0,BR51)</f>
        <v/>
      </c>
      <c r="BU51" s="7">
        <f>IF(BB51=1,AM51*loc_seguroPct*(1+vivienda_inflacionSeguro)^(A51-2026)*IF(BJ51=1,1+loc_precio_aduCosto/AM51,1),0)</f>
        <v/>
      </c>
      <c r="BV51" s="7">
        <f>BL51*loc_impuestoPropPct</f>
        <v/>
      </c>
      <c r="BW51" s="7">
        <f>BL51*vivienda_mantenimientoPct</f>
        <v/>
      </c>
      <c r="BX51" s="7">
        <f>IF(AND(BG51=1,BP51&gt;0.8*BE51),BE51*(1-vivienda_enganchePct)*vivienda_pmiTasa,0)</f>
        <v/>
      </c>
      <c r="BY51" s="7">
        <f>IF(AND(BG51=1,BP51&gt;0.8*BE51),1,0)</f>
        <v/>
      </c>
      <c r="BZ51" s="7">
        <f>IF(BB51=1,AS51*loc_rentaUnidad*12*C51*(1-vivienda_vacancia)*(1-vivienda_gestionPct),0)</f>
        <v/>
      </c>
      <c r="CA51" s="7">
        <f>IF(BB51=1,BO51+BS51+BU51+BV51+BW51+BX51,loc_rentaMensual*12*C51)</f>
        <v/>
      </c>
      <c r="CB51" s="7">
        <f>IF(BB51=1,personal_aporteFamiliaMensual*12,0)</f>
        <v/>
      </c>
      <c r="CC51" s="7">
        <f>MIN(IF(18=0,personal_irsSaldo,CD50),personal_irsPagoMensual*12)</f>
        <v/>
      </c>
      <c r="CD51" s="7">
        <f>IF(18=0,personal_irsSaldo,CD50)-CC51</f>
        <v/>
      </c>
      <c r="CE51" s="7">
        <f>IF(18=0,IF(personal_deudaEsFederal=1,personal_deudaEstudiantil,0),DW50)</f>
        <v/>
      </c>
      <c r="CF51" s="7">
        <f>IF(18=0,personal_tasaDeudaEstudiantil,DX50)</f>
        <v/>
      </c>
      <c r="CG51" s="7">
        <f>IF(18=0,0,DY50)</f>
        <v/>
      </c>
      <c r="CH51" s="7">
        <f>IF(J51&gt;=0.5,1,0)</f>
        <v/>
      </c>
      <c r="CI51" s="7">
        <f>IF(AND(CH51=0,prestamos_pslfActivo=1,K51&gt;=0.5,CE51&gt;0),1,0)</f>
        <v/>
      </c>
      <c r="CJ51" s="7">
        <f>CE51*CF51</f>
        <v/>
      </c>
      <c r="CK51" s="7">
        <f>MAX(prestamos_rapPagoMinimoAnual,IF(Y51&lt;10000,0,MIN(0.1,INT(Y51/10000)/100))*Y51)</f>
        <v/>
      </c>
      <c r="CL51" s="7">
        <f>IF(CE51&lt;=0,0,IF(CH51=1,0,IF(CI51=1,MIN(CE51+CJ51,CK51),PMT(CF51,MAX(1,prestamos_plazoAnios-CG51),-CE51))))</f>
        <v/>
      </c>
      <c r="CM51" s="7">
        <f>IF(CE51&lt;=0,0,IF(CH51=1,CE51+CJ51,IF(CI51=1,MAX(0,CE51-MAX(CL51-CJ51,MIN(600,CL51))),MAX(0,CE51*(1+CF51)-CL51))))</f>
        <v/>
      </c>
      <c r="CN51" s="7">
        <f>IF(18=0,0,CN50)+IF(CI51=1,12*MIN(1,K51),0)</f>
        <v/>
      </c>
      <c r="CO51" s="7">
        <f>IF(AND(CI51=1,CN51&gt;=prestamos_pslfPagos,CM51&gt;0),CM51,0)</f>
        <v/>
      </c>
      <c r="CP51" s="7">
        <f>CM51-CO51</f>
        <v/>
      </c>
      <c r="CQ51" s="7">
        <f>IF(AND(CE51&gt;0,CH51=0,CI51=0),CG51+1,CG51)</f>
        <v/>
      </c>
      <c r="CR51" s="7">
        <f>IF(18=0,IF(personal_deudaEsFederal=1,0,personal_deudaEstudiantil),EA50)</f>
        <v/>
      </c>
      <c r="CS51" s="7">
        <f>IF(18=0,IF(personal_deudaEsFederal=1,prestamos_tasaPrivada,personal_tasaDeudaEstudiantil),EB50)</f>
        <v/>
      </c>
      <c r="CT51" s="7">
        <f>IF(18=0,0,EC50)</f>
        <v/>
      </c>
      <c r="CU51" s="7">
        <f>IF(OR(CR51&lt;=0,CH51=1),0,PMT(CS51,MAX(1,prestamos_plazoAnios-CT51),-CR51))</f>
        <v/>
      </c>
      <c r="CV51" s="7">
        <f>IF(CR51&lt;=0,0,IF(CH51=1,CR51*(1+CS51),MAX(0,CR51*(1+CS51)-CU51)))</f>
        <v/>
      </c>
      <c r="CW51" s="7">
        <f>IF(AND(CR51&gt;0,CH51=0),CT51+1,CT51)</f>
        <v/>
      </c>
      <c r="CX51" s="7">
        <f>IF(18=0,0,ED50)*(1+general_tasaDeudaConsumo)</f>
        <v/>
      </c>
      <c r="CY51" s="7">
        <f>L51*12*tiempos_travelGastoExtraMes*C51</f>
        <v/>
      </c>
      <c r="CZ51" s="7">
        <f>AJ51+CY51+CA51+CC51+CL51+CU51+I51+N51-BZ51-CB51</f>
        <v/>
      </c>
      <c r="DA51" s="7">
        <f>AH51-CZ51</f>
        <v/>
      </c>
      <c r="DB51" s="7">
        <f>IF(18=0,0,DB50)+DA51</f>
        <v/>
      </c>
      <c r="DC51" s="7">
        <f>AN51*vivienda_enganchePct+AN51*vivienda_cierrePct+general_reservaMeses/12*AJ51</f>
        <v/>
      </c>
      <c r="DD51" s="7">
        <f>IF(BB51=1,g_ret,IF(BD51&gt;0,MIN(1,DC51/BD51),1)*g_cash+(1-IF(BD51&gt;0,MIN(1,DC51/BD51),1))*g_ret)</f>
        <v/>
      </c>
      <c r="DE51" s="7">
        <f>IF(DA51&gt;=0,MIN(CX51,DA51),0)</f>
        <v/>
      </c>
      <c r="DF51" s="7">
        <f>IF(DA51&gt;=0,(1-general_tasaAhorro)*(DA51-DE51),0)</f>
        <v/>
      </c>
      <c r="DG51" s="7">
        <f>IF(DA51&gt;=0,DA51-DE51-DF51,0)</f>
        <v/>
      </c>
      <c r="DH51" s="7">
        <f>MIN(personal_rothAnual,DG51)</f>
        <v/>
      </c>
      <c r="DI51" s="7">
        <f>IF(AND(DA51&gt;=0,BB51=1,BP51+BT51&gt;0),MIN(vivienda_prepagoPct*(DG51-DH51),BP51+BT51),0)</f>
        <v/>
      </c>
      <c r="DJ51" s="7">
        <f>MIN(DI51,BP51)</f>
        <v/>
      </c>
      <c r="DK51" s="7">
        <f>IF(DA51&lt;0,MIN(MAX(0,BD51),-DA51),0)</f>
        <v/>
      </c>
      <c r="DL51" s="7">
        <f>IF(DA51&lt;0,-DA51-DK51,0)</f>
        <v/>
      </c>
      <c r="DM51" s="7">
        <f>IF(18=0,0,DZ50)</f>
        <v/>
      </c>
      <c r="DN51" s="7">
        <f>IF(AND(DL51&gt;0,J51&gt;0),MIN(DL51,MIN(prestamos_topeAnualPosgrado*MIN(1,J51),MAX(0,prestamos_topeTotalPosgrado-DM51))),0)</f>
        <v/>
      </c>
      <c r="DO51" s="7">
        <f>IF(AND(DL51&gt;0,J51&gt;0),DL51-DN51,0)</f>
        <v/>
      </c>
      <c r="DP51" s="7">
        <f>IF(AND(DL51&gt;0,J51&lt;=0),DL51,0)</f>
        <v/>
      </c>
      <c r="DQ51" s="7">
        <f>IF(DA51&gt;=0,DG51-DH51-DI51,-DK51)</f>
        <v/>
      </c>
      <c r="DR51" s="7">
        <f>BD51*(1+DD51)+DQ51*(1+DD51/2)</f>
        <v/>
      </c>
      <c r="DS51" s="7">
        <f>IF(18=0,personal_retiroInicial,DS50)*(1+g_ret)+(O51+P51+DH51)*(1+g_ret/2)</f>
        <v/>
      </c>
      <c r="DT51" s="7">
        <f>IF(BB51=1,BL51*(1+g_appr),0)</f>
        <v/>
      </c>
      <c r="DU51" s="7">
        <f>BP51-DJ51</f>
        <v/>
      </c>
      <c r="DV51" s="7">
        <f>BT51-(DI51-DJ51)</f>
        <v/>
      </c>
      <c r="DW51" s="7">
        <f>CP51+DN51</f>
        <v/>
      </c>
      <c r="DX51" s="7">
        <f>IF(DN51&gt;0,(CP51*CF51+DN51*prestamos_tasaFederalPosgrado)/(CP51+DN51),CF51)</f>
        <v/>
      </c>
      <c r="DY51" s="7">
        <f>IF(DN51&gt;0,0,CQ51)</f>
        <v/>
      </c>
      <c r="DZ51" s="7">
        <f>DM51+DN51</f>
        <v/>
      </c>
      <c r="EA51" s="7">
        <f>CV51+DO51</f>
        <v/>
      </c>
      <c r="EB51" s="7">
        <f>IF(DO51&gt;0,(CV51*CS51+DO51*prestamos_tasaPrivada)/(CV51+DO51),CS51)</f>
        <v/>
      </c>
      <c r="EC51" s="7">
        <f>IF(DO51&gt;0,0,CW51)</f>
        <v/>
      </c>
      <c r="ED51" s="7">
        <f>CX51-DE51+DP51</f>
        <v/>
      </c>
      <c r="EE51" s="7">
        <f>IF(IF(18=0,"",EE50)&lt;&gt;"",EE50,IF(AND(BB51=1,DU51&lt;=0.5,DV51&lt;=0.5,OR(BH51=0,BJ51=1)),A51,""))</f>
        <v/>
      </c>
      <c r="EF51" s="7">
        <f>DU51+DV51+DW51+EA51+ED51+CD51</f>
        <v/>
      </c>
      <c r="EG51" s="7">
        <f>DR51+DS51+DT51-EF51</f>
        <v/>
      </c>
      <c r="EH51" s="7">
        <f>EG51/(1+g_inf)^(A51+1-2026)</f>
        <v/>
      </c>
    </row>
    <row r="52">
      <c r="A52" t="n">
        <v>2046</v>
      </c>
      <c r="B52" t="n">
        <v>19</v>
      </c>
      <c r="C52" s="7">
        <f>(1+g_inf)^(A52-2026)</f>
        <v/>
      </c>
      <c r="D52" s="7">
        <f>SUMPRODUCT($AM$5:$AM$29,$E$5:$E$29*(1+$F$5:$F$29)^(A52-2026)*$G$5:$G$29*$H$5:$H$29*(1-$N$5:$N$29*$O$5:$O$29))*g_salMult+SUMPRODUCT(($B$5:$B$29&gt;=A52)*($B$5:$B$29&lt;A52+1)*$I$5:$I$29)*g_salMult</f>
        <v/>
      </c>
      <c r="E52" s="7">
        <f>SUMPRODUCT($AM$5:$AM$29,$E$5:$E$29*(1+$F$5:$F$29)^(A52-2026)*$G$5:$G$29*$H$5:$H$29*$M$5:$M$29)*g_salMult</f>
        <v/>
      </c>
      <c r="F52" s="7">
        <f>SUMPRODUCT($AM$5:$AM$29,$E$5:$E$29*(1+$F$5:$F$29)^(A52-2026)*$G$5:$G$29*$H$5:$H$29*$N$5:$N$29*$O$5:$O$29)*g_salMult</f>
        <v/>
      </c>
      <c r="G52" s="7">
        <f>SUMPRODUCT($AM$5:$AM$29,$P$5:$P$29*(1+$F$5:$F$29)^(A52-2026))</f>
        <v/>
      </c>
      <c r="H52" s="7">
        <f>SUMPRODUCT($AM$5:$AM$29,$Q$5:$Q$29*(1+$F$5:$F$29)^(A52-2026))+IF(personal_llcActivo=1,personal_llcNeto*(1+personal_llcCrecimiento)^19,0)</f>
        <v/>
      </c>
      <c r="I52" s="7">
        <f>SUMPRODUCT($AM$5:$AM$29,$J$5:$J$29/($C$5:$C$29-$B$5:$B$29+($C$5:$C$29=$B$5:$B$29)))*C52</f>
        <v/>
      </c>
      <c r="J52" s="7">
        <f>SUMPRODUCT($AM$5:$AM$29,$K$5:$K$29)</f>
        <v/>
      </c>
      <c r="K52" s="7">
        <f>SUMPRODUCT($AM$5:$AM$29,$L$5:$L$29)</f>
        <v/>
      </c>
      <c r="L52" s="7">
        <f>SUMPRODUCT($AM$5:$AM$29,$N$5:$N$29)</f>
        <v/>
      </c>
      <c r="M52" s="7">
        <f>IF(SUMPRODUCT($AM$5:$AM$29,$R$5:$R$29)&gt;0,1,0)</f>
        <v/>
      </c>
      <c r="N52" s="7">
        <f>SUMPRODUCT(($AO$5:$AO$24&gt;=A52)*($AO$5:$AO$24&lt;A52+1)*$AP$5:$AP$24)*C52+IF(19=0,IF(sel_loc&lt;&gt;"miami",personal_costoMudanzaInicial,0),0)</f>
        <v/>
      </c>
      <c r="O52" s="7">
        <f>MIN(personal_aporte403bPct*D52,retiro_limite403b*C52)</f>
        <v/>
      </c>
      <c r="P52" s="7">
        <f>MIN(personal_aporte403bPct,personal_match403bPct)*E52</f>
        <v/>
      </c>
      <c r="Q52" s="7">
        <f>IF(G52&gt;0,MAX(0,G52-impuestos_scorpCostoAnual*C52),0)</f>
        <v/>
      </c>
      <c r="R52" s="7">
        <f>Q52*impuestos_scorpSalarioPct/(1+impuestos_ssTasa+impuestos_medicareTasa)</f>
        <v/>
      </c>
      <c r="S52" s="7">
        <f>impuestos_ssTasa*MIN(R52,MAX(0,impuestos_ssTope*C52-D52))+impuestos_medicareTasa*R52</f>
        <v/>
      </c>
      <c r="T52" s="7">
        <f>Q52-R52-S52</f>
        <v/>
      </c>
      <c r="U52" s="7">
        <f>D52+R52</f>
        <v/>
      </c>
      <c r="V52" s="7">
        <f>H52*0.9235</f>
        <v/>
      </c>
      <c r="W52" s="7">
        <f>IF(H52&gt;0,2*impuestos_ssTasa*MIN(V52,MAX(0,impuestos_ssTope*C52-U52))+2*impuestos_medicareTasa*V52,0)</f>
        <v/>
      </c>
      <c r="X52" s="7">
        <f>impuestos_ssTasa*MIN(U52,impuestos_ssTope*C52)+impuestos_medicareTasa*U52+impuestos_medicareAdicional*MAX(0,U52+H52*0.9235-impuestos_medicareUmbral)</f>
        <v/>
      </c>
      <c r="Y52" s="7">
        <f>MAX(0,D52-O52+R52+T52+H52-W52/2)</f>
        <v/>
      </c>
      <c r="Z52" s="7">
        <f>MAX(0,Y52-impuestos_deduccionEstandar*C52)</f>
        <v/>
      </c>
      <c r="AA52" s="7">
        <f>MIN(0.2*MAX(0,T52+H52-W52/2)*MAX(0,MIN(1,1-(Z52-impuestos_qbiUmbral*C52)/(impuestos_qbiRango*C52))),0.2*Z52)</f>
        <v/>
      </c>
      <c r="AB52" s="7">
        <f>MAX(0,Z52-AA52)</f>
        <v/>
      </c>
      <c r="AC52" s="7">
        <f>SUMPRODUCT((AB52&gt;tb_federalBrackets_lo*C52)*(AB52-tb_federalBrackets_lo*C52)*tb_federalBrackets_dr)</f>
        <v/>
      </c>
      <c r="AD52" s="7">
        <f>MAX(0,Y52-impuestos_nyDeduccion*C52)</f>
        <v/>
      </c>
      <c r="AE52" s="7">
        <f>CHOOSE(loc_taxcode,0,impuestos_ohTasa*MAX(0,Y52-impuestos_ohExento*C52)+impuestos_ohMunicipal*U52,SUMPRODUCT((AD52&gt;tb_nyBrackets_lo*C52)*(AD52-tb_nyBrackets_lo*C52)*tb_nyBrackets_dr)+loc_nyc*SUMPRODUCT((AD52&gt;tb_nycBrackets_lo*C52)*(AD52-tb_nycBrackets_lo*C52)*tb_nycBrackets_dr))</f>
        <v/>
      </c>
      <c r="AF52" s="7">
        <f>AC52+AE52+X52+W52</f>
        <v/>
      </c>
      <c r="AG52" s="7">
        <f>D52+F52+R52+T52+H52</f>
        <v/>
      </c>
      <c r="AH52" s="7">
        <f>AG52-AF52-O52</f>
        <v/>
      </c>
      <c r="AI52" s="7">
        <f>D52+F52+G52+H52</f>
        <v/>
      </c>
      <c r="AJ52" s="7">
        <f>loc_gastosVida*C52*g_gastos</f>
        <v/>
      </c>
      <c r="AK52" s="7">
        <f>IF(19=0,personal_liquidoInicial,DR51)</f>
        <v/>
      </c>
      <c r="AL52" s="7">
        <f>IF(19=0,0,BB51)</f>
        <v/>
      </c>
      <c r="AM52" s="7">
        <f>CHOOSE(sel_cfgIdx,loc_precio_duplex,loc_precio_inlaw,loc_precio_dosCasas,loc_precio_casaAdu,loc_precio_multi)</f>
        <v/>
      </c>
      <c r="AN52" s="7">
        <f>AM52*(1+g_appr)^(A52-2026)</f>
        <v/>
      </c>
      <c r="AO52" s="7">
        <f>IF(AND(M52=1,vivienda_prestamoMedico=1),1,0)</f>
        <v/>
      </c>
      <c r="AP52" s="7">
        <f>IF(AO52=1,0.05,vivienda_enganchePct)</f>
        <v/>
      </c>
      <c r="AQ52" s="7">
        <f>AN52*(1-AP52)</f>
        <v/>
      </c>
      <c r="AR52" s="7">
        <f>PMT(g_mortRate/12,vivienda_plazoHipoteca*12,-AQ52)</f>
        <v/>
      </c>
      <c r="AS52" s="7">
        <f>INDEX(cfg_units,sel_cfgIdx)</f>
        <v/>
      </c>
      <c r="AT52" s="7">
        <f>AS52*loc_rentaUnidad*(1+g_inf)^(A52-2026)*(1-vivienda_vacancia)</f>
        <v/>
      </c>
      <c r="AU52" s="7">
        <f>AR52+AN52*loc_impuestoPropPct/12+AM52*loc_seguroPct*(1+vivienda_inflacionSeguro)^(A52-2026)/12+IF(AND(AO52=0,AP52&lt;0.2),AQ52*vivienda_pmiTasa/12,0)</f>
        <v/>
      </c>
      <c r="AV52" s="7">
        <f>AN52*AP52+AN52*vivienda_cierrePct+general_reservaMeses/12*AJ52</f>
        <v/>
      </c>
      <c r="AW52" s="7">
        <f>(IF(19=0,MIN(personal_irsSaldo,personal_irsPagoMensual*12),MIN(CD51,personal_irsPagoMensual*12))+IF(CE52&gt;0,PMT(CF52,MAX(1,prestamos_plazoAnios-CG52),-CE52),0)+IF(CR52&gt;0,PMT(CS52,MAX(1,prestamos_plazoAnios-CT52),-CR52),0))/12</f>
        <v/>
      </c>
      <c r="AX52" s="7">
        <f>IF(OR(sel_cfg="duplex",sel_cfg="multi",sel_cfg="dosCasas"),0.75*personal_aporteFamiliaMensual,0)</f>
        <v/>
      </c>
      <c r="AY52" s="7">
        <f>AU52-0.75*AT52-AX52+AW52</f>
        <v/>
      </c>
      <c r="AZ52" s="7">
        <f>(D52+G52+H52+0.5*F52)/12</f>
        <v/>
      </c>
      <c r="BA52" s="7">
        <f>IF(AND(AL52=0,A52&gt;=vivienda_anioMinCompra,J52&lt;0.5,AI52&gt;0,AK52&gt;=AV52,AY52&lt;=vivienda_dtiMax*AZ52),1,0)</f>
        <v/>
      </c>
      <c r="BB52" s="7">
        <f>MAX(AL52,BA52)</f>
        <v/>
      </c>
      <c r="BC52" s="7">
        <f>IF(BA52=1,A52,IF(19=0,"",BC51))</f>
        <v/>
      </c>
      <c r="BD52" s="7">
        <f>AK52-IF(BA52=1,AN52*AP52+AN52*vivienda_cierrePct,0)</f>
        <v/>
      </c>
      <c r="BE52" s="7">
        <f>IF(BA52=1,AN52,IF(19=0,0,BE51))</f>
        <v/>
      </c>
      <c r="BF52" s="7">
        <f>IF(BA52=1,AR52,IF(19=0,0,BF51))</f>
        <v/>
      </c>
      <c r="BG52" s="7">
        <f>IF(BA52=1,IF(AND(AO52=0,AP52&lt;0.2),1,0),IF(19=0,0,BY51))</f>
        <v/>
      </c>
      <c r="BH52" s="7">
        <f>IF(sel_cfg="casaAdu",1,0)</f>
        <v/>
      </c>
      <c r="BI52" s="7">
        <f>IF(AND(BB52=1,BH52=1,IF(19=0,0,BJ51)=0,A52&gt;=IF(BC52="",9999,BC52)+vivienda_aduRetrasoAnios),1,0)</f>
        <v/>
      </c>
      <c r="BJ52" s="7">
        <f>MAX(IF(19=0,0,BJ51),BI52)</f>
        <v/>
      </c>
      <c r="BK52" s="7">
        <f>IF(BI52=1,PMT((g_mortRate+0.005)/12,180,-loc_precio_aduCosto*C52),IF(19=0,0,BK51))</f>
        <v/>
      </c>
      <c r="BL52" s="7">
        <f>IF(BA52=1,AN52,IF(19=0,0,DT51))+IF(BI52=1,loc_precio_aduCosto*C52,0)</f>
        <v/>
      </c>
      <c r="BM52" s="7">
        <f>IF(BA52=1,AQ52,IF(19=0,0,DU51))</f>
        <v/>
      </c>
      <c r="BN52" s="7">
        <f>IF(BM52&lt;=0,0,FV(g_mortRate/12,12,BF52,-BM52))</f>
        <v/>
      </c>
      <c r="BO52" s="7">
        <f>IF(BM52&lt;=0,0,12*BF52+MIN(0,BN52))</f>
        <v/>
      </c>
      <c r="BP52" s="7">
        <f>MAX(0,BN52)</f>
        <v/>
      </c>
      <c r="BQ52" s="7">
        <f>IF(BI52=1,loc_precio_aduCosto*C52,IF(19=0,0,DV51))</f>
        <v/>
      </c>
      <c r="BR52" s="7">
        <f>IF(BQ52&lt;=0,0,FV((g_mortRate+0.005)/12,12,BK52,-BQ52))</f>
        <v/>
      </c>
      <c r="BS52" s="7">
        <f>IF(BQ52&lt;=0,0,12*BK52+MIN(0,BR52))</f>
        <v/>
      </c>
      <c r="BT52" s="7">
        <f>MAX(0,BR52)</f>
        <v/>
      </c>
      <c r="BU52" s="7">
        <f>IF(BB52=1,AM52*loc_seguroPct*(1+vivienda_inflacionSeguro)^(A52-2026)*IF(BJ52=1,1+loc_precio_aduCosto/AM52,1),0)</f>
        <v/>
      </c>
      <c r="BV52" s="7">
        <f>BL52*loc_impuestoPropPct</f>
        <v/>
      </c>
      <c r="BW52" s="7">
        <f>BL52*vivienda_mantenimientoPct</f>
        <v/>
      </c>
      <c r="BX52" s="7">
        <f>IF(AND(BG52=1,BP52&gt;0.8*BE52),BE52*(1-vivienda_enganchePct)*vivienda_pmiTasa,0)</f>
        <v/>
      </c>
      <c r="BY52" s="7">
        <f>IF(AND(BG52=1,BP52&gt;0.8*BE52),1,0)</f>
        <v/>
      </c>
      <c r="BZ52" s="7">
        <f>IF(BB52=1,AS52*loc_rentaUnidad*12*C52*(1-vivienda_vacancia)*(1-vivienda_gestionPct),0)</f>
        <v/>
      </c>
      <c r="CA52" s="7">
        <f>IF(BB52=1,BO52+BS52+BU52+BV52+BW52+BX52,loc_rentaMensual*12*C52)</f>
        <v/>
      </c>
      <c r="CB52" s="7">
        <f>IF(BB52=1,personal_aporteFamiliaMensual*12,0)</f>
        <v/>
      </c>
      <c r="CC52" s="7">
        <f>MIN(IF(19=0,personal_irsSaldo,CD51),personal_irsPagoMensual*12)</f>
        <v/>
      </c>
      <c r="CD52" s="7">
        <f>IF(19=0,personal_irsSaldo,CD51)-CC52</f>
        <v/>
      </c>
      <c r="CE52" s="7">
        <f>IF(19=0,IF(personal_deudaEsFederal=1,personal_deudaEstudiantil,0),DW51)</f>
        <v/>
      </c>
      <c r="CF52" s="7">
        <f>IF(19=0,personal_tasaDeudaEstudiantil,DX51)</f>
        <v/>
      </c>
      <c r="CG52" s="7">
        <f>IF(19=0,0,DY51)</f>
        <v/>
      </c>
      <c r="CH52" s="7">
        <f>IF(J52&gt;=0.5,1,0)</f>
        <v/>
      </c>
      <c r="CI52" s="7">
        <f>IF(AND(CH52=0,prestamos_pslfActivo=1,K52&gt;=0.5,CE52&gt;0),1,0)</f>
        <v/>
      </c>
      <c r="CJ52" s="7">
        <f>CE52*CF52</f>
        <v/>
      </c>
      <c r="CK52" s="7">
        <f>MAX(prestamos_rapPagoMinimoAnual,IF(Y52&lt;10000,0,MIN(0.1,INT(Y52/10000)/100))*Y52)</f>
        <v/>
      </c>
      <c r="CL52" s="7">
        <f>IF(CE52&lt;=0,0,IF(CH52=1,0,IF(CI52=1,MIN(CE52+CJ52,CK52),PMT(CF52,MAX(1,prestamos_plazoAnios-CG52),-CE52))))</f>
        <v/>
      </c>
      <c r="CM52" s="7">
        <f>IF(CE52&lt;=0,0,IF(CH52=1,CE52+CJ52,IF(CI52=1,MAX(0,CE52-MAX(CL52-CJ52,MIN(600,CL52))),MAX(0,CE52*(1+CF52)-CL52))))</f>
        <v/>
      </c>
      <c r="CN52" s="7">
        <f>IF(19=0,0,CN51)+IF(CI52=1,12*MIN(1,K52),0)</f>
        <v/>
      </c>
      <c r="CO52" s="7">
        <f>IF(AND(CI52=1,CN52&gt;=prestamos_pslfPagos,CM52&gt;0),CM52,0)</f>
        <v/>
      </c>
      <c r="CP52" s="7">
        <f>CM52-CO52</f>
        <v/>
      </c>
      <c r="CQ52" s="7">
        <f>IF(AND(CE52&gt;0,CH52=0,CI52=0),CG52+1,CG52)</f>
        <v/>
      </c>
      <c r="CR52" s="7">
        <f>IF(19=0,IF(personal_deudaEsFederal=1,0,personal_deudaEstudiantil),EA51)</f>
        <v/>
      </c>
      <c r="CS52" s="7">
        <f>IF(19=0,IF(personal_deudaEsFederal=1,prestamos_tasaPrivada,personal_tasaDeudaEstudiantil),EB51)</f>
        <v/>
      </c>
      <c r="CT52" s="7">
        <f>IF(19=0,0,EC51)</f>
        <v/>
      </c>
      <c r="CU52" s="7">
        <f>IF(OR(CR52&lt;=0,CH52=1),0,PMT(CS52,MAX(1,prestamos_plazoAnios-CT52),-CR52))</f>
        <v/>
      </c>
      <c r="CV52" s="7">
        <f>IF(CR52&lt;=0,0,IF(CH52=1,CR52*(1+CS52),MAX(0,CR52*(1+CS52)-CU52)))</f>
        <v/>
      </c>
      <c r="CW52" s="7">
        <f>IF(AND(CR52&gt;0,CH52=0),CT52+1,CT52)</f>
        <v/>
      </c>
      <c r="CX52" s="7">
        <f>IF(19=0,0,ED51)*(1+general_tasaDeudaConsumo)</f>
        <v/>
      </c>
      <c r="CY52" s="7">
        <f>L52*12*tiempos_travelGastoExtraMes*C52</f>
        <v/>
      </c>
      <c r="CZ52" s="7">
        <f>AJ52+CY52+CA52+CC52+CL52+CU52+I52+N52-BZ52-CB52</f>
        <v/>
      </c>
      <c r="DA52" s="7">
        <f>AH52-CZ52</f>
        <v/>
      </c>
      <c r="DB52" s="7">
        <f>IF(19=0,0,DB51)+DA52</f>
        <v/>
      </c>
      <c r="DC52" s="7">
        <f>AN52*vivienda_enganchePct+AN52*vivienda_cierrePct+general_reservaMeses/12*AJ52</f>
        <v/>
      </c>
      <c r="DD52" s="7">
        <f>IF(BB52=1,g_ret,IF(BD52&gt;0,MIN(1,DC52/BD52),1)*g_cash+(1-IF(BD52&gt;0,MIN(1,DC52/BD52),1))*g_ret)</f>
        <v/>
      </c>
      <c r="DE52" s="7">
        <f>IF(DA52&gt;=0,MIN(CX52,DA52),0)</f>
        <v/>
      </c>
      <c r="DF52" s="7">
        <f>IF(DA52&gt;=0,(1-general_tasaAhorro)*(DA52-DE52),0)</f>
        <v/>
      </c>
      <c r="DG52" s="7">
        <f>IF(DA52&gt;=0,DA52-DE52-DF52,0)</f>
        <v/>
      </c>
      <c r="DH52" s="7">
        <f>MIN(personal_rothAnual,DG52)</f>
        <v/>
      </c>
      <c r="DI52" s="7">
        <f>IF(AND(DA52&gt;=0,BB52=1,BP52+BT52&gt;0),MIN(vivienda_prepagoPct*(DG52-DH52),BP52+BT52),0)</f>
        <v/>
      </c>
      <c r="DJ52" s="7">
        <f>MIN(DI52,BP52)</f>
        <v/>
      </c>
      <c r="DK52" s="7">
        <f>IF(DA52&lt;0,MIN(MAX(0,BD52),-DA52),0)</f>
        <v/>
      </c>
      <c r="DL52" s="7">
        <f>IF(DA52&lt;0,-DA52-DK52,0)</f>
        <v/>
      </c>
      <c r="DM52" s="7">
        <f>IF(19=0,0,DZ51)</f>
        <v/>
      </c>
      <c r="DN52" s="7">
        <f>IF(AND(DL52&gt;0,J52&gt;0),MIN(DL52,MIN(prestamos_topeAnualPosgrado*MIN(1,J52),MAX(0,prestamos_topeTotalPosgrado-DM52))),0)</f>
        <v/>
      </c>
      <c r="DO52" s="7">
        <f>IF(AND(DL52&gt;0,J52&gt;0),DL52-DN52,0)</f>
        <v/>
      </c>
      <c r="DP52" s="7">
        <f>IF(AND(DL52&gt;0,J52&lt;=0),DL52,0)</f>
        <v/>
      </c>
      <c r="DQ52" s="7">
        <f>IF(DA52&gt;=0,DG52-DH52-DI52,-DK52)</f>
        <v/>
      </c>
      <c r="DR52" s="7">
        <f>BD52*(1+DD52)+DQ52*(1+DD52/2)</f>
        <v/>
      </c>
      <c r="DS52" s="7">
        <f>IF(19=0,personal_retiroInicial,DS51)*(1+g_ret)+(O52+P52+DH52)*(1+g_ret/2)</f>
        <v/>
      </c>
      <c r="DT52" s="7">
        <f>IF(BB52=1,BL52*(1+g_appr),0)</f>
        <v/>
      </c>
      <c r="DU52" s="7">
        <f>BP52-DJ52</f>
        <v/>
      </c>
      <c r="DV52" s="7">
        <f>BT52-(DI52-DJ52)</f>
        <v/>
      </c>
      <c r="DW52" s="7">
        <f>CP52+DN52</f>
        <v/>
      </c>
      <c r="DX52" s="7">
        <f>IF(DN52&gt;0,(CP52*CF52+DN52*prestamos_tasaFederalPosgrado)/(CP52+DN52),CF52)</f>
        <v/>
      </c>
      <c r="DY52" s="7">
        <f>IF(DN52&gt;0,0,CQ52)</f>
        <v/>
      </c>
      <c r="DZ52" s="7">
        <f>DM52+DN52</f>
        <v/>
      </c>
      <c r="EA52" s="7">
        <f>CV52+DO52</f>
        <v/>
      </c>
      <c r="EB52" s="7">
        <f>IF(DO52&gt;0,(CV52*CS52+DO52*prestamos_tasaPrivada)/(CV52+DO52),CS52)</f>
        <v/>
      </c>
      <c r="EC52" s="7">
        <f>IF(DO52&gt;0,0,CW52)</f>
        <v/>
      </c>
      <c r="ED52" s="7">
        <f>CX52-DE52+DP52</f>
        <v/>
      </c>
      <c r="EE52" s="7">
        <f>IF(IF(19=0,"",EE51)&lt;&gt;"",EE51,IF(AND(BB52=1,DU52&lt;=0.5,DV52&lt;=0.5,OR(BH52=0,BJ52=1)),A52,""))</f>
        <v/>
      </c>
      <c r="EF52" s="7">
        <f>DU52+DV52+DW52+EA52+ED52+CD52</f>
        <v/>
      </c>
      <c r="EG52" s="7">
        <f>DR52+DS52+DT52-EF52</f>
        <v/>
      </c>
      <c r="EH52" s="7">
        <f>EG52/(1+g_inf)^(A52+1-2026)</f>
        <v/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EH52"/>
  <sheetViews>
    <sheetView workbookViewId="0">
      <pane xSplit="1" ySplit="32" topLeftCell="B3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0" customWidth="1" min="1" max="1"/>
  </cols>
  <sheetData>
    <row r="1">
      <c r="A1" s="1" t="inlineStr">
        <is>
          <t>B3 · MD: no match → match al reintento</t>
        </is>
      </c>
    </row>
    <row r="2">
      <c r="A2" s="2" t="inlineStr">
        <is>
          <t>Etapas (celdas azules editables; fechas decimales: 2027.67 = sep-2027). Traslape por año en columnas T→AM. Hitos con costo en AN→AP.</t>
        </is>
      </c>
    </row>
    <row r="4">
      <c r="A4" s="5" t="inlineStr">
        <is>
          <t>Etapa</t>
        </is>
      </c>
      <c r="B4" s="5" t="inlineStr">
        <is>
          <t>Inicio</t>
        </is>
      </c>
      <c r="C4" s="5" t="inlineStr">
        <is>
          <t>Fin</t>
        </is>
      </c>
      <c r="D4" s="5" t="inlineStr">
        <is>
          <t>Rol</t>
        </is>
      </c>
      <c r="E4" s="5" t="inlineStr">
        <is>
          <t>Salario base FT 2026 ($)</t>
        </is>
      </c>
      <c r="F4" s="5" t="inlineStr">
        <is>
          <t>Aumento anual</t>
        </is>
      </c>
      <c r="G4" s="5" t="inlineStr">
        <is>
          <t>Horas (FTE)</t>
        </is>
      </c>
      <c r="H4" s="5" t="inlineStr">
        <is>
          <t>Multiplicador</t>
        </is>
      </c>
      <c r="I4" s="5" t="inlineStr">
        <is>
          <t>Bono al inicio</t>
        </is>
      </c>
      <c r="J4" s="5" t="inlineStr">
        <is>
          <t>Matrícula total (2026$)</t>
        </is>
      </c>
      <c r="K4" s="5" t="inlineStr">
        <is>
          <t>Estudio (1/0)</t>
        </is>
      </c>
      <c r="L4" s="5" t="inlineStr">
        <is>
          <t>PSLF (1/0)</t>
        </is>
      </c>
      <c r="M4" s="5" t="inlineStr">
        <is>
          <t>Match 403b (1/0)</t>
        </is>
      </c>
      <c r="N4" s="5" t="inlineStr">
        <is>
          <t>Travel (1/0)</t>
        </is>
      </c>
      <c r="O4" s="5" t="inlineStr">
        <is>
          <t>% stipend libre</t>
        </is>
      </c>
      <c r="P4" s="5" t="inlineStr">
        <is>
          <t>S-corp anual base</t>
        </is>
      </c>
      <c r="Q4" s="5" t="inlineStr">
        <is>
          <t>Autoempleo anual base</t>
        </is>
      </c>
      <c r="R4" s="5" t="inlineStr">
        <is>
          <t>Attending (1/0)</t>
        </is>
      </c>
      <c r="T4" s="8" t="n">
        <v>2027</v>
      </c>
      <c r="U4" s="8" t="n">
        <v>2028</v>
      </c>
      <c r="V4" s="8" t="n">
        <v>2029</v>
      </c>
      <c r="W4" s="8" t="n">
        <v>2030</v>
      </c>
      <c r="X4" s="8" t="n">
        <v>2031</v>
      </c>
      <c r="Y4" s="8" t="n">
        <v>2032</v>
      </c>
      <c r="Z4" s="8" t="n">
        <v>2033</v>
      </c>
      <c r="AA4" s="8" t="n">
        <v>2034</v>
      </c>
      <c r="AB4" s="8" t="n">
        <v>2035</v>
      </c>
      <c r="AC4" s="8" t="n">
        <v>2036</v>
      </c>
      <c r="AD4" s="8" t="n">
        <v>2037</v>
      </c>
      <c r="AE4" s="8" t="n">
        <v>2038</v>
      </c>
      <c r="AF4" s="8" t="n">
        <v>2039</v>
      </c>
      <c r="AG4" s="8" t="n">
        <v>2040</v>
      </c>
      <c r="AH4" s="8" t="n">
        <v>2041</v>
      </c>
      <c r="AI4" s="8" t="n">
        <v>2042</v>
      </c>
      <c r="AJ4" s="8" t="n">
        <v>2043</v>
      </c>
      <c r="AK4" s="8" t="n">
        <v>2044</v>
      </c>
      <c r="AL4" s="8" t="n">
        <v>2045</v>
      </c>
      <c r="AM4" s="8" t="n">
        <v>2046</v>
      </c>
      <c r="AN4" s="5" t="inlineStr">
        <is>
          <t>Hito</t>
        </is>
      </c>
      <c r="AO4" s="5" t="inlineStr">
        <is>
          <t>Fecha</t>
        </is>
      </c>
      <c r="AP4" s="5" t="inlineStr">
        <is>
          <t>Costo (2026$)</t>
        </is>
      </c>
    </row>
    <row r="5">
      <c r="A5" t="inlineStr">
        <is>
          <t>Case manager + estudio USMLE</t>
        </is>
      </c>
      <c r="B5" s="3" t="n">
        <v>2027</v>
      </c>
      <c r="C5" s="3" t="n">
        <v>2027.5</v>
      </c>
      <c r="D5" t="inlineStr">
        <is>
          <t>cm</t>
        </is>
      </c>
      <c r="E5">
        <f>personal_tarifaHora*2080*loc_factorRN/ubic_miami_factorRN</f>
        <v/>
      </c>
      <c r="F5">
        <f>roles_cm_aumento</f>
        <v/>
      </c>
      <c r="G5">
        <f>md_horasTrabajoEstudiando/40</f>
        <v/>
      </c>
      <c r="H5" s="3" t="n">
        <v>1</v>
      </c>
      <c r="I5" s="3" t="n">
        <v>0</v>
      </c>
      <c r="J5" s="3" t="n">
        <v>0</v>
      </c>
      <c r="K5" s="3" t="n">
        <v>0</v>
      </c>
      <c r="L5" s="3" t="n">
        <v>1</v>
      </c>
      <c r="M5" s="3" t="n">
        <v>1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T5">
        <f>MAX(0,MIN($C5,T$4+1)-MAX($B5,T$4))</f>
        <v/>
      </c>
      <c r="U5">
        <f>MAX(0,MIN($C5,U$4+1)-MAX($B5,U$4))</f>
        <v/>
      </c>
      <c r="V5">
        <f>MAX(0,MIN($C5,V$4+1)-MAX($B5,V$4))</f>
        <v/>
      </c>
      <c r="W5">
        <f>MAX(0,MIN($C5,W$4+1)-MAX($B5,W$4))</f>
        <v/>
      </c>
      <c r="X5">
        <f>MAX(0,MIN($C5,X$4+1)-MAX($B5,X$4))</f>
        <v/>
      </c>
      <c r="Y5">
        <f>MAX(0,MIN($C5,Y$4+1)-MAX($B5,Y$4))</f>
        <v/>
      </c>
      <c r="Z5">
        <f>MAX(0,MIN($C5,Z$4+1)-MAX($B5,Z$4))</f>
        <v/>
      </c>
      <c r="AA5">
        <f>MAX(0,MIN($C5,AA$4+1)-MAX($B5,AA$4))</f>
        <v/>
      </c>
      <c r="AB5">
        <f>MAX(0,MIN($C5,AB$4+1)-MAX($B5,AB$4))</f>
        <v/>
      </c>
      <c r="AC5">
        <f>MAX(0,MIN($C5,AC$4+1)-MAX($B5,AC$4))</f>
        <v/>
      </c>
      <c r="AD5">
        <f>MAX(0,MIN($C5,AD$4+1)-MAX($B5,AD$4))</f>
        <v/>
      </c>
      <c r="AE5">
        <f>MAX(0,MIN($C5,AE$4+1)-MAX($B5,AE$4))</f>
        <v/>
      </c>
      <c r="AF5">
        <f>MAX(0,MIN($C5,AF$4+1)-MAX($B5,AF$4))</f>
        <v/>
      </c>
      <c r="AG5">
        <f>MAX(0,MIN($C5,AG$4+1)-MAX($B5,AG$4))</f>
        <v/>
      </c>
      <c r="AH5">
        <f>MAX(0,MIN($C5,AH$4+1)-MAX($B5,AH$4))</f>
        <v/>
      </c>
      <c r="AI5">
        <f>MAX(0,MIN($C5,AI$4+1)-MAX($B5,AI$4))</f>
        <v/>
      </c>
      <c r="AJ5">
        <f>MAX(0,MIN($C5,AJ$4+1)-MAX($B5,AJ$4))</f>
        <v/>
      </c>
      <c r="AK5">
        <f>MAX(0,MIN($C5,AK$4+1)-MAX($B5,AK$4))</f>
        <v/>
      </c>
      <c r="AL5">
        <f>MAX(0,MIN($C5,AL$4+1)-MAX($B5,AL$4))</f>
        <v/>
      </c>
      <c r="AM5">
        <f>MAX(0,MIN($C5,AM$4+1)-MAX($B5,AM$4))</f>
        <v/>
      </c>
      <c r="AN5" t="inlineStr">
        <is>
          <t>Graduación RN-BSN</t>
        </is>
      </c>
      <c r="AO5" s="3" t="n">
        <v>2027.5</v>
      </c>
      <c r="AP5" s="3" t="n">
        <v>0</v>
      </c>
    </row>
    <row r="6">
      <c r="A6" t="inlineStr">
        <is>
          <t>Estudio dedicado Step 1 (sin sueldo)</t>
        </is>
      </c>
      <c r="B6" s="3" t="n">
        <v>2027.5</v>
      </c>
      <c r="C6" s="3" t="n">
        <v>2027.67</v>
      </c>
      <c r="D6" t="inlineStr"/>
      <c r="E6" t="n">
        <v>0</v>
      </c>
      <c r="F6" t="n">
        <v>0</v>
      </c>
      <c r="G6" s="3" t="n">
        <v>1</v>
      </c>
      <c r="H6" s="3" t="n">
        <v>1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  <c r="T6">
        <f>MAX(0,MIN($C6,T$4+1)-MAX($B6,T$4))</f>
        <v/>
      </c>
      <c r="U6">
        <f>MAX(0,MIN($C6,U$4+1)-MAX($B6,U$4))</f>
        <v/>
      </c>
      <c r="V6">
        <f>MAX(0,MIN($C6,V$4+1)-MAX($B6,V$4))</f>
        <v/>
      </c>
      <c r="W6">
        <f>MAX(0,MIN($C6,W$4+1)-MAX($B6,W$4))</f>
        <v/>
      </c>
      <c r="X6">
        <f>MAX(0,MIN($C6,X$4+1)-MAX($B6,X$4))</f>
        <v/>
      </c>
      <c r="Y6">
        <f>MAX(0,MIN($C6,Y$4+1)-MAX($B6,Y$4))</f>
        <v/>
      </c>
      <c r="Z6">
        <f>MAX(0,MIN($C6,Z$4+1)-MAX($B6,Z$4))</f>
        <v/>
      </c>
      <c r="AA6">
        <f>MAX(0,MIN($C6,AA$4+1)-MAX($B6,AA$4))</f>
        <v/>
      </c>
      <c r="AB6">
        <f>MAX(0,MIN($C6,AB$4+1)-MAX($B6,AB$4))</f>
        <v/>
      </c>
      <c r="AC6">
        <f>MAX(0,MIN($C6,AC$4+1)-MAX($B6,AC$4))</f>
        <v/>
      </c>
      <c r="AD6">
        <f>MAX(0,MIN($C6,AD$4+1)-MAX($B6,AD$4))</f>
        <v/>
      </c>
      <c r="AE6">
        <f>MAX(0,MIN($C6,AE$4+1)-MAX($B6,AE$4))</f>
        <v/>
      </c>
      <c r="AF6">
        <f>MAX(0,MIN($C6,AF$4+1)-MAX($B6,AF$4))</f>
        <v/>
      </c>
      <c r="AG6">
        <f>MAX(0,MIN($C6,AG$4+1)-MAX($B6,AG$4))</f>
        <v/>
      </c>
      <c r="AH6">
        <f>MAX(0,MIN($C6,AH$4+1)-MAX($B6,AH$4))</f>
        <v/>
      </c>
      <c r="AI6">
        <f>MAX(0,MIN($C6,AI$4+1)-MAX($B6,AI$4))</f>
        <v/>
      </c>
      <c r="AJ6">
        <f>MAX(0,MIN($C6,AJ$4+1)-MAX($B6,AJ$4))</f>
        <v/>
      </c>
      <c r="AK6">
        <f>MAX(0,MIN($C6,AK$4+1)-MAX($B6,AK$4))</f>
        <v/>
      </c>
      <c r="AL6">
        <f>MAX(0,MIN($C6,AL$4+1)-MAX($B6,AL$4))</f>
        <v/>
      </c>
      <c r="AM6">
        <f>MAX(0,MIN($C6,AM$4+1)-MAX($B6,AM$4))</f>
        <v/>
      </c>
      <c r="AN6" t="inlineStr">
        <is>
          <t>Matrícula restante BSN</t>
        </is>
      </c>
      <c r="AO6" s="3" t="n">
        <v>2027</v>
      </c>
      <c r="AP6" s="3">
        <f>personal_bsnCostoRestante</f>
        <v/>
      </c>
    </row>
    <row r="7">
      <c r="A7" t="inlineStr">
        <is>
          <t>Case manager + estudio Step 2 CK (BSN)</t>
        </is>
      </c>
      <c r="B7" s="3" t="n">
        <v>2027.67</v>
      </c>
      <c r="C7" s="3" t="n">
        <v>2028.15</v>
      </c>
      <c r="D7" t="inlineStr">
        <is>
          <t>cm</t>
        </is>
      </c>
      <c r="E7">
        <f>personal_tarifaHora*2080*loc_factorRN/ubic_miami_factorRN</f>
        <v/>
      </c>
      <c r="F7">
        <f>roles_cm_aumento</f>
        <v/>
      </c>
      <c r="G7">
        <f>md_horasTrabajoEstudiando/40</f>
        <v/>
      </c>
      <c r="H7">
        <f>1+personal_bsnAumento</f>
        <v/>
      </c>
      <c r="I7" s="3" t="n">
        <v>0</v>
      </c>
      <c r="J7" s="3" t="n">
        <v>0</v>
      </c>
      <c r="K7" s="3" t="n">
        <v>0</v>
      </c>
      <c r="L7" s="3" t="n">
        <v>1</v>
      </c>
      <c r="M7" s="3" t="n">
        <v>1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T7">
        <f>MAX(0,MIN($C7,T$4+1)-MAX($B7,T$4))</f>
        <v/>
      </c>
      <c r="U7">
        <f>MAX(0,MIN($C7,U$4+1)-MAX($B7,U$4))</f>
        <v/>
      </c>
      <c r="V7">
        <f>MAX(0,MIN($C7,V$4+1)-MAX($B7,V$4))</f>
        <v/>
      </c>
      <c r="W7">
        <f>MAX(0,MIN($C7,W$4+1)-MAX($B7,W$4))</f>
        <v/>
      </c>
      <c r="X7">
        <f>MAX(0,MIN($C7,X$4+1)-MAX($B7,X$4))</f>
        <v/>
      </c>
      <c r="Y7">
        <f>MAX(0,MIN($C7,Y$4+1)-MAX($B7,Y$4))</f>
        <v/>
      </c>
      <c r="Z7">
        <f>MAX(0,MIN($C7,Z$4+1)-MAX($B7,Z$4))</f>
        <v/>
      </c>
      <c r="AA7">
        <f>MAX(0,MIN($C7,AA$4+1)-MAX($B7,AA$4))</f>
        <v/>
      </c>
      <c r="AB7">
        <f>MAX(0,MIN($C7,AB$4+1)-MAX($B7,AB$4))</f>
        <v/>
      </c>
      <c r="AC7">
        <f>MAX(0,MIN($C7,AC$4+1)-MAX($B7,AC$4))</f>
        <v/>
      </c>
      <c r="AD7">
        <f>MAX(0,MIN($C7,AD$4+1)-MAX($B7,AD$4))</f>
        <v/>
      </c>
      <c r="AE7">
        <f>MAX(0,MIN($C7,AE$4+1)-MAX($B7,AE$4))</f>
        <v/>
      </c>
      <c r="AF7">
        <f>MAX(0,MIN($C7,AF$4+1)-MAX($B7,AF$4))</f>
        <v/>
      </c>
      <c r="AG7">
        <f>MAX(0,MIN($C7,AG$4+1)-MAX($B7,AG$4))</f>
        <v/>
      </c>
      <c r="AH7">
        <f>MAX(0,MIN($C7,AH$4+1)-MAX($B7,AH$4))</f>
        <v/>
      </c>
      <c r="AI7">
        <f>MAX(0,MIN($C7,AI$4+1)-MAX($B7,AI$4))</f>
        <v/>
      </c>
      <c r="AJ7">
        <f>MAX(0,MIN($C7,AJ$4+1)-MAX($B7,AJ$4))</f>
        <v/>
      </c>
      <c r="AK7">
        <f>MAX(0,MIN($C7,AK$4+1)-MAX($B7,AK$4))</f>
        <v/>
      </c>
      <c r="AL7">
        <f>MAX(0,MIN($C7,AL$4+1)-MAX($B7,AL$4))</f>
        <v/>
      </c>
      <c r="AM7">
        <f>MAX(0,MIN($C7,AM$4+1)-MAX($B7,AM$4))</f>
        <v/>
      </c>
      <c r="AN7" t="inlineStr">
        <is>
          <t>Step 1</t>
        </is>
      </c>
      <c r="AO7" s="3" t="n">
        <v>2027.67</v>
      </c>
      <c r="AP7" s="3">
        <f>md_costoStep1+md_costoPrepUSMLE</f>
        <v/>
      </c>
    </row>
    <row r="8">
      <c r="A8" t="inlineStr">
        <is>
          <t>Estudio dedicado Step 2 CK (sin sueldo)</t>
        </is>
      </c>
      <c r="B8" s="3" t="n">
        <v>2028.15</v>
      </c>
      <c r="C8" s="3" t="n">
        <v>2028.27</v>
      </c>
      <c r="D8" t="inlineStr"/>
      <c r="E8" t="n">
        <v>0</v>
      </c>
      <c r="F8" t="n">
        <v>0</v>
      </c>
      <c r="G8" s="3" t="n">
        <v>1</v>
      </c>
      <c r="H8" s="3" t="n">
        <v>1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T8">
        <f>MAX(0,MIN($C8,T$4+1)-MAX($B8,T$4))</f>
        <v/>
      </c>
      <c r="U8">
        <f>MAX(0,MIN($C8,U$4+1)-MAX($B8,U$4))</f>
        <v/>
      </c>
      <c r="V8">
        <f>MAX(0,MIN($C8,V$4+1)-MAX($B8,V$4))</f>
        <v/>
      </c>
      <c r="W8">
        <f>MAX(0,MIN($C8,W$4+1)-MAX($B8,W$4))</f>
        <v/>
      </c>
      <c r="X8">
        <f>MAX(0,MIN($C8,X$4+1)-MAX($B8,X$4))</f>
        <v/>
      </c>
      <c r="Y8">
        <f>MAX(0,MIN($C8,Y$4+1)-MAX($B8,Y$4))</f>
        <v/>
      </c>
      <c r="Z8">
        <f>MAX(0,MIN($C8,Z$4+1)-MAX($B8,Z$4))</f>
        <v/>
      </c>
      <c r="AA8">
        <f>MAX(0,MIN($C8,AA$4+1)-MAX($B8,AA$4))</f>
        <v/>
      </c>
      <c r="AB8">
        <f>MAX(0,MIN($C8,AB$4+1)-MAX($B8,AB$4))</f>
        <v/>
      </c>
      <c r="AC8">
        <f>MAX(0,MIN($C8,AC$4+1)-MAX($B8,AC$4))</f>
        <v/>
      </c>
      <c r="AD8">
        <f>MAX(0,MIN($C8,AD$4+1)-MAX($B8,AD$4))</f>
        <v/>
      </c>
      <c r="AE8">
        <f>MAX(0,MIN($C8,AE$4+1)-MAX($B8,AE$4))</f>
        <v/>
      </c>
      <c r="AF8">
        <f>MAX(0,MIN($C8,AF$4+1)-MAX($B8,AF$4))</f>
        <v/>
      </c>
      <c r="AG8">
        <f>MAX(0,MIN($C8,AG$4+1)-MAX($B8,AG$4))</f>
        <v/>
      </c>
      <c r="AH8">
        <f>MAX(0,MIN($C8,AH$4+1)-MAX($B8,AH$4))</f>
        <v/>
      </c>
      <c r="AI8">
        <f>MAX(0,MIN($C8,AI$4+1)-MAX($B8,AI$4))</f>
        <v/>
      </c>
      <c r="AJ8">
        <f>MAX(0,MIN($C8,AJ$4+1)-MAX($B8,AJ$4))</f>
        <v/>
      </c>
      <c r="AK8">
        <f>MAX(0,MIN($C8,AK$4+1)-MAX($B8,AK$4))</f>
        <v/>
      </c>
      <c r="AL8">
        <f>MAX(0,MIN($C8,AL$4+1)-MAX($B8,AL$4))</f>
        <v/>
      </c>
      <c r="AM8">
        <f>MAX(0,MIN($C8,AM$4+1)-MAX($B8,AM$4))</f>
        <v/>
      </c>
      <c r="AN8" t="inlineStr">
        <is>
          <t>Step 2 CK + ECFMG/OET</t>
        </is>
      </c>
      <c r="AO8" s="3" t="n">
        <v>2028.27</v>
      </c>
      <c r="AP8" s="3">
        <f>md_costoStep2+md_costoECFMG</f>
        <v/>
      </c>
    </row>
    <row r="9">
      <c r="A9" t="inlineStr">
        <is>
          <t>USCE (observership/externship)</t>
        </is>
      </c>
      <c r="B9" s="3" t="n">
        <v>2028.27</v>
      </c>
      <c r="C9" s="3" t="n">
        <v>2028.52</v>
      </c>
      <c r="D9" t="inlineStr"/>
      <c r="E9" t="n">
        <v>0</v>
      </c>
      <c r="F9" t="n">
        <v>0</v>
      </c>
      <c r="G9" s="3" t="n">
        <v>1</v>
      </c>
      <c r="H9" s="3" t="n">
        <v>1</v>
      </c>
      <c r="I9" s="3" t="n">
        <v>0</v>
      </c>
      <c r="J9">
        <f>md_usceCostoMes*12*md_usceDuracion</f>
        <v/>
      </c>
      <c r="K9" s="3" t="n">
        <v>0</v>
      </c>
      <c r="L9" s="3" t="n">
        <v>0</v>
      </c>
      <c r="M9" s="3" t="n">
        <v>0</v>
      </c>
      <c r="N9" s="3" t="n">
        <v>0</v>
      </c>
      <c r="O9" s="3" t="n">
        <v>0</v>
      </c>
      <c r="P9" s="3" t="n">
        <v>0</v>
      </c>
      <c r="Q9" s="3" t="n">
        <v>0</v>
      </c>
      <c r="R9" s="3" t="n">
        <v>0</v>
      </c>
      <c r="T9">
        <f>MAX(0,MIN($C9,T$4+1)-MAX($B9,T$4))</f>
        <v/>
      </c>
      <c r="U9">
        <f>MAX(0,MIN($C9,U$4+1)-MAX($B9,U$4))</f>
        <v/>
      </c>
      <c r="V9">
        <f>MAX(0,MIN($C9,V$4+1)-MAX($B9,V$4))</f>
        <v/>
      </c>
      <c r="W9">
        <f>MAX(0,MIN($C9,W$4+1)-MAX($B9,W$4))</f>
        <v/>
      </c>
      <c r="X9">
        <f>MAX(0,MIN($C9,X$4+1)-MAX($B9,X$4))</f>
        <v/>
      </c>
      <c r="Y9">
        <f>MAX(0,MIN($C9,Y$4+1)-MAX($B9,Y$4))</f>
        <v/>
      </c>
      <c r="Z9">
        <f>MAX(0,MIN($C9,Z$4+1)-MAX($B9,Z$4))</f>
        <v/>
      </c>
      <c r="AA9">
        <f>MAX(0,MIN($C9,AA$4+1)-MAX($B9,AA$4))</f>
        <v/>
      </c>
      <c r="AB9">
        <f>MAX(0,MIN($C9,AB$4+1)-MAX($B9,AB$4))</f>
        <v/>
      </c>
      <c r="AC9">
        <f>MAX(0,MIN($C9,AC$4+1)-MAX($B9,AC$4))</f>
        <v/>
      </c>
      <c r="AD9">
        <f>MAX(0,MIN($C9,AD$4+1)-MAX($B9,AD$4))</f>
        <v/>
      </c>
      <c r="AE9">
        <f>MAX(0,MIN($C9,AE$4+1)-MAX($B9,AE$4))</f>
        <v/>
      </c>
      <c r="AF9">
        <f>MAX(0,MIN($C9,AF$4+1)-MAX($B9,AF$4))</f>
        <v/>
      </c>
      <c r="AG9">
        <f>MAX(0,MIN($C9,AG$4+1)-MAX($B9,AG$4))</f>
        <v/>
      </c>
      <c r="AH9">
        <f>MAX(0,MIN($C9,AH$4+1)-MAX($B9,AH$4))</f>
        <v/>
      </c>
      <c r="AI9">
        <f>MAX(0,MIN($C9,AI$4+1)-MAX($B9,AI$4))</f>
        <v/>
      </c>
      <c r="AJ9">
        <f>MAX(0,MIN($C9,AJ$4+1)-MAX($B9,AJ$4))</f>
        <v/>
      </c>
      <c r="AK9">
        <f>MAX(0,MIN($C9,AK$4+1)-MAX($B9,AK$4))</f>
        <v/>
      </c>
      <c r="AL9">
        <f>MAX(0,MIN($C9,AL$4+1)-MAX($B9,AL$4))</f>
        <v/>
      </c>
      <c r="AM9">
        <f>MAX(0,MIN($C9,AM$4+1)-MAX($B9,AM$4))</f>
        <v/>
      </c>
      <c r="AN9" t="inlineStr">
        <is>
          <t>ERAS</t>
        </is>
      </c>
      <c r="AO9" s="3" t="n">
        <v>2028.7</v>
      </c>
      <c r="AP9" s="3">
        <f>md_costoERAS+md_costoEntrevistas</f>
        <v/>
      </c>
    </row>
    <row r="10">
      <c r="A10" t="inlineStr">
        <is>
          <t>Case manager (reintento) (BSN)</t>
        </is>
      </c>
      <c r="B10" s="3" t="n">
        <v>2028.52</v>
      </c>
      <c r="C10" s="3" t="n">
        <v>2029.5</v>
      </c>
      <c r="D10" t="inlineStr">
        <is>
          <t>cm</t>
        </is>
      </c>
      <c r="E10">
        <f>personal_tarifaHora*2080*loc_factorRN/ubic_miami_factorRN</f>
        <v/>
      </c>
      <c r="F10">
        <f>roles_cm_aumento</f>
        <v/>
      </c>
      <c r="G10">
        <f>personal_horasSemana/40</f>
        <v/>
      </c>
      <c r="H10">
        <f>1+personal_bsnAumento</f>
        <v/>
      </c>
      <c r="I10" s="3" t="n">
        <v>0</v>
      </c>
      <c r="J10" s="3" t="n">
        <v>0</v>
      </c>
      <c r="K10" s="3" t="n">
        <v>0</v>
      </c>
      <c r="L10" s="3" t="n">
        <v>1</v>
      </c>
      <c r="M10" s="3" t="n">
        <v>1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T10">
        <f>MAX(0,MIN($C10,T$4+1)-MAX($B10,T$4))</f>
        <v/>
      </c>
      <c r="U10">
        <f>MAX(0,MIN($C10,U$4+1)-MAX($B10,U$4))</f>
        <v/>
      </c>
      <c r="V10">
        <f>MAX(0,MIN($C10,V$4+1)-MAX($B10,V$4))</f>
        <v/>
      </c>
      <c r="W10">
        <f>MAX(0,MIN($C10,W$4+1)-MAX($B10,W$4))</f>
        <v/>
      </c>
      <c r="X10">
        <f>MAX(0,MIN($C10,X$4+1)-MAX($B10,X$4))</f>
        <v/>
      </c>
      <c r="Y10">
        <f>MAX(0,MIN($C10,Y$4+1)-MAX($B10,Y$4))</f>
        <v/>
      </c>
      <c r="Z10">
        <f>MAX(0,MIN($C10,Z$4+1)-MAX($B10,Z$4))</f>
        <v/>
      </c>
      <c r="AA10">
        <f>MAX(0,MIN($C10,AA$4+1)-MAX($B10,AA$4))</f>
        <v/>
      </c>
      <c r="AB10">
        <f>MAX(0,MIN($C10,AB$4+1)-MAX($B10,AB$4))</f>
        <v/>
      </c>
      <c r="AC10">
        <f>MAX(0,MIN($C10,AC$4+1)-MAX($B10,AC$4))</f>
        <v/>
      </c>
      <c r="AD10">
        <f>MAX(0,MIN($C10,AD$4+1)-MAX($B10,AD$4))</f>
        <v/>
      </c>
      <c r="AE10">
        <f>MAX(0,MIN($C10,AE$4+1)-MAX($B10,AE$4))</f>
        <v/>
      </c>
      <c r="AF10">
        <f>MAX(0,MIN($C10,AF$4+1)-MAX($B10,AF$4))</f>
        <v/>
      </c>
      <c r="AG10">
        <f>MAX(0,MIN($C10,AG$4+1)-MAX($B10,AG$4))</f>
        <v/>
      </c>
      <c r="AH10">
        <f>MAX(0,MIN($C10,AH$4+1)-MAX($B10,AH$4))</f>
        <v/>
      </c>
      <c r="AI10">
        <f>MAX(0,MIN($C10,AI$4+1)-MAX($B10,AI$4))</f>
        <v/>
      </c>
      <c r="AJ10">
        <f>MAX(0,MIN($C10,AJ$4+1)-MAX($B10,AJ$4))</f>
        <v/>
      </c>
      <c r="AK10">
        <f>MAX(0,MIN($C10,AK$4+1)-MAX($B10,AK$4))</f>
        <v/>
      </c>
      <c r="AL10">
        <f>MAX(0,MIN($C10,AL$4+1)-MAX($B10,AL$4))</f>
        <v/>
      </c>
      <c r="AM10">
        <f>MAX(0,MIN($C10,AM$4+1)-MAX($B10,AM$4))</f>
        <v/>
      </c>
      <c r="AN10" t="inlineStr">
        <is>
          <t>Sin match</t>
        </is>
      </c>
      <c r="AO10" s="3" t="n">
        <v>2029.21</v>
      </c>
      <c r="AP10" s="3" t="n">
        <v>0</v>
      </c>
    </row>
    <row r="11">
      <c r="A11" t="inlineStr">
        <is>
          <t>Case manager (temporada de entrevistas) (BSN)</t>
        </is>
      </c>
      <c r="B11" s="3" t="n">
        <v>2029.5</v>
      </c>
      <c r="C11" s="3" t="n">
        <v>2030.5</v>
      </c>
      <c r="D11" t="inlineStr">
        <is>
          <t>cm</t>
        </is>
      </c>
      <c r="E11">
        <f>personal_tarifaHora*2080*loc_factorRN/ubic_miami_factorRN</f>
        <v/>
      </c>
      <c r="F11">
        <f>roles_cm_aumento</f>
        <v/>
      </c>
      <c r="G11">
        <f>personal_horasSemana/40</f>
        <v/>
      </c>
      <c r="H11">
        <f>1+personal_bsnAumento</f>
        <v/>
      </c>
      <c r="I11" s="3" t="n">
        <v>0</v>
      </c>
      <c r="J11" s="3" t="n">
        <v>0</v>
      </c>
      <c r="K11" s="3" t="n">
        <v>0</v>
      </c>
      <c r="L11" s="3" t="n">
        <v>1</v>
      </c>
      <c r="M11" s="3" t="n">
        <v>1</v>
      </c>
      <c r="N11" s="3" t="n">
        <v>0</v>
      </c>
      <c r="O11" s="3" t="n">
        <v>0</v>
      </c>
      <c r="P11" s="3" t="n">
        <v>0</v>
      </c>
      <c r="Q11" s="3" t="n">
        <v>0</v>
      </c>
      <c r="R11" s="3" t="n">
        <v>0</v>
      </c>
      <c r="T11">
        <f>MAX(0,MIN($C11,T$4+1)-MAX($B11,T$4))</f>
        <v/>
      </c>
      <c r="U11">
        <f>MAX(0,MIN($C11,U$4+1)-MAX($B11,U$4))</f>
        <v/>
      </c>
      <c r="V11">
        <f>MAX(0,MIN($C11,V$4+1)-MAX($B11,V$4))</f>
        <v/>
      </c>
      <c r="W11">
        <f>MAX(0,MIN($C11,W$4+1)-MAX($B11,W$4))</f>
        <v/>
      </c>
      <c r="X11">
        <f>MAX(0,MIN($C11,X$4+1)-MAX($B11,X$4))</f>
        <v/>
      </c>
      <c r="Y11">
        <f>MAX(0,MIN($C11,Y$4+1)-MAX($B11,Y$4))</f>
        <v/>
      </c>
      <c r="Z11">
        <f>MAX(0,MIN($C11,Z$4+1)-MAX($B11,Z$4))</f>
        <v/>
      </c>
      <c r="AA11">
        <f>MAX(0,MIN($C11,AA$4+1)-MAX($B11,AA$4))</f>
        <v/>
      </c>
      <c r="AB11">
        <f>MAX(0,MIN($C11,AB$4+1)-MAX($B11,AB$4))</f>
        <v/>
      </c>
      <c r="AC11">
        <f>MAX(0,MIN($C11,AC$4+1)-MAX($B11,AC$4))</f>
        <v/>
      </c>
      <c r="AD11">
        <f>MAX(0,MIN($C11,AD$4+1)-MAX($B11,AD$4))</f>
        <v/>
      </c>
      <c r="AE11">
        <f>MAX(0,MIN($C11,AE$4+1)-MAX($B11,AE$4))</f>
        <v/>
      </c>
      <c r="AF11">
        <f>MAX(0,MIN($C11,AF$4+1)-MAX($B11,AF$4))</f>
        <v/>
      </c>
      <c r="AG11">
        <f>MAX(0,MIN($C11,AG$4+1)-MAX($B11,AG$4))</f>
        <v/>
      </c>
      <c r="AH11">
        <f>MAX(0,MIN($C11,AH$4+1)-MAX($B11,AH$4))</f>
        <v/>
      </c>
      <c r="AI11">
        <f>MAX(0,MIN($C11,AI$4+1)-MAX($B11,AI$4))</f>
        <v/>
      </c>
      <c r="AJ11">
        <f>MAX(0,MIN($C11,AJ$4+1)-MAX($B11,AJ$4))</f>
        <v/>
      </c>
      <c r="AK11">
        <f>MAX(0,MIN($C11,AK$4+1)-MAX($B11,AK$4))</f>
        <v/>
      </c>
      <c r="AL11">
        <f>MAX(0,MIN($C11,AL$4+1)-MAX($B11,AL$4))</f>
        <v/>
      </c>
      <c r="AM11">
        <f>MAX(0,MIN($C11,AM$4+1)-MAX($B11,AM$4))</f>
        <v/>
      </c>
      <c r="AN11" t="inlineStr">
        <is>
          <t>ERAS (reintento)</t>
        </is>
      </c>
      <c r="AO11" s="3" t="n">
        <v>2029.7</v>
      </c>
      <c r="AP11" s="3">
        <f>md_costoERAS+md_costoEntrevistas</f>
        <v/>
      </c>
    </row>
    <row r="12">
      <c r="A12" t="inlineStr">
        <is>
          <t>Residencia PGY-1</t>
        </is>
      </c>
      <c r="B12" s="3" t="n">
        <v>2030.5</v>
      </c>
      <c r="C12" s="3" t="n">
        <v>2031.5</v>
      </c>
      <c r="D12" t="inlineStr">
        <is>
          <t>residente</t>
        </is>
      </c>
      <c r="E12">
        <f>loc_residentePGY1</f>
        <v/>
      </c>
      <c r="F12">
        <f>g_inf+0.005</f>
        <v/>
      </c>
      <c r="G12" s="3" t="n">
        <v>1</v>
      </c>
      <c r="H12" s="3" t="n">
        <v>1</v>
      </c>
      <c r="I12" s="3" t="n">
        <v>0</v>
      </c>
      <c r="J12" s="3" t="n">
        <v>0</v>
      </c>
      <c r="K12" s="3" t="n">
        <v>0</v>
      </c>
      <c r="L12">
        <f>md_residentePslf</f>
        <v/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T12">
        <f>MAX(0,MIN($C12,T$4+1)-MAX($B12,T$4))</f>
        <v/>
      </c>
      <c r="U12">
        <f>MAX(0,MIN($C12,U$4+1)-MAX($B12,U$4))</f>
        <v/>
      </c>
      <c r="V12">
        <f>MAX(0,MIN($C12,V$4+1)-MAX($B12,V$4))</f>
        <v/>
      </c>
      <c r="W12">
        <f>MAX(0,MIN($C12,W$4+1)-MAX($B12,W$4))</f>
        <v/>
      </c>
      <c r="X12">
        <f>MAX(0,MIN($C12,X$4+1)-MAX($B12,X$4))</f>
        <v/>
      </c>
      <c r="Y12">
        <f>MAX(0,MIN($C12,Y$4+1)-MAX($B12,Y$4))</f>
        <v/>
      </c>
      <c r="Z12">
        <f>MAX(0,MIN($C12,Z$4+1)-MAX($B12,Z$4))</f>
        <v/>
      </c>
      <c r="AA12">
        <f>MAX(0,MIN($C12,AA$4+1)-MAX($B12,AA$4))</f>
        <v/>
      </c>
      <c r="AB12">
        <f>MAX(0,MIN($C12,AB$4+1)-MAX($B12,AB$4))</f>
        <v/>
      </c>
      <c r="AC12">
        <f>MAX(0,MIN($C12,AC$4+1)-MAX($B12,AC$4))</f>
        <v/>
      </c>
      <c r="AD12">
        <f>MAX(0,MIN($C12,AD$4+1)-MAX($B12,AD$4))</f>
        <v/>
      </c>
      <c r="AE12">
        <f>MAX(0,MIN($C12,AE$4+1)-MAX($B12,AE$4))</f>
        <v/>
      </c>
      <c r="AF12">
        <f>MAX(0,MIN($C12,AF$4+1)-MAX($B12,AF$4))</f>
        <v/>
      </c>
      <c r="AG12">
        <f>MAX(0,MIN($C12,AG$4+1)-MAX($B12,AG$4))</f>
        <v/>
      </c>
      <c r="AH12">
        <f>MAX(0,MIN($C12,AH$4+1)-MAX($B12,AH$4))</f>
        <v/>
      </c>
      <c r="AI12">
        <f>MAX(0,MIN($C12,AI$4+1)-MAX($B12,AI$4))</f>
        <v/>
      </c>
      <c r="AJ12">
        <f>MAX(0,MIN($C12,AJ$4+1)-MAX($B12,AJ$4))</f>
        <v/>
      </c>
      <c r="AK12">
        <f>MAX(0,MIN($C12,AK$4+1)-MAX($B12,AK$4))</f>
        <v/>
      </c>
      <c r="AL12">
        <f>MAX(0,MIN($C12,AL$4+1)-MAX($B12,AL$4))</f>
        <v/>
      </c>
      <c r="AM12">
        <f>MAX(0,MIN($C12,AM$4+1)-MAX($B12,AM$4))</f>
        <v/>
      </c>
      <c r="AN12" t="inlineStr">
        <is>
          <t>Match ✔</t>
        </is>
      </c>
      <c r="AO12" s="3" t="n">
        <v>2030.21</v>
      </c>
      <c r="AP12" s="3" t="n">
        <v>0</v>
      </c>
    </row>
    <row r="13">
      <c r="A13" t="inlineStr">
        <is>
          <t>Residencia PGY-2</t>
        </is>
      </c>
      <c r="B13" s="3" t="n">
        <v>2031.5</v>
      </c>
      <c r="C13" s="3" t="n">
        <v>2032.5</v>
      </c>
      <c r="D13" t="inlineStr">
        <is>
          <t>residente</t>
        </is>
      </c>
      <c r="E13">
        <f>loc_residentePGY1</f>
        <v/>
      </c>
      <c r="F13">
        <f>g_inf+0.005</f>
        <v/>
      </c>
      <c r="G13" s="3" t="n">
        <v>1</v>
      </c>
      <c r="H13">
        <f>(1+roles_residente_aumento)^1</f>
        <v/>
      </c>
      <c r="I13" s="3" t="n">
        <v>0</v>
      </c>
      <c r="J13" s="3" t="n">
        <v>0</v>
      </c>
      <c r="K13" s="3" t="n">
        <v>0</v>
      </c>
      <c r="L13">
        <f>md_residentePslf</f>
        <v/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T13">
        <f>MAX(0,MIN($C13,T$4+1)-MAX($B13,T$4))</f>
        <v/>
      </c>
      <c r="U13">
        <f>MAX(0,MIN($C13,U$4+1)-MAX($B13,U$4))</f>
        <v/>
      </c>
      <c r="V13">
        <f>MAX(0,MIN($C13,V$4+1)-MAX($B13,V$4))</f>
        <v/>
      </c>
      <c r="W13">
        <f>MAX(0,MIN($C13,W$4+1)-MAX($B13,W$4))</f>
        <v/>
      </c>
      <c r="X13">
        <f>MAX(0,MIN($C13,X$4+1)-MAX($B13,X$4))</f>
        <v/>
      </c>
      <c r="Y13">
        <f>MAX(0,MIN($C13,Y$4+1)-MAX($B13,Y$4))</f>
        <v/>
      </c>
      <c r="Z13">
        <f>MAX(0,MIN($C13,Z$4+1)-MAX($B13,Z$4))</f>
        <v/>
      </c>
      <c r="AA13">
        <f>MAX(0,MIN($C13,AA$4+1)-MAX($B13,AA$4))</f>
        <v/>
      </c>
      <c r="AB13">
        <f>MAX(0,MIN($C13,AB$4+1)-MAX($B13,AB$4))</f>
        <v/>
      </c>
      <c r="AC13">
        <f>MAX(0,MIN($C13,AC$4+1)-MAX($B13,AC$4))</f>
        <v/>
      </c>
      <c r="AD13">
        <f>MAX(0,MIN($C13,AD$4+1)-MAX($B13,AD$4))</f>
        <v/>
      </c>
      <c r="AE13">
        <f>MAX(0,MIN($C13,AE$4+1)-MAX($B13,AE$4))</f>
        <v/>
      </c>
      <c r="AF13">
        <f>MAX(0,MIN($C13,AF$4+1)-MAX($B13,AF$4))</f>
        <v/>
      </c>
      <c r="AG13">
        <f>MAX(0,MIN($C13,AG$4+1)-MAX($B13,AG$4))</f>
        <v/>
      </c>
      <c r="AH13">
        <f>MAX(0,MIN($C13,AH$4+1)-MAX($B13,AH$4))</f>
        <v/>
      </c>
      <c r="AI13">
        <f>MAX(0,MIN($C13,AI$4+1)-MAX($B13,AI$4))</f>
        <v/>
      </c>
      <c r="AJ13">
        <f>MAX(0,MIN($C13,AJ$4+1)-MAX($B13,AJ$4))</f>
        <v/>
      </c>
      <c r="AK13">
        <f>MAX(0,MIN($C13,AK$4+1)-MAX($B13,AK$4))</f>
        <v/>
      </c>
      <c r="AL13">
        <f>MAX(0,MIN($C13,AL$4+1)-MAX($B13,AL$4))</f>
        <v/>
      </c>
      <c r="AM13">
        <f>MAX(0,MIN($C13,AM$4+1)-MAX($B13,AM$4))</f>
        <v/>
      </c>
      <c r="AN13" t="inlineStr">
        <is>
          <t>Mudanza a residencia</t>
        </is>
      </c>
      <c r="AO13" s="3" t="n">
        <v>2030.5</v>
      </c>
      <c r="AP13" s="3">
        <f>md_costoMudanza</f>
        <v/>
      </c>
    </row>
    <row r="14">
      <c r="A14" t="inlineStr">
        <is>
          <t>Residencia PGY-3</t>
        </is>
      </c>
      <c r="B14" s="3" t="n">
        <v>2032.5</v>
      </c>
      <c r="C14" s="3" t="n">
        <v>2033.5</v>
      </c>
      <c r="D14" t="inlineStr">
        <is>
          <t>residente</t>
        </is>
      </c>
      <c r="E14">
        <f>loc_residentePGY1</f>
        <v/>
      </c>
      <c r="F14">
        <f>g_inf+0.005</f>
        <v/>
      </c>
      <c r="G14" s="3" t="n">
        <v>1</v>
      </c>
      <c r="H14">
        <f>(1+roles_residente_aumento)^2</f>
        <v/>
      </c>
      <c r="I14" s="3" t="n">
        <v>0</v>
      </c>
      <c r="J14" s="3" t="n">
        <v>0</v>
      </c>
      <c r="K14" s="3" t="n">
        <v>0</v>
      </c>
      <c r="L14">
        <f>md_residentePslf</f>
        <v/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T14">
        <f>MAX(0,MIN($C14,T$4+1)-MAX($B14,T$4))</f>
        <v/>
      </c>
      <c r="U14">
        <f>MAX(0,MIN($C14,U$4+1)-MAX($B14,U$4))</f>
        <v/>
      </c>
      <c r="V14">
        <f>MAX(0,MIN($C14,V$4+1)-MAX($B14,V$4))</f>
        <v/>
      </c>
      <c r="W14">
        <f>MAX(0,MIN($C14,W$4+1)-MAX($B14,W$4))</f>
        <v/>
      </c>
      <c r="X14">
        <f>MAX(0,MIN($C14,X$4+1)-MAX($B14,X$4))</f>
        <v/>
      </c>
      <c r="Y14">
        <f>MAX(0,MIN($C14,Y$4+1)-MAX($B14,Y$4))</f>
        <v/>
      </c>
      <c r="Z14">
        <f>MAX(0,MIN($C14,Z$4+1)-MAX($B14,Z$4))</f>
        <v/>
      </c>
      <c r="AA14">
        <f>MAX(0,MIN($C14,AA$4+1)-MAX($B14,AA$4))</f>
        <v/>
      </c>
      <c r="AB14">
        <f>MAX(0,MIN($C14,AB$4+1)-MAX($B14,AB$4))</f>
        <v/>
      </c>
      <c r="AC14">
        <f>MAX(0,MIN($C14,AC$4+1)-MAX($B14,AC$4))</f>
        <v/>
      </c>
      <c r="AD14">
        <f>MAX(0,MIN($C14,AD$4+1)-MAX($B14,AD$4))</f>
        <v/>
      </c>
      <c r="AE14">
        <f>MAX(0,MIN($C14,AE$4+1)-MAX($B14,AE$4))</f>
        <v/>
      </c>
      <c r="AF14">
        <f>MAX(0,MIN($C14,AF$4+1)-MAX($B14,AF$4))</f>
        <v/>
      </c>
      <c r="AG14">
        <f>MAX(0,MIN($C14,AG$4+1)-MAX($B14,AG$4))</f>
        <v/>
      </c>
      <c r="AH14">
        <f>MAX(0,MIN($C14,AH$4+1)-MAX($B14,AH$4))</f>
        <v/>
      </c>
      <c r="AI14">
        <f>MAX(0,MIN($C14,AI$4+1)-MAX($B14,AI$4))</f>
        <v/>
      </c>
      <c r="AJ14">
        <f>MAX(0,MIN($C14,AJ$4+1)-MAX($B14,AJ$4))</f>
        <v/>
      </c>
      <c r="AK14">
        <f>MAX(0,MIN($C14,AK$4+1)-MAX($B14,AK$4))</f>
        <v/>
      </c>
      <c r="AL14">
        <f>MAX(0,MIN($C14,AL$4+1)-MAX($B14,AL$4))</f>
        <v/>
      </c>
      <c r="AM14">
        <f>MAX(0,MIN($C14,AM$4+1)-MAX($B14,AM$4))</f>
        <v/>
      </c>
      <c r="AN14" t="inlineStr">
        <is>
          <t>Step 3 + licencia + boards</t>
        </is>
      </c>
      <c r="AO14" s="3" t="n">
        <v>2033</v>
      </c>
      <c r="AP14" s="3">
        <f>md_costoLicencia</f>
        <v/>
      </c>
    </row>
    <row r="15">
      <c r="A15" t="inlineStr">
        <is>
          <t>Attending hospitalista</t>
        </is>
      </c>
      <c r="B15" s="3" t="n">
        <v>2033.5</v>
      </c>
      <c r="C15" s="3" t="n">
        <v>2048</v>
      </c>
      <c r="D15" t="inlineStr">
        <is>
          <t>hospitalista</t>
        </is>
      </c>
      <c r="E15">
        <f>roles_hospitalista_base*loc_factorMD</f>
        <v/>
      </c>
      <c r="F15">
        <f>roles_hospitalista_aumento</f>
        <v/>
      </c>
      <c r="G15" s="3" t="n">
        <v>1</v>
      </c>
      <c r="H15" s="3" t="n">
        <v>1</v>
      </c>
      <c r="I15">
        <f>md_bonoFirmaAttending</f>
        <v/>
      </c>
      <c r="J15" s="3" t="n">
        <v>0</v>
      </c>
      <c r="K15" s="3" t="n">
        <v>0</v>
      </c>
      <c r="L15">
        <f>md_residentePslf</f>
        <v/>
      </c>
      <c r="M15" s="3" t="n">
        <v>1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1</v>
      </c>
      <c r="T15">
        <f>MAX(0,MIN($C15,T$4+1)-MAX($B15,T$4))</f>
        <v/>
      </c>
      <c r="U15">
        <f>MAX(0,MIN($C15,U$4+1)-MAX($B15,U$4))</f>
        <v/>
      </c>
      <c r="V15">
        <f>MAX(0,MIN($C15,V$4+1)-MAX($B15,V$4))</f>
        <v/>
      </c>
      <c r="W15">
        <f>MAX(0,MIN($C15,W$4+1)-MAX($B15,W$4))</f>
        <v/>
      </c>
      <c r="X15">
        <f>MAX(0,MIN($C15,X$4+1)-MAX($B15,X$4))</f>
        <v/>
      </c>
      <c r="Y15">
        <f>MAX(0,MIN($C15,Y$4+1)-MAX($B15,Y$4))</f>
        <v/>
      </c>
      <c r="Z15">
        <f>MAX(0,MIN($C15,Z$4+1)-MAX($B15,Z$4))</f>
        <v/>
      </c>
      <c r="AA15">
        <f>MAX(0,MIN($C15,AA$4+1)-MAX($B15,AA$4))</f>
        <v/>
      </c>
      <c r="AB15">
        <f>MAX(0,MIN($C15,AB$4+1)-MAX($B15,AB$4))</f>
        <v/>
      </c>
      <c r="AC15">
        <f>MAX(0,MIN($C15,AC$4+1)-MAX($B15,AC$4))</f>
        <v/>
      </c>
      <c r="AD15">
        <f>MAX(0,MIN($C15,AD$4+1)-MAX($B15,AD$4))</f>
        <v/>
      </c>
      <c r="AE15">
        <f>MAX(0,MIN($C15,AE$4+1)-MAX($B15,AE$4))</f>
        <v/>
      </c>
      <c r="AF15">
        <f>MAX(0,MIN($C15,AF$4+1)-MAX($B15,AF$4))</f>
        <v/>
      </c>
      <c r="AG15">
        <f>MAX(0,MIN($C15,AG$4+1)-MAX($B15,AG$4))</f>
        <v/>
      </c>
      <c r="AH15">
        <f>MAX(0,MIN($C15,AH$4+1)-MAX($B15,AH$4))</f>
        <v/>
      </c>
      <c r="AI15">
        <f>MAX(0,MIN($C15,AI$4+1)-MAX($B15,AI$4))</f>
        <v/>
      </c>
      <c r="AJ15">
        <f>MAX(0,MIN($C15,AJ$4+1)-MAX($B15,AJ$4))</f>
        <v/>
      </c>
      <c r="AK15">
        <f>MAX(0,MIN($C15,AK$4+1)-MAX($B15,AK$4))</f>
        <v/>
      </c>
      <c r="AL15">
        <f>MAX(0,MIN($C15,AL$4+1)-MAX($B15,AL$4))</f>
        <v/>
      </c>
      <c r="AM15">
        <f>MAX(0,MIN($C15,AM$4+1)-MAX($B15,AM$4))</f>
        <v/>
      </c>
      <c r="AN15" t="inlineStr">
        <is>
          <t>Attending</t>
        </is>
      </c>
      <c r="AO15" s="3" t="n">
        <v>2033.5</v>
      </c>
      <c r="AP15" s="3" t="n">
        <v>0</v>
      </c>
    </row>
    <row r="16">
      <c r="A16" t="inlineStr">
        <is>
          <t>Locums vía S-corp</t>
        </is>
      </c>
      <c r="B16" s="3" t="n">
        <v>2034.5</v>
      </c>
      <c r="C16" s="3" t="n">
        <v>2048</v>
      </c>
      <c r="D16" t="inlineStr">
        <is>
          <t>locums</t>
        </is>
      </c>
      <c r="E16" t="n">
        <v>0</v>
      </c>
      <c r="F16">
        <f>roles_hospitalista_aumento</f>
        <v/>
      </c>
      <c r="G16" s="3" t="n">
        <v>1</v>
      </c>
      <c r="H16" s="3" t="n">
        <v>1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>
        <f>md_locumsTurnosMes*12*12*md_locumsTarifa*g_salMult</f>
        <v/>
      </c>
      <c r="Q16" s="3" t="n">
        <v>0</v>
      </c>
      <c r="R16" s="3" t="n">
        <v>0</v>
      </c>
      <c r="T16">
        <f>MAX(0,MIN($C16,T$4+1)-MAX($B16,T$4))</f>
        <v/>
      </c>
      <c r="U16">
        <f>MAX(0,MIN($C16,U$4+1)-MAX($B16,U$4))</f>
        <v/>
      </c>
      <c r="V16">
        <f>MAX(0,MIN($C16,V$4+1)-MAX($B16,V$4))</f>
        <v/>
      </c>
      <c r="W16">
        <f>MAX(0,MIN($C16,W$4+1)-MAX($B16,W$4))</f>
        <v/>
      </c>
      <c r="X16">
        <f>MAX(0,MIN($C16,X$4+1)-MAX($B16,X$4))</f>
        <v/>
      </c>
      <c r="Y16">
        <f>MAX(0,MIN($C16,Y$4+1)-MAX($B16,Y$4))</f>
        <v/>
      </c>
      <c r="Z16">
        <f>MAX(0,MIN($C16,Z$4+1)-MAX($B16,Z$4))</f>
        <v/>
      </c>
      <c r="AA16">
        <f>MAX(0,MIN($C16,AA$4+1)-MAX($B16,AA$4))</f>
        <v/>
      </c>
      <c r="AB16">
        <f>MAX(0,MIN($C16,AB$4+1)-MAX($B16,AB$4))</f>
        <v/>
      </c>
      <c r="AC16">
        <f>MAX(0,MIN($C16,AC$4+1)-MAX($B16,AC$4))</f>
        <v/>
      </c>
      <c r="AD16">
        <f>MAX(0,MIN($C16,AD$4+1)-MAX($B16,AD$4))</f>
        <v/>
      </c>
      <c r="AE16">
        <f>MAX(0,MIN($C16,AE$4+1)-MAX($B16,AE$4))</f>
        <v/>
      </c>
      <c r="AF16">
        <f>MAX(0,MIN($C16,AF$4+1)-MAX($B16,AF$4))</f>
        <v/>
      </c>
      <c r="AG16">
        <f>MAX(0,MIN($C16,AG$4+1)-MAX($B16,AG$4))</f>
        <v/>
      </c>
      <c r="AH16">
        <f>MAX(0,MIN($C16,AH$4+1)-MAX($B16,AH$4))</f>
        <v/>
      </c>
      <c r="AI16">
        <f>MAX(0,MIN($C16,AI$4+1)-MAX($B16,AI$4))</f>
        <v/>
      </c>
      <c r="AJ16">
        <f>MAX(0,MIN($C16,AJ$4+1)-MAX($B16,AJ$4))</f>
        <v/>
      </c>
      <c r="AK16">
        <f>MAX(0,MIN($C16,AK$4+1)-MAX($B16,AK$4))</f>
        <v/>
      </c>
      <c r="AL16">
        <f>MAX(0,MIN($C16,AL$4+1)-MAX($B16,AL$4))</f>
        <v/>
      </c>
      <c r="AM16">
        <f>MAX(0,MIN($C16,AM$4+1)-MAX($B16,AM$4))</f>
        <v/>
      </c>
      <c r="AO16" t="n">
        <v>0</v>
      </c>
      <c r="AP16" t="n">
        <v>0</v>
      </c>
    </row>
    <row r="17">
      <c r="A17" t="inlineStr"/>
      <c r="B17" s="3" t="n">
        <v>0</v>
      </c>
      <c r="C17" s="3" t="n">
        <v>0</v>
      </c>
      <c r="D17" t="inlineStr"/>
      <c r="E17" t="n">
        <v>0</v>
      </c>
      <c r="F17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T17">
        <f>MAX(0,MIN($C17,T$4+1)-MAX($B17,T$4))</f>
        <v/>
      </c>
      <c r="U17">
        <f>MAX(0,MIN($C17,U$4+1)-MAX($B17,U$4))</f>
        <v/>
      </c>
      <c r="V17">
        <f>MAX(0,MIN($C17,V$4+1)-MAX($B17,V$4))</f>
        <v/>
      </c>
      <c r="W17">
        <f>MAX(0,MIN($C17,W$4+1)-MAX($B17,W$4))</f>
        <v/>
      </c>
      <c r="X17">
        <f>MAX(0,MIN($C17,X$4+1)-MAX($B17,X$4))</f>
        <v/>
      </c>
      <c r="Y17">
        <f>MAX(0,MIN($C17,Y$4+1)-MAX($B17,Y$4))</f>
        <v/>
      </c>
      <c r="Z17">
        <f>MAX(0,MIN($C17,Z$4+1)-MAX($B17,Z$4))</f>
        <v/>
      </c>
      <c r="AA17">
        <f>MAX(0,MIN($C17,AA$4+1)-MAX($B17,AA$4))</f>
        <v/>
      </c>
      <c r="AB17">
        <f>MAX(0,MIN($C17,AB$4+1)-MAX($B17,AB$4))</f>
        <v/>
      </c>
      <c r="AC17">
        <f>MAX(0,MIN($C17,AC$4+1)-MAX($B17,AC$4))</f>
        <v/>
      </c>
      <c r="AD17">
        <f>MAX(0,MIN($C17,AD$4+1)-MAX($B17,AD$4))</f>
        <v/>
      </c>
      <c r="AE17">
        <f>MAX(0,MIN($C17,AE$4+1)-MAX($B17,AE$4))</f>
        <v/>
      </c>
      <c r="AF17">
        <f>MAX(0,MIN($C17,AF$4+1)-MAX($B17,AF$4))</f>
        <v/>
      </c>
      <c r="AG17">
        <f>MAX(0,MIN($C17,AG$4+1)-MAX($B17,AG$4))</f>
        <v/>
      </c>
      <c r="AH17">
        <f>MAX(0,MIN($C17,AH$4+1)-MAX($B17,AH$4))</f>
        <v/>
      </c>
      <c r="AI17">
        <f>MAX(0,MIN($C17,AI$4+1)-MAX($B17,AI$4))</f>
        <v/>
      </c>
      <c r="AJ17">
        <f>MAX(0,MIN($C17,AJ$4+1)-MAX($B17,AJ$4))</f>
        <v/>
      </c>
      <c r="AK17">
        <f>MAX(0,MIN($C17,AK$4+1)-MAX($B17,AK$4))</f>
        <v/>
      </c>
      <c r="AL17">
        <f>MAX(0,MIN($C17,AL$4+1)-MAX($B17,AL$4))</f>
        <v/>
      </c>
      <c r="AM17">
        <f>MAX(0,MIN($C17,AM$4+1)-MAX($B17,AM$4))</f>
        <v/>
      </c>
      <c r="AO17" t="n">
        <v>0</v>
      </c>
      <c r="AP17" t="n">
        <v>0</v>
      </c>
    </row>
    <row r="18">
      <c r="A18" t="inlineStr"/>
      <c r="B18" s="3" t="n">
        <v>0</v>
      </c>
      <c r="C18" s="3" t="n">
        <v>0</v>
      </c>
      <c r="D18" t="inlineStr"/>
      <c r="E18" t="n">
        <v>0</v>
      </c>
      <c r="F18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T18">
        <f>MAX(0,MIN($C18,T$4+1)-MAX($B18,T$4))</f>
        <v/>
      </c>
      <c r="U18">
        <f>MAX(0,MIN($C18,U$4+1)-MAX($B18,U$4))</f>
        <v/>
      </c>
      <c r="V18">
        <f>MAX(0,MIN($C18,V$4+1)-MAX($B18,V$4))</f>
        <v/>
      </c>
      <c r="W18">
        <f>MAX(0,MIN($C18,W$4+1)-MAX($B18,W$4))</f>
        <v/>
      </c>
      <c r="X18">
        <f>MAX(0,MIN($C18,X$4+1)-MAX($B18,X$4))</f>
        <v/>
      </c>
      <c r="Y18">
        <f>MAX(0,MIN($C18,Y$4+1)-MAX($B18,Y$4))</f>
        <v/>
      </c>
      <c r="Z18">
        <f>MAX(0,MIN($C18,Z$4+1)-MAX($B18,Z$4))</f>
        <v/>
      </c>
      <c r="AA18">
        <f>MAX(0,MIN($C18,AA$4+1)-MAX($B18,AA$4))</f>
        <v/>
      </c>
      <c r="AB18">
        <f>MAX(0,MIN($C18,AB$4+1)-MAX($B18,AB$4))</f>
        <v/>
      </c>
      <c r="AC18">
        <f>MAX(0,MIN($C18,AC$4+1)-MAX($B18,AC$4))</f>
        <v/>
      </c>
      <c r="AD18">
        <f>MAX(0,MIN($C18,AD$4+1)-MAX($B18,AD$4))</f>
        <v/>
      </c>
      <c r="AE18">
        <f>MAX(0,MIN($C18,AE$4+1)-MAX($B18,AE$4))</f>
        <v/>
      </c>
      <c r="AF18">
        <f>MAX(0,MIN($C18,AF$4+1)-MAX($B18,AF$4))</f>
        <v/>
      </c>
      <c r="AG18">
        <f>MAX(0,MIN($C18,AG$4+1)-MAX($B18,AG$4))</f>
        <v/>
      </c>
      <c r="AH18">
        <f>MAX(0,MIN($C18,AH$4+1)-MAX($B18,AH$4))</f>
        <v/>
      </c>
      <c r="AI18">
        <f>MAX(0,MIN($C18,AI$4+1)-MAX($B18,AI$4))</f>
        <v/>
      </c>
      <c r="AJ18">
        <f>MAX(0,MIN($C18,AJ$4+1)-MAX($B18,AJ$4))</f>
        <v/>
      </c>
      <c r="AK18">
        <f>MAX(0,MIN($C18,AK$4+1)-MAX($B18,AK$4))</f>
        <v/>
      </c>
      <c r="AL18">
        <f>MAX(0,MIN($C18,AL$4+1)-MAX($B18,AL$4))</f>
        <v/>
      </c>
      <c r="AM18">
        <f>MAX(0,MIN($C18,AM$4+1)-MAX($B18,AM$4))</f>
        <v/>
      </c>
      <c r="AO18" t="n">
        <v>0</v>
      </c>
      <c r="AP18" t="n">
        <v>0</v>
      </c>
    </row>
    <row r="19">
      <c r="A19" t="inlineStr"/>
      <c r="B19" s="3" t="n">
        <v>0</v>
      </c>
      <c r="C19" s="3" t="n">
        <v>0</v>
      </c>
      <c r="D19" t="inlineStr"/>
      <c r="E19" t="n">
        <v>0</v>
      </c>
      <c r="F19" t="n">
        <v>0</v>
      </c>
      <c r="G19" s="3" t="n">
        <v>0</v>
      </c>
      <c r="H19" s="3" t="n">
        <v>0</v>
      </c>
      <c r="I19" s="3" t="n">
        <v>0</v>
      </c>
      <c r="J19" s="3" t="n">
        <v>0</v>
      </c>
      <c r="K19" s="3" t="n">
        <v>0</v>
      </c>
      <c r="L19" s="3" t="n">
        <v>0</v>
      </c>
      <c r="M19" s="3" t="n">
        <v>0</v>
      </c>
      <c r="N19" s="3" t="n">
        <v>0</v>
      </c>
      <c r="O19" s="3" t="n">
        <v>0</v>
      </c>
      <c r="P19" s="3" t="n">
        <v>0</v>
      </c>
      <c r="Q19" s="3" t="n">
        <v>0</v>
      </c>
      <c r="R19" s="3" t="n">
        <v>0</v>
      </c>
      <c r="T19">
        <f>MAX(0,MIN($C19,T$4+1)-MAX($B19,T$4))</f>
        <v/>
      </c>
      <c r="U19">
        <f>MAX(0,MIN($C19,U$4+1)-MAX($B19,U$4))</f>
        <v/>
      </c>
      <c r="V19">
        <f>MAX(0,MIN($C19,V$4+1)-MAX($B19,V$4))</f>
        <v/>
      </c>
      <c r="W19">
        <f>MAX(0,MIN($C19,W$4+1)-MAX($B19,W$4))</f>
        <v/>
      </c>
      <c r="X19">
        <f>MAX(0,MIN($C19,X$4+1)-MAX($B19,X$4))</f>
        <v/>
      </c>
      <c r="Y19">
        <f>MAX(0,MIN($C19,Y$4+1)-MAX($B19,Y$4))</f>
        <v/>
      </c>
      <c r="Z19">
        <f>MAX(0,MIN($C19,Z$4+1)-MAX($B19,Z$4))</f>
        <v/>
      </c>
      <c r="AA19">
        <f>MAX(0,MIN($C19,AA$4+1)-MAX($B19,AA$4))</f>
        <v/>
      </c>
      <c r="AB19">
        <f>MAX(0,MIN($C19,AB$4+1)-MAX($B19,AB$4))</f>
        <v/>
      </c>
      <c r="AC19">
        <f>MAX(0,MIN($C19,AC$4+1)-MAX($B19,AC$4))</f>
        <v/>
      </c>
      <c r="AD19">
        <f>MAX(0,MIN($C19,AD$4+1)-MAX($B19,AD$4))</f>
        <v/>
      </c>
      <c r="AE19">
        <f>MAX(0,MIN($C19,AE$4+1)-MAX($B19,AE$4))</f>
        <v/>
      </c>
      <c r="AF19">
        <f>MAX(0,MIN($C19,AF$4+1)-MAX($B19,AF$4))</f>
        <v/>
      </c>
      <c r="AG19">
        <f>MAX(0,MIN($C19,AG$4+1)-MAX($B19,AG$4))</f>
        <v/>
      </c>
      <c r="AH19">
        <f>MAX(0,MIN($C19,AH$4+1)-MAX($B19,AH$4))</f>
        <v/>
      </c>
      <c r="AI19">
        <f>MAX(0,MIN($C19,AI$4+1)-MAX($B19,AI$4))</f>
        <v/>
      </c>
      <c r="AJ19">
        <f>MAX(0,MIN($C19,AJ$4+1)-MAX($B19,AJ$4))</f>
        <v/>
      </c>
      <c r="AK19">
        <f>MAX(0,MIN($C19,AK$4+1)-MAX($B19,AK$4))</f>
        <v/>
      </c>
      <c r="AL19">
        <f>MAX(0,MIN($C19,AL$4+1)-MAX($B19,AL$4))</f>
        <v/>
      </c>
      <c r="AM19">
        <f>MAX(0,MIN($C19,AM$4+1)-MAX($B19,AM$4))</f>
        <v/>
      </c>
      <c r="AO19" t="n">
        <v>0</v>
      </c>
      <c r="AP19" t="n">
        <v>0</v>
      </c>
    </row>
    <row r="20">
      <c r="A20" t="inlineStr"/>
      <c r="B20" s="3" t="n">
        <v>0</v>
      </c>
      <c r="C20" s="3" t="n">
        <v>0</v>
      </c>
      <c r="D20" t="inlineStr"/>
      <c r="E20" t="n">
        <v>0</v>
      </c>
      <c r="F20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T20">
        <f>MAX(0,MIN($C20,T$4+1)-MAX($B20,T$4))</f>
        <v/>
      </c>
      <c r="U20">
        <f>MAX(0,MIN($C20,U$4+1)-MAX($B20,U$4))</f>
        <v/>
      </c>
      <c r="V20">
        <f>MAX(0,MIN($C20,V$4+1)-MAX($B20,V$4))</f>
        <v/>
      </c>
      <c r="W20">
        <f>MAX(0,MIN($C20,W$4+1)-MAX($B20,W$4))</f>
        <v/>
      </c>
      <c r="X20">
        <f>MAX(0,MIN($C20,X$4+1)-MAX($B20,X$4))</f>
        <v/>
      </c>
      <c r="Y20">
        <f>MAX(0,MIN($C20,Y$4+1)-MAX($B20,Y$4))</f>
        <v/>
      </c>
      <c r="Z20">
        <f>MAX(0,MIN($C20,Z$4+1)-MAX($B20,Z$4))</f>
        <v/>
      </c>
      <c r="AA20">
        <f>MAX(0,MIN($C20,AA$4+1)-MAX($B20,AA$4))</f>
        <v/>
      </c>
      <c r="AB20">
        <f>MAX(0,MIN($C20,AB$4+1)-MAX($B20,AB$4))</f>
        <v/>
      </c>
      <c r="AC20">
        <f>MAX(0,MIN($C20,AC$4+1)-MAX($B20,AC$4))</f>
        <v/>
      </c>
      <c r="AD20">
        <f>MAX(0,MIN($C20,AD$4+1)-MAX($B20,AD$4))</f>
        <v/>
      </c>
      <c r="AE20">
        <f>MAX(0,MIN($C20,AE$4+1)-MAX($B20,AE$4))</f>
        <v/>
      </c>
      <c r="AF20">
        <f>MAX(0,MIN($C20,AF$4+1)-MAX($B20,AF$4))</f>
        <v/>
      </c>
      <c r="AG20">
        <f>MAX(0,MIN($C20,AG$4+1)-MAX($B20,AG$4))</f>
        <v/>
      </c>
      <c r="AH20">
        <f>MAX(0,MIN($C20,AH$4+1)-MAX($B20,AH$4))</f>
        <v/>
      </c>
      <c r="AI20">
        <f>MAX(0,MIN($C20,AI$4+1)-MAX($B20,AI$4))</f>
        <v/>
      </c>
      <c r="AJ20">
        <f>MAX(0,MIN($C20,AJ$4+1)-MAX($B20,AJ$4))</f>
        <v/>
      </c>
      <c r="AK20">
        <f>MAX(0,MIN($C20,AK$4+1)-MAX($B20,AK$4))</f>
        <v/>
      </c>
      <c r="AL20">
        <f>MAX(0,MIN($C20,AL$4+1)-MAX($B20,AL$4))</f>
        <v/>
      </c>
      <c r="AM20">
        <f>MAX(0,MIN($C20,AM$4+1)-MAX($B20,AM$4))</f>
        <v/>
      </c>
      <c r="AO20" t="n">
        <v>0</v>
      </c>
      <c r="AP20" t="n">
        <v>0</v>
      </c>
    </row>
    <row r="21">
      <c r="A21" t="inlineStr"/>
      <c r="B21" s="3" t="n">
        <v>0</v>
      </c>
      <c r="C21" s="3" t="n">
        <v>0</v>
      </c>
      <c r="D21" t="inlineStr"/>
      <c r="E21" t="n">
        <v>0</v>
      </c>
      <c r="F21" t="n">
        <v>0</v>
      </c>
      <c r="G21" s="3" t="n">
        <v>0</v>
      </c>
      <c r="H21" s="3" t="n">
        <v>0</v>
      </c>
      <c r="I21" s="3" t="n">
        <v>0</v>
      </c>
      <c r="J21" s="3" t="n">
        <v>0</v>
      </c>
      <c r="K21" s="3" t="n">
        <v>0</v>
      </c>
      <c r="L21" s="3" t="n">
        <v>0</v>
      </c>
      <c r="M21" s="3" t="n">
        <v>0</v>
      </c>
      <c r="N21" s="3" t="n">
        <v>0</v>
      </c>
      <c r="O21" s="3" t="n">
        <v>0</v>
      </c>
      <c r="P21" s="3" t="n">
        <v>0</v>
      </c>
      <c r="Q21" s="3" t="n">
        <v>0</v>
      </c>
      <c r="R21" s="3" t="n">
        <v>0</v>
      </c>
      <c r="T21">
        <f>MAX(0,MIN($C21,T$4+1)-MAX($B21,T$4))</f>
        <v/>
      </c>
      <c r="U21">
        <f>MAX(0,MIN($C21,U$4+1)-MAX($B21,U$4))</f>
        <v/>
      </c>
      <c r="V21">
        <f>MAX(0,MIN($C21,V$4+1)-MAX($B21,V$4))</f>
        <v/>
      </c>
      <c r="W21">
        <f>MAX(0,MIN($C21,W$4+1)-MAX($B21,W$4))</f>
        <v/>
      </c>
      <c r="X21">
        <f>MAX(0,MIN($C21,X$4+1)-MAX($B21,X$4))</f>
        <v/>
      </c>
      <c r="Y21">
        <f>MAX(0,MIN($C21,Y$4+1)-MAX($B21,Y$4))</f>
        <v/>
      </c>
      <c r="Z21">
        <f>MAX(0,MIN($C21,Z$4+1)-MAX($B21,Z$4))</f>
        <v/>
      </c>
      <c r="AA21">
        <f>MAX(0,MIN($C21,AA$4+1)-MAX($B21,AA$4))</f>
        <v/>
      </c>
      <c r="AB21">
        <f>MAX(0,MIN($C21,AB$4+1)-MAX($B21,AB$4))</f>
        <v/>
      </c>
      <c r="AC21">
        <f>MAX(0,MIN($C21,AC$4+1)-MAX($B21,AC$4))</f>
        <v/>
      </c>
      <c r="AD21">
        <f>MAX(0,MIN($C21,AD$4+1)-MAX($B21,AD$4))</f>
        <v/>
      </c>
      <c r="AE21">
        <f>MAX(0,MIN($C21,AE$4+1)-MAX($B21,AE$4))</f>
        <v/>
      </c>
      <c r="AF21">
        <f>MAX(0,MIN($C21,AF$4+1)-MAX($B21,AF$4))</f>
        <v/>
      </c>
      <c r="AG21">
        <f>MAX(0,MIN($C21,AG$4+1)-MAX($B21,AG$4))</f>
        <v/>
      </c>
      <c r="AH21">
        <f>MAX(0,MIN($C21,AH$4+1)-MAX($B21,AH$4))</f>
        <v/>
      </c>
      <c r="AI21">
        <f>MAX(0,MIN($C21,AI$4+1)-MAX($B21,AI$4))</f>
        <v/>
      </c>
      <c r="AJ21">
        <f>MAX(0,MIN($C21,AJ$4+1)-MAX($B21,AJ$4))</f>
        <v/>
      </c>
      <c r="AK21">
        <f>MAX(0,MIN($C21,AK$4+1)-MAX($B21,AK$4))</f>
        <v/>
      </c>
      <c r="AL21">
        <f>MAX(0,MIN($C21,AL$4+1)-MAX($B21,AL$4))</f>
        <v/>
      </c>
      <c r="AM21">
        <f>MAX(0,MIN($C21,AM$4+1)-MAX($B21,AM$4))</f>
        <v/>
      </c>
      <c r="AO21" t="n">
        <v>0</v>
      </c>
      <c r="AP21" t="n">
        <v>0</v>
      </c>
    </row>
    <row r="22">
      <c r="A22" t="inlineStr"/>
      <c r="B22" s="3" t="n">
        <v>0</v>
      </c>
      <c r="C22" s="3" t="n">
        <v>0</v>
      </c>
      <c r="D22" t="inlineStr"/>
      <c r="E22" t="n">
        <v>0</v>
      </c>
      <c r="F22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T22">
        <f>MAX(0,MIN($C22,T$4+1)-MAX($B22,T$4))</f>
        <v/>
      </c>
      <c r="U22">
        <f>MAX(0,MIN($C22,U$4+1)-MAX($B22,U$4))</f>
        <v/>
      </c>
      <c r="V22">
        <f>MAX(0,MIN($C22,V$4+1)-MAX($B22,V$4))</f>
        <v/>
      </c>
      <c r="W22">
        <f>MAX(0,MIN($C22,W$4+1)-MAX($B22,W$4))</f>
        <v/>
      </c>
      <c r="X22">
        <f>MAX(0,MIN($C22,X$4+1)-MAX($B22,X$4))</f>
        <v/>
      </c>
      <c r="Y22">
        <f>MAX(0,MIN($C22,Y$4+1)-MAX($B22,Y$4))</f>
        <v/>
      </c>
      <c r="Z22">
        <f>MAX(0,MIN($C22,Z$4+1)-MAX($B22,Z$4))</f>
        <v/>
      </c>
      <c r="AA22">
        <f>MAX(0,MIN($C22,AA$4+1)-MAX($B22,AA$4))</f>
        <v/>
      </c>
      <c r="AB22">
        <f>MAX(0,MIN($C22,AB$4+1)-MAX($B22,AB$4))</f>
        <v/>
      </c>
      <c r="AC22">
        <f>MAX(0,MIN($C22,AC$4+1)-MAX($B22,AC$4))</f>
        <v/>
      </c>
      <c r="AD22">
        <f>MAX(0,MIN($C22,AD$4+1)-MAX($B22,AD$4))</f>
        <v/>
      </c>
      <c r="AE22">
        <f>MAX(0,MIN($C22,AE$4+1)-MAX($B22,AE$4))</f>
        <v/>
      </c>
      <c r="AF22">
        <f>MAX(0,MIN($C22,AF$4+1)-MAX($B22,AF$4))</f>
        <v/>
      </c>
      <c r="AG22">
        <f>MAX(0,MIN($C22,AG$4+1)-MAX($B22,AG$4))</f>
        <v/>
      </c>
      <c r="AH22">
        <f>MAX(0,MIN($C22,AH$4+1)-MAX($B22,AH$4))</f>
        <v/>
      </c>
      <c r="AI22">
        <f>MAX(0,MIN($C22,AI$4+1)-MAX($B22,AI$4))</f>
        <v/>
      </c>
      <c r="AJ22">
        <f>MAX(0,MIN($C22,AJ$4+1)-MAX($B22,AJ$4))</f>
        <v/>
      </c>
      <c r="AK22">
        <f>MAX(0,MIN($C22,AK$4+1)-MAX($B22,AK$4))</f>
        <v/>
      </c>
      <c r="AL22">
        <f>MAX(0,MIN($C22,AL$4+1)-MAX($B22,AL$4))</f>
        <v/>
      </c>
      <c r="AM22">
        <f>MAX(0,MIN($C22,AM$4+1)-MAX($B22,AM$4))</f>
        <v/>
      </c>
      <c r="AO22" t="n">
        <v>0</v>
      </c>
      <c r="AP22" t="n">
        <v>0</v>
      </c>
    </row>
    <row r="23">
      <c r="A23" t="inlineStr"/>
      <c r="B23" s="3" t="n">
        <v>0</v>
      </c>
      <c r="C23" s="3" t="n">
        <v>0</v>
      </c>
      <c r="D23" t="inlineStr"/>
      <c r="E23" t="n">
        <v>0</v>
      </c>
      <c r="F2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T23">
        <f>MAX(0,MIN($C23,T$4+1)-MAX($B23,T$4))</f>
        <v/>
      </c>
      <c r="U23">
        <f>MAX(0,MIN($C23,U$4+1)-MAX($B23,U$4))</f>
        <v/>
      </c>
      <c r="V23">
        <f>MAX(0,MIN($C23,V$4+1)-MAX($B23,V$4))</f>
        <v/>
      </c>
      <c r="W23">
        <f>MAX(0,MIN($C23,W$4+1)-MAX($B23,W$4))</f>
        <v/>
      </c>
      <c r="X23">
        <f>MAX(0,MIN($C23,X$4+1)-MAX($B23,X$4))</f>
        <v/>
      </c>
      <c r="Y23">
        <f>MAX(0,MIN($C23,Y$4+1)-MAX($B23,Y$4))</f>
        <v/>
      </c>
      <c r="Z23">
        <f>MAX(0,MIN($C23,Z$4+1)-MAX($B23,Z$4))</f>
        <v/>
      </c>
      <c r="AA23">
        <f>MAX(0,MIN($C23,AA$4+1)-MAX($B23,AA$4))</f>
        <v/>
      </c>
      <c r="AB23">
        <f>MAX(0,MIN($C23,AB$4+1)-MAX($B23,AB$4))</f>
        <v/>
      </c>
      <c r="AC23">
        <f>MAX(0,MIN($C23,AC$4+1)-MAX($B23,AC$4))</f>
        <v/>
      </c>
      <c r="AD23">
        <f>MAX(0,MIN($C23,AD$4+1)-MAX($B23,AD$4))</f>
        <v/>
      </c>
      <c r="AE23">
        <f>MAX(0,MIN($C23,AE$4+1)-MAX($B23,AE$4))</f>
        <v/>
      </c>
      <c r="AF23">
        <f>MAX(0,MIN($C23,AF$4+1)-MAX($B23,AF$4))</f>
        <v/>
      </c>
      <c r="AG23">
        <f>MAX(0,MIN($C23,AG$4+1)-MAX($B23,AG$4))</f>
        <v/>
      </c>
      <c r="AH23">
        <f>MAX(0,MIN($C23,AH$4+1)-MAX($B23,AH$4))</f>
        <v/>
      </c>
      <c r="AI23">
        <f>MAX(0,MIN($C23,AI$4+1)-MAX($B23,AI$4))</f>
        <v/>
      </c>
      <c r="AJ23">
        <f>MAX(0,MIN($C23,AJ$4+1)-MAX($B23,AJ$4))</f>
        <v/>
      </c>
      <c r="AK23">
        <f>MAX(0,MIN($C23,AK$4+1)-MAX($B23,AK$4))</f>
        <v/>
      </c>
      <c r="AL23">
        <f>MAX(0,MIN($C23,AL$4+1)-MAX($B23,AL$4))</f>
        <v/>
      </c>
      <c r="AM23">
        <f>MAX(0,MIN($C23,AM$4+1)-MAX($B23,AM$4))</f>
        <v/>
      </c>
      <c r="AO23" t="n">
        <v>0</v>
      </c>
      <c r="AP23" t="n">
        <v>0</v>
      </c>
    </row>
    <row r="24">
      <c r="A24" t="inlineStr"/>
      <c r="B24" s="3" t="n">
        <v>0</v>
      </c>
      <c r="C24" s="3" t="n">
        <v>0</v>
      </c>
      <c r="D24" t="inlineStr"/>
      <c r="E24" t="n">
        <v>0</v>
      </c>
      <c r="F24" t="n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  <c r="P24" s="3" t="n">
        <v>0</v>
      </c>
      <c r="Q24" s="3" t="n">
        <v>0</v>
      </c>
      <c r="R24" s="3" t="n">
        <v>0</v>
      </c>
      <c r="T24">
        <f>MAX(0,MIN($C24,T$4+1)-MAX($B24,T$4))</f>
        <v/>
      </c>
      <c r="U24">
        <f>MAX(0,MIN($C24,U$4+1)-MAX($B24,U$4))</f>
        <v/>
      </c>
      <c r="V24">
        <f>MAX(0,MIN($C24,V$4+1)-MAX($B24,V$4))</f>
        <v/>
      </c>
      <c r="W24">
        <f>MAX(0,MIN($C24,W$4+1)-MAX($B24,W$4))</f>
        <v/>
      </c>
      <c r="X24">
        <f>MAX(0,MIN($C24,X$4+1)-MAX($B24,X$4))</f>
        <v/>
      </c>
      <c r="Y24">
        <f>MAX(0,MIN($C24,Y$4+1)-MAX($B24,Y$4))</f>
        <v/>
      </c>
      <c r="Z24">
        <f>MAX(0,MIN($C24,Z$4+1)-MAX($B24,Z$4))</f>
        <v/>
      </c>
      <c r="AA24">
        <f>MAX(0,MIN($C24,AA$4+1)-MAX($B24,AA$4))</f>
        <v/>
      </c>
      <c r="AB24">
        <f>MAX(0,MIN($C24,AB$4+1)-MAX($B24,AB$4))</f>
        <v/>
      </c>
      <c r="AC24">
        <f>MAX(0,MIN($C24,AC$4+1)-MAX($B24,AC$4))</f>
        <v/>
      </c>
      <c r="AD24">
        <f>MAX(0,MIN($C24,AD$4+1)-MAX($B24,AD$4))</f>
        <v/>
      </c>
      <c r="AE24">
        <f>MAX(0,MIN($C24,AE$4+1)-MAX($B24,AE$4))</f>
        <v/>
      </c>
      <c r="AF24">
        <f>MAX(0,MIN($C24,AF$4+1)-MAX($B24,AF$4))</f>
        <v/>
      </c>
      <c r="AG24">
        <f>MAX(0,MIN($C24,AG$4+1)-MAX($B24,AG$4))</f>
        <v/>
      </c>
      <c r="AH24">
        <f>MAX(0,MIN($C24,AH$4+1)-MAX($B24,AH$4))</f>
        <v/>
      </c>
      <c r="AI24">
        <f>MAX(0,MIN($C24,AI$4+1)-MAX($B24,AI$4))</f>
        <v/>
      </c>
      <c r="AJ24">
        <f>MAX(0,MIN($C24,AJ$4+1)-MAX($B24,AJ$4))</f>
        <v/>
      </c>
      <c r="AK24">
        <f>MAX(0,MIN($C24,AK$4+1)-MAX($B24,AK$4))</f>
        <v/>
      </c>
      <c r="AL24">
        <f>MAX(0,MIN($C24,AL$4+1)-MAX($B24,AL$4))</f>
        <v/>
      </c>
      <c r="AM24">
        <f>MAX(0,MIN($C24,AM$4+1)-MAX($B24,AM$4))</f>
        <v/>
      </c>
      <c r="AO24" t="n">
        <v>0</v>
      </c>
      <c r="AP24" t="n">
        <v>0</v>
      </c>
    </row>
    <row r="25">
      <c r="A25" t="inlineStr"/>
      <c r="B25" s="3" t="n">
        <v>0</v>
      </c>
      <c r="C25" s="3" t="n">
        <v>0</v>
      </c>
      <c r="D25" t="inlineStr"/>
      <c r="E25" t="n">
        <v>0</v>
      </c>
      <c r="F25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T25">
        <f>MAX(0,MIN($C25,T$4+1)-MAX($B25,T$4))</f>
        <v/>
      </c>
      <c r="U25">
        <f>MAX(0,MIN($C25,U$4+1)-MAX($B25,U$4))</f>
        <v/>
      </c>
      <c r="V25">
        <f>MAX(0,MIN($C25,V$4+1)-MAX($B25,V$4))</f>
        <v/>
      </c>
      <c r="W25">
        <f>MAX(0,MIN($C25,W$4+1)-MAX($B25,W$4))</f>
        <v/>
      </c>
      <c r="X25">
        <f>MAX(0,MIN($C25,X$4+1)-MAX($B25,X$4))</f>
        <v/>
      </c>
      <c r="Y25">
        <f>MAX(0,MIN($C25,Y$4+1)-MAX($B25,Y$4))</f>
        <v/>
      </c>
      <c r="Z25">
        <f>MAX(0,MIN($C25,Z$4+1)-MAX($B25,Z$4))</f>
        <v/>
      </c>
      <c r="AA25">
        <f>MAX(0,MIN($C25,AA$4+1)-MAX($B25,AA$4))</f>
        <v/>
      </c>
      <c r="AB25">
        <f>MAX(0,MIN($C25,AB$4+1)-MAX($B25,AB$4))</f>
        <v/>
      </c>
      <c r="AC25">
        <f>MAX(0,MIN($C25,AC$4+1)-MAX($B25,AC$4))</f>
        <v/>
      </c>
      <c r="AD25">
        <f>MAX(0,MIN($C25,AD$4+1)-MAX($B25,AD$4))</f>
        <v/>
      </c>
      <c r="AE25">
        <f>MAX(0,MIN($C25,AE$4+1)-MAX($B25,AE$4))</f>
        <v/>
      </c>
      <c r="AF25">
        <f>MAX(0,MIN($C25,AF$4+1)-MAX($B25,AF$4))</f>
        <v/>
      </c>
      <c r="AG25">
        <f>MAX(0,MIN($C25,AG$4+1)-MAX($B25,AG$4))</f>
        <v/>
      </c>
      <c r="AH25">
        <f>MAX(0,MIN($C25,AH$4+1)-MAX($B25,AH$4))</f>
        <v/>
      </c>
      <c r="AI25">
        <f>MAX(0,MIN($C25,AI$4+1)-MAX($B25,AI$4))</f>
        <v/>
      </c>
      <c r="AJ25">
        <f>MAX(0,MIN($C25,AJ$4+1)-MAX($B25,AJ$4))</f>
        <v/>
      </c>
      <c r="AK25">
        <f>MAX(0,MIN($C25,AK$4+1)-MAX($B25,AK$4))</f>
        <v/>
      </c>
      <c r="AL25">
        <f>MAX(0,MIN($C25,AL$4+1)-MAX($B25,AL$4))</f>
        <v/>
      </c>
      <c r="AM25">
        <f>MAX(0,MIN($C25,AM$4+1)-MAX($B25,AM$4))</f>
        <v/>
      </c>
    </row>
    <row r="26">
      <c r="A26" t="inlineStr"/>
      <c r="B26" s="3" t="n">
        <v>0</v>
      </c>
      <c r="C26" s="3" t="n">
        <v>0</v>
      </c>
      <c r="D26" t="inlineStr"/>
      <c r="E26" t="n">
        <v>0</v>
      </c>
      <c r="F26" t="n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  <c r="T26">
        <f>MAX(0,MIN($C26,T$4+1)-MAX($B26,T$4))</f>
        <v/>
      </c>
      <c r="U26">
        <f>MAX(0,MIN($C26,U$4+1)-MAX($B26,U$4))</f>
        <v/>
      </c>
      <c r="V26">
        <f>MAX(0,MIN($C26,V$4+1)-MAX($B26,V$4))</f>
        <v/>
      </c>
      <c r="W26">
        <f>MAX(0,MIN($C26,W$4+1)-MAX($B26,W$4))</f>
        <v/>
      </c>
      <c r="X26">
        <f>MAX(0,MIN($C26,X$4+1)-MAX($B26,X$4))</f>
        <v/>
      </c>
      <c r="Y26">
        <f>MAX(0,MIN($C26,Y$4+1)-MAX($B26,Y$4))</f>
        <v/>
      </c>
      <c r="Z26">
        <f>MAX(0,MIN($C26,Z$4+1)-MAX($B26,Z$4))</f>
        <v/>
      </c>
      <c r="AA26">
        <f>MAX(0,MIN($C26,AA$4+1)-MAX($B26,AA$4))</f>
        <v/>
      </c>
      <c r="AB26">
        <f>MAX(0,MIN($C26,AB$4+1)-MAX($B26,AB$4))</f>
        <v/>
      </c>
      <c r="AC26">
        <f>MAX(0,MIN($C26,AC$4+1)-MAX($B26,AC$4))</f>
        <v/>
      </c>
      <c r="AD26">
        <f>MAX(0,MIN($C26,AD$4+1)-MAX($B26,AD$4))</f>
        <v/>
      </c>
      <c r="AE26">
        <f>MAX(0,MIN($C26,AE$4+1)-MAX($B26,AE$4))</f>
        <v/>
      </c>
      <c r="AF26">
        <f>MAX(0,MIN($C26,AF$4+1)-MAX($B26,AF$4))</f>
        <v/>
      </c>
      <c r="AG26">
        <f>MAX(0,MIN($C26,AG$4+1)-MAX($B26,AG$4))</f>
        <v/>
      </c>
      <c r="AH26">
        <f>MAX(0,MIN($C26,AH$4+1)-MAX($B26,AH$4))</f>
        <v/>
      </c>
      <c r="AI26">
        <f>MAX(0,MIN($C26,AI$4+1)-MAX($B26,AI$4))</f>
        <v/>
      </c>
      <c r="AJ26">
        <f>MAX(0,MIN($C26,AJ$4+1)-MAX($B26,AJ$4))</f>
        <v/>
      </c>
      <c r="AK26">
        <f>MAX(0,MIN($C26,AK$4+1)-MAX($B26,AK$4))</f>
        <v/>
      </c>
      <c r="AL26">
        <f>MAX(0,MIN($C26,AL$4+1)-MAX($B26,AL$4))</f>
        <v/>
      </c>
      <c r="AM26">
        <f>MAX(0,MIN($C26,AM$4+1)-MAX($B26,AM$4))</f>
        <v/>
      </c>
    </row>
    <row r="27">
      <c r="A27" t="inlineStr"/>
      <c r="B27" s="3" t="n">
        <v>0</v>
      </c>
      <c r="C27" s="3" t="n">
        <v>0</v>
      </c>
      <c r="D27" t="inlineStr"/>
      <c r="E27" t="n">
        <v>0</v>
      </c>
      <c r="F27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T27">
        <f>MAX(0,MIN($C27,T$4+1)-MAX($B27,T$4))</f>
        <v/>
      </c>
      <c r="U27">
        <f>MAX(0,MIN($C27,U$4+1)-MAX($B27,U$4))</f>
        <v/>
      </c>
      <c r="V27">
        <f>MAX(0,MIN($C27,V$4+1)-MAX($B27,V$4))</f>
        <v/>
      </c>
      <c r="W27">
        <f>MAX(0,MIN($C27,W$4+1)-MAX($B27,W$4))</f>
        <v/>
      </c>
      <c r="X27">
        <f>MAX(0,MIN($C27,X$4+1)-MAX($B27,X$4))</f>
        <v/>
      </c>
      <c r="Y27">
        <f>MAX(0,MIN($C27,Y$4+1)-MAX($B27,Y$4))</f>
        <v/>
      </c>
      <c r="Z27">
        <f>MAX(0,MIN($C27,Z$4+1)-MAX($B27,Z$4))</f>
        <v/>
      </c>
      <c r="AA27">
        <f>MAX(0,MIN($C27,AA$4+1)-MAX($B27,AA$4))</f>
        <v/>
      </c>
      <c r="AB27">
        <f>MAX(0,MIN($C27,AB$4+1)-MAX($B27,AB$4))</f>
        <v/>
      </c>
      <c r="AC27">
        <f>MAX(0,MIN($C27,AC$4+1)-MAX($B27,AC$4))</f>
        <v/>
      </c>
      <c r="AD27">
        <f>MAX(0,MIN($C27,AD$4+1)-MAX($B27,AD$4))</f>
        <v/>
      </c>
      <c r="AE27">
        <f>MAX(0,MIN($C27,AE$4+1)-MAX($B27,AE$4))</f>
        <v/>
      </c>
      <c r="AF27">
        <f>MAX(0,MIN($C27,AF$4+1)-MAX($B27,AF$4))</f>
        <v/>
      </c>
      <c r="AG27">
        <f>MAX(0,MIN($C27,AG$4+1)-MAX($B27,AG$4))</f>
        <v/>
      </c>
      <c r="AH27">
        <f>MAX(0,MIN($C27,AH$4+1)-MAX($B27,AH$4))</f>
        <v/>
      </c>
      <c r="AI27">
        <f>MAX(0,MIN($C27,AI$4+1)-MAX($B27,AI$4))</f>
        <v/>
      </c>
      <c r="AJ27">
        <f>MAX(0,MIN($C27,AJ$4+1)-MAX($B27,AJ$4))</f>
        <v/>
      </c>
      <c r="AK27">
        <f>MAX(0,MIN($C27,AK$4+1)-MAX($B27,AK$4))</f>
        <v/>
      </c>
      <c r="AL27">
        <f>MAX(0,MIN($C27,AL$4+1)-MAX($B27,AL$4))</f>
        <v/>
      </c>
      <c r="AM27">
        <f>MAX(0,MIN($C27,AM$4+1)-MAX($B27,AM$4))</f>
        <v/>
      </c>
    </row>
    <row r="28">
      <c r="A28" t="inlineStr"/>
      <c r="B28" s="3" t="n">
        <v>0</v>
      </c>
      <c r="C28" s="3" t="n">
        <v>0</v>
      </c>
      <c r="D28" t="inlineStr"/>
      <c r="E28" t="n">
        <v>0</v>
      </c>
      <c r="F28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T28">
        <f>MAX(0,MIN($C28,T$4+1)-MAX($B28,T$4))</f>
        <v/>
      </c>
      <c r="U28">
        <f>MAX(0,MIN($C28,U$4+1)-MAX($B28,U$4))</f>
        <v/>
      </c>
      <c r="V28">
        <f>MAX(0,MIN($C28,V$4+1)-MAX($B28,V$4))</f>
        <v/>
      </c>
      <c r="W28">
        <f>MAX(0,MIN($C28,W$4+1)-MAX($B28,W$4))</f>
        <v/>
      </c>
      <c r="X28">
        <f>MAX(0,MIN($C28,X$4+1)-MAX($B28,X$4))</f>
        <v/>
      </c>
      <c r="Y28">
        <f>MAX(0,MIN($C28,Y$4+1)-MAX($B28,Y$4))</f>
        <v/>
      </c>
      <c r="Z28">
        <f>MAX(0,MIN($C28,Z$4+1)-MAX($B28,Z$4))</f>
        <v/>
      </c>
      <c r="AA28">
        <f>MAX(0,MIN($C28,AA$4+1)-MAX($B28,AA$4))</f>
        <v/>
      </c>
      <c r="AB28">
        <f>MAX(0,MIN($C28,AB$4+1)-MAX($B28,AB$4))</f>
        <v/>
      </c>
      <c r="AC28">
        <f>MAX(0,MIN($C28,AC$4+1)-MAX($B28,AC$4))</f>
        <v/>
      </c>
      <c r="AD28">
        <f>MAX(0,MIN($C28,AD$4+1)-MAX($B28,AD$4))</f>
        <v/>
      </c>
      <c r="AE28">
        <f>MAX(0,MIN($C28,AE$4+1)-MAX($B28,AE$4))</f>
        <v/>
      </c>
      <c r="AF28">
        <f>MAX(0,MIN($C28,AF$4+1)-MAX($B28,AF$4))</f>
        <v/>
      </c>
      <c r="AG28">
        <f>MAX(0,MIN($C28,AG$4+1)-MAX($B28,AG$4))</f>
        <v/>
      </c>
      <c r="AH28">
        <f>MAX(0,MIN($C28,AH$4+1)-MAX($B28,AH$4))</f>
        <v/>
      </c>
      <c r="AI28">
        <f>MAX(0,MIN($C28,AI$4+1)-MAX($B28,AI$4))</f>
        <v/>
      </c>
      <c r="AJ28">
        <f>MAX(0,MIN($C28,AJ$4+1)-MAX($B28,AJ$4))</f>
        <v/>
      </c>
      <c r="AK28">
        <f>MAX(0,MIN($C28,AK$4+1)-MAX($B28,AK$4))</f>
        <v/>
      </c>
      <c r="AL28">
        <f>MAX(0,MIN($C28,AL$4+1)-MAX($B28,AL$4))</f>
        <v/>
      </c>
      <c r="AM28">
        <f>MAX(0,MIN($C28,AM$4+1)-MAX($B28,AM$4))</f>
        <v/>
      </c>
    </row>
    <row r="29">
      <c r="A29" t="inlineStr"/>
      <c r="B29" s="3" t="n">
        <v>0</v>
      </c>
      <c r="C29" s="3" t="n">
        <v>0</v>
      </c>
      <c r="D29" t="inlineStr"/>
      <c r="E29" t="n">
        <v>0</v>
      </c>
      <c r="F29" t="n">
        <v>0</v>
      </c>
      <c r="G29" s="3" t="n">
        <v>0</v>
      </c>
      <c r="H29" s="3" t="n">
        <v>0</v>
      </c>
      <c r="I29" s="3" t="n">
        <v>0</v>
      </c>
      <c r="J29" s="3" t="n">
        <v>0</v>
      </c>
      <c r="K29" s="3" t="n">
        <v>0</v>
      </c>
      <c r="L29" s="3" t="n">
        <v>0</v>
      </c>
      <c r="M29" s="3" t="n">
        <v>0</v>
      </c>
      <c r="N29" s="3" t="n">
        <v>0</v>
      </c>
      <c r="O29" s="3" t="n">
        <v>0</v>
      </c>
      <c r="P29" s="3" t="n">
        <v>0</v>
      </c>
      <c r="Q29" s="3" t="n">
        <v>0</v>
      </c>
      <c r="R29" s="3" t="n">
        <v>0</v>
      </c>
      <c r="T29">
        <f>MAX(0,MIN($C29,T$4+1)-MAX($B29,T$4))</f>
        <v/>
      </c>
      <c r="U29">
        <f>MAX(0,MIN($C29,U$4+1)-MAX($B29,U$4))</f>
        <v/>
      </c>
      <c r="V29">
        <f>MAX(0,MIN($C29,V$4+1)-MAX($B29,V$4))</f>
        <v/>
      </c>
      <c r="W29">
        <f>MAX(0,MIN($C29,W$4+1)-MAX($B29,W$4))</f>
        <v/>
      </c>
      <c r="X29">
        <f>MAX(0,MIN($C29,X$4+1)-MAX($B29,X$4))</f>
        <v/>
      </c>
      <c r="Y29">
        <f>MAX(0,MIN($C29,Y$4+1)-MAX($B29,Y$4))</f>
        <v/>
      </c>
      <c r="Z29">
        <f>MAX(0,MIN($C29,Z$4+1)-MAX($B29,Z$4))</f>
        <v/>
      </c>
      <c r="AA29">
        <f>MAX(0,MIN($C29,AA$4+1)-MAX($B29,AA$4))</f>
        <v/>
      </c>
      <c r="AB29">
        <f>MAX(0,MIN($C29,AB$4+1)-MAX($B29,AB$4))</f>
        <v/>
      </c>
      <c r="AC29">
        <f>MAX(0,MIN($C29,AC$4+1)-MAX($B29,AC$4))</f>
        <v/>
      </c>
      <c r="AD29">
        <f>MAX(0,MIN($C29,AD$4+1)-MAX($B29,AD$4))</f>
        <v/>
      </c>
      <c r="AE29">
        <f>MAX(0,MIN($C29,AE$4+1)-MAX($B29,AE$4))</f>
        <v/>
      </c>
      <c r="AF29">
        <f>MAX(0,MIN($C29,AF$4+1)-MAX($B29,AF$4))</f>
        <v/>
      </c>
      <c r="AG29">
        <f>MAX(0,MIN($C29,AG$4+1)-MAX($B29,AG$4))</f>
        <v/>
      </c>
      <c r="AH29">
        <f>MAX(0,MIN($C29,AH$4+1)-MAX($B29,AH$4))</f>
        <v/>
      </c>
      <c r="AI29">
        <f>MAX(0,MIN($C29,AI$4+1)-MAX($B29,AI$4))</f>
        <v/>
      </c>
      <c r="AJ29">
        <f>MAX(0,MIN($C29,AJ$4+1)-MAX($B29,AJ$4))</f>
        <v/>
      </c>
      <c r="AK29">
        <f>MAX(0,MIN($C29,AK$4+1)-MAX($B29,AK$4))</f>
        <v/>
      </c>
      <c r="AL29">
        <f>MAX(0,MIN($C29,AL$4+1)-MAX($B29,AL$4))</f>
        <v/>
      </c>
      <c r="AM29">
        <f>MAX(0,MIN($C29,AM$4+1)-MAX($B29,AM$4))</f>
        <v/>
      </c>
    </row>
    <row r="31">
      <c r="A31" s="1" t="inlineStr">
        <is>
          <t>Simulación anual (todas las celdas son fórmulas)</t>
        </is>
      </c>
    </row>
    <row r="32">
      <c r="A32" s="5" t="inlineStr">
        <is>
          <t>Año</t>
        </is>
      </c>
      <c r="B32" s="5" t="inlineStr">
        <is>
          <t>k</t>
        </is>
      </c>
      <c r="C32" s="5" t="inlineStr">
        <is>
          <t>Índice inflación</t>
        </is>
      </c>
      <c r="D32" s="5" t="inlineStr">
        <is>
          <t>Salarios W-2</t>
        </is>
      </c>
      <c r="E32" s="5" t="inlineStr">
        <is>
          <t>W-2 con match</t>
        </is>
      </c>
      <c r="F32" s="5" t="inlineStr">
        <is>
          <t>Stipends libres</t>
        </is>
      </c>
      <c r="G32" s="5" t="inlineStr">
        <is>
          <t>Ingreso S-corp</t>
        </is>
      </c>
      <c r="H32" s="5" t="inlineStr">
        <is>
          <t>Autoempleo (LLC/tutoría)</t>
        </is>
      </c>
      <c r="I32" s="5" t="inlineStr">
        <is>
          <t>Matrícula</t>
        </is>
      </c>
      <c r="J32" s="5" t="inlineStr">
        <is>
          <t>Fracción estudio</t>
        </is>
      </c>
      <c r="K32" s="5" t="inlineStr">
        <is>
          <t>Fracción PSLF</t>
        </is>
      </c>
      <c r="L32" s="5" t="inlineStr">
        <is>
          <t>Fracción travel</t>
        </is>
      </c>
      <c r="M32" s="5" t="inlineStr">
        <is>
          <t>Attending</t>
        </is>
      </c>
      <c r="N32" s="5" t="inlineStr">
        <is>
          <t>Hitos (costos)</t>
        </is>
      </c>
      <c r="O32" s="5" t="inlineStr">
        <is>
          <t>Aporte 403b</t>
        </is>
      </c>
      <c r="P32" s="5" t="inlineStr">
        <is>
          <t>Match empleador</t>
        </is>
      </c>
      <c r="Q32" s="5" t="inlineStr">
        <is>
          <t>S-corp neto</t>
        </is>
      </c>
      <c r="R32" s="5" t="inlineStr">
        <is>
          <t>Salario S-corp</t>
        </is>
      </c>
      <c r="S32" s="5" t="inlineStr">
        <is>
          <t>FICA patronal S-corp</t>
        </is>
      </c>
      <c r="T32" s="5" t="inlineStr">
        <is>
          <t>Distribución S-corp</t>
        </is>
      </c>
      <c r="U32" s="5" t="inlineStr">
        <is>
          <t>Salarios totales</t>
        </is>
      </c>
      <c r="V32" s="5" t="inlineStr">
        <is>
          <t>Base autoempleo</t>
        </is>
      </c>
      <c r="W32" s="5" t="inlineStr">
        <is>
          <t>Impuesto autoempleo</t>
        </is>
      </c>
      <c r="X32" s="5" t="inlineStr">
        <is>
          <t>FICA empleado</t>
        </is>
      </c>
      <c r="Y32" s="5" t="inlineStr">
        <is>
          <t>AGI</t>
        </is>
      </c>
      <c r="Z32" s="5" t="inlineStr">
        <is>
          <t>Ingreso gravable antes QBI</t>
        </is>
      </c>
      <c r="AA32" s="5" t="inlineStr">
        <is>
          <t>Deducción QBI</t>
        </is>
      </c>
      <c r="AB32" s="5" t="inlineStr">
        <is>
          <t>Ingreso gravable</t>
        </is>
      </c>
      <c r="AC32" s="5" t="inlineStr">
        <is>
          <t>Impuesto federal</t>
        </is>
      </c>
      <c r="AD32" s="5" t="inlineStr">
        <is>
          <t>Gravable NY</t>
        </is>
      </c>
      <c r="AE32" s="5" t="inlineStr">
        <is>
          <t>Impuesto estatal/local</t>
        </is>
      </c>
      <c r="AF32" s="5" t="inlineStr">
        <is>
          <t>Impuestos totales</t>
        </is>
      </c>
      <c r="AG32" s="5" t="inlineStr">
        <is>
          <t>Ingreso personal bruto en efectivo</t>
        </is>
      </c>
      <c r="AH32" s="5" t="inlineStr">
        <is>
          <t>Efectivo neto (tras impuestos y 403b)</t>
        </is>
      </c>
      <c r="AI32" s="5" t="inlineStr">
        <is>
          <t>Ingreso bruto</t>
        </is>
      </c>
      <c r="AJ32" s="5" t="inlineStr">
        <is>
          <t>Gastos de vida</t>
        </is>
      </c>
      <c r="AK32" s="5" t="inlineStr">
        <is>
          <t>Ahorro líquido inicio</t>
        </is>
      </c>
      <c r="AL32" s="5" t="inlineStr">
        <is>
          <t>Ya era dueño</t>
        </is>
      </c>
      <c r="AM32" s="5" t="inlineStr">
        <is>
          <t>Precio base 2026</t>
        </is>
      </c>
      <c r="AN32" s="5" t="inlineStr">
        <is>
          <t>Precio en el año</t>
        </is>
      </c>
      <c r="AO32" s="5" t="inlineStr">
        <is>
          <t>Physician loan</t>
        </is>
      </c>
      <c r="AP32" s="5" t="inlineStr">
        <is>
          <t>% enganche</t>
        </is>
      </c>
      <c r="AQ32" s="5" t="inlineStr">
        <is>
          <t>Préstamo</t>
        </is>
      </c>
      <c r="AR32" s="5" t="inlineStr">
        <is>
          <t>Cuota P&amp;I mensual</t>
        </is>
      </c>
      <c r="AS32" s="5" t="inlineStr">
        <is>
          <t>Unidades rentadas</t>
        </is>
      </c>
      <c r="AT32" s="5" t="inlineStr">
        <is>
          <t>Renta mensual (cotización)</t>
        </is>
      </c>
      <c r="AU32" s="5" t="inlineStr">
        <is>
          <t>PITI mensual</t>
        </is>
      </c>
      <c r="AV32" s="5" t="inlineStr">
        <is>
          <t>Efectivo requerido</t>
        </is>
      </c>
      <c r="AW32" s="5" t="inlineStr">
        <is>
          <t>Otras deudas mensuales</t>
        </is>
      </c>
      <c r="AX32" s="5" t="inlineStr">
        <is>
          <t>Crédito aporte familiar</t>
        </is>
      </c>
      <c r="AY32" s="5" t="inlineStr">
        <is>
          <t>Carga mensual para DTI</t>
        </is>
      </c>
      <c r="AZ32" s="5" t="inlineStr">
        <is>
          <t>Ingreso mensual para DTI</t>
        </is>
      </c>
      <c r="BA32" s="5" t="inlineStr">
        <is>
          <t>Compra este año</t>
        </is>
      </c>
      <c r="BB32" s="5" t="inlineStr">
        <is>
          <t>Dueño</t>
        </is>
      </c>
      <c r="BC32" s="5" t="inlineStr">
        <is>
          <t>Año de compra</t>
        </is>
      </c>
      <c r="BD32" s="5" t="inlineStr">
        <is>
          <t>Ahorro tras enganche</t>
        </is>
      </c>
      <c r="BE32" s="5" t="inlineStr">
        <is>
          <t>Precio de compra</t>
        </is>
      </c>
      <c r="BF32" s="5" t="inlineStr">
        <is>
          <t>Cuota hipoteca</t>
        </is>
      </c>
      <c r="BG32" s="5" t="inlineStr">
        <is>
          <t>PMI activo (antes)</t>
        </is>
      </c>
      <c r="BH32" s="5" t="inlineStr">
        <is>
          <t>Config. con ADU</t>
        </is>
      </c>
      <c r="BI32" s="5" t="inlineStr">
        <is>
          <t>Construye ADU</t>
        </is>
      </c>
      <c r="BJ32" s="5" t="inlineStr">
        <is>
          <t>ADU construido</t>
        </is>
      </c>
      <c r="BK32" s="5" t="inlineStr">
        <is>
          <t>Cuota ADU</t>
        </is>
      </c>
      <c r="BL32" s="5" t="inlineStr">
        <is>
          <t>Valor vivienda inicio</t>
        </is>
      </c>
      <c r="BM32" s="5" t="inlineStr">
        <is>
          <t>Hipoteca inicio</t>
        </is>
      </c>
      <c r="BN32" s="5" t="inlineStr">
        <is>
          <t>Hipoteca tras 12 pagos</t>
        </is>
      </c>
      <c r="BO32" s="5" t="inlineStr">
        <is>
          <t>Pagado hipoteca</t>
        </is>
      </c>
      <c r="BP32" s="5" t="inlineStr">
        <is>
          <t>Hipoteca tras pagos</t>
        </is>
      </c>
      <c r="BQ32" s="5" t="inlineStr">
        <is>
          <t>ADU inicio</t>
        </is>
      </c>
      <c r="BR32" s="5" t="inlineStr">
        <is>
          <t>ADU tras 12 pagos</t>
        </is>
      </c>
      <c r="BS32" s="5" t="inlineStr">
        <is>
          <t>Pagado ADU</t>
        </is>
      </c>
      <c r="BT32" s="5" t="inlineStr">
        <is>
          <t>ADU tras pagos</t>
        </is>
      </c>
      <c r="BU32" s="5" t="inlineStr">
        <is>
          <t>Seguro</t>
        </is>
      </c>
      <c r="BV32" s="5" t="inlineStr">
        <is>
          <t>Impuesto predial</t>
        </is>
      </c>
      <c r="BW32" s="5" t="inlineStr">
        <is>
          <t>Mantenimiento</t>
        </is>
      </c>
      <c r="BX32" s="5" t="inlineStr">
        <is>
          <t>PMI</t>
        </is>
      </c>
      <c r="BY32" s="5" t="inlineStr">
        <is>
          <t>PMI activo (después)</t>
        </is>
      </c>
      <c r="BZ32" s="5" t="inlineStr">
        <is>
          <t>Renta recibida</t>
        </is>
      </c>
      <c r="CA32" s="5" t="inlineStr">
        <is>
          <t>Costo de vivienda</t>
        </is>
      </c>
      <c r="CB32" s="5" t="inlineStr">
        <is>
          <t>Aporte familiar</t>
        </is>
      </c>
      <c r="CC32" s="5" t="inlineStr">
        <is>
          <t>IRS pagado</t>
        </is>
      </c>
      <c r="CD32" s="5" t="inlineStr">
        <is>
          <t>IRS saldo</t>
        </is>
      </c>
      <c r="CE32" s="5" t="inlineStr">
        <is>
          <t>Federal inicio</t>
        </is>
      </c>
      <c r="CF32" s="5" t="inlineStr">
        <is>
          <t>Tasa federal</t>
        </is>
      </c>
      <c r="CG32" s="5" t="inlineStr">
        <is>
          <t>Años repago fed.</t>
        </is>
      </c>
      <c r="CH32" s="5" t="inlineStr">
        <is>
          <t>En estudios (≥50%)</t>
        </is>
      </c>
      <c r="CI32" s="5" t="inlineStr">
        <is>
          <t>Usa RAP/PSLF</t>
        </is>
      </c>
      <c r="CJ32" s="5" t="inlineStr">
        <is>
          <t>Interés federal</t>
        </is>
      </c>
      <c r="CK32" s="5" t="inlineStr">
        <is>
          <t>Pago RAP</t>
        </is>
      </c>
      <c r="CL32" s="5" t="inlineStr">
        <is>
          <t>Pago federal</t>
        </is>
      </c>
      <c r="CM32" s="5" t="inlineStr">
        <is>
          <t>Federal tras pago</t>
        </is>
      </c>
      <c r="CN32" s="5" t="inlineStr">
        <is>
          <t>Meses PSLF</t>
        </is>
      </c>
      <c r="CO32" s="5" t="inlineStr">
        <is>
          <t>Condonado PSLF</t>
        </is>
      </c>
      <c r="CP32" s="5" t="inlineStr">
        <is>
          <t>Federal tras PSLF</t>
        </is>
      </c>
      <c r="CQ32" s="5" t="inlineStr">
        <is>
          <t>Años repago (tras pago)</t>
        </is>
      </c>
      <c r="CR32" s="5" t="inlineStr">
        <is>
          <t>Privado inicio</t>
        </is>
      </c>
      <c r="CS32" s="5" t="inlineStr">
        <is>
          <t>Tasa privada</t>
        </is>
      </c>
      <c r="CT32" s="5" t="inlineStr">
        <is>
          <t>Años repago priv.</t>
        </is>
      </c>
      <c r="CU32" s="5" t="inlineStr">
        <is>
          <t>Pago privado</t>
        </is>
      </c>
      <c r="CV32" s="5" t="inlineStr">
        <is>
          <t>Privado tras pago</t>
        </is>
      </c>
      <c r="CW32" s="5" t="inlineStr">
        <is>
          <t>Años repago priv. (tras)</t>
        </is>
      </c>
      <c r="CX32" s="5" t="inlineStr">
        <is>
          <t>Consumo tras interés</t>
        </is>
      </c>
      <c r="CY32" s="5" t="inlineStr">
        <is>
          <t>Gasto extra travel</t>
        </is>
      </c>
      <c r="CZ32" s="5" t="inlineStr">
        <is>
          <t>Salidas</t>
        </is>
      </c>
      <c r="DA32" s="5" t="inlineStr">
        <is>
          <t>Excedente (déficit)</t>
        </is>
      </c>
      <c r="DB32" s="5" t="inlineStr">
        <is>
          <t>Flujo acumulado</t>
        </is>
      </c>
      <c r="DC32" s="5" t="inlineStr">
        <is>
          <t>Meta enganche</t>
        </is>
      </c>
      <c r="DD32" s="5" t="inlineStr">
        <is>
          <t>Retorno del ahorro líquido</t>
        </is>
      </c>
      <c r="DE32" s="5" t="inlineStr">
        <is>
          <t>Pago deuda consumo</t>
        </is>
      </c>
      <c r="DF32" s="5" t="inlineStr">
        <is>
          <t>Gasto discrecional</t>
        </is>
      </c>
      <c r="DG32" s="5" t="inlineStr">
        <is>
          <t>Ahorro</t>
        </is>
      </c>
      <c r="DH32" s="5" t="inlineStr">
        <is>
          <t>Roth</t>
        </is>
      </c>
      <c r="DI32" s="5" t="inlineStr">
        <is>
          <t>Prepago</t>
        </is>
      </c>
      <c r="DJ32" s="5" t="inlineStr">
        <is>
          <t>Prepago a hipoteca</t>
        </is>
      </c>
      <c r="DK32" s="5" t="inlineStr">
        <is>
          <t>Retiro del ahorro</t>
        </is>
      </c>
      <c r="DL32" s="5" t="inlineStr">
        <is>
          <t>Déficit por financiar</t>
        </is>
      </c>
      <c r="DM32" s="5" t="inlineStr">
        <is>
          <t>Federal acumulado (antes)</t>
        </is>
      </c>
      <c r="DN32" s="5" t="inlineStr">
        <is>
          <t>Nuevo préstamo federal</t>
        </is>
      </c>
      <c r="DO32" s="5" t="inlineStr">
        <is>
          <t>Nuevo préstamo privado</t>
        </is>
      </c>
      <c r="DP32" s="5" t="inlineStr">
        <is>
          <t>Nueva deuda consumo</t>
        </is>
      </c>
      <c r="DQ32" s="5" t="inlineStr">
        <is>
          <t>Flujo al ahorro líquido</t>
        </is>
      </c>
      <c r="DR32" s="5" t="inlineStr">
        <is>
          <t>Ahorro líquido fin</t>
        </is>
      </c>
      <c r="DS32" s="5" t="inlineStr">
        <is>
          <t>Retiro fin</t>
        </is>
      </c>
      <c r="DT32" s="5" t="inlineStr">
        <is>
          <t>Valor vivienda fin</t>
        </is>
      </c>
      <c r="DU32" s="5" t="inlineStr">
        <is>
          <t>Hipoteca fin</t>
        </is>
      </c>
      <c r="DV32" s="5" t="inlineStr">
        <is>
          <t>ADU fin</t>
        </is>
      </c>
      <c r="DW32" s="5" t="inlineStr">
        <is>
          <t>Federal fin</t>
        </is>
      </c>
      <c r="DX32" s="5" t="inlineStr">
        <is>
          <t>Tasa federal fin</t>
        </is>
      </c>
      <c r="DY32" s="5" t="inlineStr">
        <is>
          <t>Años repago fed. fin</t>
        </is>
      </c>
      <c r="DZ32" s="5" t="inlineStr">
        <is>
          <t>Federal acumulado</t>
        </is>
      </c>
      <c r="EA32" s="5" t="inlineStr">
        <is>
          <t>Privado fin</t>
        </is>
      </c>
      <c r="EB32" s="5" t="inlineStr">
        <is>
          <t>Tasa privada fin</t>
        </is>
      </c>
      <c r="EC32" s="5" t="inlineStr">
        <is>
          <t>Años repago priv. fin</t>
        </is>
      </c>
      <c r="ED32" s="5" t="inlineStr">
        <is>
          <t>Deuda consumo fin</t>
        </is>
      </c>
      <c r="EE32" s="5" t="inlineStr">
        <is>
          <t>Año vivienda pagada</t>
        </is>
      </c>
      <c r="EF32" s="5" t="inlineStr">
        <is>
          <t>Deuda total</t>
        </is>
      </c>
      <c r="EG32" s="9" t="inlineStr">
        <is>
          <t>PATRIMONIO NETO</t>
        </is>
      </c>
      <c r="EH32" s="5" t="inlineStr">
        <is>
          <t>Patrimonio (dólares 2026)</t>
        </is>
      </c>
    </row>
    <row r="33">
      <c r="A33" t="n">
        <v>2027</v>
      </c>
      <c r="B33" t="n">
        <v>0</v>
      </c>
      <c r="C33" s="7">
        <f>(1+g_inf)^(A33-2026)</f>
        <v/>
      </c>
      <c r="D33" s="7">
        <f>SUMPRODUCT($T$5:$T$29,$E$5:$E$29*(1+$F$5:$F$29)^(A33-2026)*$G$5:$G$29*$H$5:$H$29*(1-$N$5:$N$29*$O$5:$O$29))*g_salMult+SUMPRODUCT(($B$5:$B$29&gt;=A33)*($B$5:$B$29&lt;A33+1)*$I$5:$I$29)*g_salMult</f>
        <v/>
      </c>
      <c r="E33" s="7">
        <f>SUMPRODUCT($T$5:$T$29,$E$5:$E$29*(1+$F$5:$F$29)^(A33-2026)*$G$5:$G$29*$H$5:$H$29*$M$5:$M$29)*g_salMult</f>
        <v/>
      </c>
      <c r="F33" s="7">
        <f>SUMPRODUCT($T$5:$T$29,$E$5:$E$29*(1+$F$5:$F$29)^(A33-2026)*$G$5:$G$29*$H$5:$H$29*$N$5:$N$29*$O$5:$O$29)*g_salMult</f>
        <v/>
      </c>
      <c r="G33" s="7">
        <f>SUMPRODUCT($T$5:$T$29,$P$5:$P$29*(1+$F$5:$F$29)^(A33-2026))</f>
        <v/>
      </c>
      <c r="H33" s="7">
        <f>SUMPRODUCT($T$5:$T$29,$Q$5:$Q$29*(1+$F$5:$F$29)^(A33-2026))+IF(personal_llcActivo=1,personal_llcNeto*(1+personal_llcCrecimiento)^0,0)</f>
        <v/>
      </c>
      <c r="I33" s="7">
        <f>SUMPRODUCT($T$5:$T$29,$J$5:$J$29/($C$5:$C$29-$B$5:$B$29+($C$5:$C$29=$B$5:$B$29)))*C33</f>
        <v/>
      </c>
      <c r="J33" s="7">
        <f>SUMPRODUCT($T$5:$T$29,$K$5:$K$29)</f>
        <v/>
      </c>
      <c r="K33" s="7">
        <f>SUMPRODUCT($T$5:$T$29,$L$5:$L$29)</f>
        <v/>
      </c>
      <c r="L33" s="7">
        <f>SUMPRODUCT($T$5:$T$29,$N$5:$N$29)</f>
        <v/>
      </c>
      <c r="M33" s="7">
        <f>IF(SUMPRODUCT($T$5:$T$29,$R$5:$R$29)&gt;0,1,0)</f>
        <v/>
      </c>
      <c r="N33" s="7">
        <f>SUMPRODUCT(($AO$5:$AO$24&gt;=A33)*($AO$5:$AO$24&lt;A33+1)*$AP$5:$AP$24)*C33+IF(0=0,IF(sel_loc&lt;&gt;"miami",personal_costoMudanzaInicial,0),0)</f>
        <v/>
      </c>
      <c r="O33" s="7">
        <f>MIN(personal_aporte403bPct*D33,retiro_limite403b*C33)</f>
        <v/>
      </c>
      <c r="P33" s="7">
        <f>MIN(personal_aporte403bPct,personal_match403bPct)*E33</f>
        <v/>
      </c>
      <c r="Q33" s="7">
        <f>IF(G33&gt;0,MAX(0,G33-impuestos_scorpCostoAnual*C33),0)</f>
        <v/>
      </c>
      <c r="R33" s="7">
        <f>Q33*impuestos_scorpSalarioPct/(1+impuestos_ssTasa+impuestos_medicareTasa)</f>
        <v/>
      </c>
      <c r="S33" s="7">
        <f>impuestos_ssTasa*MIN(R33,MAX(0,impuestos_ssTope*C33-D33))+impuestos_medicareTasa*R33</f>
        <v/>
      </c>
      <c r="T33" s="7">
        <f>Q33-R33-S33</f>
        <v/>
      </c>
      <c r="U33" s="7">
        <f>D33+R33</f>
        <v/>
      </c>
      <c r="V33" s="7">
        <f>H33*0.9235</f>
        <v/>
      </c>
      <c r="W33" s="7">
        <f>IF(H33&gt;0,2*impuestos_ssTasa*MIN(V33,MAX(0,impuestos_ssTope*C33-U33))+2*impuestos_medicareTasa*V33,0)</f>
        <v/>
      </c>
      <c r="X33" s="7">
        <f>impuestos_ssTasa*MIN(U33,impuestos_ssTope*C33)+impuestos_medicareTasa*U33+impuestos_medicareAdicional*MAX(0,U33+H33*0.9235-impuestos_medicareUmbral)</f>
        <v/>
      </c>
      <c r="Y33" s="7">
        <f>MAX(0,D33-O33+R33+T33+H33-W33/2)</f>
        <v/>
      </c>
      <c r="Z33" s="7">
        <f>MAX(0,Y33-impuestos_deduccionEstandar*C33)</f>
        <v/>
      </c>
      <c r="AA33" s="7">
        <f>MIN(0.2*MAX(0,T33+H33-W33/2)*MAX(0,MIN(1,1-(Z33-impuestos_qbiUmbral*C33)/(impuestos_qbiRango*C33))),0.2*Z33)</f>
        <v/>
      </c>
      <c r="AB33" s="7">
        <f>MAX(0,Z33-AA33)</f>
        <v/>
      </c>
      <c r="AC33" s="7">
        <f>SUMPRODUCT((AB33&gt;tb_federalBrackets_lo*C33)*(AB33-tb_federalBrackets_lo*C33)*tb_federalBrackets_dr)</f>
        <v/>
      </c>
      <c r="AD33" s="7">
        <f>MAX(0,Y33-impuestos_nyDeduccion*C33)</f>
        <v/>
      </c>
      <c r="AE33" s="7">
        <f>CHOOSE(loc_taxcode,0,impuestos_ohTasa*MAX(0,Y33-impuestos_ohExento*C33)+impuestos_ohMunicipal*U33,SUMPRODUCT((AD33&gt;tb_nyBrackets_lo*C33)*(AD33-tb_nyBrackets_lo*C33)*tb_nyBrackets_dr)+loc_nyc*SUMPRODUCT((AD33&gt;tb_nycBrackets_lo*C33)*(AD33-tb_nycBrackets_lo*C33)*tb_nycBrackets_dr))</f>
        <v/>
      </c>
      <c r="AF33" s="7">
        <f>AC33+AE33+X33+W33</f>
        <v/>
      </c>
      <c r="AG33" s="7">
        <f>D33+F33+R33+T33+H33</f>
        <v/>
      </c>
      <c r="AH33" s="7">
        <f>AG33-AF33-O33</f>
        <v/>
      </c>
      <c r="AI33" s="7">
        <f>D33+F33+G33+H33</f>
        <v/>
      </c>
      <c r="AJ33" s="7">
        <f>loc_gastosVida*C33*g_gastos</f>
        <v/>
      </c>
      <c r="AK33" s="7">
        <f>IF(0=0,personal_liquidoInicial,DR32)</f>
        <v/>
      </c>
      <c r="AL33" s="7">
        <f>IF(0=0,0,BB32)</f>
        <v/>
      </c>
      <c r="AM33" s="7">
        <f>CHOOSE(sel_cfgIdx,loc_precio_duplex,loc_precio_inlaw,loc_precio_dosCasas,loc_precio_casaAdu,loc_precio_multi)</f>
        <v/>
      </c>
      <c r="AN33" s="7">
        <f>AM33*(1+g_appr)^(A33-2026)</f>
        <v/>
      </c>
      <c r="AO33" s="7">
        <f>IF(AND(M33=1,vivienda_prestamoMedico=1),1,0)</f>
        <v/>
      </c>
      <c r="AP33" s="7">
        <f>IF(AO33=1,0.05,vivienda_enganchePct)</f>
        <v/>
      </c>
      <c r="AQ33" s="7">
        <f>AN33*(1-AP33)</f>
        <v/>
      </c>
      <c r="AR33" s="7">
        <f>PMT(g_mortRate/12,vivienda_plazoHipoteca*12,-AQ33)</f>
        <v/>
      </c>
      <c r="AS33" s="7">
        <f>INDEX(cfg_units,sel_cfgIdx)</f>
        <v/>
      </c>
      <c r="AT33" s="7">
        <f>AS33*loc_rentaUnidad*(1+g_inf)^(A33-2026)*(1-vivienda_vacancia)</f>
        <v/>
      </c>
      <c r="AU33" s="7">
        <f>AR33+AN33*loc_impuestoPropPct/12+AM33*loc_seguroPct*(1+vivienda_inflacionSeguro)^(A33-2026)/12+IF(AND(AO33=0,AP33&lt;0.2),AQ33*vivienda_pmiTasa/12,0)</f>
        <v/>
      </c>
      <c r="AV33" s="7">
        <f>AN33*AP33+AN33*vivienda_cierrePct+general_reservaMeses/12*AJ33</f>
        <v/>
      </c>
      <c r="AW33" s="7">
        <f>(IF(0=0,MIN(personal_irsSaldo,personal_irsPagoMensual*12),MIN(CD32,personal_irsPagoMensual*12))+IF(CE33&gt;0,PMT(CF33,MAX(1,prestamos_plazoAnios-CG33),-CE33),0)+IF(CR33&gt;0,PMT(CS33,MAX(1,prestamos_plazoAnios-CT33),-CR33),0))/12</f>
        <v/>
      </c>
      <c r="AX33" s="7">
        <f>IF(OR(sel_cfg="duplex",sel_cfg="multi",sel_cfg="dosCasas"),0.75*personal_aporteFamiliaMensual,0)</f>
        <v/>
      </c>
      <c r="AY33" s="7">
        <f>AU33-0.75*AT33-AX33+AW33</f>
        <v/>
      </c>
      <c r="AZ33" s="7">
        <f>(D33+G33+H33+0.5*F33)/12</f>
        <v/>
      </c>
      <c r="BA33" s="7">
        <f>IF(AND(AL33=0,A33&gt;=vivienda_anioMinCompra,J33&lt;0.5,AI33&gt;0,AK33&gt;=AV33,AY33&lt;=vivienda_dtiMax*AZ33),1,0)</f>
        <v/>
      </c>
      <c r="BB33" s="7">
        <f>MAX(AL33,BA33)</f>
        <v/>
      </c>
      <c r="BC33" s="7">
        <f>IF(BA33=1,A33,IF(0=0,"",BC32))</f>
        <v/>
      </c>
      <c r="BD33" s="7">
        <f>AK33-IF(BA33=1,AN33*AP33+AN33*vivienda_cierrePct,0)</f>
        <v/>
      </c>
      <c r="BE33" s="7">
        <f>IF(BA33=1,AN33,IF(0=0,0,BE32))</f>
        <v/>
      </c>
      <c r="BF33" s="7">
        <f>IF(BA33=1,AR33,IF(0=0,0,BF32))</f>
        <v/>
      </c>
      <c r="BG33" s="7">
        <f>IF(BA33=1,IF(AND(AO33=0,AP33&lt;0.2),1,0),IF(0=0,0,BY32))</f>
        <v/>
      </c>
      <c r="BH33" s="7">
        <f>IF(sel_cfg="casaAdu",1,0)</f>
        <v/>
      </c>
      <c r="BI33" s="7">
        <f>IF(AND(BB33=1,BH33=1,IF(0=0,0,BJ32)=0,A33&gt;=IF(BC33="",9999,BC33)+vivienda_aduRetrasoAnios),1,0)</f>
        <v/>
      </c>
      <c r="BJ33" s="7">
        <f>MAX(IF(0=0,0,BJ32),BI33)</f>
        <v/>
      </c>
      <c r="BK33" s="7">
        <f>IF(BI33=1,PMT((g_mortRate+0.005)/12,180,-loc_precio_aduCosto*C33),IF(0=0,0,BK32))</f>
        <v/>
      </c>
      <c r="BL33" s="7">
        <f>IF(BA33=1,AN33,IF(0=0,0,DT32))+IF(BI33=1,loc_precio_aduCosto*C33,0)</f>
        <v/>
      </c>
      <c r="BM33" s="7">
        <f>IF(BA33=1,AQ33,IF(0=0,0,DU32))</f>
        <v/>
      </c>
      <c r="BN33" s="7">
        <f>IF(BM33&lt;=0,0,FV(g_mortRate/12,12,BF33,-BM33))</f>
        <v/>
      </c>
      <c r="BO33" s="7">
        <f>IF(BM33&lt;=0,0,12*BF33+MIN(0,BN33))</f>
        <v/>
      </c>
      <c r="BP33" s="7">
        <f>MAX(0,BN33)</f>
        <v/>
      </c>
      <c r="BQ33" s="7">
        <f>IF(BI33=1,loc_precio_aduCosto*C33,IF(0=0,0,DV32))</f>
        <v/>
      </c>
      <c r="BR33" s="7">
        <f>IF(BQ33&lt;=0,0,FV((g_mortRate+0.005)/12,12,BK33,-BQ33))</f>
        <v/>
      </c>
      <c r="BS33" s="7">
        <f>IF(BQ33&lt;=0,0,12*BK33+MIN(0,BR33))</f>
        <v/>
      </c>
      <c r="BT33" s="7">
        <f>MAX(0,BR33)</f>
        <v/>
      </c>
      <c r="BU33" s="7">
        <f>IF(BB33=1,AM33*loc_seguroPct*(1+vivienda_inflacionSeguro)^(A33-2026)*IF(BJ33=1,1+loc_precio_aduCosto/AM33,1),0)</f>
        <v/>
      </c>
      <c r="BV33" s="7">
        <f>BL33*loc_impuestoPropPct</f>
        <v/>
      </c>
      <c r="BW33" s="7">
        <f>BL33*vivienda_mantenimientoPct</f>
        <v/>
      </c>
      <c r="BX33" s="7">
        <f>IF(AND(BG33=1,BP33&gt;0.8*BE33),BE33*(1-vivienda_enganchePct)*vivienda_pmiTasa,0)</f>
        <v/>
      </c>
      <c r="BY33" s="7">
        <f>IF(AND(BG33=1,BP33&gt;0.8*BE33),1,0)</f>
        <v/>
      </c>
      <c r="BZ33" s="7">
        <f>IF(BB33=1,AS33*loc_rentaUnidad*12*C33*(1-vivienda_vacancia)*(1-vivienda_gestionPct),0)</f>
        <v/>
      </c>
      <c r="CA33" s="7">
        <f>IF(BB33=1,BO33+BS33+BU33+BV33+BW33+BX33,loc_rentaMensual*12*C33)</f>
        <v/>
      </c>
      <c r="CB33" s="7">
        <f>IF(BB33=1,personal_aporteFamiliaMensual*12,0)</f>
        <v/>
      </c>
      <c r="CC33" s="7">
        <f>MIN(IF(0=0,personal_irsSaldo,CD32),personal_irsPagoMensual*12)</f>
        <v/>
      </c>
      <c r="CD33" s="7">
        <f>IF(0=0,personal_irsSaldo,CD32)-CC33</f>
        <v/>
      </c>
      <c r="CE33" s="7">
        <f>IF(0=0,IF(personal_deudaEsFederal=1,personal_deudaEstudiantil,0),DW32)</f>
        <v/>
      </c>
      <c r="CF33" s="7">
        <f>IF(0=0,personal_tasaDeudaEstudiantil,DX32)</f>
        <v/>
      </c>
      <c r="CG33" s="7">
        <f>IF(0=0,0,DY32)</f>
        <v/>
      </c>
      <c r="CH33" s="7">
        <f>IF(J33&gt;=0.5,1,0)</f>
        <v/>
      </c>
      <c r="CI33" s="7">
        <f>IF(AND(CH33=0,prestamos_pslfActivo=1,K33&gt;=0.5,CE33&gt;0),1,0)</f>
        <v/>
      </c>
      <c r="CJ33" s="7">
        <f>CE33*CF33</f>
        <v/>
      </c>
      <c r="CK33" s="7">
        <f>MAX(prestamos_rapPagoMinimoAnual,IF(Y33&lt;10000,0,MIN(0.1,INT(Y33/10000)/100))*Y33)</f>
        <v/>
      </c>
      <c r="CL33" s="7">
        <f>IF(CE33&lt;=0,0,IF(CH33=1,0,IF(CI33=1,MIN(CE33+CJ33,CK33),PMT(CF33,MAX(1,prestamos_plazoAnios-CG33),-CE33))))</f>
        <v/>
      </c>
      <c r="CM33" s="7">
        <f>IF(CE33&lt;=0,0,IF(CH33=1,CE33+CJ33,IF(CI33=1,MAX(0,CE33-MAX(CL33-CJ33,MIN(600,CL33))),MAX(0,CE33*(1+CF33)-CL33))))</f>
        <v/>
      </c>
      <c r="CN33" s="7">
        <f>IF(0=0,0,CN32)+IF(CI33=1,12*MIN(1,K33),0)</f>
        <v/>
      </c>
      <c r="CO33" s="7">
        <f>IF(AND(CI33=1,CN33&gt;=prestamos_pslfPagos,CM33&gt;0),CM33,0)</f>
        <v/>
      </c>
      <c r="CP33" s="7">
        <f>CM33-CO33</f>
        <v/>
      </c>
      <c r="CQ33" s="7">
        <f>IF(AND(CE33&gt;0,CH33=0,CI33=0),CG33+1,CG33)</f>
        <v/>
      </c>
      <c r="CR33" s="7">
        <f>IF(0=0,IF(personal_deudaEsFederal=1,0,personal_deudaEstudiantil),EA32)</f>
        <v/>
      </c>
      <c r="CS33" s="7">
        <f>IF(0=0,IF(personal_deudaEsFederal=1,prestamos_tasaPrivada,personal_tasaDeudaEstudiantil),EB32)</f>
        <v/>
      </c>
      <c r="CT33" s="7">
        <f>IF(0=0,0,EC32)</f>
        <v/>
      </c>
      <c r="CU33" s="7">
        <f>IF(OR(CR33&lt;=0,CH33=1),0,PMT(CS33,MAX(1,prestamos_plazoAnios-CT33),-CR33))</f>
        <v/>
      </c>
      <c r="CV33" s="7">
        <f>IF(CR33&lt;=0,0,IF(CH33=1,CR33*(1+CS33),MAX(0,CR33*(1+CS33)-CU33)))</f>
        <v/>
      </c>
      <c r="CW33" s="7">
        <f>IF(AND(CR33&gt;0,CH33=0),CT33+1,CT33)</f>
        <v/>
      </c>
      <c r="CX33" s="7">
        <f>IF(0=0,0,ED32)*(1+general_tasaDeudaConsumo)</f>
        <v/>
      </c>
      <c r="CY33" s="7">
        <f>L33*12*tiempos_travelGastoExtraMes*C33</f>
        <v/>
      </c>
      <c r="CZ33" s="7">
        <f>AJ33+CY33+CA33+CC33+CL33+CU33+I33+N33-BZ33-CB33</f>
        <v/>
      </c>
      <c r="DA33" s="7">
        <f>AH33-CZ33</f>
        <v/>
      </c>
      <c r="DB33" s="7">
        <f>IF(0=0,0,DB32)+DA33</f>
        <v/>
      </c>
      <c r="DC33" s="7">
        <f>AN33*vivienda_enganchePct+AN33*vivienda_cierrePct+general_reservaMeses/12*AJ33</f>
        <v/>
      </c>
      <c r="DD33" s="7">
        <f>IF(BB33=1,g_ret,IF(BD33&gt;0,MIN(1,DC33/BD33),1)*g_cash+(1-IF(BD33&gt;0,MIN(1,DC33/BD33),1))*g_ret)</f>
        <v/>
      </c>
      <c r="DE33" s="7">
        <f>IF(DA33&gt;=0,MIN(CX33,DA33),0)</f>
        <v/>
      </c>
      <c r="DF33" s="7">
        <f>IF(DA33&gt;=0,(1-general_tasaAhorro)*(DA33-DE33),0)</f>
        <v/>
      </c>
      <c r="DG33" s="7">
        <f>IF(DA33&gt;=0,DA33-DE33-DF33,0)</f>
        <v/>
      </c>
      <c r="DH33" s="7">
        <f>MIN(personal_rothAnual,DG33)</f>
        <v/>
      </c>
      <c r="DI33" s="7">
        <f>IF(AND(DA33&gt;=0,BB33=1,BP33+BT33&gt;0),MIN(vivienda_prepagoPct*(DG33-DH33),BP33+BT33),0)</f>
        <v/>
      </c>
      <c r="DJ33" s="7">
        <f>MIN(DI33,BP33)</f>
        <v/>
      </c>
      <c r="DK33" s="7">
        <f>IF(DA33&lt;0,MIN(MAX(0,BD33),-DA33),0)</f>
        <v/>
      </c>
      <c r="DL33" s="7">
        <f>IF(DA33&lt;0,-DA33-DK33,0)</f>
        <v/>
      </c>
      <c r="DM33" s="7">
        <f>IF(0=0,0,DZ32)</f>
        <v/>
      </c>
      <c r="DN33" s="7">
        <f>IF(AND(DL33&gt;0,J33&gt;0),MIN(DL33,MIN(prestamos_topeAnualPosgrado*MIN(1,J33),MAX(0,prestamos_topeTotalPosgrado-DM33))),0)</f>
        <v/>
      </c>
      <c r="DO33" s="7">
        <f>IF(AND(DL33&gt;0,J33&gt;0),DL33-DN33,0)</f>
        <v/>
      </c>
      <c r="DP33" s="7">
        <f>IF(AND(DL33&gt;0,J33&lt;=0),DL33,0)</f>
        <v/>
      </c>
      <c r="DQ33" s="7">
        <f>IF(DA33&gt;=0,DG33-DH33-DI33,-DK33)</f>
        <v/>
      </c>
      <c r="DR33" s="7">
        <f>BD33*(1+DD33)+DQ33*(1+DD33/2)</f>
        <v/>
      </c>
      <c r="DS33" s="7">
        <f>IF(0=0,personal_retiroInicial,DS32)*(1+g_ret)+(O33+P33+DH33)*(1+g_ret/2)</f>
        <v/>
      </c>
      <c r="DT33" s="7">
        <f>IF(BB33=1,BL33*(1+g_appr),0)</f>
        <v/>
      </c>
      <c r="DU33" s="7">
        <f>BP33-DJ33</f>
        <v/>
      </c>
      <c r="DV33" s="7">
        <f>BT33-(DI33-DJ33)</f>
        <v/>
      </c>
      <c r="DW33" s="7">
        <f>CP33+DN33</f>
        <v/>
      </c>
      <c r="DX33" s="7">
        <f>IF(DN33&gt;0,(CP33*CF33+DN33*prestamos_tasaFederalPosgrado)/(CP33+DN33),CF33)</f>
        <v/>
      </c>
      <c r="DY33" s="7">
        <f>IF(DN33&gt;0,0,CQ33)</f>
        <v/>
      </c>
      <c r="DZ33" s="7">
        <f>DM33+DN33</f>
        <v/>
      </c>
      <c r="EA33" s="7">
        <f>CV33+DO33</f>
        <v/>
      </c>
      <c r="EB33" s="7">
        <f>IF(DO33&gt;0,(CV33*CS33+DO33*prestamos_tasaPrivada)/(CV33+DO33),CS33)</f>
        <v/>
      </c>
      <c r="EC33" s="7">
        <f>IF(DO33&gt;0,0,CW33)</f>
        <v/>
      </c>
      <c r="ED33" s="7">
        <f>CX33-DE33+DP33</f>
        <v/>
      </c>
      <c r="EE33" s="7">
        <f>IF(IF(0=0,"",EE32)&lt;&gt;"",EE32,IF(AND(BB33=1,DU33&lt;=0.5,DV33&lt;=0.5,OR(BH33=0,BJ33=1)),A33,""))</f>
        <v/>
      </c>
      <c r="EF33" s="7">
        <f>DU33+DV33+DW33+EA33+ED33+CD33</f>
        <v/>
      </c>
      <c r="EG33" s="7">
        <f>DR33+DS33+DT33-EF33</f>
        <v/>
      </c>
      <c r="EH33" s="7">
        <f>EG33/(1+g_inf)^(A33+1-2026)</f>
        <v/>
      </c>
    </row>
    <row r="34">
      <c r="A34" t="n">
        <v>2028</v>
      </c>
      <c r="B34" t="n">
        <v>1</v>
      </c>
      <c r="C34" s="7">
        <f>(1+g_inf)^(A34-2026)</f>
        <v/>
      </c>
      <c r="D34" s="7">
        <f>SUMPRODUCT($U$5:$U$29,$E$5:$E$29*(1+$F$5:$F$29)^(A34-2026)*$G$5:$G$29*$H$5:$H$29*(1-$N$5:$N$29*$O$5:$O$29))*g_salMult+SUMPRODUCT(($B$5:$B$29&gt;=A34)*($B$5:$B$29&lt;A34+1)*$I$5:$I$29)*g_salMult</f>
        <v/>
      </c>
      <c r="E34" s="7">
        <f>SUMPRODUCT($U$5:$U$29,$E$5:$E$29*(1+$F$5:$F$29)^(A34-2026)*$G$5:$G$29*$H$5:$H$29*$M$5:$M$29)*g_salMult</f>
        <v/>
      </c>
      <c r="F34" s="7">
        <f>SUMPRODUCT($U$5:$U$29,$E$5:$E$29*(1+$F$5:$F$29)^(A34-2026)*$G$5:$G$29*$H$5:$H$29*$N$5:$N$29*$O$5:$O$29)*g_salMult</f>
        <v/>
      </c>
      <c r="G34" s="7">
        <f>SUMPRODUCT($U$5:$U$29,$P$5:$P$29*(1+$F$5:$F$29)^(A34-2026))</f>
        <v/>
      </c>
      <c r="H34" s="7">
        <f>SUMPRODUCT($U$5:$U$29,$Q$5:$Q$29*(1+$F$5:$F$29)^(A34-2026))+IF(personal_llcActivo=1,personal_llcNeto*(1+personal_llcCrecimiento)^1,0)</f>
        <v/>
      </c>
      <c r="I34" s="7">
        <f>SUMPRODUCT($U$5:$U$29,$J$5:$J$29/($C$5:$C$29-$B$5:$B$29+($C$5:$C$29=$B$5:$B$29)))*C34</f>
        <v/>
      </c>
      <c r="J34" s="7">
        <f>SUMPRODUCT($U$5:$U$29,$K$5:$K$29)</f>
        <v/>
      </c>
      <c r="K34" s="7">
        <f>SUMPRODUCT($U$5:$U$29,$L$5:$L$29)</f>
        <v/>
      </c>
      <c r="L34" s="7">
        <f>SUMPRODUCT($U$5:$U$29,$N$5:$N$29)</f>
        <v/>
      </c>
      <c r="M34" s="7">
        <f>IF(SUMPRODUCT($U$5:$U$29,$R$5:$R$29)&gt;0,1,0)</f>
        <v/>
      </c>
      <c r="N34" s="7">
        <f>SUMPRODUCT(($AO$5:$AO$24&gt;=A34)*($AO$5:$AO$24&lt;A34+1)*$AP$5:$AP$24)*C34+IF(1=0,IF(sel_loc&lt;&gt;"miami",personal_costoMudanzaInicial,0),0)</f>
        <v/>
      </c>
      <c r="O34" s="7">
        <f>MIN(personal_aporte403bPct*D34,retiro_limite403b*C34)</f>
        <v/>
      </c>
      <c r="P34" s="7">
        <f>MIN(personal_aporte403bPct,personal_match403bPct)*E34</f>
        <v/>
      </c>
      <c r="Q34" s="7">
        <f>IF(G34&gt;0,MAX(0,G34-impuestos_scorpCostoAnual*C34),0)</f>
        <v/>
      </c>
      <c r="R34" s="7">
        <f>Q34*impuestos_scorpSalarioPct/(1+impuestos_ssTasa+impuestos_medicareTasa)</f>
        <v/>
      </c>
      <c r="S34" s="7">
        <f>impuestos_ssTasa*MIN(R34,MAX(0,impuestos_ssTope*C34-D34))+impuestos_medicareTasa*R34</f>
        <v/>
      </c>
      <c r="T34" s="7">
        <f>Q34-R34-S34</f>
        <v/>
      </c>
      <c r="U34" s="7">
        <f>D34+R34</f>
        <v/>
      </c>
      <c r="V34" s="7">
        <f>H34*0.9235</f>
        <v/>
      </c>
      <c r="W34" s="7">
        <f>IF(H34&gt;0,2*impuestos_ssTasa*MIN(V34,MAX(0,impuestos_ssTope*C34-U34))+2*impuestos_medicareTasa*V34,0)</f>
        <v/>
      </c>
      <c r="X34" s="7">
        <f>impuestos_ssTasa*MIN(U34,impuestos_ssTope*C34)+impuestos_medicareTasa*U34+impuestos_medicareAdicional*MAX(0,U34+H34*0.9235-impuestos_medicareUmbral)</f>
        <v/>
      </c>
      <c r="Y34" s="7">
        <f>MAX(0,D34-O34+R34+T34+H34-W34/2)</f>
        <v/>
      </c>
      <c r="Z34" s="7">
        <f>MAX(0,Y34-impuestos_deduccionEstandar*C34)</f>
        <v/>
      </c>
      <c r="AA34" s="7">
        <f>MIN(0.2*MAX(0,T34+H34-W34/2)*MAX(0,MIN(1,1-(Z34-impuestos_qbiUmbral*C34)/(impuestos_qbiRango*C34))),0.2*Z34)</f>
        <v/>
      </c>
      <c r="AB34" s="7">
        <f>MAX(0,Z34-AA34)</f>
        <v/>
      </c>
      <c r="AC34" s="7">
        <f>SUMPRODUCT((AB34&gt;tb_federalBrackets_lo*C34)*(AB34-tb_federalBrackets_lo*C34)*tb_federalBrackets_dr)</f>
        <v/>
      </c>
      <c r="AD34" s="7">
        <f>MAX(0,Y34-impuestos_nyDeduccion*C34)</f>
        <v/>
      </c>
      <c r="AE34" s="7">
        <f>CHOOSE(loc_taxcode,0,impuestos_ohTasa*MAX(0,Y34-impuestos_ohExento*C34)+impuestos_ohMunicipal*U34,SUMPRODUCT((AD34&gt;tb_nyBrackets_lo*C34)*(AD34-tb_nyBrackets_lo*C34)*tb_nyBrackets_dr)+loc_nyc*SUMPRODUCT((AD34&gt;tb_nycBrackets_lo*C34)*(AD34-tb_nycBrackets_lo*C34)*tb_nycBrackets_dr))</f>
        <v/>
      </c>
      <c r="AF34" s="7">
        <f>AC34+AE34+X34+W34</f>
        <v/>
      </c>
      <c r="AG34" s="7">
        <f>D34+F34+R34+T34+H34</f>
        <v/>
      </c>
      <c r="AH34" s="7">
        <f>AG34-AF34-O34</f>
        <v/>
      </c>
      <c r="AI34" s="7">
        <f>D34+F34+G34+H34</f>
        <v/>
      </c>
      <c r="AJ34" s="7">
        <f>loc_gastosVida*C34*g_gastos</f>
        <v/>
      </c>
      <c r="AK34" s="7">
        <f>IF(1=0,personal_liquidoInicial,DR33)</f>
        <v/>
      </c>
      <c r="AL34" s="7">
        <f>IF(1=0,0,BB33)</f>
        <v/>
      </c>
      <c r="AM34" s="7">
        <f>CHOOSE(sel_cfgIdx,loc_precio_duplex,loc_precio_inlaw,loc_precio_dosCasas,loc_precio_casaAdu,loc_precio_multi)</f>
        <v/>
      </c>
      <c r="AN34" s="7">
        <f>AM34*(1+g_appr)^(A34-2026)</f>
        <v/>
      </c>
      <c r="AO34" s="7">
        <f>IF(AND(M34=1,vivienda_prestamoMedico=1),1,0)</f>
        <v/>
      </c>
      <c r="AP34" s="7">
        <f>IF(AO34=1,0.05,vivienda_enganchePct)</f>
        <v/>
      </c>
      <c r="AQ34" s="7">
        <f>AN34*(1-AP34)</f>
        <v/>
      </c>
      <c r="AR34" s="7">
        <f>PMT(g_mortRate/12,vivienda_plazoHipoteca*12,-AQ34)</f>
        <v/>
      </c>
      <c r="AS34" s="7">
        <f>INDEX(cfg_units,sel_cfgIdx)</f>
        <v/>
      </c>
      <c r="AT34" s="7">
        <f>AS34*loc_rentaUnidad*(1+g_inf)^(A34-2026)*(1-vivienda_vacancia)</f>
        <v/>
      </c>
      <c r="AU34" s="7">
        <f>AR34+AN34*loc_impuestoPropPct/12+AM34*loc_seguroPct*(1+vivienda_inflacionSeguro)^(A34-2026)/12+IF(AND(AO34=0,AP34&lt;0.2),AQ34*vivienda_pmiTasa/12,0)</f>
        <v/>
      </c>
      <c r="AV34" s="7">
        <f>AN34*AP34+AN34*vivienda_cierrePct+general_reservaMeses/12*AJ34</f>
        <v/>
      </c>
      <c r="AW34" s="7">
        <f>(IF(1=0,MIN(personal_irsSaldo,personal_irsPagoMensual*12),MIN(CD33,personal_irsPagoMensual*12))+IF(CE34&gt;0,PMT(CF34,MAX(1,prestamos_plazoAnios-CG34),-CE34),0)+IF(CR34&gt;0,PMT(CS34,MAX(1,prestamos_plazoAnios-CT34),-CR34),0))/12</f>
        <v/>
      </c>
      <c r="AX34" s="7">
        <f>IF(OR(sel_cfg="duplex",sel_cfg="multi",sel_cfg="dosCasas"),0.75*personal_aporteFamiliaMensual,0)</f>
        <v/>
      </c>
      <c r="AY34" s="7">
        <f>AU34-0.75*AT34-AX34+AW34</f>
        <v/>
      </c>
      <c r="AZ34" s="7">
        <f>(D34+G34+H34+0.5*F34)/12</f>
        <v/>
      </c>
      <c r="BA34" s="7">
        <f>IF(AND(AL34=0,A34&gt;=vivienda_anioMinCompra,J34&lt;0.5,AI34&gt;0,AK34&gt;=AV34,AY34&lt;=vivienda_dtiMax*AZ34),1,0)</f>
        <v/>
      </c>
      <c r="BB34" s="7">
        <f>MAX(AL34,BA34)</f>
        <v/>
      </c>
      <c r="BC34" s="7">
        <f>IF(BA34=1,A34,IF(1=0,"",BC33))</f>
        <v/>
      </c>
      <c r="BD34" s="7">
        <f>AK34-IF(BA34=1,AN34*AP34+AN34*vivienda_cierrePct,0)</f>
        <v/>
      </c>
      <c r="BE34" s="7">
        <f>IF(BA34=1,AN34,IF(1=0,0,BE33))</f>
        <v/>
      </c>
      <c r="BF34" s="7">
        <f>IF(BA34=1,AR34,IF(1=0,0,BF33))</f>
        <v/>
      </c>
      <c r="BG34" s="7">
        <f>IF(BA34=1,IF(AND(AO34=0,AP34&lt;0.2),1,0),IF(1=0,0,BY33))</f>
        <v/>
      </c>
      <c r="BH34" s="7">
        <f>IF(sel_cfg="casaAdu",1,0)</f>
        <v/>
      </c>
      <c r="BI34" s="7">
        <f>IF(AND(BB34=1,BH34=1,IF(1=0,0,BJ33)=0,A34&gt;=IF(BC34="",9999,BC34)+vivienda_aduRetrasoAnios),1,0)</f>
        <v/>
      </c>
      <c r="BJ34" s="7">
        <f>MAX(IF(1=0,0,BJ33),BI34)</f>
        <v/>
      </c>
      <c r="BK34" s="7">
        <f>IF(BI34=1,PMT((g_mortRate+0.005)/12,180,-loc_precio_aduCosto*C34),IF(1=0,0,BK33))</f>
        <v/>
      </c>
      <c r="BL34" s="7">
        <f>IF(BA34=1,AN34,IF(1=0,0,DT33))+IF(BI34=1,loc_precio_aduCosto*C34,0)</f>
        <v/>
      </c>
      <c r="BM34" s="7">
        <f>IF(BA34=1,AQ34,IF(1=0,0,DU33))</f>
        <v/>
      </c>
      <c r="BN34" s="7">
        <f>IF(BM34&lt;=0,0,FV(g_mortRate/12,12,BF34,-BM34))</f>
        <v/>
      </c>
      <c r="BO34" s="7">
        <f>IF(BM34&lt;=0,0,12*BF34+MIN(0,BN34))</f>
        <v/>
      </c>
      <c r="BP34" s="7">
        <f>MAX(0,BN34)</f>
        <v/>
      </c>
      <c r="BQ34" s="7">
        <f>IF(BI34=1,loc_precio_aduCosto*C34,IF(1=0,0,DV33))</f>
        <v/>
      </c>
      <c r="BR34" s="7">
        <f>IF(BQ34&lt;=0,0,FV((g_mortRate+0.005)/12,12,BK34,-BQ34))</f>
        <v/>
      </c>
      <c r="BS34" s="7">
        <f>IF(BQ34&lt;=0,0,12*BK34+MIN(0,BR34))</f>
        <v/>
      </c>
      <c r="BT34" s="7">
        <f>MAX(0,BR34)</f>
        <v/>
      </c>
      <c r="BU34" s="7">
        <f>IF(BB34=1,AM34*loc_seguroPct*(1+vivienda_inflacionSeguro)^(A34-2026)*IF(BJ34=1,1+loc_precio_aduCosto/AM34,1),0)</f>
        <v/>
      </c>
      <c r="BV34" s="7">
        <f>BL34*loc_impuestoPropPct</f>
        <v/>
      </c>
      <c r="BW34" s="7">
        <f>BL34*vivienda_mantenimientoPct</f>
        <v/>
      </c>
      <c r="BX34" s="7">
        <f>IF(AND(BG34=1,BP34&gt;0.8*BE34),BE34*(1-vivienda_enganchePct)*vivienda_pmiTasa,0)</f>
        <v/>
      </c>
      <c r="BY34" s="7">
        <f>IF(AND(BG34=1,BP34&gt;0.8*BE34),1,0)</f>
        <v/>
      </c>
      <c r="BZ34" s="7">
        <f>IF(BB34=1,AS34*loc_rentaUnidad*12*C34*(1-vivienda_vacancia)*(1-vivienda_gestionPct),0)</f>
        <v/>
      </c>
      <c r="CA34" s="7">
        <f>IF(BB34=1,BO34+BS34+BU34+BV34+BW34+BX34,loc_rentaMensual*12*C34)</f>
        <v/>
      </c>
      <c r="CB34" s="7">
        <f>IF(BB34=1,personal_aporteFamiliaMensual*12,0)</f>
        <v/>
      </c>
      <c r="CC34" s="7">
        <f>MIN(IF(1=0,personal_irsSaldo,CD33),personal_irsPagoMensual*12)</f>
        <v/>
      </c>
      <c r="CD34" s="7">
        <f>IF(1=0,personal_irsSaldo,CD33)-CC34</f>
        <v/>
      </c>
      <c r="CE34" s="7">
        <f>IF(1=0,IF(personal_deudaEsFederal=1,personal_deudaEstudiantil,0),DW33)</f>
        <v/>
      </c>
      <c r="CF34" s="7">
        <f>IF(1=0,personal_tasaDeudaEstudiantil,DX33)</f>
        <v/>
      </c>
      <c r="CG34" s="7">
        <f>IF(1=0,0,DY33)</f>
        <v/>
      </c>
      <c r="CH34" s="7">
        <f>IF(J34&gt;=0.5,1,0)</f>
        <v/>
      </c>
      <c r="CI34" s="7">
        <f>IF(AND(CH34=0,prestamos_pslfActivo=1,K34&gt;=0.5,CE34&gt;0),1,0)</f>
        <v/>
      </c>
      <c r="CJ34" s="7">
        <f>CE34*CF34</f>
        <v/>
      </c>
      <c r="CK34" s="7">
        <f>MAX(prestamos_rapPagoMinimoAnual,IF(Y34&lt;10000,0,MIN(0.1,INT(Y34/10000)/100))*Y34)</f>
        <v/>
      </c>
      <c r="CL34" s="7">
        <f>IF(CE34&lt;=0,0,IF(CH34=1,0,IF(CI34=1,MIN(CE34+CJ34,CK34),PMT(CF34,MAX(1,prestamos_plazoAnios-CG34),-CE34))))</f>
        <v/>
      </c>
      <c r="CM34" s="7">
        <f>IF(CE34&lt;=0,0,IF(CH34=1,CE34+CJ34,IF(CI34=1,MAX(0,CE34-MAX(CL34-CJ34,MIN(600,CL34))),MAX(0,CE34*(1+CF34)-CL34))))</f>
        <v/>
      </c>
      <c r="CN34" s="7">
        <f>IF(1=0,0,CN33)+IF(CI34=1,12*MIN(1,K34),0)</f>
        <v/>
      </c>
      <c r="CO34" s="7">
        <f>IF(AND(CI34=1,CN34&gt;=prestamos_pslfPagos,CM34&gt;0),CM34,0)</f>
        <v/>
      </c>
      <c r="CP34" s="7">
        <f>CM34-CO34</f>
        <v/>
      </c>
      <c r="CQ34" s="7">
        <f>IF(AND(CE34&gt;0,CH34=0,CI34=0),CG34+1,CG34)</f>
        <v/>
      </c>
      <c r="CR34" s="7">
        <f>IF(1=0,IF(personal_deudaEsFederal=1,0,personal_deudaEstudiantil),EA33)</f>
        <v/>
      </c>
      <c r="CS34" s="7">
        <f>IF(1=0,IF(personal_deudaEsFederal=1,prestamos_tasaPrivada,personal_tasaDeudaEstudiantil),EB33)</f>
        <v/>
      </c>
      <c r="CT34" s="7">
        <f>IF(1=0,0,EC33)</f>
        <v/>
      </c>
      <c r="CU34" s="7">
        <f>IF(OR(CR34&lt;=0,CH34=1),0,PMT(CS34,MAX(1,prestamos_plazoAnios-CT34),-CR34))</f>
        <v/>
      </c>
      <c r="CV34" s="7">
        <f>IF(CR34&lt;=0,0,IF(CH34=1,CR34*(1+CS34),MAX(0,CR34*(1+CS34)-CU34)))</f>
        <v/>
      </c>
      <c r="CW34" s="7">
        <f>IF(AND(CR34&gt;0,CH34=0),CT34+1,CT34)</f>
        <v/>
      </c>
      <c r="CX34" s="7">
        <f>IF(1=0,0,ED33)*(1+general_tasaDeudaConsumo)</f>
        <v/>
      </c>
      <c r="CY34" s="7">
        <f>L34*12*tiempos_travelGastoExtraMes*C34</f>
        <v/>
      </c>
      <c r="CZ34" s="7">
        <f>AJ34+CY34+CA34+CC34+CL34+CU34+I34+N34-BZ34-CB34</f>
        <v/>
      </c>
      <c r="DA34" s="7">
        <f>AH34-CZ34</f>
        <v/>
      </c>
      <c r="DB34" s="7">
        <f>IF(1=0,0,DB33)+DA34</f>
        <v/>
      </c>
      <c r="DC34" s="7">
        <f>AN34*vivienda_enganchePct+AN34*vivienda_cierrePct+general_reservaMeses/12*AJ34</f>
        <v/>
      </c>
      <c r="DD34" s="7">
        <f>IF(BB34=1,g_ret,IF(BD34&gt;0,MIN(1,DC34/BD34),1)*g_cash+(1-IF(BD34&gt;0,MIN(1,DC34/BD34),1))*g_ret)</f>
        <v/>
      </c>
      <c r="DE34" s="7">
        <f>IF(DA34&gt;=0,MIN(CX34,DA34),0)</f>
        <v/>
      </c>
      <c r="DF34" s="7">
        <f>IF(DA34&gt;=0,(1-general_tasaAhorro)*(DA34-DE34),0)</f>
        <v/>
      </c>
      <c r="DG34" s="7">
        <f>IF(DA34&gt;=0,DA34-DE34-DF34,0)</f>
        <v/>
      </c>
      <c r="DH34" s="7">
        <f>MIN(personal_rothAnual,DG34)</f>
        <v/>
      </c>
      <c r="DI34" s="7">
        <f>IF(AND(DA34&gt;=0,BB34=1,BP34+BT34&gt;0),MIN(vivienda_prepagoPct*(DG34-DH34),BP34+BT34),0)</f>
        <v/>
      </c>
      <c r="DJ34" s="7">
        <f>MIN(DI34,BP34)</f>
        <v/>
      </c>
      <c r="DK34" s="7">
        <f>IF(DA34&lt;0,MIN(MAX(0,BD34),-DA34),0)</f>
        <v/>
      </c>
      <c r="DL34" s="7">
        <f>IF(DA34&lt;0,-DA34-DK34,0)</f>
        <v/>
      </c>
      <c r="DM34" s="7">
        <f>IF(1=0,0,DZ33)</f>
        <v/>
      </c>
      <c r="DN34" s="7">
        <f>IF(AND(DL34&gt;0,J34&gt;0),MIN(DL34,MIN(prestamos_topeAnualPosgrado*MIN(1,J34),MAX(0,prestamos_topeTotalPosgrado-DM34))),0)</f>
        <v/>
      </c>
      <c r="DO34" s="7">
        <f>IF(AND(DL34&gt;0,J34&gt;0),DL34-DN34,0)</f>
        <v/>
      </c>
      <c r="DP34" s="7">
        <f>IF(AND(DL34&gt;0,J34&lt;=0),DL34,0)</f>
        <v/>
      </c>
      <c r="DQ34" s="7">
        <f>IF(DA34&gt;=0,DG34-DH34-DI34,-DK34)</f>
        <v/>
      </c>
      <c r="DR34" s="7">
        <f>BD34*(1+DD34)+DQ34*(1+DD34/2)</f>
        <v/>
      </c>
      <c r="DS34" s="7">
        <f>IF(1=0,personal_retiroInicial,DS33)*(1+g_ret)+(O34+P34+DH34)*(1+g_ret/2)</f>
        <v/>
      </c>
      <c r="DT34" s="7">
        <f>IF(BB34=1,BL34*(1+g_appr),0)</f>
        <v/>
      </c>
      <c r="DU34" s="7">
        <f>BP34-DJ34</f>
        <v/>
      </c>
      <c r="DV34" s="7">
        <f>BT34-(DI34-DJ34)</f>
        <v/>
      </c>
      <c r="DW34" s="7">
        <f>CP34+DN34</f>
        <v/>
      </c>
      <c r="DX34" s="7">
        <f>IF(DN34&gt;0,(CP34*CF34+DN34*prestamos_tasaFederalPosgrado)/(CP34+DN34),CF34)</f>
        <v/>
      </c>
      <c r="DY34" s="7">
        <f>IF(DN34&gt;0,0,CQ34)</f>
        <v/>
      </c>
      <c r="DZ34" s="7">
        <f>DM34+DN34</f>
        <v/>
      </c>
      <c r="EA34" s="7">
        <f>CV34+DO34</f>
        <v/>
      </c>
      <c r="EB34" s="7">
        <f>IF(DO34&gt;0,(CV34*CS34+DO34*prestamos_tasaPrivada)/(CV34+DO34),CS34)</f>
        <v/>
      </c>
      <c r="EC34" s="7">
        <f>IF(DO34&gt;0,0,CW34)</f>
        <v/>
      </c>
      <c r="ED34" s="7">
        <f>CX34-DE34+DP34</f>
        <v/>
      </c>
      <c r="EE34" s="7">
        <f>IF(IF(1=0,"",EE33)&lt;&gt;"",EE33,IF(AND(BB34=1,DU34&lt;=0.5,DV34&lt;=0.5,OR(BH34=0,BJ34=1)),A34,""))</f>
        <v/>
      </c>
      <c r="EF34" s="7">
        <f>DU34+DV34+DW34+EA34+ED34+CD34</f>
        <v/>
      </c>
      <c r="EG34" s="7">
        <f>DR34+DS34+DT34-EF34</f>
        <v/>
      </c>
      <c r="EH34" s="7">
        <f>EG34/(1+g_inf)^(A34+1-2026)</f>
        <v/>
      </c>
    </row>
    <row r="35">
      <c r="A35" t="n">
        <v>2029</v>
      </c>
      <c r="B35" t="n">
        <v>2</v>
      </c>
      <c r="C35" s="7">
        <f>(1+g_inf)^(A35-2026)</f>
        <v/>
      </c>
      <c r="D35" s="7">
        <f>SUMPRODUCT($V$5:$V$29,$E$5:$E$29*(1+$F$5:$F$29)^(A35-2026)*$G$5:$G$29*$H$5:$H$29*(1-$N$5:$N$29*$O$5:$O$29))*g_salMult+SUMPRODUCT(($B$5:$B$29&gt;=A35)*($B$5:$B$29&lt;A35+1)*$I$5:$I$29)*g_salMult</f>
        <v/>
      </c>
      <c r="E35" s="7">
        <f>SUMPRODUCT($V$5:$V$29,$E$5:$E$29*(1+$F$5:$F$29)^(A35-2026)*$G$5:$G$29*$H$5:$H$29*$M$5:$M$29)*g_salMult</f>
        <v/>
      </c>
      <c r="F35" s="7">
        <f>SUMPRODUCT($V$5:$V$29,$E$5:$E$29*(1+$F$5:$F$29)^(A35-2026)*$G$5:$G$29*$H$5:$H$29*$N$5:$N$29*$O$5:$O$29)*g_salMult</f>
        <v/>
      </c>
      <c r="G35" s="7">
        <f>SUMPRODUCT($V$5:$V$29,$P$5:$P$29*(1+$F$5:$F$29)^(A35-2026))</f>
        <v/>
      </c>
      <c r="H35" s="7">
        <f>SUMPRODUCT($V$5:$V$29,$Q$5:$Q$29*(1+$F$5:$F$29)^(A35-2026))+IF(personal_llcActivo=1,personal_llcNeto*(1+personal_llcCrecimiento)^2,0)</f>
        <v/>
      </c>
      <c r="I35" s="7">
        <f>SUMPRODUCT($V$5:$V$29,$J$5:$J$29/($C$5:$C$29-$B$5:$B$29+($C$5:$C$29=$B$5:$B$29)))*C35</f>
        <v/>
      </c>
      <c r="J35" s="7">
        <f>SUMPRODUCT($V$5:$V$29,$K$5:$K$29)</f>
        <v/>
      </c>
      <c r="K35" s="7">
        <f>SUMPRODUCT($V$5:$V$29,$L$5:$L$29)</f>
        <v/>
      </c>
      <c r="L35" s="7">
        <f>SUMPRODUCT($V$5:$V$29,$N$5:$N$29)</f>
        <v/>
      </c>
      <c r="M35" s="7">
        <f>IF(SUMPRODUCT($V$5:$V$29,$R$5:$R$29)&gt;0,1,0)</f>
        <v/>
      </c>
      <c r="N35" s="7">
        <f>SUMPRODUCT(($AO$5:$AO$24&gt;=A35)*($AO$5:$AO$24&lt;A35+1)*$AP$5:$AP$24)*C35+IF(2=0,IF(sel_loc&lt;&gt;"miami",personal_costoMudanzaInicial,0),0)</f>
        <v/>
      </c>
      <c r="O35" s="7">
        <f>MIN(personal_aporte403bPct*D35,retiro_limite403b*C35)</f>
        <v/>
      </c>
      <c r="P35" s="7">
        <f>MIN(personal_aporte403bPct,personal_match403bPct)*E35</f>
        <v/>
      </c>
      <c r="Q35" s="7">
        <f>IF(G35&gt;0,MAX(0,G35-impuestos_scorpCostoAnual*C35),0)</f>
        <v/>
      </c>
      <c r="R35" s="7">
        <f>Q35*impuestos_scorpSalarioPct/(1+impuestos_ssTasa+impuestos_medicareTasa)</f>
        <v/>
      </c>
      <c r="S35" s="7">
        <f>impuestos_ssTasa*MIN(R35,MAX(0,impuestos_ssTope*C35-D35))+impuestos_medicareTasa*R35</f>
        <v/>
      </c>
      <c r="T35" s="7">
        <f>Q35-R35-S35</f>
        <v/>
      </c>
      <c r="U35" s="7">
        <f>D35+R35</f>
        <v/>
      </c>
      <c r="V35" s="7">
        <f>H35*0.9235</f>
        <v/>
      </c>
      <c r="W35" s="7">
        <f>IF(H35&gt;0,2*impuestos_ssTasa*MIN(V35,MAX(0,impuestos_ssTope*C35-U35))+2*impuestos_medicareTasa*V35,0)</f>
        <v/>
      </c>
      <c r="X35" s="7">
        <f>impuestos_ssTasa*MIN(U35,impuestos_ssTope*C35)+impuestos_medicareTasa*U35+impuestos_medicareAdicional*MAX(0,U35+H35*0.9235-impuestos_medicareUmbral)</f>
        <v/>
      </c>
      <c r="Y35" s="7">
        <f>MAX(0,D35-O35+R35+T35+H35-W35/2)</f>
        <v/>
      </c>
      <c r="Z35" s="7">
        <f>MAX(0,Y35-impuestos_deduccionEstandar*C35)</f>
        <v/>
      </c>
      <c r="AA35" s="7">
        <f>MIN(0.2*MAX(0,T35+H35-W35/2)*MAX(0,MIN(1,1-(Z35-impuestos_qbiUmbral*C35)/(impuestos_qbiRango*C35))),0.2*Z35)</f>
        <v/>
      </c>
      <c r="AB35" s="7">
        <f>MAX(0,Z35-AA35)</f>
        <v/>
      </c>
      <c r="AC35" s="7">
        <f>SUMPRODUCT((AB35&gt;tb_federalBrackets_lo*C35)*(AB35-tb_federalBrackets_lo*C35)*tb_federalBrackets_dr)</f>
        <v/>
      </c>
      <c r="AD35" s="7">
        <f>MAX(0,Y35-impuestos_nyDeduccion*C35)</f>
        <v/>
      </c>
      <c r="AE35" s="7">
        <f>CHOOSE(loc_taxcode,0,impuestos_ohTasa*MAX(0,Y35-impuestos_ohExento*C35)+impuestos_ohMunicipal*U35,SUMPRODUCT((AD35&gt;tb_nyBrackets_lo*C35)*(AD35-tb_nyBrackets_lo*C35)*tb_nyBrackets_dr)+loc_nyc*SUMPRODUCT((AD35&gt;tb_nycBrackets_lo*C35)*(AD35-tb_nycBrackets_lo*C35)*tb_nycBrackets_dr))</f>
        <v/>
      </c>
      <c r="AF35" s="7">
        <f>AC35+AE35+X35+W35</f>
        <v/>
      </c>
      <c r="AG35" s="7">
        <f>D35+F35+R35+T35+H35</f>
        <v/>
      </c>
      <c r="AH35" s="7">
        <f>AG35-AF35-O35</f>
        <v/>
      </c>
      <c r="AI35" s="7">
        <f>D35+F35+G35+H35</f>
        <v/>
      </c>
      <c r="AJ35" s="7">
        <f>loc_gastosVida*C35*g_gastos</f>
        <v/>
      </c>
      <c r="AK35" s="7">
        <f>IF(2=0,personal_liquidoInicial,DR34)</f>
        <v/>
      </c>
      <c r="AL35" s="7">
        <f>IF(2=0,0,BB34)</f>
        <v/>
      </c>
      <c r="AM35" s="7">
        <f>CHOOSE(sel_cfgIdx,loc_precio_duplex,loc_precio_inlaw,loc_precio_dosCasas,loc_precio_casaAdu,loc_precio_multi)</f>
        <v/>
      </c>
      <c r="AN35" s="7">
        <f>AM35*(1+g_appr)^(A35-2026)</f>
        <v/>
      </c>
      <c r="AO35" s="7">
        <f>IF(AND(M35=1,vivienda_prestamoMedico=1),1,0)</f>
        <v/>
      </c>
      <c r="AP35" s="7">
        <f>IF(AO35=1,0.05,vivienda_enganchePct)</f>
        <v/>
      </c>
      <c r="AQ35" s="7">
        <f>AN35*(1-AP35)</f>
        <v/>
      </c>
      <c r="AR35" s="7">
        <f>PMT(g_mortRate/12,vivienda_plazoHipoteca*12,-AQ35)</f>
        <v/>
      </c>
      <c r="AS35" s="7">
        <f>INDEX(cfg_units,sel_cfgIdx)</f>
        <v/>
      </c>
      <c r="AT35" s="7">
        <f>AS35*loc_rentaUnidad*(1+g_inf)^(A35-2026)*(1-vivienda_vacancia)</f>
        <v/>
      </c>
      <c r="AU35" s="7">
        <f>AR35+AN35*loc_impuestoPropPct/12+AM35*loc_seguroPct*(1+vivienda_inflacionSeguro)^(A35-2026)/12+IF(AND(AO35=0,AP35&lt;0.2),AQ35*vivienda_pmiTasa/12,0)</f>
        <v/>
      </c>
      <c r="AV35" s="7">
        <f>AN35*AP35+AN35*vivienda_cierrePct+general_reservaMeses/12*AJ35</f>
        <v/>
      </c>
      <c r="AW35" s="7">
        <f>(IF(2=0,MIN(personal_irsSaldo,personal_irsPagoMensual*12),MIN(CD34,personal_irsPagoMensual*12))+IF(CE35&gt;0,PMT(CF35,MAX(1,prestamos_plazoAnios-CG35),-CE35),0)+IF(CR35&gt;0,PMT(CS35,MAX(1,prestamos_plazoAnios-CT35),-CR35),0))/12</f>
        <v/>
      </c>
      <c r="AX35" s="7">
        <f>IF(OR(sel_cfg="duplex",sel_cfg="multi",sel_cfg="dosCasas"),0.75*personal_aporteFamiliaMensual,0)</f>
        <v/>
      </c>
      <c r="AY35" s="7">
        <f>AU35-0.75*AT35-AX35+AW35</f>
        <v/>
      </c>
      <c r="AZ35" s="7">
        <f>(D35+G35+H35+0.5*F35)/12</f>
        <v/>
      </c>
      <c r="BA35" s="7">
        <f>IF(AND(AL35=0,A35&gt;=vivienda_anioMinCompra,J35&lt;0.5,AI35&gt;0,AK35&gt;=AV35,AY35&lt;=vivienda_dtiMax*AZ35),1,0)</f>
        <v/>
      </c>
      <c r="BB35" s="7">
        <f>MAX(AL35,BA35)</f>
        <v/>
      </c>
      <c r="BC35" s="7">
        <f>IF(BA35=1,A35,IF(2=0,"",BC34))</f>
        <v/>
      </c>
      <c r="BD35" s="7">
        <f>AK35-IF(BA35=1,AN35*AP35+AN35*vivienda_cierrePct,0)</f>
        <v/>
      </c>
      <c r="BE35" s="7">
        <f>IF(BA35=1,AN35,IF(2=0,0,BE34))</f>
        <v/>
      </c>
      <c r="BF35" s="7">
        <f>IF(BA35=1,AR35,IF(2=0,0,BF34))</f>
        <v/>
      </c>
      <c r="BG35" s="7">
        <f>IF(BA35=1,IF(AND(AO35=0,AP35&lt;0.2),1,0),IF(2=0,0,BY34))</f>
        <v/>
      </c>
      <c r="BH35" s="7">
        <f>IF(sel_cfg="casaAdu",1,0)</f>
        <v/>
      </c>
      <c r="BI35" s="7">
        <f>IF(AND(BB35=1,BH35=1,IF(2=0,0,BJ34)=0,A35&gt;=IF(BC35="",9999,BC35)+vivienda_aduRetrasoAnios),1,0)</f>
        <v/>
      </c>
      <c r="BJ35" s="7">
        <f>MAX(IF(2=0,0,BJ34),BI35)</f>
        <v/>
      </c>
      <c r="BK35" s="7">
        <f>IF(BI35=1,PMT((g_mortRate+0.005)/12,180,-loc_precio_aduCosto*C35),IF(2=0,0,BK34))</f>
        <v/>
      </c>
      <c r="BL35" s="7">
        <f>IF(BA35=1,AN35,IF(2=0,0,DT34))+IF(BI35=1,loc_precio_aduCosto*C35,0)</f>
        <v/>
      </c>
      <c r="BM35" s="7">
        <f>IF(BA35=1,AQ35,IF(2=0,0,DU34))</f>
        <v/>
      </c>
      <c r="BN35" s="7">
        <f>IF(BM35&lt;=0,0,FV(g_mortRate/12,12,BF35,-BM35))</f>
        <v/>
      </c>
      <c r="BO35" s="7">
        <f>IF(BM35&lt;=0,0,12*BF35+MIN(0,BN35))</f>
        <v/>
      </c>
      <c r="BP35" s="7">
        <f>MAX(0,BN35)</f>
        <v/>
      </c>
      <c r="BQ35" s="7">
        <f>IF(BI35=1,loc_precio_aduCosto*C35,IF(2=0,0,DV34))</f>
        <v/>
      </c>
      <c r="BR35" s="7">
        <f>IF(BQ35&lt;=0,0,FV((g_mortRate+0.005)/12,12,BK35,-BQ35))</f>
        <v/>
      </c>
      <c r="BS35" s="7">
        <f>IF(BQ35&lt;=0,0,12*BK35+MIN(0,BR35))</f>
        <v/>
      </c>
      <c r="BT35" s="7">
        <f>MAX(0,BR35)</f>
        <v/>
      </c>
      <c r="BU35" s="7">
        <f>IF(BB35=1,AM35*loc_seguroPct*(1+vivienda_inflacionSeguro)^(A35-2026)*IF(BJ35=1,1+loc_precio_aduCosto/AM35,1),0)</f>
        <v/>
      </c>
      <c r="BV35" s="7">
        <f>BL35*loc_impuestoPropPct</f>
        <v/>
      </c>
      <c r="BW35" s="7">
        <f>BL35*vivienda_mantenimientoPct</f>
        <v/>
      </c>
      <c r="BX35" s="7">
        <f>IF(AND(BG35=1,BP35&gt;0.8*BE35),BE35*(1-vivienda_enganchePct)*vivienda_pmiTasa,0)</f>
        <v/>
      </c>
      <c r="BY35" s="7">
        <f>IF(AND(BG35=1,BP35&gt;0.8*BE35),1,0)</f>
        <v/>
      </c>
      <c r="BZ35" s="7">
        <f>IF(BB35=1,AS35*loc_rentaUnidad*12*C35*(1-vivienda_vacancia)*(1-vivienda_gestionPct),0)</f>
        <v/>
      </c>
      <c r="CA35" s="7">
        <f>IF(BB35=1,BO35+BS35+BU35+BV35+BW35+BX35,loc_rentaMensual*12*C35)</f>
        <v/>
      </c>
      <c r="CB35" s="7">
        <f>IF(BB35=1,personal_aporteFamiliaMensual*12,0)</f>
        <v/>
      </c>
      <c r="CC35" s="7">
        <f>MIN(IF(2=0,personal_irsSaldo,CD34),personal_irsPagoMensual*12)</f>
        <v/>
      </c>
      <c r="CD35" s="7">
        <f>IF(2=0,personal_irsSaldo,CD34)-CC35</f>
        <v/>
      </c>
      <c r="CE35" s="7">
        <f>IF(2=0,IF(personal_deudaEsFederal=1,personal_deudaEstudiantil,0),DW34)</f>
        <v/>
      </c>
      <c r="CF35" s="7">
        <f>IF(2=0,personal_tasaDeudaEstudiantil,DX34)</f>
        <v/>
      </c>
      <c r="CG35" s="7">
        <f>IF(2=0,0,DY34)</f>
        <v/>
      </c>
      <c r="CH35" s="7">
        <f>IF(J35&gt;=0.5,1,0)</f>
        <v/>
      </c>
      <c r="CI35" s="7">
        <f>IF(AND(CH35=0,prestamos_pslfActivo=1,K35&gt;=0.5,CE35&gt;0),1,0)</f>
        <v/>
      </c>
      <c r="CJ35" s="7">
        <f>CE35*CF35</f>
        <v/>
      </c>
      <c r="CK35" s="7">
        <f>MAX(prestamos_rapPagoMinimoAnual,IF(Y35&lt;10000,0,MIN(0.1,INT(Y35/10000)/100))*Y35)</f>
        <v/>
      </c>
      <c r="CL35" s="7">
        <f>IF(CE35&lt;=0,0,IF(CH35=1,0,IF(CI35=1,MIN(CE35+CJ35,CK35),PMT(CF35,MAX(1,prestamos_plazoAnios-CG35),-CE35))))</f>
        <v/>
      </c>
      <c r="CM35" s="7">
        <f>IF(CE35&lt;=0,0,IF(CH35=1,CE35+CJ35,IF(CI35=1,MAX(0,CE35-MAX(CL35-CJ35,MIN(600,CL35))),MAX(0,CE35*(1+CF35)-CL35))))</f>
        <v/>
      </c>
      <c r="CN35" s="7">
        <f>IF(2=0,0,CN34)+IF(CI35=1,12*MIN(1,K35),0)</f>
        <v/>
      </c>
      <c r="CO35" s="7">
        <f>IF(AND(CI35=1,CN35&gt;=prestamos_pslfPagos,CM35&gt;0),CM35,0)</f>
        <v/>
      </c>
      <c r="CP35" s="7">
        <f>CM35-CO35</f>
        <v/>
      </c>
      <c r="CQ35" s="7">
        <f>IF(AND(CE35&gt;0,CH35=0,CI35=0),CG35+1,CG35)</f>
        <v/>
      </c>
      <c r="CR35" s="7">
        <f>IF(2=0,IF(personal_deudaEsFederal=1,0,personal_deudaEstudiantil),EA34)</f>
        <v/>
      </c>
      <c r="CS35" s="7">
        <f>IF(2=0,IF(personal_deudaEsFederal=1,prestamos_tasaPrivada,personal_tasaDeudaEstudiantil),EB34)</f>
        <v/>
      </c>
      <c r="CT35" s="7">
        <f>IF(2=0,0,EC34)</f>
        <v/>
      </c>
      <c r="CU35" s="7">
        <f>IF(OR(CR35&lt;=0,CH35=1),0,PMT(CS35,MAX(1,prestamos_plazoAnios-CT35),-CR35))</f>
        <v/>
      </c>
      <c r="CV35" s="7">
        <f>IF(CR35&lt;=0,0,IF(CH35=1,CR35*(1+CS35),MAX(0,CR35*(1+CS35)-CU35)))</f>
        <v/>
      </c>
      <c r="CW35" s="7">
        <f>IF(AND(CR35&gt;0,CH35=0),CT35+1,CT35)</f>
        <v/>
      </c>
      <c r="CX35" s="7">
        <f>IF(2=0,0,ED34)*(1+general_tasaDeudaConsumo)</f>
        <v/>
      </c>
      <c r="CY35" s="7">
        <f>L35*12*tiempos_travelGastoExtraMes*C35</f>
        <v/>
      </c>
      <c r="CZ35" s="7">
        <f>AJ35+CY35+CA35+CC35+CL35+CU35+I35+N35-BZ35-CB35</f>
        <v/>
      </c>
      <c r="DA35" s="7">
        <f>AH35-CZ35</f>
        <v/>
      </c>
      <c r="DB35" s="7">
        <f>IF(2=0,0,DB34)+DA35</f>
        <v/>
      </c>
      <c r="DC35" s="7">
        <f>AN35*vivienda_enganchePct+AN35*vivienda_cierrePct+general_reservaMeses/12*AJ35</f>
        <v/>
      </c>
      <c r="DD35" s="7">
        <f>IF(BB35=1,g_ret,IF(BD35&gt;0,MIN(1,DC35/BD35),1)*g_cash+(1-IF(BD35&gt;0,MIN(1,DC35/BD35),1))*g_ret)</f>
        <v/>
      </c>
      <c r="DE35" s="7">
        <f>IF(DA35&gt;=0,MIN(CX35,DA35),0)</f>
        <v/>
      </c>
      <c r="DF35" s="7">
        <f>IF(DA35&gt;=0,(1-general_tasaAhorro)*(DA35-DE35),0)</f>
        <v/>
      </c>
      <c r="DG35" s="7">
        <f>IF(DA35&gt;=0,DA35-DE35-DF35,0)</f>
        <v/>
      </c>
      <c r="DH35" s="7">
        <f>MIN(personal_rothAnual,DG35)</f>
        <v/>
      </c>
      <c r="DI35" s="7">
        <f>IF(AND(DA35&gt;=0,BB35=1,BP35+BT35&gt;0),MIN(vivienda_prepagoPct*(DG35-DH35),BP35+BT35),0)</f>
        <v/>
      </c>
      <c r="DJ35" s="7">
        <f>MIN(DI35,BP35)</f>
        <v/>
      </c>
      <c r="DK35" s="7">
        <f>IF(DA35&lt;0,MIN(MAX(0,BD35),-DA35),0)</f>
        <v/>
      </c>
      <c r="DL35" s="7">
        <f>IF(DA35&lt;0,-DA35-DK35,0)</f>
        <v/>
      </c>
      <c r="DM35" s="7">
        <f>IF(2=0,0,DZ34)</f>
        <v/>
      </c>
      <c r="DN35" s="7">
        <f>IF(AND(DL35&gt;0,J35&gt;0),MIN(DL35,MIN(prestamos_topeAnualPosgrado*MIN(1,J35),MAX(0,prestamos_topeTotalPosgrado-DM35))),0)</f>
        <v/>
      </c>
      <c r="DO35" s="7">
        <f>IF(AND(DL35&gt;0,J35&gt;0),DL35-DN35,0)</f>
        <v/>
      </c>
      <c r="DP35" s="7">
        <f>IF(AND(DL35&gt;0,J35&lt;=0),DL35,0)</f>
        <v/>
      </c>
      <c r="DQ35" s="7">
        <f>IF(DA35&gt;=0,DG35-DH35-DI35,-DK35)</f>
        <v/>
      </c>
      <c r="DR35" s="7">
        <f>BD35*(1+DD35)+DQ35*(1+DD35/2)</f>
        <v/>
      </c>
      <c r="DS35" s="7">
        <f>IF(2=0,personal_retiroInicial,DS34)*(1+g_ret)+(O35+P35+DH35)*(1+g_ret/2)</f>
        <v/>
      </c>
      <c r="DT35" s="7">
        <f>IF(BB35=1,BL35*(1+g_appr),0)</f>
        <v/>
      </c>
      <c r="DU35" s="7">
        <f>BP35-DJ35</f>
        <v/>
      </c>
      <c r="DV35" s="7">
        <f>BT35-(DI35-DJ35)</f>
        <v/>
      </c>
      <c r="DW35" s="7">
        <f>CP35+DN35</f>
        <v/>
      </c>
      <c r="DX35" s="7">
        <f>IF(DN35&gt;0,(CP35*CF35+DN35*prestamos_tasaFederalPosgrado)/(CP35+DN35),CF35)</f>
        <v/>
      </c>
      <c r="DY35" s="7">
        <f>IF(DN35&gt;0,0,CQ35)</f>
        <v/>
      </c>
      <c r="DZ35" s="7">
        <f>DM35+DN35</f>
        <v/>
      </c>
      <c r="EA35" s="7">
        <f>CV35+DO35</f>
        <v/>
      </c>
      <c r="EB35" s="7">
        <f>IF(DO35&gt;0,(CV35*CS35+DO35*prestamos_tasaPrivada)/(CV35+DO35),CS35)</f>
        <v/>
      </c>
      <c r="EC35" s="7">
        <f>IF(DO35&gt;0,0,CW35)</f>
        <v/>
      </c>
      <c r="ED35" s="7">
        <f>CX35-DE35+DP35</f>
        <v/>
      </c>
      <c r="EE35" s="7">
        <f>IF(IF(2=0,"",EE34)&lt;&gt;"",EE34,IF(AND(BB35=1,DU35&lt;=0.5,DV35&lt;=0.5,OR(BH35=0,BJ35=1)),A35,""))</f>
        <v/>
      </c>
      <c r="EF35" s="7">
        <f>DU35+DV35+DW35+EA35+ED35+CD35</f>
        <v/>
      </c>
      <c r="EG35" s="7">
        <f>DR35+DS35+DT35-EF35</f>
        <v/>
      </c>
      <c r="EH35" s="7">
        <f>EG35/(1+g_inf)^(A35+1-2026)</f>
        <v/>
      </c>
    </row>
    <row r="36">
      <c r="A36" t="n">
        <v>2030</v>
      </c>
      <c r="B36" t="n">
        <v>3</v>
      </c>
      <c r="C36" s="7">
        <f>(1+g_inf)^(A36-2026)</f>
        <v/>
      </c>
      <c r="D36" s="7">
        <f>SUMPRODUCT($W$5:$W$29,$E$5:$E$29*(1+$F$5:$F$29)^(A36-2026)*$G$5:$G$29*$H$5:$H$29*(1-$N$5:$N$29*$O$5:$O$29))*g_salMult+SUMPRODUCT(($B$5:$B$29&gt;=A36)*($B$5:$B$29&lt;A36+1)*$I$5:$I$29)*g_salMult</f>
        <v/>
      </c>
      <c r="E36" s="7">
        <f>SUMPRODUCT($W$5:$W$29,$E$5:$E$29*(1+$F$5:$F$29)^(A36-2026)*$G$5:$G$29*$H$5:$H$29*$M$5:$M$29)*g_salMult</f>
        <v/>
      </c>
      <c r="F36" s="7">
        <f>SUMPRODUCT($W$5:$W$29,$E$5:$E$29*(1+$F$5:$F$29)^(A36-2026)*$G$5:$G$29*$H$5:$H$29*$N$5:$N$29*$O$5:$O$29)*g_salMult</f>
        <v/>
      </c>
      <c r="G36" s="7">
        <f>SUMPRODUCT($W$5:$W$29,$P$5:$P$29*(1+$F$5:$F$29)^(A36-2026))</f>
        <v/>
      </c>
      <c r="H36" s="7">
        <f>SUMPRODUCT($W$5:$W$29,$Q$5:$Q$29*(1+$F$5:$F$29)^(A36-2026))+IF(personal_llcActivo=1,personal_llcNeto*(1+personal_llcCrecimiento)^3,0)</f>
        <v/>
      </c>
      <c r="I36" s="7">
        <f>SUMPRODUCT($W$5:$W$29,$J$5:$J$29/($C$5:$C$29-$B$5:$B$29+($C$5:$C$29=$B$5:$B$29)))*C36</f>
        <v/>
      </c>
      <c r="J36" s="7">
        <f>SUMPRODUCT($W$5:$W$29,$K$5:$K$29)</f>
        <v/>
      </c>
      <c r="K36" s="7">
        <f>SUMPRODUCT($W$5:$W$29,$L$5:$L$29)</f>
        <v/>
      </c>
      <c r="L36" s="7">
        <f>SUMPRODUCT($W$5:$W$29,$N$5:$N$29)</f>
        <v/>
      </c>
      <c r="M36" s="7">
        <f>IF(SUMPRODUCT($W$5:$W$29,$R$5:$R$29)&gt;0,1,0)</f>
        <v/>
      </c>
      <c r="N36" s="7">
        <f>SUMPRODUCT(($AO$5:$AO$24&gt;=A36)*($AO$5:$AO$24&lt;A36+1)*$AP$5:$AP$24)*C36+IF(3=0,IF(sel_loc&lt;&gt;"miami",personal_costoMudanzaInicial,0),0)</f>
        <v/>
      </c>
      <c r="O36" s="7">
        <f>MIN(personal_aporte403bPct*D36,retiro_limite403b*C36)</f>
        <v/>
      </c>
      <c r="P36" s="7">
        <f>MIN(personal_aporte403bPct,personal_match403bPct)*E36</f>
        <v/>
      </c>
      <c r="Q36" s="7">
        <f>IF(G36&gt;0,MAX(0,G36-impuestos_scorpCostoAnual*C36),0)</f>
        <v/>
      </c>
      <c r="R36" s="7">
        <f>Q36*impuestos_scorpSalarioPct/(1+impuestos_ssTasa+impuestos_medicareTasa)</f>
        <v/>
      </c>
      <c r="S36" s="7">
        <f>impuestos_ssTasa*MIN(R36,MAX(0,impuestos_ssTope*C36-D36))+impuestos_medicareTasa*R36</f>
        <v/>
      </c>
      <c r="T36" s="7">
        <f>Q36-R36-S36</f>
        <v/>
      </c>
      <c r="U36" s="7">
        <f>D36+R36</f>
        <v/>
      </c>
      <c r="V36" s="7">
        <f>H36*0.9235</f>
        <v/>
      </c>
      <c r="W36" s="7">
        <f>IF(H36&gt;0,2*impuestos_ssTasa*MIN(V36,MAX(0,impuestos_ssTope*C36-U36))+2*impuestos_medicareTasa*V36,0)</f>
        <v/>
      </c>
      <c r="X36" s="7">
        <f>impuestos_ssTasa*MIN(U36,impuestos_ssTope*C36)+impuestos_medicareTasa*U36+impuestos_medicareAdicional*MAX(0,U36+H36*0.9235-impuestos_medicareUmbral)</f>
        <v/>
      </c>
      <c r="Y36" s="7">
        <f>MAX(0,D36-O36+R36+T36+H36-W36/2)</f>
        <v/>
      </c>
      <c r="Z36" s="7">
        <f>MAX(0,Y36-impuestos_deduccionEstandar*C36)</f>
        <v/>
      </c>
      <c r="AA36" s="7">
        <f>MIN(0.2*MAX(0,T36+H36-W36/2)*MAX(0,MIN(1,1-(Z36-impuestos_qbiUmbral*C36)/(impuestos_qbiRango*C36))),0.2*Z36)</f>
        <v/>
      </c>
      <c r="AB36" s="7">
        <f>MAX(0,Z36-AA36)</f>
        <v/>
      </c>
      <c r="AC36" s="7">
        <f>SUMPRODUCT((AB36&gt;tb_federalBrackets_lo*C36)*(AB36-tb_federalBrackets_lo*C36)*tb_federalBrackets_dr)</f>
        <v/>
      </c>
      <c r="AD36" s="7">
        <f>MAX(0,Y36-impuestos_nyDeduccion*C36)</f>
        <v/>
      </c>
      <c r="AE36" s="7">
        <f>CHOOSE(loc_taxcode,0,impuestos_ohTasa*MAX(0,Y36-impuestos_ohExento*C36)+impuestos_ohMunicipal*U36,SUMPRODUCT((AD36&gt;tb_nyBrackets_lo*C36)*(AD36-tb_nyBrackets_lo*C36)*tb_nyBrackets_dr)+loc_nyc*SUMPRODUCT((AD36&gt;tb_nycBrackets_lo*C36)*(AD36-tb_nycBrackets_lo*C36)*tb_nycBrackets_dr))</f>
        <v/>
      </c>
      <c r="AF36" s="7">
        <f>AC36+AE36+X36+W36</f>
        <v/>
      </c>
      <c r="AG36" s="7">
        <f>D36+F36+R36+T36+H36</f>
        <v/>
      </c>
      <c r="AH36" s="7">
        <f>AG36-AF36-O36</f>
        <v/>
      </c>
      <c r="AI36" s="7">
        <f>D36+F36+G36+H36</f>
        <v/>
      </c>
      <c r="AJ36" s="7">
        <f>loc_gastosVida*C36*g_gastos</f>
        <v/>
      </c>
      <c r="AK36" s="7">
        <f>IF(3=0,personal_liquidoInicial,DR35)</f>
        <v/>
      </c>
      <c r="AL36" s="7">
        <f>IF(3=0,0,BB35)</f>
        <v/>
      </c>
      <c r="AM36" s="7">
        <f>CHOOSE(sel_cfgIdx,loc_precio_duplex,loc_precio_inlaw,loc_precio_dosCasas,loc_precio_casaAdu,loc_precio_multi)</f>
        <v/>
      </c>
      <c r="AN36" s="7">
        <f>AM36*(1+g_appr)^(A36-2026)</f>
        <v/>
      </c>
      <c r="AO36" s="7">
        <f>IF(AND(M36=1,vivienda_prestamoMedico=1),1,0)</f>
        <v/>
      </c>
      <c r="AP36" s="7">
        <f>IF(AO36=1,0.05,vivienda_enganchePct)</f>
        <v/>
      </c>
      <c r="AQ36" s="7">
        <f>AN36*(1-AP36)</f>
        <v/>
      </c>
      <c r="AR36" s="7">
        <f>PMT(g_mortRate/12,vivienda_plazoHipoteca*12,-AQ36)</f>
        <v/>
      </c>
      <c r="AS36" s="7">
        <f>INDEX(cfg_units,sel_cfgIdx)</f>
        <v/>
      </c>
      <c r="AT36" s="7">
        <f>AS36*loc_rentaUnidad*(1+g_inf)^(A36-2026)*(1-vivienda_vacancia)</f>
        <v/>
      </c>
      <c r="AU36" s="7">
        <f>AR36+AN36*loc_impuestoPropPct/12+AM36*loc_seguroPct*(1+vivienda_inflacionSeguro)^(A36-2026)/12+IF(AND(AO36=0,AP36&lt;0.2),AQ36*vivienda_pmiTasa/12,0)</f>
        <v/>
      </c>
      <c r="AV36" s="7">
        <f>AN36*AP36+AN36*vivienda_cierrePct+general_reservaMeses/12*AJ36</f>
        <v/>
      </c>
      <c r="AW36" s="7">
        <f>(IF(3=0,MIN(personal_irsSaldo,personal_irsPagoMensual*12),MIN(CD35,personal_irsPagoMensual*12))+IF(CE36&gt;0,PMT(CF36,MAX(1,prestamos_plazoAnios-CG36),-CE36),0)+IF(CR36&gt;0,PMT(CS36,MAX(1,prestamos_plazoAnios-CT36),-CR36),0))/12</f>
        <v/>
      </c>
      <c r="AX36" s="7">
        <f>IF(OR(sel_cfg="duplex",sel_cfg="multi",sel_cfg="dosCasas"),0.75*personal_aporteFamiliaMensual,0)</f>
        <v/>
      </c>
      <c r="AY36" s="7">
        <f>AU36-0.75*AT36-AX36+AW36</f>
        <v/>
      </c>
      <c r="AZ36" s="7">
        <f>(D36+G36+H36+0.5*F36)/12</f>
        <v/>
      </c>
      <c r="BA36" s="7">
        <f>IF(AND(AL36=0,A36&gt;=vivienda_anioMinCompra,J36&lt;0.5,AI36&gt;0,AK36&gt;=AV36,AY36&lt;=vivienda_dtiMax*AZ36),1,0)</f>
        <v/>
      </c>
      <c r="BB36" s="7">
        <f>MAX(AL36,BA36)</f>
        <v/>
      </c>
      <c r="BC36" s="7">
        <f>IF(BA36=1,A36,IF(3=0,"",BC35))</f>
        <v/>
      </c>
      <c r="BD36" s="7">
        <f>AK36-IF(BA36=1,AN36*AP36+AN36*vivienda_cierrePct,0)</f>
        <v/>
      </c>
      <c r="BE36" s="7">
        <f>IF(BA36=1,AN36,IF(3=0,0,BE35))</f>
        <v/>
      </c>
      <c r="BF36" s="7">
        <f>IF(BA36=1,AR36,IF(3=0,0,BF35))</f>
        <v/>
      </c>
      <c r="BG36" s="7">
        <f>IF(BA36=1,IF(AND(AO36=0,AP36&lt;0.2),1,0),IF(3=0,0,BY35))</f>
        <v/>
      </c>
      <c r="BH36" s="7">
        <f>IF(sel_cfg="casaAdu",1,0)</f>
        <v/>
      </c>
      <c r="BI36" s="7">
        <f>IF(AND(BB36=1,BH36=1,IF(3=0,0,BJ35)=0,A36&gt;=IF(BC36="",9999,BC36)+vivienda_aduRetrasoAnios),1,0)</f>
        <v/>
      </c>
      <c r="BJ36" s="7">
        <f>MAX(IF(3=0,0,BJ35),BI36)</f>
        <v/>
      </c>
      <c r="BK36" s="7">
        <f>IF(BI36=1,PMT((g_mortRate+0.005)/12,180,-loc_precio_aduCosto*C36),IF(3=0,0,BK35))</f>
        <v/>
      </c>
      <c r="BL36" s="7">
        <f>IF(BA36=1,AN36,IF(3=0,0,DT35))+IF(BI36=1,loc_precio_aduCosto*C36,0)</f>
        <v/>
      </c>
      <c r="BM36" s="7">
        <f>IF(BA36=1,AQ36,IF(3=0,0,DU35))</f>
        <v/>
      </c>
      <c r="BN36" s="7">
        <f>IF(BM36&lt;=0,0,FV(g_mortRate/12,12,BF36,-BM36))</f>
        <v/>
      </c>
      <c r="BO36" s="7">
        <f>IF(BM36&lt;=0,0,12*BF36+MIN(0,BN36))</f>
        <v/>
      </c>
      <c r="BP36" s="7">
        <f>MAX(0,BN36)</f>
        <v/>
      </c>
      <c r="BQ36" s="7">
        <f>IF(BI36=1,loc_precio_aduCosto*C36,IF(3=0,0,DV35))</f>
        <v/>
      </c>
      <c r="BR36" s="7">
        <f>IF(BQ36&lt;=0,0,FV((g_mortRate+0.005)/12,12,BK36,-BQ36))</f>
        <v/>
      </c>
      <c r="BS36" s="7">
        <f>IF(BQ36&lt;=0,0,12*BK36+MIN(0,BR36))</f>
        <v/>
      </c>
      <c r="BT36" s="7">
        <f>MAX(0,BR36)</f>
        <v/>
      </c>
      <c r="BU36" s="7">
        <f>IF(BB36=1,AM36*loc_seguroPct*(1+vivienda_inflacionSeguro)^(A36-2026)*IF(BJ36=1,1+loc_precio_aduCosto/AM36,1),0)</f>
        <v/>
      </c>
      <c r="BV36" s="7">
        <f>BL36*loc_impuestoPropPct</f>
        <v/>
      </c>
      <c r="BW36" s="7">
        <f>BL36*vivienda_mantenimientoPct</f>
        <v/>
      </c>
      <c r="BX36" s="7">
        <f>IF(AND(BG36=1,BP36&gt;0.8*BE36),BE36*(1-vivienda_enganchePct)*vivienda_pmiTasa,0)</f>
        <v/>
      </c>
      <c r="BY36" s="7">
        <f>IF(AND(BG36=1,BP36&gt;0.8*BE36),1,0)</f>
        <v/>
      </c>
      <c r="BZ36" s="7">
        <f>IF(BB36=1,AS36*loc_rentaUnidad*12*C36*(1-vivienda_vacancia)*(1-vivienda_gestionPct),0)</f>
        <v/>
      </c>
      <c r="CA36" s="7">
        <f>IF(BB36=1,BO36+BS36+BU36+BV36+BW36+BX36,loc_rentaMensual*12*C36)</f>
        <v/>
      </c>
      <c r="CB36" s="7">
        <f>IF(BB36=1,personal_aporteFamiliaMensual*12,0)</f>
        <v/>
      </c>
      <c r="CC36" s="7">
        <f>MIN(IF(3=0,personal_irsSaldo,CD35),personal_irsPagoMensual*12)</f>
        <v/>
      </c>
      <c r="CD36" s="7">
        <f>IF(3=0,personal_irsSaldo,CD35)-CC36</f>
        <v/>
      </c>
      <c r="CE36" s="7">
        <f>IF(3=0,IF(personal_deudaEsFederal=1,personal_deudaEstudiantil,0),DW35)</f>
        <v/>
      </c>
      <c r="CF36" s="7">
        <f>IF(3=0,personal_tasaDeudaEstudiantil,DX35)</f>
        <v/>
      </c>
      <c r="CG36" s="7">
        <f>IF(3=0,0,DY35)</f>
        <v/>
      </c>
      <c r="CH36" s="7">
        <f>IF(J36&gt;=0.5,1,0)</f>
        <v/>
      </c>
      <c r="CI36" s="7">
        <f>IF(AND(CH36=0,prestamos_pslfActivo=1,K36&gt;=0.5,CE36&gt;0),1,0)</f>
        <v/>
      </c>
      <c r="CJ36" s="7">
        <f>CE36*CF36</f>
        <v/>
      </c>
      <c r="CK36" s="7">
        <f>MAX(prestamos_rapPagoMinimoAnual,IF(Y36&lt;10000,0,MIN(0.1,INT(Y36/10000)/100))*Y36)</f>
        <v/>
      </c>
      <c r="CL36" s="7">
        <f>IF(CE36&lt;=0,0,IF(CH36=1,0,IF(CI36=1,MIN(CE36+CJ36,CK36),PMT(CF36,MAX(1,prestamos_plazoAnios-CG36),-CE36))))</f>
        <v/>
      </c>
      <c r="CM36" s="7">
        <f>IF(CE36&lt;=0,0,IF(CH36=1,CE36+CJ36,IF(CI36=1,MAX(0,CE36-MAX(CL36-CJ36,MIN(600,CL36))),MAX(0,CE36*(1+CF36)-CL36))))</f>
        <v/>
      </c>
      <c r="CN36" s="7">
        <f>IF(3=0,0,CN35)+IF(CI36=1,12*MIN(1,K36),0)</f>
        <v/>
      </c>
      <c r="CO36" s="7">
        <f>IF(AND(CI36=1,CN36&gt;=prestamos_pslfPagos,CM36&gt;0),CM36,0)</f>
        <v/>
      </c>
      <c r="CP36" s="7">
        <f>CM36-CO36</f>
        <v/>
      </c>
      <c r="CQ36" s="7">
        <f>IF(AND(CE36&gt;0,CH36=0,CI36=0),CG36+1,CG36)</f>
        <v/>
      </c>
      <c r="CR36" s="7">
        <f>IF(3=0,IF(personal_deudaEsFederal=1,0,personal_deudaEstudiantil),EA35)</f>
        <v/>
      </c>
      <c r="CS36" s="7">
        <f>IF(3=0,IF(personal_deudaEsFederal=1,prestamos_tasaPrivada,personal_tasaDeudaEstudiantil),EB35)</f>
        <v/>
      </c>
      <c r="CT36" s="7">
        <f>IF(3=0,0,EC35)</f>
        <v/>
      </c>
      <c r="CU36" s="7">
        <f>IF(OR(CR36&lt;=0,CH36=1),0,PMT(CS36,MAX(1,prestamos_plazoAnios-CT36),-CR36))</f>
        <v/>
      </c>
      <c r="CV36" s="7">
        <f>IF(CR36&lt;=0,0,IF(CH36=1,CR36*(1+CS36),MAX(0,CR36*(1+CS36)-CU36)))</f>
        <v/>
      </c>
      <c r="CW36" s="7">
        <f>IF(AND(CR36&gt;0,CH36=0),CT36+1,CT36)</f>
        <v/>
      </c>
      <c r="CX36" s="7">
        <f>IF(3=0,0,ED35)*(1+general_tasaDeudaConsumo)</f>
        <v/>
      </c>
      <c r="CY36" s="7">
        <f>L36*12*tiempos_travelGastoExtraMes*C36</f>
        <v/>
      </c>
      <c r="CZ36" s="7">
        <f>AJ36+CY36+CA36+CC36+CL36+CU36+I36+N36-BZ36-CB36</f>
        <v/>
      </c>
      <c r="DA36" s="7">
        <f>AH36-CZ36</f>
        <v/>
      </c>
      <c r="DB36" s="7">
        <f>IF(3=0,0,DB35)+DA36</f>
        <v/>
      </c>
      <c r="DC36" s="7">
        <f>AN36*vivienda_enganchePct+AN36*vivienda_cierrePct+general_reservaMeses/12*AJ36</f>
        <v/>
      </c>
      <c r="DD36" s="7">
        <f>IF(BB36=1,g_ret,IF(BD36&gt;0,MIN(1,DC36/BD36),1)*g_cash+(1-IF(BD36&gt;0,MIN(1,DC36/BD36),1))*g_ret)</f>
        <v/>
      </c>
      <c r="DE36" s="7">
        <f>IF(DA36&gt;=0,MIN(CX36,DA36),0)</f>
        <v/>
      </c>
      <c r="DF36" s="7">
        <f>IF(DA36&gt;=0,(1-general_tasaAhorro)*(DA36-DE36),0)</f>
        <v/>
      </c>
      <c r="DG36" s="7">
        <f>IF(DA36&gt;=0,DA36-DE36-DF36,0)</f>
        <v/>
      </c>
      <c r="DH36" s="7">
        <f>MIN(personal_rothAnual,DG36)</f>
        <v/>
      </c>
      <c r="DI36" s="7">
        <f>IF(AND(DA36&gt;=0,BB36=1,BP36+BT36&gt;0),MIN(vivienda_prepagoPct*(DG36-DH36),BP36+BT36),0)</f>
        <v/>
      </c>
      <c r="DJ36" s="7">
        <f>MIN(DI36,BP36)</f>
        <v/>
      </c>
      <c r="DK36" s="7">
        <f>IF(DA36&lt;0,MIN(MAX(0,BD36),-DA36),0)</f>
        <v/>
      </c>
      <c r="DL36" s="7">
        <f>IF(DA36&lt;0,-DA36-DK36,0)</f>
        <v/>
      </c>
      <c r="DM36" s="7">
        <f>IF(3=0,0,DZ35)</f>
        <v/>
      </c>
      <c r="DN36" s="7">
        <f>IF(AND(DL36&gt;0,J36&gt;0),MIN(DL36,MIN(prestamos_topeAnualPosgrado*MIN(1,J36),MAX(0,prestamos_topeTotalPosgrado-DM36))),0)</f>
        <v/>
      </c>
      <c r="DO36" s="7">
        <f>IF(AND(DL36&gt;0,J36&gt;0),DL36-DN36,0)</f>
        <v/>
      </c>
      <c r="DP36" s="7">
        <f>IF(AND(DL36&gt;0,J36&lt;=0),DL36,0)</f>
        <v/>
      </c>
      <c r="DQ36" s="7">
        <f>IF(DA36&gt;=0,DG36-DH36-DI36,-DK36)</f>
        <v/>
      </c>
      <c r="DR36" s="7">
        <f>BD36*(1+DD36)+DQ36*(1+DD36/2)</f>
        <v/>
      </c>
      <c r="DS36" s="7">
        <f>IF(3=0,personal_retiroInicial,DS35)*(1+g_ret)+(O36+P36+DH36)*(1+g_ret/2)</f>
        <v/>
      </c>
      <c r="DT36" s="7">
        <f>IF(BB36=1,BL36*(1+g_appr),0)</f>
        <v/>
      </c>
      <c r="DU36" s="7">
        <f>BP36-DJ36</f>
        <v/>
      </c>
      <c r="DV36" s="7">
        <f>BT36-(DI36-DJ36)</f>
        <v/>
      </c>
      <c r="DW36" s="7">
        <f>CP36+DN36</f>
        <v/>
      </c>
      <c r="DX36" s="7">
        <f>IF(DN36&gt;0,(CP36*CF36+DN36*prestamos_tasaFederalPosgrado)/(CP36+DN36),CF36)</f>
        <v/>
      </c>
      <c r="DY36" s="7">
        <f>IF(DN36&gt;0,0,CQ36)</f>
        <v/>
      </c>
      <c r="DZ36" s="7">
        <f>DM36+DN36</f>
        <v/>
      </c>
      <c r="EA36" s="7">
        <f>CV36+DO36</f>
        <v/>
      </c>
      <c r="EB36" s="7">
        <f>IF(DO36&gt;0,(CV36*CS36+DO36*prestamos_tasaPrivada)/(CV36+DO36),CS36)</f>
        <v/>
      </c>
      <c r="EC36" s="7">
        <f>IF(DO36&gt;0,0,CW36)</f>
        <v/>
      </c>
      <c r="ED36" s="7">
        <f>CX36-DE36+DP36</f>
        <v/>
      </c>
      <c r="EE36" s="7">
        <f>IF(IF(3=0,"",EE35)&lt;&gt;"",EE35,IF(AND(BB36=1,DU36&lt;=0.5,DV36&lt;=0.5,OR(BH36=0,BJ36=1)),A36,""))</f>
        <v/>
      </c>
      <c r="EF36" s="7">
        <f>DU36+DV36+DW36+EA36+ED36+CD36</f>
        <v/>
      </c>
      <c r="EG36" s="7">
        <f>DR36+DS36+DT36-EF36</f>
        <v/>
      </c>
      <c r="EH36" s="7">
        <f>EG36/(1+g_inf)^(A36+1-2026)</f>
        <v/>
      </c>
    </row>
    <row r="37">
      <c r="A37" t="n">
        <v>2031</v>
      </c>
      <c r="B37" t="n">
        <v>4</v>
      </c>
      <c r="C37" s="7">
        <f>(1+g_inf)^(A37-2026)</f>
        <v/>
      </c>
      <c r="D37" s="7">
        <f>SUMPRODUCT($X$5:$X$29,$E$5:$E$29*(1+$F$5:$F$29)^(A37-2026)*$G$5:$G$29*$H$5:$H$29*(1-$N$5:$N$29*$O$5:$O$29))*g_salMult+SUMPRODUCT(($B$5:$B$29&gt;=A37)*($B$5:$B$29&lt;A37+1)*$I$5:$I$29)*g_salMult</f>
        <v/>
      </c>
      <c r="E37" s="7">
        <f>SUMPRODUCT($X$5:$X$29,$E$5:$E$29*(1+$F$5:$F$29)^(A37-2026)*$G$5:$G$29*$H$5:$H$29*$M$5:$M$29)*g_salMult</f>
        <v/>
      </c>
      <c r="F37" s="7">
        <f>SUMPRODUCT($X$5:$X$29,$E$5:$E$29*(1+$F$5:$F$29)^(A37-2026)*$G$5:$G$29*$H$5:$H$29*$N$5:$N$29*$O$5:$O$29)*g_salMult</f>
        <v/>
      </c>
      <c r="G37" s="7">
        <f>SUMPRODUCT($X$5:$X$29,$P$5:$P$29*(1+$F$5:$F$29)^(A37-2026))</f>
        <v/>
      </c>
      <c r="H37" s="7">
        <f>SUMPRODUCT($X$5:$X$29,$Q$5:$Q$29*(1+$F$5:$F$29)^(A37-2026))+IF(personal_llcActivo=1,personal_llcNeto*(1+personal_llcCrecimiento)^4,0)</f>
        <v/>
      </c>
      <c r="I37" s="7">
        <f>SUMPRODUCT($X$5:$X$29,$J$5:$J$29/($C$5:$C$29-$B$5:$B$29+($C$5:$C$29=$B$5:$B$29)))*C37</f>
        <v/>
      </c>
      <c r="J37" s="7">
        <f>SUMPRODUCT($X$5:$X$29,$K$5:$K$29)</f>
        <v/>
      </c>
      <c r="K37" s="7">
        <f>SUMPRODUCT($X$5:$X$29,$L$5:$L$29)</f>
        <v/>
      </c>
      <c r="L37" s="7">
        <f>SUMPRODUCT($X$5:$X$29,$N$5:$N$29)</f>
        <v/>
      </c>
      <c r="M37" s="7">
        <f>IF(SUMPRODUCT($X$5:$X$29,$R$5:$R$29)&gt;0,1,0)</f>
        <v/>
      </c>
      <c r="N37" s="7">
        <f>SUMPRODUCT(($AO$5:$AO$24&gt;=A37)*($AO$5:$AO$24&lt;A37+1)*$AP$5:$AP$24)*C37+IF(4=0,IF(sel_loc&lt;&gt;"miami",personal_costoMudanzaInicial,0),0)</f>
        <v/>
      </c>
      <c r="O37" s="7">
        <f>MIN(personal_aporte403bPct*D37,retiro_limite403b*C37)</f>
        <v/>
      </c>
      <c r="P37" s="7">
        <f>MIN(personal_aporte403bPct,personal_match403bPct)*E37</f>
        <v/>
      </c>
      <c r="Q37" s="7">
        <f>IF(G37&gt;0,MAX(0,G37-impuestos_scorpCostoAnual*C37),0)</f>
        <v/>
      </c>
      <c r="R37" s="7">
        <f>Q37*impuestos_scorpSalarioPct/(1+impuestos_ssTasa+impuestos_medicareTasa)</f>
        <v/>
      </c>
      <c r="S37" s="7">
        <f>impuestos_ssTasa*MIN(R37,MAX(0,impuestos_ssTope*C37-D37))+impuestos_medicareTasa*R37</f>
        <v/>
      </c>
      <c r="T37" s="7">
        <f>Q37-R37-S37</f>
        <v/>
      </c>
      <c r="U37" s="7">
        <f>D37+R37</f>
        <v/>
      </c>
      <c r="V37" s="7">
        <f>H37*0.9235</f>
        <v/>
      </c>
      <c r="W37" s="7">
        <f>IF(H37&gt;0,2*impuestos_ssTasa*MIN(V37,MAX(0,impuestos_ssTope*C37-U37))+2*impuestos_medicareTasa*V37,0)</f>
        <v/>
      </c>
      <c r="X37" s="7">
        <f>impuestos_ssTasa*MIN(U37,impuestos_ssTope*C37)+impuestos_medicareTasa*U37+impuestos_medicareAdicional*MAX(0,U37+H37*0.9235-impuestos_medicareUmbral)</f>
        <v/>
      </c>
      <c r="Y37" s="7">
        <f>MAX(0,D37-O37+R37+T37+H37-W37/2)</f>
        <v/>
      </c>
      <c r="Z37" s="7">
        <f>MAX(0,Y37-impuestos_deduccionEstandar*C37)</f>
        <v/>
      </c>
      <c r="AA37" s="7">
        <f>MIN(0.2*MAX(0,T37+H37-W37/2)*MAX(0,MIN(1,1-(Z37-impuestos_qbiUmbral*C37)/(impuestos_qbiRango*C37))),0.2*Z37)</f>
        <v/>
      </c>
      <c r="AB37" s="7">
        <f>MAX(0,Z37-AA37)</f>
        <v/>
      </c>
      <c r="AC37" s="7">
        <f>SUMPRODUCT((AB37&gt;tb_federalBrackets_lo*C37)*(AB37-tb_federalBrackets_lo*C37)*tb_federalBrackets_dr)</f>
        <v/>
      </c>
      <c r="AD37" s="7">
        <f>MAX(0,Y37-impuestos_nyDeduccion*C37)</f>
        <v/>
      </c>
      <c r="AE37" s="7">
        <f>CHOOSE(loc_taxcode,0,impuestos_ohTasa*MAX(0,Y37-impuestos_ohExento*C37)+impuestos_ohMunicipal*U37,SUMPRODUCT((AD37&gt;tb_nyBrackets_lo*C37)*(AD37-tb_nyBrackets_lo*C37)*tb_nyBrackets_dr)+loc_nyc*SUMPRODUCT((AD37&gt;tb_nycBrackets_lo*C37)*(AD37-tb_nycBrackets_lo*C37)*tb_nycBrackets_dr))</f>
        <v/>
      </c>
      <c r="AF37" s="7">
        <f>AC37+AE37+X37+W37</f>
        <v/>
      </c>
      <c r="AG37" s="7">
        <f>D37+F37+R37+T37+H37</f>
        <v/>
      </c>
      <c r="AH37" s="7">
        <f>AG37-AF37-O37</f>
        <v/>
      </c>
      <c r="AI37" s="7">
        <f>D37+F37+G37+H37</f>
        <v/>
      </c>
      <c r="AJ37" s="7">
        <f>loc_gastosVida*C37*g_gastos</f>
        <v/>
      </c>
      <c r="AK37" s="7">
        <f>IF(4=0,personal_liquidoInicial,DR36)</f>
        <v/>
      </c>
      <c r="AL37" s="7">
        <f>IF(4=0,0,BB36)</f>
        <v/>
      </c>
      <c r="AM37" s="7">
        <f>CHOOSE(sel_cfgIdx,loc_precio_duplex,loc_precio_inlaw,loc_precio_dosCasas,loc_precio_casaAdu,loc_precio_multi)</f>
        <v/>
      </c>
      <c r="AN37" s="7">
        <f>AM37*(1+g_appr)^(A37-2026)</f>
        <v/>
      </c>
      <c r="AO37" s="7">
        <f>IF(AND(M37=1,vivienda_prestamoMedico=1),1,0)</f>
        <v/>
      </c>
      <c r="AP37" s="7">
        <f>IF(AO37=1,0.05,vivienda_enganchePct)</f>
        <v/>
      </c>
      <c r="AQ37" s="7">
        <f>AN37*(1-AP37)</f>
        <v/>
      </c>
      <c r="AR37" s="7">
        <f>PMT(g_mortRate/12,vivienda_plazoHipoteca*12,-AQ37)</f>
        <v/>
      </c>
      <c r="AS37" s="7">
        <f>INDEX(cfg_units,sel_cfgIdx)</f>
        <v/>
      </c>
      <c r="AT37" s="7">
        <f>AS37*loc_rentaUnidad*(1+g_inf)^(A37-2026)*(1-vivienda_vacancia)</f>
        <v/>
      </c>
      <c r="AU37" s="7">
        <f>AR37+AN37*loc_impuestoPropPct/12+AM37*loc_seguroPct*(1+vivienda_inflacionSeguro)^(A37-2026)/12+IF(AND(AO37=0,AP37&lt;0.2),AQ37*vivienda_pmiTasa/12,0)</f>
        <v/>
      </c>
      <c r="AV37" s="7">
        <f>AN37*AP37+AN37*vivienda_cierrePct+general_reservaMeses/12*AJ37</f>
        <v/>
      </c>
      <c r="AW37" s="7">
        <f>(IF(4=0,MIN(personal_irsSaldo,personal_irsPagoMensual*12),MIN(CD36,personal_irsPagoMensual*12))+IF(CE37&gt;0,PMT(CF37,MAX(1,prestamos_plazoAnios-CG37),-CE37),0)+IF(CR37&gt;0,PMT(CS37,MAX(1,prestamos_plazoAnios-CT37),-CR37),0))/12</f>
        <v/>
      </c>
      <c r="AX37" s="7">
        <f>IF(OR(sel_cfg="duplex",sel_cfg="multi",sel_cfg="dosCasas"),0.75*personal_aporteFamiliaMensual,0)</f>
        <v/>
      </c>
      <c r="AY37" s="7">
        <f>AU37-0.75*AT37-AX37+AW37</f>
        <v/>
      </c>
      <c r="AZ37" s="7">
        <f>(D37+G37+H37+0.5*F37)/12</f>
        <v/>
      </c>
      <c r="BA37" s="7">
        <f>IF(AND(AL37=0,A37&gt;=vivienda_anioMinCompra,J37&lt;0.5,AI37&gt;0,AK37&gt;=AV37,AY37&lt;=vivienda_dtiMax*AZ37),1,0)</f>
        <v/>
      </c>
      <c r="BB37" s="7">
        <f>MAX(AL37,BA37)</f>
        <v/>
      </c>
      <c r="BC37" s="7">
        <f>IF(BA37=1,A37,IF(4=0,"",BC36))</f>
        <v/>
      </c>
      <c r="BD37" s="7">
        <f>AK37-IF(BA37=1,AN37*AP37+AN37*vivienda_cierrePct,0)</f>
        <v/>
      </c>
      <c r="BE37" s="7">
        <f>IF(BA37=1,AN37,IF(4=0,0,BE36))</f>
        <v/>
      </c>
      <c r="BF37" s="7">
        <f>IF(BA37=1,AR37,IF(4=0,0,BF36))</f>
        <v/>
      </c>
      <c r="BG37" s="7">
        <f>IF(BA37=1,IF(AND(AO37=0,AP37&lt;0.2),1,0),IF(4=0,0,BY36))</f>
        <v/>
      </c>
      <c r="BH37" s="7">
        <f>IF(sel_cfg="casaAdu",1,0)</f>
        <v/>
      </c>
      <c r="BI37" s="7">
        <f>IF(AND(BB37=1,BH37=1,IF(4=0,0,BJ36)=0,A37&gt;=IF(BC37="",9999,BC37)+vivienda_aduRetrasoAnios),1,0)</f>
        <v/>
      </c>
      <c r="BJ37" s="7">
        <f>MAX(IF(4=0,0,BJ36),BI37)</f>
        <v/>
      </c>
      <c r="BK37" s="7">
        <f>IF(BI37=1,PMT((g_mortRate+0.005)/12,180,-loc_precio_aduCosto*C37),IF(4=0,0,BK36))</f>
        <v/>
      </c>
      <c r="BL37" s="7">
        <f>IF(BA37=1,AN37,IF(4=0,0,DT36))+IF(BI37=1,loc_precio_aduCosto*C37,0)</f>
        <v/>
      </c>
      <c r="BM37" s="7">
        <f>IF(BA37=1,AQ37,IF(4=0,0,DU36))</f>
        <v/>
      </c>
      <c r="BN37" s="7">
        <f>IF(BM37&lt;=0,0,FV(g_mortRate/12,12,BF37,-BM37))</f>
        <v/>
      </c>
      <c r="BO37" s="7">
        <f>IF(BM37&lt;=0,0,12*BF37+MIN(0,BN37))</f>
        <v/>
      </c>
      <c r="BP37" s="7">
        <f>MAX(0,BN37)</f>
        <v/>
      </c>
      <c r="BQ37" s="7">
        <f>IF(BI37=1,loc_precio_aduCosto*C37,IF(4=0,0,DV36))</f>
        <v/>
      </c>
      <c r="BR37" s="7">
        <f>IF(BQ37&lt;=0,0,FV((g_mortRate+0.005)/12,12,BK37,-BQ37))</f>
        <v/>
      </c>
      <c r="BS37" s="7">
        <f>IF(BQ37&lt;=0,0,12*BK37+MIN(0,BR37))</f>
        <v/>
      </c>
      <c r="BT37" s="7">
        <f>MAX(0,BR37)</f>
        <v/>
      </c>
      <c r="BU37" s="7">
        <f>IF(BB37=1,AM37*loc_seguroPct*(1+vivienda_inflacionSeguro)^(A37-2026)*IF(BJ37=1,1+loc_precio_aduCosto/AM37,1),0)</f>
        <v/>
      </c>
      <c r="BV37" s="7">
        <f>BL37*loc_impuestoPropPct</f>
        <v/>
      </c>
      <c r="BW37" s="7">
        <f>BL37*vivienda_mantenimientoPct</f>
        <v/>
      </c>
      <c r="BX37" s="7">
        <f>IF(AND(BG37=1,BP37&gt;0.8*BE37),BE37*(1-vivienda_enganchePct)*vivienda_pmiTasa,0)</f>
        <v/>
      </c>
      <c r="BY37" s="7">
        <f>IF(AND(BG37=1,BP37&gt;0.8*BE37),1,0)</f>
        <v/>
      </c>
      <c r="BZ37" s="7">
        <f>IF(BB37=1,AS37*loc_rentaUnidad*12*C37*(1-vivienda_vacancia)*(1-vivienda_gestionPct),0)</f>
        <v/>
      </c>
      <c r="CA37" s="7">
        <f>IF(BB37=1,BO37+BS37+BU37+BV37+BW37+BX37,loc_rentaMensual*12*C37)</f>
        <v/>
      </c>
      <c r="CB37" s="7">
        <f>IF(BB37=1,personal_aporteFamiliaMensual*12,0)</f>
        <v/>
      </c>
      <c r="CC37" s="7">
        <f>MIN(IF(4=0,personal_irsSaldo,CD36),personal_irsPagoMensual*12)</f>
        <v/>
      </c>
      <c r="CD37" s="7">
        <f>IF(4=0,personal_irsSaldo,CD36)-CC37</f>
        <v/>
      </c>
      <c r="CE37" s="7">
        <f>IF(4=0,IF(personal_deudaEsFederal=1,personal_deudaEstudiantil,0),DW36)</f>
        <v/>
      </c>
      <c r="CF37" s="7">
        <f>IF(4=0,personal_tasaDeudaEstudiantil,DX36)</f>
        <v/>
      </c>
      <c r="CG37" s="7">
        <f>IF(4=0,0,DY36)</f>
        <v/>
      </c>
      <c r="CH37" s="7">
        <f>IF(J37&gt;=0.5,1,0)</f>
        <v/>
      </c>
      <c r="CI37" s="7">
        <f>IF(AND(CH37=0,prestamos_pslfActivo=1,K37&gt;=0.5,CE37&gt;0),1,0)</f>
        <v/>
      </c>
      <c r="CJ37" s="7">
        <f>CE37*CF37</f>
        <v/>
      </c>
      <c r="CK37" s="7">
        <f>MAX(prestamos_rapPagoMinimoAnual,IF(Y37&lt;10000,0,MIN(0.1,INT(Y37/10000)/100))*Y37)</f>
        <v/>
      </c>
      <c r="CL37" s="7">
        <f>IF(CE37&lt;=0,0,IF(CH37=1,0,IF(CI37=1,MIN(CE37+CJ37,CK37),PMT(CF37,MAX(1,prestamos_plazoAnios-CG37),-CE37))))</f>
        <v/>
      </c>
      <c r="CM37" s="7">
        <f>IF(CE37&lt;=0,0,IF(CH37=1,CE37+CJ37,IF(CI37=1,MAX(0,CE37-MAX(CL37-CJ37,MIN(600,CL37))),MAX(0,CE37*(1+CF37)-CL37))))</f>
        <v/>
      </c>
      <c r="CN37" s="7">
        <f>IF(4=0,0,CN36)+IF(CI37=1,12*MIN(1,K37),0)</f>
        <v/>
      </c>
      <c r="CO37" s="7">
        <f>IF(AND(CI37=1,CN37&gt;=prestamos_pslfPagos,CM37&gt;0),CM37,0)</f>
        <v/>
      </c>
      <c r="CP37" s="7">
        <f>CM37-CO37</f>
        <v/>
      </c>
      <c r="CQ37" s="7">
        <f>IF(AND(CE37&gt;0,CH37=0,CI37=0),CG37+1,CG37)</f>
        <v/>
      </c>
      <c r="CR37" s="7">
        <f>IF(4=0,IF(personal_deudaEsFederal=1,0,personal_deudaEstudiantil),EA36)</f>
        <v/>
      </c>
      <c r="CS37" s="7">
        <f>IF(4=0,IF(personal_deudaEsFederal=1,prestamos_tasaPrivada,personal_tasaDeudaEstudiantil),EB36)</f>
        <v/>
      </c>
      <c r="CT37" s="7">
        <f>IF(4=0,0,EC36)</f>
        <v/>
      </c>
      <c r="CU37" s="7">
        <f>IF(OR(CR37&lt;=0,CH37=1),0,PMT(CS37,MAX(1,prestamos_plazoAnios-CT37),-CR37))</f>
        <v/>
      </c>
      <c r="CV37" s="7">
        <f>IF(CR37&lt;=0,0,IF(CH37=1,CR37*(1+CS37),MAX(0,CR37*(1+CS37)-CU37)))</f>
        <v/>
      </c>
      <c r="CW37" s="7">
        <f>IF(AND(CR37&gt;0,CH37=0),CT37+1,CT37)</f>
        <v/>
      </c>
      <c r="CX37" s="7">
        <f>IF(4=0,0,ED36)*(1+general_tasaDeudaConsumo)</f>
        <v/>
      </c>
      <c r="CY37" s="7">
        <f>L37*12*tiempos_travelGastoExtraMes*C37</f>
        <v/>
      </c>
      <c r="CZ37" s="7">
        <f>AJ37+CY37+CA37+CC37+CL37+CU37+I37+N37-BZ37-CB37</f>
        <v/>
      </c>
      <c r="DA37" s="7">
        <f>AH37-CZ37</f>
        <v/>
      </c>
      <c r="DB37" s="7">
        <f>IF(4=0,0,DB36)+DA37</f>
        <v/>
      </c>
      <c r="DC37" s="7">
        <f>AN37*vivienda_enganchePct+AN37*vivienda_cierrePct+general_reservaMeses/12*AJ37</f>
        <v/>
      </c>
      <c r="DD37" s="7">
        <f>IF(BB37=1,g_ret,IF(BD37&gt;0,MIN(1,DC37/BD37),1)*g_cash+(1-IF(BD37&gt;0,MIN(1,DC37/BD37),1))*g_ret)</f>
        <v/>
      </c>
      <c r="DE37" s="7">
        <f>IF(DA37&gt;=0,MIN(CX37,DA37),0)</f>
        <v/>
      </c>
      <c r="DF37" s="7">
        <f>IF(DA37&gt;=0,(1-general_tasaAhorro)*(DA37-DE37),0)</f>
        <v/>
      </c>
      <c r="DG37" s="7">
        <f>IF(DA37&gt;=0,DA37-DE37-DF37,0)</f>
        <v/>
      </c>
      <c r="DH37" s="7">
        <f>MIN(personal_rothAnual,DG37)</f>
        <v/>
      </c>
      <c r="DI37" s="7">
        <f>IF(AND(DA37&gt;=0,BB37=1,BP37+BT37&gt;0),MIN(vivienda_prepagoPct*(DG37-DH37),BP37+BT37),0)</f>
        <v/>
      </c>
      <c r="DJ37" s="7">
        <f>MIN(DI37,BP37)</f>
        <v/>
      </c>
      <c r="DK37" s="7">
        <f>IF(DA37&lt;0,MIN(MAX(0,BD37),-DA37),0)</f>
        <v/>
      </c>
      <c r="DL37" s="7">
        <f>IF(DA37&lt;0,-DA37-DK37,0)</f>
        <v/>
      </c>
      <c r="DM37" s="7">
        <f>IF(4=0,0,DZ36)</f>
        <v/>
      </c>
      <c r="DN37" s="7">
        <f>IF(AND(DL37&gt;0,J37&gt;0),MIN(DL37,MIN(prestamos_topeAnualPosgrado*MIN(1,J37),MAX(0,prestamos_topeTotalPosgrado-DM37))),0)</f>
        <v/>
      </c>
      <c r="DO37" s="7">
        <f>IF(AND(DL37&gt;0,J37&gt;0),DL37-DN37,0)</f>
        <v/>
      </c>
      <c r="DP37" s="7">
        <f>IF(AND(DL37&gt;0,J37&lt;=0),DL37,0)</f>
        <v/>
      </c>
      <c r="DQ37" s="7">
        <f>IF(DA37&gt;=0,DG37-DH37-DI37,-DK37)</f>
        <v/>
      </c>
      <c r="DR37" s="7">
        <f>BD37*(1+DD37)+DQ37*(1+DD37/2)</f>
        <v/>
      </c>
      <c r="DS37" s="7">
        <f>IF(4=0,personal_retiroInicial,DS36)*(1+g_ret)+(O37+P37+DH37)*(1+g_ret/2)</f>
        <v/>
      </c>
      <c r="DT37" s="7">
        <f>IF(BB37=1,BL37*(1+g_appr),0)</f>
        <v/>
      </c>
      <c r="DU37" s="7">
        <f>BP37-DJ37</f>
        <v/>
      </c>
      <c r="DV37" s="7">
        <f>BT37-(DI37-DJ37)</f>
        <v/>
      </c>
      <c r="DW37" s="7">
        <f>CP37+DN37</f>
        <v/>
      </c>
      <c r="DX37" s="7">
        <f>IF(DN37&gt;0,(CP37*CF37+DN37*prestamos_tasaFederalPosgrado)/(CP37+DN37),CF37)</f>
        <v/>
      </c>
      <c r="DY37" s="7">
        <f>IF(DN37&gt;0,0,CQ37)</f>
        <v/>
      </c>
      <c r="DZ37" s="7">
        <f>DM37+DN37</f>
        <v/>
      </c>
      <c r="EA37" s="7">
        <f>CV37+DO37</f>
        <v/>
      </c>
      <c r="EB37" s="7">
        <f>IF(DO37&gt;0,(CV37*CS37+DO37*prestamos_tasaPrivada)/(CV37+DO37),CS37)</f>
        <v/>
      </c>
      <c r="EC37" s="7">
        <f>IF(DO37&gt;0,0,CW37)</f>
        <v/>
      </c>
      <c r="ED37" s="7">
        <f>CX37-DE37+DP37</f>
        <v/>
      </c>
      <c r="EE37" s="7">
        <f>IF(IF(4=0,"",EE36)&lt;&gt;"",EE36,IF(AND(BB37=1,DU37&lt;=0.5,DV37&lt;=0.5,OR(BH37=0,BJ37=1)),A37,""))</f>
        <v/>
      </c>
      <c r="EF37" s="7">
        <f>DU37+DV37+DW37+EA37+ED37+CD37</f>
        <v/>
      </c>
      <c r="EG37" s="7">
        <f>DR37+DS37+DT37-EF37</f>
        <v/>
      </c>
      <c r="EH37" s="7">
        <f>EG37/(1+g_inf)^(A37+1-2026)</f>
        <v/>
      </c>
    </row>
    <row r="38">
      <c r="A38" t="n">
        <v>2032</v>
      </c>
      <c r="B38" t="n">
        <v>5</v>
      </c>
      <c r="C38" s="7">
        <f>(1+g_inf)^(A38-2026)</f>
        <v/>
      </c>
      <c r="D38" s="7">
        <f>SUMPRODUCT($Y$5:$Y$29,$E$5:$E$29*(1+$F$5:$F$29)^(A38-2026)*$G$5:$G$29*$H$5:$H$29*(1-$N$5:$N$29*$O$5:$O$29))*g_salMult+SUMPRODUCT(($B$5:$B$29&gt;=A38)*($B$5:$B$29&lt;A38+1)*$I$5:$I$29)*g_salMult</f>
        <v/>
      </c>
      <c r="E38" s="7">
        <f>SUMPRODUCT($Y$5:$Y$29,$E$5:$E$29*(1+$F$5:$F$29)^(A38-2026)*$G$5:$G$29*$H$5:$H$29*$M$5:$M$29)*g_salMult</f>
        <v/>
      </c>
      <c r="F38" s="7">
        <f>SUMPRODUCT($Y$5:$Y$29,$E$5:$E$29*(1+$F$5:$F$29)^(A38-2026)*$G$5:$G$29*$H$5:$H$29*$N$5:$N$29*$O$5:$O$29)*g_salMult</f>
        <v/>
      </c>
      <c r="G38" s="7">
        <f>SUMPRODUCT($Y$5:$Y$29,$P$5:$P$29*(1+$F$5:$F$29)^(A38-2026))</f>
        <v/>
      </c>
      <c r="H38" s="7">
        <f>SUMPRODUCT($Y$5:$Y$29,$Q$5:$Q$29*(1+$F$5:$F$29)^(A38-2026))+IF(personal_llcActivo=1,personal_llcNeto*(1+personal_llcCrecimiento)^5,0)</f>
        <v/>
      </c>
      <c r="I38" s="7">
        <f>SUMPRODUCT($Y$5:$Y$29,$J$5:$J$29/($C$5:$C$29-$B$5:$B$29+($C$5:$C$29=$B$5:$B$29)))*C38</f>
        <v/>
      </c>
      <c r="J38" s="7">
        <f>SUMPRODUCT($Y$5:$Y$29,$K$5:$K$29)</f>
        <v/>
      </c>
      <c r="K38" s="7">
        <f>SUMPRODUCT($Y$5:$Y$29,$L$5:$L$29)</f>
        <v/>
      </c>
      <c r="L38" s="7">
        <f>SUMPRODUCT($Y$5:$Y$29,$N$5:$N$29)</f>
        <v/>
      </c>
      <c r="M38" s="7">
        <f>IF(SUMPRODUCT($Y$5:$Y$29,$R$5:$R$29)&gt;0,1,0)</f>
        <v/>
      </c>
      <c r="N38" s="7">
        <f>SUMPRODUCT(($AO$5:$AO$24&gt;=A38)*($AO$5:$AO$24&lt;A38+1)*$AP$5:$AP$24)*C38+IF(5=0,IF(sel_loc&lt;&gt;"miami",personal_costoMudanzaInicial,0),0)</f>
        <v/>
      </c>
      <c r="O38" s="7">
        <f>MIN(personal_aporte403bPct*D38,retiro_limite403b*C38)</f>
        <v/>
      </c>
      <c r="P38" s="7">
        <f>MIN(personal_aporte403bPct,personal_match403bPct)*E38</f>
        <v/>
      </c>
      <c r="Q38" s="7">
        <f>IF(G38&gt;0,MAX(0,G38-impuestos_scorpCostoAnual*C38),0)</f>
        <v/>
      </c>
      <c r="R38" s="7">
        <f>Q38*impuestos_scorpSalarioPct/(1+impuestos_ssTasa+impuestos_medicareTasa)</f>
        <v/>
      </c>
      <c r="S38" s="7">
        <f>impuestos_ssTasa*MIN(R38,MAX(0,impuestos_ssTope*C38-D38))+impuestos_medicareTasa*R38</f>
        <v/>
      </c>
      <c r="T38" s="7">
        <f>Q38-R38-S38</f>
        <v/>
      </c>
      <c r="U38" s="7">
        <f>D38+R38</f>
        <v/>
      </c>
      <c r="V38" s="7">
        <f>H38*0.9235</f>
        <v/>
      </c>
      <c r="W38" s="7">
        <f>IF(H38&gt;0,2*impuestos_ssTasa*MIN(V38,MAX(0,impuestos_ssTope*C38-U38))+2*impuestos_medicareTasa*V38,0)</f>
        <v/>
      </c>
      <c r="X38" s="7">
        <f>impuestos_ssTasa*MIN(U38,impuestos_ssTope*C38)+impuestos_medicareTasa*U38+impuestos_medicareAdicional*MAX(0,U38+H38*0.9235-impuestos_medicareUmbral)</f>
        <v/>
      </c>
      <c r="Y38" s="7">
        <f>MAX(0,D38-O38+R38+T38+H38-W38/2)</f>
        <v/>
      </c>
      <c r="Z38" s="7">
        <f>MAX(0,Y38-impuestos_deduccionEstandar*C38)</f>
        <v/>
      </c>
      <c r="AA38" s="7">
        <f>MIN(0.2*MAX(0,T38+H38-W38/2)*MAX(0,MIN(1,1-(Z38-impuestos_qbiUmbral*C38)/(impuestos_qbiRango*C38))),0.2*Z38)</f>
        <v/>
      </c>
      <c r="AB38" s="7">
        <f>MAX(0,Z38-AA38)</f>
        <v/>
      </c>
      <c r="AC38" s="7">
        <f>SUMPRODUCT((AB38&gt;tb_federalBrackets_lo*C38)*(AB38-tb_federalBrackets_lo*C38)*tb_federalBrackets_dr)</f>
        <v/>
      </c>
      <c r="AD38" s="7">
        <f>MAX(0,Y38-impuestos_nyDeduccion*C38)</f>
        <v/>
      </c>
      <c r="AE38" s="7">
        <f>CHOOSE(loc_taxcode,0,impuestos_ohTasa*MAX(0,Y38-impuestos_ohExento*C38)+impuestos_ohMunicipal*U38,SUMPRODUCT((AD38&gt;tb_nyBrackets_lo*C38)*(AD38-tb_nyBrackets_lo*C38)*tb_nyBrackets_dr)+loc_nyc*SUMPRODUCT((AD38&gt;tb_nycBrackets_lo*C38)*(AD38-tb_nycBrackets_lo*C38)*tb_nycBrackets_dr))</f>
        <v/>
      </c>
      <c r="AF38" s="7">
        <f>AC38+AE38+X38+W38</f>
        <v/>
      </c>
      <c r="AG38" s="7">
        <f>D38+F38+R38+T38+H38</f>
        <v/>
      </c>
      <c r="AH38" s="7">
        <f>AG38-AF38-O38</f>
        <v/>
      </c>
      <c r="AI38" s="7">
        <f>D38+F38+G38+H38</f>
        <v/>
      </c>
      <c r="AJ38" s="7">
        <f>loc_gastosVida*C38*g_gastos</f>
        <v/>
      </c>
      <c r="AK38" s="7">
        <f>IF(5=0,personal_liquidoInicial,DR37)</f>
        <v/>
      </c>
      <c r="AL38" s="7">
        <f>IF(5=0,0,BB37)</f>
        <v/>
      </c>
      <c r="AM38" s="7">
        <f>CHOOSE(sel_cfgIdx,loc_precio_duplex,loc_precio_inlaw,loc_precio_dosCasas,loc_precio_casaAdu,loc_precio_multi)</f>
        <v/>
      </c>
      <c r="AN38" s="7">
        <f>AM38*(1+g_appr)^(A38-2026)</f>
        <v/>
      </c>
      <c r="AO38" s="7">
        <f>IF(AND(M38=1,vivienda_prestamoMedico=1),1,0)</f>
        <v/>
      </c>
      <c r="AP38" s="7">
        <f>IF(AO38=1,0.05,vivienda_enganchePct)</f>
        <v/>
      </c>
      <c r="AQ38" s="7">
        <f>AN38*(1-AP38)</f>
        <v/>
      </c>
      <c r="AR38" s="7">
        <f>PMT(g_mortRate/12,vivienda_plazoHipoteca*12,-AQ38)</f>
        <v/>
      </c>
      <c r="AS38" s="7">
        <f>INDEX(cfg_units,sel_cfgIdx)</f>
        <v/>
      </c>
      <c r="AT38" s="7">
        <f>AS38*loc_rentaUnidad*(1+g_inf)^(A38-2026)*(1-vivienda_vacancia)</f>
        <v/>
      </c>
      <c r="AU38" s="7">
        <f>AR38+AN38*loc_impuestoPropPct/12+AM38*loc_seguroPct*(1+vivienda_inflacionSeguro)^(A38-2026)/12+IF(AND(AO38=0,AP38&lt;0.2),AQ38*vivienda_pmiTasa/12,0)</f>
        <v/>
      </c>
      <c r="AV38" s="7">
        <f>AN38*AP38+AN38*vivienda_cierrePct+general_reservaMeses/12*AJ38</f>
        <v/>
      </c>
      <c r="AW38" s="7">
        <f>(IF(5=0,MIN(personal_irsSaldo,personal_irsPagoMensual*12),MIN(CD37,personal_irsPagoMensual*12))+IF(CE38&gt;0,PMT(CF38,MAX(1,prestamos_plazoAnios-CG38),-CE38),0)+IF(CR38&gt;0,PMT(CS38,MAX(1,prestamos_plazoAnios-CT38),-CR38),0))/12</f>
        <v/>
      </c>
      <c r="AX38" s="7">
        <f>IF(OR(sel_cfg="duplex",sel_cfg="multi",sel_cfg="dosCasas"),0.75*personal_aporteFamiliaMensual,0)</f>
        <v/>
      </c>
      <c r="AY38" s="7">
        <f>AU38-0.75*AT38-AX38+AW38</f>
        <v/>
      </c>
      <c r="AZ38" s="7">
        <f>(D38+G38+H38+0.5*F38)/12</f>
        <v/>
      </c>
      <c r="BA38" s="7">
        <f>IF(AND(AL38=0,A38&gt;=vivienda_anioMinCompra,J38&lt;0.5,AI38&gt;0,AK38&gt;=AV38,AY38&lt;=vivienda_dtiMax*AZ38),1,0)</f>
        <v/>
      </c>
      <c r="BB38" s="7">
        <f>MAX(AL38,BA38)</f>
        <v/>
      </c>
      <c r="BC38" s="7">
        <f>IF(BA38=1,A38,IF(5=0,"",BC37))</f>
        <v/>
      </c>
      <c r="BD38" s="7">
        <f>AK38-IF(BA38=1,AN38*AP38+AN38*vivienda_cierrePct,0)</f>
        <v/>
      </c>
      <c r="BE38" s="7">
        <f>IF(BA38=1,AN38,IF(5=0,0,BE37))</f>
        <v/>
      </c>
      <c r="BF38" s="7">
        <f>IF(BA38=1,AR38,IF(5=0,0,BF37))</f>
        <v/>
      </c>
      <c r="BG38" s="7">
        <f>IF(BA38=1,IF(AND(AO38=0,AP38&lt;0.2),1,0),IF(5=0,0,BY37))</f>
        <v/>
      </c>
      <c r="BH38" s="7">
        <f>IF(sel_cfg="casaAdu",1,0)</f>
        <v/>
      </c>
      <c r="BI38" s="7">
        <f>IF(AND(BB38=1,BH38=1,IF(5=0,0,BJ37)=0,A38&gt;=IF(BC38="",9999,BC38)+vivienda_aduRetrasoAnios),1,0)</f>
        <v/>
      </c>
      <c r="BJ38" s="7">
        <f>MAX(IF(5=0,0,BJ37),BI38)</f>
        <v/>
      </c>
      <c r="BK38" s="7">
        <f>IF(BI38=1,PMT((g_mortRate+0.005)/12,180,-loc_precio_aduCosto*C38),IF(5=0,0,BK37))</f>
        <v/>
      </c>
      <c r="BL38" s="7">
        <f>IF(BA38=1,AN38,IF(5=0,0,DT37))+IF(BI38=1,loc_precio_aduCosto*C38,0)</f>
        <v/>
      </c>
      <c r="BM38" s="7">
        <f>IF(BA38=1,AQ38,IF(5=0,0,DU37))</f>
        <v/>
      </c>
      <c r="BN38" s="7">
        <f>IF(BM38&lt;=0,0,FV(g_mortRate/12,12,BF38,-BM38))</f>
        <v/>
      </c>
      <c r="BO38" s="7">
        <f>IF(BM38&lt;=0,0,12*BF38+MIN(0,BN38))</f>
        <v/>
      </c>
      <c r="BP38" s="7">
        <f>MAX(0,BN38)</f>
        <v/>
      </c>
      <c r="BQ38" s="7">
        <f>IF(BI38=1,loc_precio_aduCosto*C38,IF(5=0,0,DV37))</f>
        <v/>
      </c>
      <c r="BR38" s="7">
        <f>IF(BQ38&lt;=0,0,FV((g_mortRate+0.005)/12,12,BK38,-BQ38))</f>
        <v/>
      </c>
      <c r="BS38" s="7">
        <f>IF(BQ38&lt;=0,0,12*BK38+MIN(0,BR38))</f>
        <v/>
      </c>
      <c r="BT38" s="7">
        <f>MAX(0,BR38)</f>
        <v/>
      </c>
      <c r="BU38" s="7">
        <f>IF(BB38=1,AM38*loc_seguroPct*(1+vivienda_inflacionSeguro)^(A38-2026)*IF(BJ38=1,1+loc_precio_aduCosto/AM38,1),0)</f>
        <v/>
      </c>
      <c r="BV38" s="7">
        <f>BL38*loc_impuestoPropPct</f>
        <v/>
      </c>
      <c r="BW38" s="7">
        <f>BL38*vivienda_mantenimientoPct</f>
        <v/>
      </c>
      <c r="BX38" s="7">
        <f>IF(AND(BG38=1,BP38&gt;0.8*BE38),BE38*(1-vivienda_enganchePct)*vivienda_pmiTasa,0)</f>
        <v/>
      </c>
      <c r="BY38" s="7">
        <f>IF(AND(BG38=1,BP38&gt;0.8*BE38),1,0)</f>
        <v/>
      </c>
      <c r="BZ38" s="7">
        <f>IF(BB38=1,AS38*loc_rentaUnidad*12*C38*(1-vivienda_vacancia)*(1-vivienda_gestionPct),0)</f>
        <v/>
      </c>
      <c r="CA38" s="7">
        <f>IF(BB38=1,BO38+BS38+BU38+BV38+BW38+BX38,loc_rentaMensual*12*C38)</f>
        <v/>
      </c>
      <c r="CB38" s="7">
        <f>IF(BB38=1,personal_aporteFamiliaMensual*12,0)</f>
        <v/>
      </c>
      <c r="CC38" s="7">
        <f>MIN(IF(5=0,personal_irsSaldo,CD37),personal_irsPagoMensual*12)</f>
        <v/>
      </c>
      <c r="CD38" s="7">
        <f>IF(5=0,personal_irsSaldo,CD37)-CC38</f>
        <v/>
      </c>
      <c r="CE38" s="7">
        <f>IF(5=0,IF(personal_deudaEsFederal=1,personal_deudaEstudiantil,0),DW37)</f>
        <v/>
      </c>
      <c r="CF38" s="7">
        <f>IF(5=0,personal_tasaDeudaEstudiantil,DX37)</f>
        <v/>
      </c>
      <c r="CG38" s="7">
        <f>IF(5=0,0,DY37)</f>
        <v/>
      </c>
      <c r="CH38" s="7">
        <f>IF(J38&gt;=0.5,1,0)</f>
        <v/>
      </c>
      <c r="CI38" s="7">
        <f>IF(AND(CH38=0,prestamos_pslfActivo=1,K38&gt;=0.5,CE38&gt;0),1,0)</f>
        <v/>
      </c>
      <c r="CJ38" s="7">
        <f>CE38*CF38</f>
        <v/>
      </c>
      <c r="CK38" s="7">
        <f>MAX(prestamos_rapPagoMinimoAnual,IF(Y38&lt;10000,0,MIN(0.1,INT(Y38/10000)/100))*Y38)</f>
        <v/>
      </c>
      <c r="CL38" s="7">
        <f>IF(CE38&lt;=0,0,IF(CH38=1,0,IF(CI38=1,MIN(CE38+CJ38,CK38),PMT(CF38,MAX(1,prestamos_plazoAnios-CG38),-CE38))))</f>
        <v/>
      </c>
      <c r="CM38" s="7">
        <f>IF(CE38&lt;=0,0,IF(CH38=1,CE38+CJ38,IF(CI38=1,MAX(0,CE38-MAX(CL38-CJ38,MIN(600,CL38))),MAX(0,CE38*(1+CF38)-CL38))))</f>
        <v/>
      </c>
      <c r="CN38" s="7">
        <f>IF(5=0,0,CN37)+IF(CI38=1,12*MIN(1,K38),0)</f>
        <v/>
      </c>
      <c r="CO38" s="7">
        <f>IF(AND(CI38=1,CN38&gt;=prestamos_pslfPagos,CM38&gt;0),CM38,0)</f>
        <v/>
      </c>
      <c r="CP38" s="7">
        <f>CM38-CO38</f>
        <v/>
      </c>
      <c r="CQ38" s="7">
        <f>IF(AND(CE38&gt;0,CH38=0,CI38=0),CG38+1,CG38)</f>
        <v/>
      </c>
      <c r="CR38" s="7">
        <f>IF(5=0,IF(personal_deudaEsFederal=1,0,personal_deudaEstudiantil),EA37)</f>
        <v/>
      </c>
      <c r="CS38" s="7">
        <f>IF(5=0,IF(personal_deudaEsFederal=1,prestamos_tasaPrivada,personal_tasaDeudaEstudiantil),EB37)</f>
        <v/>
      </c>
      <c r="CT38" s="7">
        <f>IF(5=0,0,EC37)</f>
        <v/>
      </c>
      <c r="CU38" s="7">
        <f>IF(OR(CR38&lt;=0,CH38=1),0,PMT(CS38,MAX(1,prestamos_plazoAnios-CT38),-CR38))</f>
        <v/>
      </c>
      <c r="CV38" s="7">
        <f>IF(CR38&lt;=0,0,IF(CH38=1,CR38*(1+CS38),MAX(0,CR38*(1+CS38)-CU38)))</f>
        <v/>
      </c>
      <c r="CW38" s="7">
        <f>IF(AND(CR38&gt;0,CH38=0),CT38+1,CT38)</f>
        <v/>
      </c>
      <c r="CX38" s="7">
        <f>IF(5=0,0,ED37)*(1+general_tasaDeudaConsumo)</f>
        <v/>
      </c>
      <c r="CY38" s="7">
        <f>L38*12*tiempos_travelGastoExtraMes*C38</f>
        <v/>
      </c>
      <c r="CZ38" s="7">
        <f>AJ38+CY38+CA38+CC38+CL38+CU38+I38+N38-BZ38-CB38</f>
        <v/>
      </c>
      <c r="DA38" s="7">
        <f>AH38-CZ38</f>
        <v/>
      </c>
      <c r="DB38" s="7">
        <f>IF(5=0,0,DB37)+DA38</f>
        <v/>
      </c>
      <c r="DC38" s="7">
        <f>AN38*vivienda_enganchePct+AN38*vivienda_cierrePct+general_reservaMeses/12*AJ38</f>
        <v/>
      </c>
      <c r="DD38" s="7">
        <f>IF(BB38=1,g_ret,IF(BD38&gt;0,MIN(1,DC38/BD38),1)*g_cash+(1-IF(BD38&gt;0,MIN(1,DC38/BD38),1))*g_ret)</f>
        <v/>
      </c>
      <c r="DE38" s="7">
        <f>IF(DA38&gt;=0,MIN(CX38,DA38),0)</f>
        <v/>
      </c>
      <c r="DF38" s="7">
        <f>IF(DA38&gt;=0,(1-general_tasaAhorro)*(DA38-DE38),0)</f>
        <v/>
      </c>
      <c r="DG38" s="7">
        <f>IF(DA38&gt;=0,DA38-DE38-DF38,0)</f>
        <v/>
      </c>
      <c r="DH38" s="7">
        <f>MIN(personal_rothAnual,DG38)</f>
        <v/>
      </c>
      <c r="DI38" s="7">
        <f>IF(AND(DA38&gt;=0,BB38=1,BP38+BT38&gt;0),MIN(vivienda_prepagoPct*(DG38-DH38),BP38+BT38),0)</f>
        <v/>
      </c>
      <c r="DJ38" s="7">
        <f>MIN(DI38,BP38)</f>
        <v/>
      </c>
      <c r="DK38" s="7">
        <f>IF(DA38&lt;0,MIN(MAX(0,BD38),-DA38),0)</f>
        <v/>
      </c>
      <c r="DL38" s="7">
        <f>IF(DA38&lt;0,-DA38-DK38,0)</f>
        <v/>
      </c>
      <c r="DM38" s="7">
        <f>IF(5=0,0,DZ37)</f>
        <v/>
      </c>
      <c r="DN38" s="7">
        <f>IF(AND(DL38&gt;0,J38&gt;0),MIN(DL38,MIN(prestamos_topeAnualPosgrado*MIN(1,J38),MAX(0,prestamos_topeTotalPosgrado-DM38))),0)</f>
        <v/>
      </c>
      <c r="DO38" s="7">
        <f>IF(AND(DL38&gt;0,J38&gt;0),DL38-DN38,0)</f>
        <v/>
      </c>
      <c r="DP38" s="7">
        <f>IF(AND(DL38&gt;0,J38&lt;=0),DL38,0)</f>
        <v/>
      </c>
      <c r="DQ38" s="7">
        <f>IF(DA38&gt;=0,DG38-DH38-DI38,-DK38)</f>
        <v/>
      </c>
      <c r="DR38" s="7">
        <f>BD38*(1+DD38)+DQ38*(1+DD38/2)</f>
        <v/>
      </c>
      <c r="DS38" s="7">
        <f>IF(5=0,personal_retiroInicial,DS37)*(1+g_ret)+(O38+P38+DH38)*(1+g_ret/2)</f>
        <v/>
      </c>
      <c r="DT38" s="7">
        <f>IF(BB38=1,BL38*(1+g_appr),0)</f>
        <v/>
      </c>
      <c r="DU38" s="7">
        <f>BP38-DJ38</f>
        <v/>
      </c>
      <c r="DV38" s="7">
        <f>BT38-(DI38-DJ38)</f>
        <v/>
      </c>
      <c r="DW38" s="7">
        <f>CP38+DN38</f>
        <v/>
      </c>
      <c r="DX38" s="7">
        <f>IF(DN38&gt;0,(CP38*CF38+DN38*prestamos_tasaFederalPosgrado)/(CP38+DN38),CF38)</f>
        <v/>
      </c>
      <c r="DY38" s="7">
        <f>IF(DN38&gt;0,0,CQ38)</f>
        <v/>
      </c>
      <c r="DZ38" s="7">
        <f>DM38+DN38</f>
        <v/>
      </c>
      <c r="EA38" s="7">
        <f>CV38+DO38</f>
        <v/>
      </c>
      <c r="EB38" s="7">
        <f>IF(DO38&gt;0,(CV38*CS38+DO38*prestamos_tasaPrivada)/(CV38+DO38),CS38)</f>
        <v/>
      </c>
      <c r="EC38" s="7">
        <f>IF(DO38&gt;0,0,CW38)</f>
        <v/>
      </c>
      <c r="ED38" s="7">
        <f>CX38-DE38+DP38</f>
        <v/>
      </c>
      <c r="EE38" s="7">
        <f>IF(IF(5=0,"",EE37)&lt;&gt;"",EE37,IF(AND(BB38=1,DU38&lt;=0.5,DV38&lt;=0.5,OR(BH38=0,BJ38=1)),A38,""))</f>
        <v/>
      </c>
      <c r="EF38" s="7">
        <f>DU38+DV38+DW38+EA38+ED38+CD38</f>
        <v/>
      </c>
      <c r="EG38" s="7">
        <f>DR38+DS38+DT38-EF38</f>
        <v/>
      </c>
      <c r="EH38" s="7">
        <f>EG38/(1+g_inf)^(A38+1-2026)</f>
        <v/>
      </c>
    </row>
    <row r="39">
      <c r="A39" t="n">
        <v>2033</v>
      </c>
      <c r="B39" t="n">
        <v>6</v>
      </c>
      <c r="C39" s="7">
        <f>(1+g_inf)^(A39-2026)</f>
        <v/>
      </c>
      <c r="D39" s="7">
        <f>SUMPRODUCT($Z$5:$Z$29,$E$5:$E$29*(1+$F$5:$F$29)^(A39-2026)*$G$5:$G$29*$H$5:$H$29*(1-$N$5:$N$29*$O$5:$O$29))*g_salMult+SUMPRODUCT(($B$5:$B$29&gt;=A39)*($B$5:$B$29&lt;A39+1)*$I$5:$I$29)*g_salMult</f>
        <v/>
      </c>
      <c r="E39" s="7">
        <f>SUMPRODUCT($Z$5:$Z$29,$E$5:$E$29*(1+$F$5:$F$29)^(A39-2026)*$G$5:$G$29*$H$5:$H$29*$M$5:$M$29)*g_salMult</f>
        <v/>
      </c>
      <c r="F39" s="7">
        <f>SUMPRODUCT($Z$5:$Z$29,$E$5:$E$29*(1+$F$5:$F$29)^(A39-2026)*$G$5:$G$29*$H$5:$H$29*$N$5:$N$29*$O$5:$O$29)*g_salMult</f>
        <v/>
      </c>
      <c r="G39" s="7">
        <f>SUMPRODUCT($Z$5:$Z$29,$P$5:$P$29*(1+$F$5:$F$29)^(A39-2026))</f>
        <v/>
      </c>
      <c r="H39" s="7">
        <f>SUMPRODUCT($Z$5:$Z$29,$Q$5:$Q$29*(1+$F$5:$F$29)^(A39-2026))+IF(personal_llcActivo=1,personal_llcNeto*(1+personal_llcCrecimiento)^6,0)</f>
        <v/>
      </c>
      <c r="I39" s="7">
        <f>SUMPRODUCT($Z$5:$Z$29,$J$5:$J$29/($C$5:$C$29-$B$5:$B$29+($C$5:$C$29=$B$5:$B$29)))*C39</f>
        <v/>
      </c>
      <c r="J39" s="7">
        <f>SUMPRODUCT($Z$5:$Z$29,$K$5:$K$29)</f>
        <v/>
      </c>
      <c r="K39" s="7">
        <f>SUMPRODUCT($Z$5:$Z$29,$L$5:$L$29)</f>
        <v/>
      </c>
      <c r="L39" s="7">
        <f>SUMPRODUCT($Z$5:$Z$29,$N$5:$N$29)</f>
        <v/>
      </c>
      <c r="M39" s="7">
        <f>IF(SUMPRODUCT($Z$5:$Z$29,$R$5:$R$29)&gt;0,1,0)</f>
        <v/>
      </c>
      <c r="N39" s="7">
        <f>SUMPRODUCT(($AO$5:$AO$24&gt;=A39)*($AO$5:$AO$24&lt;A39+1)*$AP$5:$AP$24)*C39+IF(6=0,IF(sel_loc&lt;&gt;"miami",personal_costoMudanzaInicial,0),0)</f>
        <v/>
      </c>
      <c r="O39" s="7">
        <f>MIN(personal_aporte403bPct*D39,retiro_limite403b*C39)</f>
        <v/>
      </c>
      <c r="P39" s="7">
        <f>MIN(personal_aporte403bPct,personal_match403bPct)*E39</f>
        <v/>
      </c>
      <c r="Q39" s="7">
        <f>IF(G39&gt;0,MAX(0,G39-impuestos_scorpCostoAnual*C39),0)</f>
        <v/>
      </c>
      <c r="R39" s="7">
        <f>Q39*impuestos_scorpSalarioPct/(1+impuestos_ssTasa+impuestos_medicareTasa)</f>
        <v/>
      </c>
      <c r="S39" s="7">
        <f>impuestos_ssTasa*MIN(R39,MAX(0,impuestos_ssTope*C39-D39))+impuestos_medicareTasa*R39</f>
        <v/>
      </c>
      <c r="T39" s="7">
        <f>Q39-R39-S39</f>
        <v/>
      </c>
      <c r="U39" s="7">
        <f>D39+R39</f>
        <v/>
      </c>
      <c r="V39" s="7">
        <f>H39*0.9235</f>
        <v/>
      </c>
      <c r="W39" s="7">
        <f>IF(H39&gt;0,2*impuestos_ssTasa*MIN(V39,MAX(0,impuestos_ssTope*C39-U39))+2*impuestos_medicareTasa*V39,0)</f>
        <v/>
      </c>
      <c r="X39" s="7">
        <f>impuestos_ssTasa*MIN(U39,impuestos_ssTope*C39)+impuestos_medicareTasa*U39+impuestos_medicareAdicional*MAX(0,U39+H39*0.9235-impuestos_medicareUmbral)</f>
        <v/>
      </c>
      <c r="Y39" s="7">
        <f>MAX(0,D39-O39+R39+T39+H39-W39/2)</f>
        <v/>
      </c>
      <c r="Z39" s="7">
        <f>MAX(0,Y39-impuestos_deduccionEstandar*C39)</f>
        <v/>
      </c>
      <c r="AA39" s="7">
        <f>MIN(0.2*MAX(0,T39+H39-W39/2)*MAX(0,MIN(1,1-(Z39-impuestos_qbiUmbral*C39)/(impuestos_qbiRango*C39))),0.2*Z39)</f>
        <v/>
      </c>
      <c r="AB39" s="7">
        <f>MAX(0,Z39-AA39)</f>
        <v/>
      </c>
      <c r="AC39" s="7">
        <f>SUMPRODUCT((AB39&gt;tb_federalBrackets_lo*C39)*(AB39-tb_federalBrackets_lo*C39)*tb_federalBrackets_dr)</f>
        <v/>
      </c>
      <c r="AD39" s="7">
        <f>MAX(0,Y39-impuestos_nyDeduccion*C39)</f>
        <v/>
      </c>
      <c r="AE39" s="7">
        <f>CHOOSE(loc_taxcode,0,impuestos_ohTasa*MAX(0,Y39-impuestos_ohExento*C39)+impuestos_ohMunicipal*U39,SUMPRODUCT((AD39&gt;tb_nyBrackets_lo*C39)*(AD39-tb_nyBrackets_lo*C39)*tb_nyBrackets_dr)+loc_nyc*SUMPRODUCT((AD39&gt;tb_nycBrackets_lo*C39)*(AD39-tb_nycBrackets_lo*C39)*tb_nycBrackets_dr))</f>
        <v/>
      </c>
      <c r="AF39" s="7">
        <f>AC39+AE39+X39+W39</f>
        <v/>
      </c>
      <c r="AG39" s="7">
        <f>D39+F39+R39+T39+H39</f>
        <v/>
      </c>
      <c r="AH39" s="7">
        <f>AG39-AF39-O39</f>
        <v/>
      </c>
      <c r="AI39" s="7">
        <f>D39+F39+G39+H39</f>
        <v/>
      </c>
      <c r="AJ39" s="7">
        <f>loc_gastosVida*C39*g_gastos</f>
        <v/>
      </c>
      <c r="AK39" s="7">
        <f>IF(6=0,personal_liquidoInicial,DR38)</f>
        <v/>
      </c>
      <c r="AL39" s="7">
        <f>IF(6=0,0,BB38)</f>
        <v/>
      </c>
      <c r="AM39" s="7">
        <f>CHOOSE(sel_cfgIdx,loc_precio_duplex,loc_precio_inlaw,loc_precio_dosCasas,loc_precio_casaAdu,loc_precio_multi)</f>
        <v/>
      </c>
      <c r="AN39" s="7">
        <f>AM39*(1+g_appr)^(A39-2026)</f>
        <v/>
      </c>
      <c r="AO39" s="7">
        <f>IF(AND(M39=1,vivienda_prestamoMedico=1),1,0)</f>
        <v/>
      </c>
      <c r="AP39" s="7">
        <f>IF(AO39=1,0.05,vivienda_enganchePct)</f>
        <v/>
      </c>
      <c r="AQ39" s="7">
        <f>AN39*(1-AP39)</f>
        <v/>
      </c>
      <c r="AR39" s="7">
        <f>PMT(g_mortRate/12,vivienda_plazoHipoteca*12,-AQ39)</f>
        <v/>
      </c>
      <c r="AS39" s="7">
        <f>INDEX(cfg_units,sel_cfgIdx)</f>
        <v/>
      </c>
      <c r="AT39" s="7">
        <f>AS39*loc_rentaUnidad*(1+g_inf)^(A39-2026)*(1-vivienda_vacancia)</f>
        <v/>
      </c>
      <c r="AU39" s="7">
        <f>AR39+AN39*loc_impuestoPropPct/12+AM39*loc_seguroPct*(1+vivienda_inflacionSeguro)^(A39-2026)/12+IF(AND(AO39=0,AP39&lt;0.2),AQ39*vivienda_pmiTasa/12,0)</f>
        <v/>
      </c>
      <c r="AV39" s="7">
        <f>AN39*AP39+AN39*vivienda_cierrePct+general_reservaMeses/12*AJ39</f>
        <v/>
      </c>
      <c r="AW39" s="7">
        <f>(IF(6=0,MIN(personal_irsSaldo,personal_irsPagoMensual*12),MIN(CD38,personal_irsPagoMensual*12))+IF(CE39&gt;0,PMT(CF39,MAX(1,prestamos_plazoAnios-CG39),-CE39),0)+IF(CR39&gt;0,PMT(CS39,MAX(1,prestamos_plazoAnios-CT39),-CR39),0))/12</f>
        <v/>
      </c>
      <c r="AX39" s="7">
        <f>IF(OR(sel_cfg="duplex",sel_cfg="multi",sel_cfg="dosCasas"),0.75*personal_aporteFamiliaMensual,0)</f>
        <v/>
      </c>
      <c r="AY39" s="7">
        <f>AU39-0.75*AT39-AX39+AW39</f>
        <v/>
      </c>
      <c r="AZ39" s="7">
        <f>(D39+G39+H39+0.5*F39)/12</f>
        <v/>
      </c>
      <c r="BA39" s="7">
        <f>IF(AND(AL39=0,A39&gt;=vivienda_anioMinCompra,J39&lt;0.5,AI39&gt;0,AK39&gt;=AV39,AY39&lt;=vivienda_dtiMax*AZ39),1,0)</f>
        <v/>
      </c>
      <c r="BB39" s="7">
        <f>MAX(AL39,BA39)</f>
        <v/>
      </c>
      <c r="BC39" s="7">
        <f>IF(BA39=1,A39,IF(6=0,"",BC38))</f>
        <v/>
      </c>
      <c r="BD39" s="7">
        <f>AK39-IF(BA39=1,AN39*AP39+AN39*vivienda_cierrePct,0)</f>
        <v/>
      </c>
      <c r="BE39" s="7">
        <f>IF(BA39=1,AN39,IF(6=0,0,BE38))</f>
        <v/>
      </c>
      <c r="BF39" s="7">
        <f>IF(BA39=1,AR39,IF(6=0,0,BF38))</f>
        <v/>
      </c>
      <c r="BG39" s="7">
        <f>IF(BA39=1,IF(AND(AO39=0,AP39&lt;0.2),1,0),IF(6=0,0,BY38))</f>
        <v/>
      </c>
      <c r="BH39" s="7">
        <f>IF(sel_cfg="casaAdu",1,0)</f>
        <v/>
      </c>
      <c r="BI39" s="7">
        <f>IF(AND(BB39=1,BH39=1,IF(6=0,0,BJ38)=0,A39&gt;=IF(BC39="",9999,BC39)+vivienda_aduRetrasoAnios),1,0)</f>
        <v/>
      </c>
      <c r="BJ39" s="7">
        <f>MAX(IF(6=0,0,BJ38),BI39)</f>
        <v/>
      </c>
      <c r="BK39" s="7">
        <f>IF(BI39=1,PMT((g_mortRate+0.005)/12,180,-loc_precio_aduCosto*C39),IF(6=0,0,BK38))</f>
        <v/>
      </c>
      <c r="BL39" s="7">
        <f>IF(BA39=1,AN39,IF(6=0,0,DT38))+IF(BI39=1,loc_precio_aduCosto*C39,0)</f>
        <v/>
      </c>
      <c r="BM39" s="7">
        <f>IF(BA39=1,AQ39,IF(6=0,0,DU38))</f>
        <v/>
      </c>
      <c r="BN39" s="7">
        <f>IF(BM39&lt;=0,0,FV(g_mortRate/12,12,BF39,-BM39))</f>
        <v/>
      </c>
      <c r="BO39" s="7">
        <f>IF(BM39&lt;=0,0,12*BF39+MIN(0,BN39))</f>
        <v/>
      </c>
      <c r="BP39" s="7">
        <f>MAX(0,BN39)</f>
        <v/>
      </c>
      <c r="BQ39" s="7">
        <f>IF(BI39=1,loc_precio_aduCosto*C39,IF(6=0,0,DV38))</f>
        <v/>
      </c>
      <c r="BR39" s="7">
        <f>IF(BQ39&lt;=0,0,FV((g_mortRate+0.005)/12,12,BK39,-BQ39))</f>
        <v/>
      </c>
      <c r="BS39" s="7">
        <f>IF(BQ39&lt;=0,0,12*BK39+MIN(0,BR39))</f>
        <v/>
      </c>
      <c r="BT39" s="7">
        <f>MAX(0,BR39)</f>
        <v/>
      </c>
      <c r="BU39" s="7">
        <f>IF(BB39=1,AM39*loc_seguroPct*(1+vivienda_inflacionSeguro)^(A39-2026)*IF(BJ39=1,1+loc_precio_aduCosto/AM39,1),0)</f>
        <v/>
      </c>
      <c r="BV39" s="7">
        <f>BL39*loc_impuestoPropPct</f>
        <v/>
      </c>
      <c r="BW39" s="7">
        <f>BL39*vivienda_mantenimientoPct</f>
        <v/>
      </c>
      <c r="BX39" s="7">
        <f>IF(AND(BG39=1,BP39&gt;0.8*BE39),BE39*(1-vivienda_enganchePct)*vivienda_pmiTasa,0)</f>
        <v/>
      </c>
      <c r="BY39" s="7">
        <f>IF(AND(BG39=1,BP39&gt;0.8*BE39),1,0)</f>
        <v/>
      </c>
      <c r="BZ39" s="7">
        <f>IF(BB39=1,AS39*loc_rentaUnidad*12*C39*(1-vivienda_vacancia)*(1-vivienda_gestionPct),0)</f>
        <v/>
      </c>
      <c r="CA39" s="7">
        <f>IF(BB39=1,BO39+BS39+BU39+BV39+BW39+BX39,loc_rentaMensual*12*C39)</f>
        <v/>
      </c>
      <c r="CB39" s="7">
        <f>IF(BB39=1,personal_aporteFamiliaMensual*12,0)</f>
        <v/>
      </c>
      <c r="CC39" s="7">
        <f>MIN(IF(6=0,personal_irsSaldo,CD38),personal_irsPagoMensual*12)</f>
        <v/>
      </c>
      <c r="CD39" s="7">
        <f>IF(6=0,personal_irsSaldo,CD38)-CC39</f>
        <v/>
      </c>
      <c r="CE39" s="7">
        <f>IF(6=0,IF(personal_deudaEsFederal=1,personal_deudaEstudiantil,0),DW38)</f>
        <v/>
      </c>
      <c r="CF39" s="7">
        <f>IF(6=0,personal_tasaDeudaEstudiantil,DX38)</f>
        <v/>
      </c>
      <c r="CG39" s="7">
        <f>IF(6=0,0,DY38)</f>
        <v/>
      </c>
      <c r="CH39" s="7">
        <f>IF(J39&gt;=0.5,1,0)</f>
        <v/>
      </c>
      <c r="CI39" s="7">
        <f>IF(AND(CH39=0,prestamos_pslfActivo=1,K39&gt;=0.5,CE39&gt;0),1,0)</f>
        <v/>
      </c>
      <c r="CJ39" s="7">
        <f>CE39*CF39</f>
        <v/>
      </c>
      <c r="CK39" s="7">
        <f>MAX(prestamos_rapPagoMinimoAnual,IF(Y39&lt;10000,0,MIN(0.1,INT(Y39/10000)/100))*Y39)</f>
        <v/>
      </c>
      <c r="CL39" s="7">
        <f>IF(CE39&lt;=0,0,IF(CH39=1,0,IF(CI39=1,MIN(CE39+CJ39,CK39),PMT(CF39,MAX(1,prestamos_plazoAnios-CG39),-CE39))))</f>
        <v/>
      </c>
      <c r="CM39" s="7">
        <f>IF(CE39&lt;=0,0,IF(CH39=1,CE39+CJ39,IF(CI39=1,MAX(0,CE39-MAX(CL39-CJ39,MIN(600,CL39))),MAX(0,CE39*(1+CF39)-CL39))))</f>
        <v/>
      </c>
      <c r="CN39" s="7">
        <f>IF(6=0,0,CN38)+IF(CI39=1,12*MIN(1,K39),0)</f>
        <v/>
      </c>
      <c r="CO39" s="7">
        <f>IF(AND(CI39=1,CN39&gt;=prestamos_pslfPagos,CM39&gt;0),CM39,0)</f>
        <v/>
      </c>
      <c r="CP39" s="7">
        <f>CM39-CO39</f>
        <v/>
      </c>
      <c r="CQ39" s="7">
        <f>IF(AND(CE39&gt;0,CH39=0,CI39=0),CG39+1,CG39)</f>
        <v/>
      </c>
      <c r="CR39" s="7">
        <f>IF(6=0,IF(personal_deudaEsFederal=1,0,personal_deudaEstudiantil),EA38)</f>
        <v/>
      </c>
      <c r="CS39" s="7">
        <f>IF(6=0,IF(personal_deudaEsFederal=1,prestamos_tasaPrivada,personal_tasaDeudaEstudiantil),EB38)</f>
        <v/>
      </c>
      <c r="CT39" s="7">
        <f>IF(6=0,0,EC38)</f>
        <v/>
      </c>
      <c r="CU39" s="7">
        <f>IF(OR(CR39&lt;=0,CH39=1),0,PMT(CS39,MAX(1,prestamos_plazoAnios-CT39),-CR39))</f>
        <v/>
      </c>
      <c r="CV39" s="7">
        <f>IF(CR39&lt;=0,0,IF(CH39=1,CR39*(1+CS39),MAX(0,CR39*(1+CS39)-CU39)))</f>
        <v/>
      </c>
      <c r="CW39" s="7">
        <f>IF(AND(CR39&gt;0,CH39=0),CT39+1,CT39)</f>
        <v/>
      </c>
      <c r="CX39" s="7">
        <f>IF(6=0,0,ED38)*(1+general_tasaDeudaConsumo)</f>
        <v/>
      </c>
      <c r="CY39" s="7">
        <f>L39*12*tiempos_travelGastoExtraMes*C39</f>
        <v/>
      </c>
      <c r="CZ39" s="7">
        <f>AJ39+CY39+CA39+CC39+CL39+CU39+I39+N39-BZ39-CB39</f>
        <v/>
      </c>
      <c r="DA39" s="7">
        <f>AH39-CZ39</f>
        <v/>
      </c>
      <c r="DB39" s="7">
        <f>IF(6=0,0,DB38)+DA39</f>
        <v/>
      </c>
      <c r="DC39" s="7">
        <f>AN39*vivienda_enganchePct+AN39*vivienda_cierrePct+general_reservaMeses/12*AJ39</f>
        <v/>
      </c>
      <c r="DD39" s="7">
        <f>IF(BB39=1,g_ret,IF(BD39&gt;0,MIN(1,DC39/BD39),1)*g_cash+(1-IF(BD39&gt;0,MIN(1,DC39/BD39),1))*g_ret)</f>
        <v/>
      </c>
      <c r="DE39" s="7">
        <f>IF(DA39&gt;=0,MIN(CX39,DA39),0)</f>
        <v/>
      </c>
      <c r="DF39" s="7">
        <f>IF(DA39&gt;=0,(1-general_tasaAhorro)*(DA39-DE39),0)</f>
        <v/>
      </c>
      <c r="DG39" s="7">
        <f>IF(DA39&gt;=0,DA39-DE39-DF39,0)</f>
        <v/>
      </c>
      <c r="DH39" s="7">
        <f>MIN(personal_rothAnual,DG39)</f>
        <v/>
      </c>
      <c r="DI39" s="7">
        <f>IF(AND(DA39&gt;=0,BB39=1,BP39+BT39&gt;0),MIN(vivienda_prepagoPct*(DG39-DH39),BP39+BT39),0)</f>
        <v/>
      </c>
      <c r="DJ39" s="7">
        <f>MIN(DI39,BP39)</f>
        <v/>
      </c>
      <c r="DK39" s="7">
        <f>IF(DA39&lt;0,MIN(MAX(0,BD39),-DA39),0)</f>
        <v/>
      </c>
      <c r="DL39" s="7">
        <f>IF(DA39&lt;0,-DA39-DK39,0)</f>
        <v/>
      </c>
      <c r="DM39" s="7">
        <f>IF(6=0,0,DZ38)</f>
        <v/>
      </c>
      <c r="DN39" s="7">
        <f>IF(AND(DL39&gt;0,J39&gt;0),MIN(DL39,MIN(prestamos_topeAnualPosgrado*MIN(1,J39),MAX(0,prestamos_topeTotalPosgrado-DM39))),0)</f>
        <v/>
      </c>
      <c r="DO39" s="7">
        <f>IF(AND(DL39&gt;0,J39&gt;0),DL39-DN39,0)</f>
        <v/>
      </c>
      <c r="DP39" s="7">
        <f>IF(AND(DL39&gt;0,J39&lt;=0),DL39,0)</f>
        <v/>
      </c>
      <c r="DQ39" s="7">
        <f>IF(DA39&gt;=0,DG39-DH39-DI39,-DK39)</f>
        <v/>
      </c>
      <c r="DR39" s="7">
        <f>BD39*(1+DD39)+DQ39*(1+DD39/2)</f>
        <v/>
      </c>
      <c r="DS39" s="7">
        <f>IF(6=0,personal_retiroInicial,DS38)*(1+g_ret)+(O39+P39+DH39)*(1+g_ret/2)</f>
        <v/>
      </c>
      <c r="DT39" s="7">
        <f>IF(BB39=1,BL39*(1+g_appr),0)</f>
        <v/>
      </c>
      <c r="DU39" s="7">
        <f>BP39-DJ39</f>
        <v/>
      </c>
      <c r="DV39" s="7">
        <f>BT39-(DI39-DJ39)</f>
        <v/>
      </c>
      <c r="DW39" s="7">
        <f>CP39+DN39</f>
        <v/>
      </c>
      <c r="DX39" s="7">
        <f>IF(DN39&gt;0,(CP39*CF39+DN39*prestamos_tasaFederalPosgrado)/(CP39+DN39),CF39)</f>
        <v/>
      </c>
      <c r="DY39" s="7">
        <f>IF(DN39&gt;0,0,CQ39)</f>
        <v/>
      </c>
      <c r="DZ39" s="7">
        <f>DM39+DN39</f>
        <v/>
      </c>
      <c r="EA39" s="7">
        <f>CV39+DO39</f>
        <v/>
      </c>
      <c r="EB39" s="7">
        <f>IF(DO39&gt;0,(CV39*CS39+DO39*prestamos_tasaPrivada)/(CV39+DO39),CS39)</f>
        <v/>
      </c>
      <c r="EC39" s="7">
        <f>IF(DO39&gt;0,0,CW39)</f>
        <v/>
      </c>
      <c r="ED39" s="7">
        <f>CX39-DE39+DP39</f>
        <v/>
      </c>
      <c r="EE39" s="7">
        <f>IF(IF(6=0,"",EE38)&lt;&gt;"",EE38,IF(AND(BB39=1,DU39&lt;=0.5,DV39&lt;=0.5,OR(BH39=0,BJ39=1)),A39,""))</f>
        <v/>
      </c>
      <c r="EF39" s="7">
        <f>DU39+DV39+DW39+EA39+ED39+CD39</f>
        <v/>
      </c>
      <c r="EG39" s="7">
        <f>DR39+DS39+DT39-EF39</f>
        <v/>
      </c>
      <c r="EH39" s="7">
        <f>EG39/(1+g_inf)^(A39+1-2026)</f>
        <v/>
      </c>
    </row>
    <row r="40">
      <c r="A40" t="n">
        <v>2034</v>
      </c>
      <c r="B40" t="n">
        <v>7</v>
      </c>
      <c r="C40" s="7">
        <f>(1+g_inf)^(A40-2026)</f>
        <v/>
      </c>
      <c r="D40" s="7">
        <f>SUMPRODUCT($AA$5:$AA$29,$E$5:$E$29*(1+$F$5:$F$29)^(A40-2026)*$G$5:$G$29*$H$5:$H$29*(1-$N$5:$N$29*$O$5:$O$29))*g_salMult+SUMPRODUCT(($B$5:$B$29&gt;=A40)*($B$5:$B$29&lt;A40+1)*$I$5:$I$29)*g_salMult</f>
        <v/>
      </c>
      <c r="E40" s="7">
        <f>SUMPRODUCT($AA$5:$AA$29,$E$5:$E$29*(1+$F$5:$F$29)^(A40-2026)*$G$5:$G$29*$H$5:$H$29*$M$5:$M$29)*g_salMult</f>
        <v/>
      </c>
      <c r="F40" s="7">
        <f>SUMPRODUCT($AA$5:$AA$29,$E$5:$E$29*(1+$F$5:$F$29)^(A40-2026)*$G$5:$G$29*$H$5:$H$29*$N$5:$N$29*$O$5:$O$29)*g_salMult</f>
        <v/>
      </c>
      <c r="G40" s="7">
        <f>SUMPRODUCT($AA$5:$AA$29,$P$5:$P$29*(1+$F$5:$F$29)^(A40-2026))</f>
        <v/>
      </c>
      <c r="H40" s="7">
        <f>SUMPRODUCT($AA$5:$AA$29,$Q$5:$Q$29*(1+$F$5:$F$29)^(A40-2026))+IF(personal_llcActivo=1,personal_llcNeto*(1+personal_llcCrecimiento)^7,0)</f>
        <v/>
      </c>
      <c r="I40" s="7">
        <f>SUMPRODUCT($AA$5:$AA$29,$J$5:$J$29/($C$5:$C$29-$B$5:$B$29+($C$5:$C$29=$B$5:$B$29)))*C40</f>
        <v/>
      </c>
      <c r="J40" s="7">
        <f>SUMPRODUCT($AA$5:$AA$29,$K$5:$K$29)</f>
        <v/>
      </c>
      <c r="K40" s="7">
        <f>SUMPRODUCT($AA$5:$AA$29,$L$5:$L$29)</f>
        <v/>
      </c>
      <c r="L40" s="7">
        <f>SUMPRODUCT($AA$5:$AA$29,$N$5:$N$29)</f>
        <v/>
      </c>
      <c r="M40" s="7">
        <f>IF(SUMPRODUCT($AA$5:$AA$29,$R$5:$R$29)&gt;0,1,0)</f>
        <v/>
      </c>
      <c r="N40" s="7">
        <f>SUMPRODUCT(($AO$5:$AO$24&gt;=A40)*($AO$5:$AO$24&lt;A40+1)*$AP$5:$AP$24)*C40+IF(7=0,IF(sel_loc&lt;&gt;"miami",personal_costoMudanzaInicial,0),0)</f>
        <v/>
      </c>
      <c r="O40" s="7">
        <f>MIN(personal_aporte403bPct*D40,retiro_limite403b*C40)</f>
        <v/>
      </c>
      <c r="P40" s="7">
        <f>MIN(personal_aporte403bPct,personal_match403bPct)*E40</f>
        <v/>
      </c>
      <c r="Q40" s="7">
        <f>IF(G40&gt;0,MAX(0,G40-impuestos_scorpCostoAnual*C40),0)</f>
        <v/>
      </c>
      <c r="R40" s="7">
        <f>Q40*impuestos_scorpSalarioPct/(1+impuestos_ssTasa+impuestos_medicareTasa)</f>
        <v/>
      </c>
      <c r="S40" s="7">
        <f>impuestos_ssTasa*MIN(R40,MAX(0,impuestos_ssTope*C40-D40))+impuestos_medicareTasa*R40</f>
        <v/>
      </c>
      <c r="T40" s="7">
        <f>Q40-R40-S40</f>
        <v/>
      </c>
      <c r="U40" s="7">
        <f>D40+R40</f>
        <v/>
      </c>
      <c r="V40" s="7">
        <f>H40*0.9235</f>
        <v/>
      </c>
      <c r="W40" s="7">
        <f>IF(H40&gt;0,2*impuestos_ssTasa*MIN(V40,MAX(0,impuestos_ssTope*C40-U40))+2*impuestos_medicareTasa*V40,0)</f>
        <v/>
      </c>
      <c r="X40" s="7">
        <f>impuestos_ssTasa*MIN(U40,impuestos_ssTope*C40)+impuestos_medicareTasa*U40+impuestos_medicareAdicional*MAX(0,U40+H40*0.9235-impuestos_medicareUmbral)</f>
        <v/>
      </c>
      <c r="Y40" s="7">
        <f>MAX(0,D40-O40+R40+T40+H40-W40/2)</f>
        <v/>
      </c>
      <c r="Z40" s="7">
        <f>MAX(0,Y40-impuestos_deduccionEstandar*C40)</f>
        <v/>
      </c>
      <c r="AA40" s="7">
        <f>MIN(0.2*MAX(0,T40+H40-W40/2)*MAX(0,MIN(1,1-(Z40-impuestos_qbiUmbral*C40)/(impuestos_qbiRango*C40))),0.2*Z40)</f>
        <v/>
      </c>
      <c r="AB40" s="7">
        <f>MAX(0,Z40-AA40)</f>
        <v/>
      </c>
      <c r="AC40" s="7">
        <f>SUMPRODUCT((AB40&gt;tb_federalBrackets_lo*C40)*(AB40-tb_federalBrackets_lo*C40)*tb_federalBrackets_dr)</f>
        <v/>
      </c>
      <c r="AD40" s="7">
        <f>MAX(0,Y40-impuestos_nyDeduccion*C40)</f>
        <v/>
      </c>
      <c r="AE40" s="7">
        <f>CHOOSE(loc_taxcode,0,impuestos_ohTasa*MAX(0,Y40-impuestos_ohExento*C40)+impuestos_ohMunicipal*U40,SUMPRODUCT((AD40&gt;tb_nyBrackets_lo*C40)*(AD40-tb_nyBrackets_lo*C40)*tb_nyBrackets_dr)+loc_nyc*SUMPRODUCT((AD40&gt;tb_nycBrackets_lo*C40)*(AD40-tb_nycBrackets_lo*C40)*tb_nycBrackets_dr))</f>
        <v/>
      </c>
      <c r="AF40" s="7">
        <f>AC40+AE40+X40+W40</f>
        <v/>
      </c>
      <c r="AG40" s="7">
        <f>D40+F40+R40+T40+H40</f>
        <v/>
      </c>
      <c r="AH40" s="7">
        <f>AG40-AF40-O40</f>
        <v/>
      </c>
      <c r="AI40" s="7">
        <f>D40+F40+G40+H40</f>
        <v/>
      </c>
      <c r="AJ40" s="7">
        <f>loc_gastosVida*C40*g_gastos</f>
        <v/>
      </c>
      <c r="AK40" s="7">
        <f>IF(7=0,personal_liquidoInicial,DR39)</f>
        <v/>
      </c>
      <c r="AL40" s="7">
        <f>IF(7=0,0,BB39)</f>
        <v/>
      </c>
      <c r="AM40" s="7">
        <f>CHOOSE(sel_cfgIdx,loc_precio_duplex,loc_precio_inlaw,loc_precio_dosCasas,loc_precio_casaAdu,loc_precio_multi)</f>
        <v/>
      </c>
      <c r="AN40" s="7">
        <f>AM40*(1+g_appr)^(A40-2026)</f>
        <v/>
      </c>
      <c r="AO40" s="7">
        <f>IF(AND(M40=1,vivienda_prestamoMedico=1),1,0)</f>
        <v/>
      </c>
      <c r="AP40" s="7">
        <f>IF(AO40=1,0.05,vivienda_enganchePct)</f>
        <v/>
      </c>
      <c r="AQ40" s="7">
        <f>AN40*(1-AP40)</f>
        <v/>
      </c>
      <c r="AR40" s="7">
        <f>PMT(g_mortRate/12,vivienda_plazoHipoteca*12,-AQ40)</f>
        <v/>
      </c>
      <c r="AS40" s="7">
        <f>INDEX(cfg_units,sel_cfgIdx)</f>
        <v/>
      </c>
      <c r="AT40" s="7">
        <f>AS40*loc_rentaUnidad*(1+g_inf)^(A40-2026)*(1-vivienda_vacancia)</f>
        <v/>
      </c>
      <c r="AU40" s="7">
        <f>AR40+AN40*loc_impuestoPropPct/12+AM40*loc_seguroPct*(1+vivienda_inflacionSeguro)^(A40-2026)/12+IF(AND(AO40=0,AP40&lt;0.2),AQ40*vivienda_pmiTasa/12,0)</f>
        <v/>
      </c>
      <c r="AV40" s="7">
        <f>AN40*AP40+AN40*vivienda_cierrePct+general_reservaMeses/12*AJ40</f>
        <v/>
      </c>
      <c r="AW40" s="7">
        <f>(IF(7=0,MIN(personal_irsSaldo,personal_irsPagoMensual*12),MIN(CD39,personal_irsPagoMensual*12))+IF(CE40&gt;0,PMT(CF40,MAX(1,prestamos_plazoAnios-CG40),-CE40),0)+IF(CR40&gt;0,PMT(CS40,MAX(1,prestamos_plazoAnios-CT40),-CR40),0))/12</f>
        <v/>
      </c>
      <c r="AX40" s="7">
        <f>IF(OR(sel_cfg="duplex",sel_cfg="multi",sel_cfg="dosCasas"),0.75*personal_aporteFamiliaMensual,0)</f>
        <v/>
      </c>
      <c r="AY40" s="7">
        <f>AU40-0.75*AT40-AX40+AW40</f>
        <v/>
      </c>
      <c r="AZ40" s="7">
        <f>(D40+G40+H40+0.5*F40)/12</f>
        <v/>
      </c>
      <c r="BA40" s="7">
        <f>IF(AND(AL40=0,A40&gt;=vivienda_anioMinCompra,J40&lt;0.5,AI40&gt;0,AK40&gt;=AV40,AY40&lt;=vivienda_dtiMax*AZ40),1,0)</f>
        <v/>
      </c>
      <c r="BB40" s="7">
        <f>MAX(AL40,BA40)</f>
        <v/>
      </c>
      <c r="BC40" s="7">
        <f>IF(BA40=1,A40,IF(7=0,"",BC39))</f>
        <v/>
      </c>
      <c r="BD40" s="7">
        <f>AK40-IF(BA40=1,AN40*AP40+AN40*vivienda_cierrePct,0)</f>
        <v/>
      </c>
      <c r="BE40" s="7">
        <f>IF(BA40=1,AN40,IF(7=0,0,BE39))</f>
        <v/>
      </c>
      <c r="BF40" s="7">
        <f>IF(BA40=1,AR40,IF(7=0,0,BF39))</f>
        <v/>
      </c>
      <c r="BG40" s="7">
        <f>IF(BA40=1,IF(AND(AO40=0,AP40&lt;0.2),1,0),IF(7=0,0,BY39))</f>
        <v/>
      </c>
      <c r="BH40" s="7">
        <f>IF(sel_cfg="casaAdu",1,0)</f>
        <v/>
      </c>
      <c r="BI40" s="7">
        <f>IF(AND(BB40=1,BH40=1,IF(7=0,0,BJ39)=0,A40&gt;=IF(BC40="",9999,BC40)+vivienda_aduRetrasoAnios),1,0)</f>
        <v/>
      </c>
      <c r="BJ40" s="7">
        <f>MAX(IF(7=0,0,BJ39),BI40)</f>
        <v/>
      </c>
      <c r="BK40" s="7">
        <f>IF(BI40=1,PMT((g_mortRate+0.005)/12,180,-loc_precio_aduCosto*C40),IF(7=0,0,BK39))</f>
        <v/>
      </c>
      <c r="BL40" s="7">
        <f>IF(BA40=1,AN40,IF(7=0,0,DT39))+IF(BI40=1,loc_precio_aduCosto*C40,0)</f>
        <v/>
      </c>
      <c r="BM40" s="7">
        <f>IF(BA40=1,AQ40,IF(7=0,0,DU39))</f>
        <v/>
      </c>
      <c r="BN40" s="7">
        <f>IF(BM40&lt;=0,0,FV(g_mortRate/12,12,BF40,-BM40))</f>
        <v/>
      </c>
      <c r="BO40" s="7">
        <f>IF(BM40&lt;=0,0,12*BF40+MIN(0,BN40))</f>
        <v/>
      </c>
      <c r="BP40" s="7">
        <f>MAX(0,BN40)</f>
        <v/>
      </c>
      <c r="BQ40" s="7">
        <f>IF(BI40=1,loc_precio_aduCosto*C40,IF(7=0,0,DV39))</f>
        <v/>
      </c>
      <c r="BR40" s="7">
        <f>IF(BQ40&lt;=0,0,FV((g_mortRate+0.005)/12,12,BK40,-BQ40))</f>
        <v/>
      </c>
      <c r="BS40" s="7">
        <f>IF(BQ40&lt;=0,0,12*BK40+MIN(0,BR40))</f>
        <v/>
      </c>
      <c r="BT40" s="7">
        <f>MAX(0,BR40)</f>
        <v/>
      </c>
      <c r="BU40" s="7">
        <f>IF(BB40=1,AM40*loc_seguroPct*(1+vivienda_inflacionSeguro)^(A40-2026)*IF(BJ40=1,1+loc_precio_aduCosto/AM40,1),0)</f>
        <v/>
      </c>
      <c r="BV40" s="7">
        <f>BL40*loc_impuestoPropPct</f>
        <v/>
      </c>
      <c r="BW40" s="7">
        <f>BL40*vivienda_mantenimientoPct</f>
        <v/>
      </c>
      <c r="BX40" s="7">
        <f>IF(AND(BG40=1,BP40&gt;0.8*BE40),BE40*(1-vivienda_enganchePct)*vivienda_pmiTasa,0)</f>
        <v/>
      </c>
      <c r="BY40" s="7">
        <f>IF(AND(BG40=1,BP40&gt;0.8*BE40),1,0)</f>
        <v/>
      </c>
      <c r="BZ40" s="7">
        <f>IF(BB40=1,AS40*loc_rentaUnidad*12*C40*(1-vivienda_vacancia)*(1-vivienda_gestionPct),0)</f>
        <v/>
      </c>
      <c r="CA40" s="7">
        <f>IF(BB40=1,BO40+BS40+BU40+BV40+BW40+BX40,loc_rentaMensual*12*C40)</f>
        <v/>
      </c>
      <c r="CB40" s="7">
        <f>IF(BB40=1,personal_aporteFamiliaMensual*12,0)</f>
        <v/>
      </c>
      <c r="CC40" s="7">
        <f>MIN(IF(7=0,personal_irsSaldo,CD39),personal_irsPagoMensual*12)</f>
        <v/>
      </c>
      <c r="CD40" s="7">
        <f>IF(7=0,personal_irsSaldo,CD39)-CC40</f>
        <v/>
      </c>
      <c r="CE40" s="7">
        <f>IF(7=0,IF(personal_deudaEsFederal=1,personal_deudaEstudiantil,0),DW39)</f>
        <v/>
      </c>
      <c r="CF40" s="7">
        <f>IF(7=0,personal_tasaDeudaEstudiantil,DX39)</f>
        <v/>
      </c>
      <c r="CG40" s="7">
        <f>IF(7=0,0,DY39)</f>
        <v/>
      </c>
      <c r="CH40" s="7">
        <f>IF(J40&gt;=0.5,1,0)</f>
        <v/>
      </c>
      <c r="CI40" s="7">
        <f>IF(AND(CH40=0,prestamos_pslfActivo=1,K40&gt;=0.5,CE40&gt;0),1,0)</f>
        <v/>
      </c>
      <c r="CJ40" s="7">
        <f>CE40*CF40</f>
        <v/>
      </c>
      <c r="CK40" s="7">
        <f>MAX(prestamos_rapPagoMinimoAnual,IF(Y40&lt;10000,0,MIN(0.1,INT(Y40/10000)/100))*Y40)</f>
        <v/>
      </c>
      <c r="CL40" s="7">
        <f>IF(CE40&lt;=0,0,IF(CH40=1,0,IF(CI40=1,MIN(CE40+CJ40,CK40),PMT(CF40,MAX(1,prestamos_plazoAnios-CG40),-CE40))))</f>
        <v/>
      </c>
      <c r="CM40" s="7">
        <f>IF(CE40&lt;=0,0,IF(CH40=1,CE40+CJ40,IF(CI40=1,MAX(0,CE40-MAX(CL40-CJ40,MIN(600,CL40))),MAX(0,CE40*(1+CF40)-CL40))))</f>
        <v/>
      </c>
      <c r="CN40" s="7">
        <f>IF(7=0,0,CN39)+IF(CI40=1,12*MIN(1,K40),0)</f>
        <v/>
      </c>
      <c r="CO40" s="7">
        <f>IF(AND(CI40=1,CN40&gt;=prestamos_pslfPagos,CM40&gt;0),CM40,0)</f>
        <v/>
      </c>
      <c r="CP40" s="7">
        <f>CM40-CO40</f>
        <v/>
      </c>
      <c r="CQ40" s="7">
        <f>IF(AND(CE40&gt;0,CH40=0,CI40=0),CG40+1,CG40)</f>
        <v/>
      </c>
      <c r="CR40" s="7">
        <f>IF(7=0,IF(personal_deudaEsFederal=1,0,personal_deudaEstudiantil),EA39)</f>
        <v/>
      </c>
      <c r="CS40" s="7">
        <f>IF(7=0,IF(personal_deudaEsFederal=1,prestamos_tasaPrivada,personal_tasaDeudaEstudiantil),EB39)</f>
        <v/>
      </c>
      <c r="CT40" s="7">
        <f>IF(7=0,0,EC39)</f>
        <v/>
      </c>
      <c r="CU40" s="7">
        <f>IF(OR(CR40&lt;=0,CH40=1),0,PMT(CS40,MAX(1,prestamos_plazoAnios-CT40),-CR40))</f>
        <v/>
      </c>
      <c r="CV40" s="7">
        <f>IF(CR40&lt;=0,0,IF(CH40=1,CR40*(1+CS40),MAX(0,CR40*(1+CS40)-CU40)))</f>
        <v/>
      </c>
      <c r="CW40" s="7">
        <f>IF(AND(CR40&gt;0,CH40=0),CT40+1,CT40)</f>
        <v/>
      </c>
      <c r="CX40" s="7">
        <f>IF(7=0,0,ED39)*(1+general_tasaDeudaConsumo)</f>
        <v/>
      </c>
      <c r="CY40" s="7">
        <f>L40*12*tiempos_travelGastoExtraMes*C40</f>
        <v/>
      </c>
      <c r="CZ40" s="7">
        <f>AJ40+CY40+CA40+CC40+CL40+CU40+I40+N40-BZ40-CB40</f>
        <v/>
      </c>
      <c r="DA40" s="7">
        <f>AH40-CZ40</f>
        <v/>
      </c>
      <c r="DB40" s="7">
        <f>IF(7=0,0,DB39)+DA40</f>
        <v/>
      </c>
      <c r="DC40" s="7">
        <f>AN40*vivienda_enganchePct+AN40*vivienda_cierrePct+general_reservaMeses/12*AJ40</f>
        <v/>
      </c>
      <c r="DD40" s="7">
        <f>IF(BB40=1,g_ret,IF(BD40&gt;0,MIN(1,DC40/BD40),1)*g_cash+(1-IF(BD40&gt;0,MIN(1,DC40/BD40),1))*g_ret)</f>
        <v/>
      </c>
      <c r="DE40" s="7">
        <f>IF(DA40&gt;=0,MIN(CX40,DA40),0)</f>
        <v/>
      </c>
      <c r="DF40" s="7">
        <f>IF(DA40&gt;=0,(1-general_tasaAhorro)*(DA40-DE40),0)</f>
        <v/>
      </c>
      <c r="DG40" s="7">
        <f>IF(DA40&gt;=0,DA40-DE40-DF40,0)</f>
        <v/>
      </c>
      <c r="DH40" s="7">
        <f>MIN(personal_rothAnual,DG40)</f>
        <v/>
      </c>
      <c r="DI40" s="7">
        <f>IF(AND(DA40&gt;=0,BB40=1,BP40+BT40&gt;0),MIN(vivienda_prepagoPct*(DG40-DH40),BP40+BT40),0)</f>
        <v/>
      </c>
      <c r="DJ40" s="7">
        <f>MIN(DI40,BP40)</f>
        <v/>
      </c>
      <c r="DK40" s="7">
        <f>IF(DA40&lt;0,MIN(MAX(0,BD40),-DA40),0)</f>
        <v/>
      </c>
      <c r="DL40" s="7">
        <f>IF(DA40&lt;0,-DA40-DK40,0)</f>
        <v/>
      </c>
      <c r="DM40" s="7">
        <f>IF(7=0,0,DZ39)</f>
        <v/>
      </c>
      <c r="DN40" s="7">
        <f>IF(AND(DL40&gt;0,J40&gt;0),MIN(DL40,MIN(prestamos_topeAnualPosgrado*MIN(1,J40),MAX(0,prestamos_topeTotalPosgrado-DM40))),0)</f>
        <v/>
      </c>
      <c r="DO40" s="7">
        <f>IF(AND(DL40&gt;0,J40&gt;0),DL40-DN40,0)</f>
        <v/>
      </c>
      <c r="DP40" s="7">
        <f>IF(AND(DL40&gt;0,J40&lt;=0),DL40,0)</f>
        <v/>
      </c>
      <c r="DQ40" s="7">
        <f>IF(DA40&gt;=0,DG40-DH40-DI40,-DK40)</f>
        <v/>
      </c>
      <c r="DR40" s="7">
        <f>BD40*(1+DD40)+DQ40*(1+DD40/2)</f>
        <v/>
      </c>
      <c r="DS40" s="7">
        <f>IF(7=0,personal_retiroInicial,DS39)*(1+g_ret)+(O40+P40+DH40)*(1+g_ret/2)</f>
        <v/>
      </c>
      <c r="DT40" s="7">
        <f>IF(BB40=1,BL40*(1+g_appr),0)</f>
        <v/>
      </c>
      <c r="DU40" s="7">
        <f>BP40-DJ40</f>
        <v/>
      </c>
      <c r="DV40" s="7">
        <f>BT40-(DI40-DJ40)</f>
        <v/>
      </c>
      <c r="DW40" s="7">
        <f>CP40+DN40</f>
        <v/>
      </c>
      <c r="DX40" s="7">
        <f>IF(DN40&gt;0,(CP40*CF40+DN40*prestamos_tasaFederalPosgrado)/(CP40+DN40),CF40)</f>
        <v/>
      </c>
      <c r="DY40" s="7">
        <f>IF(DN40&gt;0,0,CQ40)</f>
        <v/>
      </c>
      <c r="DZ40" s="7">
        <f>DM40+DN40</f>
        <v/>
      </c>
      <c r="EA40" s="7">
        <f>CV40+DO40</f>
        <v/>
      </c>
      <c r="EB40" s="7">
        <f>IF(DO40&gt;0,(CV40*CS40+DO40*prestamos_tasaPrivada)/(CV40+DO40),CS40)</f>
        <v/>
      </c>
      <c r="EC40" s="7">
        <f>IF(DO40&gt;0,0,CW40)</f>
        <v/>
      </c>
      <c r="ED40" s="7">
        <f>CX40-DE40+DP40</f>
        <v/>
      </c>
      <c r="EE40" s="7">
        <f>IF(IF(7=0,"",EE39)&lt;&gt;"",EE39,IF(AND(BB40=1,DU40&lt;=0.5,DV40&lt;=0.5,OR(BH40=0,BJ40=1)),A40,""))</f>
        <v/>
      </c>
      <c r="EF40" s="7">
        <f>DU40+DV40+DW40+EA40+ED40+CD40</f>
        <v/>
      </c>
      <c r="EG40" s="7">
        <f>DR40+DS40+DT40-EF40</f>
        <v/>
      </c>
      <c r="EH40" s="7">
        <f>EG40/(1+g_inf)^(A40+1-2026)</f>
        <v/>
      </c>
    </row>
    <row r="41">
      <c r="A41" t="n">
        <v>2035</v>
      </c>
      <c r="B41" t="n">
        <v>8</v>
      </c>
      <c r="C41" s="7">
        <f>(1+g_inf)^(A41-2026)</f>
        <v/>
      </c>
      <c r="D41" s="7">
        <f>SUMPRODUCT($AB$5:$AB$29,$E$5:$E$29*(1+$F$5:$F$29)^(A41-2026)*$G$5:$G$29*$H$5:$H$29*(1-$N$5:$N$29*$O$5:$O$29))*g_salMult+SUMPRODUCT(($B$5:$B$29&gt;=A41)*($B$5:$B$29&lt;A41+1)*$I$5:$I$29)*g_salMult</f>
        <v/>
      </c>
      <c r="E41" s="7">
        <f>SUMPRODUCT($AB$5:$AB$29,$E$5:$E$29*(1+$F$5:$F$29)^(A41-2026)*$G$5:$G$29*$H$5:$H$29*$M$5:$M$29)*g_salMult</f>
        <v/>
      </c>
      <c r="F41" s="7">
        <f>SUMPRODUCT($AB$5:$AB$29,$E$5:$E$29*(1+$F$5:$F$29)^(A41-2026)*$G$5:$G$29*$H$5:$H$29*$N$5:$N$29*$O$5:$O$29)*g_salMult</f>
        <v/>
      </c>
      <c r="G41" s="7">
        <f>SUMPRODUCT($AB$5:$AB$29,$P$5:$P$29*(1+$F$5:$F$29)^(A41-2026))</f>
        <v/>
      </c>
      <c r="H41" s="7">
        <f>SUMPRODUCT($AB$5:$AB$29,$Q$5:$Q$29*(1+$F$5:$F$29)^(A41-2026))+IF(personal_llcActivo=1,personal_llcNeto*(1+personal_llcCrecimiento)^8,0)</f>
        <v/>
      </c>
      <c r="I41" s="7">
        <f>SUMPRODUCT($AB$5:$AB$29,$J$5:$J$29/($C$5:$C$29-$B$5:$B$29+($C$5:$C$29=$B$5:$B$29)))*C41</f>
        <v/>
      </c>
      <c r="J41" s="7">
        <f>SUMPRODUCT($AB$5:$AB$29,$K$5:$K$29)</f>
        <v/>
      </c>
      <c r="K41" s="7">
        <f>SUMPRODUCT($AB$5:$AB$29,$L$5:$L$29)</f>
        <v/>
      </c>
      <c r="L41" s="7">
        <f>SUMPRODUCT($AB$5:$AB$29,$N$5:$N$29)</f>
        <v/>
      </c>
      <c r="M41" s="7">
        <f>IF(SUMPRODUCT($AB$5:$AB$29,$R$5:$R$29)&gt;0,1,0)</f>
        <v/>
      </c>
      <c r="N41" s="7">
        <f>SUMPRODUCT(($AO$5:$AO$24&gt;=A41)*($AO$5:$AO$24&lt;A41+1)*$AP$5:$AP$24)*C41+IF(8=0,IF(sel_loc&lt;&gt;"miami",personal_costoMudanzaInicial,0),0)</f>
        <v/>
      </c>
      <c r="O41" s="7">
        <f>MIN(personal_aporte403bPct*D41,retiro_limite403b*C41)</f>
        <v/>
      </c>
      <c r="P41" s="7">
        <f>MIN(personal_aporte403bPct,personal_match403bPct)*E41</f>
        <v/>
      </c>
      <c r="Q41" s="7">
        <f>IF(G41&gt;0,MAX(0,G41-impuestos_scorpCostoAnual*C41),0)</f>
        <v/>
      </c>
      <c r="R41" s="7">
        <f>Q41*impuestos_scorpSalarioPct/(1+impuestos_ssTasa+impuestos_medicareTasa)</f>
        <v/>
      </c>
      <c r="S41" s="7">
        <f>impuestos_ssTasa*MIN(R41,MAX(0,impuestos_ssTope*C41-D41))+impuestos_medicareTasa*R41</f>
        <v/>
      </c>
      <c r="T41" s="7">
        <f>Q41-R41-S41</f>
        <v/>
      </c>
      <c r="U41" s="7">
        <f>D41+R41</f>
        <v/>
      </c>
      <c r="V41" s="7">
        <f>H41*0.9235</f>
        <v/>
      </c>
      <c r="W41" s="7">
        <f>IF(H41&gt;0,2*impuestos_ssTasa*MIN(V41,MAX(0,impuestos_ssTope*C41-U41))+2*impuestos_medicareTasa*V41,0)</f>
        <v/>
      </c>
      <c r="X41" s="7">
        <f>impuestos_ssTasa*MIN(U41,impuestos_ssTope*C41)+impuestos_medicareTasa*U41+impuestos_medicareAdicional*MAX(0,U41+H41*0.9235-impuestos_medicareUmbral)</f>
        <v/>
      </c>
      <c r="Y41" s="7">
        <f>MAX(0,D41-O41+R41+T41+H41-W41/2)</f>
        <v/>
      </c>
      <c r="Z41" s="7">
        <f>MAX(0,Y41-impuestos_deduccionEstandar*C41)</f>
        <v/>
      </c>
      <c r="AA41" s="7">
        <f>MIN(0.2*MAX(0,T41+H41-W41/2)*MAX(0,MIN(1,1-(Z41-impuestos_qbiUmbral*C41)/(impuestos_qbiRango*C41))),0.2*Z41)</f>
        <v/>
      </c>
      <c r="AB41" s="7">
        <f>MAX(0,Z41-AA41)</f>
        <v/>
      </c>
      <c r="AC41" s="7">
        <f>SUMPRODUCT((AB41&gt;tb_federalBrackets_lo*C41)*(AB41-tb_federalBrackets_lo*C41)*tb_federalBrackets_dr)</f>
        <v/>
      </c>
      <c r="AD41" s="7">
        <f>MAX(0,Y41-impuestos_nyDeduccion*C41)</f>
        <v/>
      </c>
      <c r="AE41" s="7">
        <f>CHOOSE(loc_taxcode,0,impuestos_ohTasa*MAX(0,Y41-impuestos_ohExento*C41)+impuestos_ohMunicipal*U41,SUMPRODUCT((AD41&gt;tb_nyBrackets_lo*C41)*(AD41-tb_nyBrackets_lo*C41)*tb_nyBrackets_dr)+loc_nyc*SUMPRODUCT((AD41&gt;tb_nycBrackets_lo*C41)*(AD41-tb_nycBrackets_lo*C41)*tb_nycBrackets_dr))</f>
        <v/>
      </c>
      <c r="AF41" s="7">
        <f>AC41+AE41+X41+W41</f>
        <v/>
      </c>
      <c r="AG41" s="7">
        <f>D41+F41+R41+T41+H41</f>
        <v/>
      </c>
      <c r="AH41" s="7">
        <f>AG41-AF41-O41</f>
        <v/>
      </c>
      <c r="AI41" s="7">
        <f>D41+F41+G41+H41</f>
        <v/>
      </c>
      <c r="AJ41" s="7">
        <f>loc_gastosVida*C41*g_gastos</f>
        <v/>
      </c>
      <c r="AK41" s="7">
        <f>IF(8=0,personal_liquidoInicial,DR40)</f>
        <v/>
      </c>
      <c r="AL41" s="7">
        <f>IF(8=0,0,BB40)</f>
        <v/>
      </c>
      <c r="AM41" s="7">
        <f>CHOOSE(sel_cfgIdx,loc_precio_duplex,loc_precio_inlaw,loc_precio_dosCasas,loc_precio_casaAdu,loc_precio_multi)</f>
        <v/>
      </c>
      <c r="AN41" s="7">
        <f>AM41*(1+g_appr)^(A41-2026)</f>
        <v/>
      </c>
      <c r="AO41" s="7">
        <f>IF(AND(M41=1,vivienda_prestamoMedico=1),1,0)</f>
        <v/>
      </c>
      <c r="AP41" s="7">
        <f>IF(AO41=1,0.05,vivienda_enganchePct)</f>
        <v/>
      </c>
      <c r="AQ41" s="7">
        <f>AN41*(1-AP41)</f>
        <v/>
      </c>
      <c r="AR41" s="7">
        <f>PMT(g_mortRate/12,vivienda_plazoHipoteca*12,-AQ41)</f>
        <v/>
      </c>
      <c r="AS41" s="7">
        <f>INDEX(cfg_units,sel_cfgIdx)</f>
        <v/>
      </c>
      <c r="AT41" s="7">
        <f>AS41*loc_rentaUnidad*(1+g_inf)^(A41-2026)*(1-vivienda_vacancia)</f>
        <v/>
      </c>
      <c r="AU41" s="7">
        <f>AR41+AN41*loc_impuestoPropPct/12+AM41*loc_seguroPct*(1+vivienda_inflacionSeguro)^(A41-2026)/12+IF(AND(AO41=0,AP41&lt;0.2),AQ41*vivienda_pmiTasa/12,0)</f>
        <v/>
      </c>
      <c r="AV41" s="7">
        <f>AN41*AP41+AN41*vivienda_cierrePct+general_reservaMeses/12*AJ41</f>
        <v/>
      </c>
      <c r="AW41" s="7">
        <f>(IF(8=0,MIN(personal_irsSaldo,personal_irsPagoMensual*12),MIN(CD40,personal_irsPagoMensual*12))+IF(CE41&gt;0,PMT(CF41,MAX(1,prestamos_plazoAnios-CG41),-CE41),0)+IF(CR41&gt;0,PMT(CS41,MAX(1,prestamos_plazoAnios-CT41),-CR41),0))/12</f>
        <v/>
      </c>
      <c r="AX41" s="7">
        <f>IF(OR(sel_cfg="duplex",sel_cfg="multi",sel_cfg="dosCasas"),0.75*personal_aporteFamiliaMensual,0)</f>
        <v/>
      </c>
      <c r="AY41" s="7">
        <f>AU41-0.75*AT41-AX41+AW41</f>
        <v/>
      </c>
      <c r="AZ41" s="7">
        <f>(D41+G41+H41+0.5*F41)/12</f>
        <v/>
      </c>
      <c r="BA41" s="7">
        <f>IF(AND(AL41=0,A41&gt;=vivienda_anioMinCompra,J41&lt;0.5,AI41&gt;0,AK41&gt;=AV41,AY41&lt;=vivienda_dtiMax*AZ41),1,0)</f>
        <v/>
      </c>
      <c r="BB41" s="7">
        <f>MAX(AL41,BA41)</f>
        <v/>
      </c>
      <c r="BC41" s="7">
        <f>IF(BA41=1,A41,IF(8=0,"",BC40))</f>
        <v/>
      </c>
      <c r="BD41" s="7">
        <f>AK41-IF(BA41=1,AN41*AP41+AN41*vivienda_cierrePct,0)</f>
        <v/>
      </c>
      <c r="BE41" s="7">
        <f>IF(BA41=1,AN41,IF(8=0,0,BE40))</f>
        <v/>
      </c>
      <c r="BF41" s="7">
        <f>IF(BA41=1,AR41,IF(8=0,0,BF40))</f>
        <v/>
      </c>
      <c r="BG41" s="7">
        <f>IF(BA41=1,IF(AND(AO41=0,AP41&lt;0.2),1,0),IF(8=0,0,BY40))</f>
        <v/>
      </c>
      <c r="BH41" s="7">
        <f>IF(sel_cfg="casaAdu",1,0)</f>
        <v/>
      </c>
      <c r="BI41" s="7">
        <f>IF(AND(BB41=1,BH41=1,IF(8=0,0,BJ40)=0,A41&gt;=IF(BC41="",9999,BC41)+vivienda_aduRetrasoAnios),1,0)</f>
        <v/>
      </c>
      <c r="BJ41" s="7">
        <f>MAX(IF(8=0,0,BJ40),BI41)</f>
        <v/>
      </c>
      <c r="BK41" s="7">
        <f>IF(BI41=1,PMT((g_mortRate+0.005)/12,180,-loc_precio_aduCosto*C41),IF(8=0,0,BK40))</f>
        <v/>
      </c>
      <c r="BL41" s="7">
        <f>IF(BA41=1,AN41,IF(8=0,0,DT40))+IF(BI41=1,loc_precio_aduCosto*C41,0)</f>
        <v/>
      </c>
      <c r="BM41" s="7">
        <f>IF(BA41=1,AQ41,IF(8=0,0,DU40))</f>
        <v/>
      </c>
      <c r="BN41" s="7">
        <f>IF(BM41&lt;=0,0,FV(g_mortRate/12,12,BF41,-BM41))</f>
        <v/>
      </c>
      <c r="BO41" s="7">
        <f>IF(BM41&lt;=0,0,12*BF41+MIN(0,BN41))</f>
        <v/>
      </c>
      <c r="BP41" s="7">
        <f>MAX(0,BN41)</f>
        <v/>
      </c>
      <c r="BQ41" s="7">
        <f>IF(BI41=1,loc_precio_aduCosto*C41,IF(8=0,0,DV40))</f>
        <v/>
      </c>
      <c r="BR41" s="7">
        <f>IF(BQ41&lt;=0,0,FV((g_mortRate+0.005)/12,12,BK41,-BQ41))</f>
        <v/>
      </c>
      <c r="BS41" s="7">
        <f>IF(BQ41&lt;=0,0,12*BK41+MIN(0,BR41))</f>
        <v/>
      </c>
      <c r="BT41" s="7">
        <f>MAX(0,BR41)</f>
        <v/>
      </c>
      <c r="BU41" s="7">
        <f>IF(BB41=1,AM41*loc_seguroPct*(1+vivienda_inflacionSeguro)^(A41-2026)*IF(BJ41=1,1+loc_precio_aduCosto/AM41,1),0)</f>
        <v/>
      </c>
      <c r="BV41" s="7">
        <f>BL41*loc_impuestoPropPct</f>
        <v/>
      </c>
      <c r="BW41" s="7">
        <f>BL41*vivienda_mantenimientoPct</f>
        <v/>
      </c>
      <c r="BX41" s="7">
        <f>IF(AND(BG41=1,BP41&gt;0.8*BE41),BE41*(1-vivienda_enganchePct)*vivienda_pmiTasa,0)</f>
        <v/>
      </c>
      <c r="BY41" s="7">
        <f>IF(AND(BG41=1,BP41&gt;0.8*BE41),1,0)</f>
        <v/>
      </c>
      <c r="BZ41" s="7">
        <f>IF(BB41=1,AS41*loc_rentaUnidad*12*C41*(1-vivienda_vacancia)*(1-vivienda_gestionPct),0)</f>
        <v/>
      </c>
      <c r="CA41" s="7">
        <f>IF(BB41=1,BO41+BS41+BU41+BV41+BW41+BX41,loc_rentaMensual*12*C41)</f>
        <v/>
      </c>
      <c r="CB41" s="7">
        <f>IF(BB41=1,personal_aporteFamiliaMensual*12,0)</f>
        <v/>
      </c>
      <c r="CC41" s="7">
        <f>MIN(IF(8=0,personal_irsSaldo,CD40),personal_irsPagoMensual*12)</f>
        <v/>
      </c>
      <c r="CD41" s="7">
        <f>IF(8=0,personal_irsSaldo,CD40)-CC41</f>
        <v/>
      </c>
      <c r="CE41" s="7">
        <f>IF(8=0,IF(personal_deudaEsFederal=1,personal_deudaEstudiantil,0),DW40)</f>
        <v/>
      </c>
      <c r="CF41" s="7">
        <f>IF(8=0,personal_tasaDeudaEstudiantil,DX40)</f>
        <v/>
      </c>
      <c r="CG41" s="7">
        <f>IF(8=0,0,DY40)</f>
        <v/>
      </c>
      <c r="CH41" s="7">
        <f>IF(J41&gt;=0.5,1,0)</f>
        <v/>
      </c>
      <c r="CI41" s="7">
        <f>IF(AND(CH41=0,prestamos_pslfActivo=1,K41&gt;=0.5,CE41&gt;0),1,0)</f>
        <v/>
      </c>
      <c r="CJ41" s="7">
        <f>CE41*CF41</f>
        <v/>
      </c>
      <c r="CK41" s="7">
        <f>MAX(prestamos_rapPagoMinimoAnual,IF(Y41&lt;10000,0,MIN(0.1,INT(Y41/10000)/100))*Y41)</f>
        <v/>
      </c>
      <c r="CL41" s="7">
        <f>IF(CE41&lt;=0,0,IF(CH41=1,0,IF(CI41=1,MIN(CE41+CJ41,CK41),PMT(CF41,MAX(1,prestamos_plazoAnios-CG41),-CE41))))</f>
        <v/>
      </c>
      <c r="CM41" s="7">
        <f>IF(CE41&lt;=0,0,IF(CH41=1,CE41+CJ41,IF(CI41=1,MAX(0,CE41-MAX(CL41-CJ41,MIN(600,CL41))),MAX(0,CE41*(1+CF41)-CL41))))</f>
        <v/>
      </c>
      <c r="CN41" s="7">
        <f>IF(8=0,0,CN40)+IF(CI41=1,12*MIN(1,K41),0)</f>
        <v/>
      </c>
      <c r="CO41" s="7">
        <f>IF(AND(CI41=1,CN41&gt;=prestamos_pslfPagos,CM41&gt;0),CM41,0)</f>
        <v/>
      </c>
      <c r="CP41" s="7">
        <f>CM41-CO41</f>
        <v/>
      </c>
      <c r="CQ41" s="7">
        <f>IF(AND(CE41&gt;0,CH41=0,CI41=0),CG41+1,CG41)</f>
        <v/>
      </c>
      <c r="CR41" s="7">
        <f>IF(8=0,IF(personal_deudaEsFederal=1,0,personal_deudaEstudiantil),EA40)</f>
        <v/>
      </c>
      <c r="CS41" s="7">
        <f>IF(8=0,IF(personal_deudaEsFederal=1,prestamos_tasaPrivada,personal_tasaDeudaEstudiantil),EB40)</f>
        <v/>
      </c>
      <c r="CT41" s="7">
        <f>IF(8=0,0,EC40)</f>
        <v/>
      </c>
      <c r="CU41" s="7">
        <f>IF(OR(CR41&lt;=0,CH41=1),0,PMT(CS41,MAX(1,prestamos_plazoAnios-CT41),-CR41))</f>
        <v/>
      </c>
      <c r="CV41" s="7">
        <f>IF(CR41&lt;=0,0,IF(CH41=1,CR41*(1+CS41),MAX(0,CR41*(1+CS41)-CU41)))</f>
        <v/>
      </c>
      <c r="CW41" s="7">
        <f>IF(AND(CR41&gt;0,CH41=0),CT41+1,CT41)</f>
        <v/>
      </c>
      <c r="CX41" s="7">
        <f>IF(8=0,0,ED40)*(1+general_tasaDeudaConsumo)</f>
        <v/>
      </c>
      <c r="CY41" s="7">
        <f>L41*12*tiempos_travelGastoExtraMes*C41</f>
        <v/>
      </c>
      <c r="CZ41" s="7">
        <f>AJ41+CY41+CA41+CC41+CL41+CU41+I41+N41-BZ41-CB41</f>
        <v/>
      </c>
      <c r="DA41" s="7">
        <f>AH41-CZ41</f>
        <v/>
      </c>
      <c r="DB41" s="7">
        <f>IF(8=0,0,DB40)+DA41</f>
        <v/>
      </c>
      <c r="DC41" s="7">
        <f>AN41*vivienda_enganchePct+AN41*vivienda_cierrePct+general_reservaMeses/12*AJ41</f>
        <v/>
      </c>
      <c r="DD41" s="7">
        <f>IF(BB41=1,g_ret,IF(BD41&gt;0,MIN(1,DC41/BD41),1)*g_cash+(1-IF(BD41&gt;0,MIN(1,DC41/BD41),1))*g_ret)</f>
        <v/>
      </c>
      <c r="DE41" s="7">
        <f>IF(DA41&gt;=0,MIN(CX41,DA41),0)</f>
        <v/>
      </c>
      <c r="DF41" s="7">
        <f>IF(DA41&gt;=0,(1-general_tasaAhorro)*(DA41-DE41),0)</f>
        <v/>
      </c>
      <c r="DG41" s="7">
        <f>IF(DA41&gt;=0,DA41-DE41-DF41,0)</f>
        <v/>
      </c>
      <c r="DH41" s="7">
        <f>MIN(personal_rothAnual,DG41)</f>
        <v/>
      </c>
      <c r="DI41" s="7">
        <f>IF(AND(DA41&gt;=0,BB41=1,BP41+BT41&gt;0),MIN(vivienda_prepagoPct*(DG41-DH41),BP41+BT41),0)</f>
        <v/>
      </c>
      <c r="DJ41" s="7">
        <f>MIN(DI41,BP41)</f>
        <v/>
      </c>
      <c r="DK41" s="7">
        <f>IF(DA41&lt;0,MIN(MAX(0,BD41),-DA41),0)</f>
        <v/>
      </c>
      <c r="DL41" s="7">
        <f>IF(DA41&lt;0,-DA41-DK41,0)</f>
        <v/>
      </c>
      <c r="DM41" s="7">
        <f>IF(8=0,0,DZ40)</f>
        <v/>
      </c>
      <c r="DN41" s="7">
        <f>IF(AND(DL41&gt;0,J41&gt;0),MIN(DL41,MIN(prestamos_topeAnualPosgrado*MIN(1,J41),MAX(0,prestamos_topeTotalPosgrado-DM41))),0)</f>
        <v/>
      </c>
      <c r="DO41" s="7">
        <f>IF(AND(DL41&gt;0,J41&gt;0),DL41-DN41,0)</f>
        <v/>
      </c>
      <c r="DP41" s="7">
        <f>IF(AND(DL41&gt;0,J41&lt;=0),DL41,0)</f>
        <v/>
      </c>
      <c r="DQ41" s="7">
        <f>IF(DA41&gt;=0,DG41-DH41-DI41,-DK41)</f>
        <v/>
      </c>
      <c r="DR41" s="7">
        <f>BD41*(1+DD41)+DQ41*(1+DD41/2)</f>
        <v/>
      </c>
      <c r="DS41" s="7">
        <f>IF(8=0,personal_retiroInicial,DS40)*(1+g_ret)+(O41+P41+DH41)*(1+g_ret/2)</f>
        <v/>
      </c>
      <c r="DT41" s="7">
        <f>IF(BB41=1,BL41*(1+g_appr),0)</f>
        <v/>
      </c>
      <c r="DU41" s="7">
        <f>BP41-DJ41</f>
        <v/>
      </c>
      <c r="DV41" s="7">
        <f>BT41-(DI41-DJ41)</f>
        <v/>
      </c>
      <c r="DW41" s="7">
        <f>CP41+DN41</f>
        <v/>
      </c>
      <c r="DX41" s="7">
        <f>IF(DN41&gt;0,(CP41*CF41+DN41*prestamos_tasaFederalPosgrado)/(CP41+DN41),CF41)</f>
        <v/>
      </c>
      <c r="DY41" s="7">
        <f>IF(DN41&gt;0,0,CQ41)</f>
        <v/>
      </c>
      <c r="DZ41" s="7">
        <f>DM41+DN41</f>
        <v/>
      </c>
      <c r="EA41" s="7">
        <f>CV41+DO41</f>
        <v/>
      </c>
      <c r="EB41" s="7">
        <f>IF(DO41&gt;0,(CV41*CS41+DO41*prestamos_tasaPrivada)/(CV41+DO41),CS41)</f>
        <v/>
      </c>
      <c r="EC41" s="7">
        <f>IF(DO41&gt;0,0,CW41)</f>
        <v/>
      </c>
      <c r="ED41" s="7">
        <f>CX41-DE41+DP41</f>
        <v/>
      </c>
      <c r="EE41" s="7">
        <f>IF(IF(8=0,"",EE40)&lt;&gt;"",EE40,IF(AND(BB41=1,DU41&lt;=0.5,DV41&lt;=0.5,OR(BH41=0,BJ41=1)),A41,""))</f>
        <v/>
      </c>
      <c r="EF41" s="7">
        <f>DU41+DV41+DW41+EA41+ED41+CD41</f>
        <v/>
      </c>
      <c r="EG41" s="7">
        <f>DR41+DS41+DT41-EF41</f>
        <v/>
      </c>
      <c r="EH41" s="7">
        <f>EG41/(1+g_inf)^(A41+1-2026)</f>
        <v/>
      </c>
    </row>
    <row r="42">
      <c r="A42" t="n">
        <v>2036</v>
      </c>
      <c r="B42" t="n">
        <v>9</v>
      </c>
      <c r="C42" s="7">
        <f>(1+g_inf)^(A42-2026)</f>
        <v/>
      </c>
      <c r="D42" s="7">
        <f>SUMPRODUCT($AC$5:$AC$29,$E$5:$E$29*(1+$F$5:$F$29)^(A42-2026)*$G$5:$G$29*$H$5:$H$29*(1-$N$5:$N$29*$O$5:$O$29))*g_salMult+SUMPRODUCT(($B$5:$B$29&gt;=A42)*($B$5:$B$29&lt;A42+1)*$I$5:$I$29)*g_salMult</f>
        <v/>
      </c>
      <c r="E42" s="7">
        <f>SUMPRODUCT($AC$5:$AC$29,$E$5:$E$29*(1+$F$5:$F$29)^(A42-2026)*$G$5:$G$29*$H$5:$H$29*$M$5:$M$29)*g_salMult</f>
        <v/>
      </c>
      <c r="F42" s="7">
        <f>SUMPRODUCT($AC$5:$AC$29,$E$5:$E$29*(1+$F$5:$F$29)^(A42-2026)*$G$5:$G$29*$H$5:$H$29*$N$5:$N$29*$O$5:$O$29)*g_salMult</f>
        <v/>
      </c>
      <c r="G42" s="7">
        <f>SUMPRODUCT($AC$5:$AC$29,$P$5:$P$29*(1+$F$5:$F$29)^(A42-2026))</f>
        <v/>
      </c>
      <c r="H42" s="7">
        <f>SUMPRODUCT($AC$5:$AC$29,$Q$5:$Q$29*(1+$F$5:$F$29)^(A42-2026))+IF(personal_llcActivo=1,personal_llcNeto*(1+personal_llcCrecimiento)^9,0)</f>
        <v/>
      </c>
      <c r="I42" s="7">
        <f>SUMPRODUCT($AC$5:$AC$29,$J$5:$J$29/($C$5:$C$29-$B$5:$B$29+($C$5:$C$29=$B$5:$B$29)))*C42</f>
        <v/>
      </c>
      <c r="J42" s="7">
        <f>SUMPRODUCT($AC$5:$AC$29,$K$5:$K$29)</f>
        <v/>
      </c>
      <c r="K42" s="7">
        <f>SUMPRODUCT($AC$5:$AC$29,$L$5:$L$29)</f>
        <v/>
      </c>
      <c r="L42" s="7">
        <f>SUMPRODUCT($AC$5:$AC$29,$N$5:$N$29)</f>
        <v/>
      </c>
      <c r="M42" s="7">
        <f>IF(SUMPRODUCT($AC$5:$AC$29,$R$5:$R$29)&gt;0,1,0)</f>
        <v/>
      </c>
      <c r="N42" s="7">
        <f>SUMPRODUCT(($AO$5:$AO$24&gt;=A42)*($AO$5:$AO$24&lt;A42+1)*$AP$5:$AP$24)*C42+IF(9=0,IF(sel_loc&lt;&gt;"miami",personal_costoMudanzaInicial,0),0)</f>
        <v/>
      </c>
      <c r="O42" s="7">
        <f>MIN(personal_aporte403bPct*D42,retiro_limite403b*C42)</f>
        <v/>
      </c>
      <c r="P42" s="7">
        <f>MIN(personal_aporte403bPct,personal_match403bPct)*E42</f>
        <v/>
      </c>
      <c r="Q42" s="7">
        <f>IF(G42&gt;0,MAX(0,G42-impuestos_scorpCostoAnual*C42),0)</f>
        <v/>
      </c>
      <c r="R42" s="7">
        <f>Q42*impuestos_scorpSalarioPct/(1+impuestos_ssTasa+impuestos_medicareTasa)</f>
        <v/>
      </c>
      <c r="S42" s="7">
        <f>impuestos_ssTasa*MIN(R42,MAX(0,impuestos_ssTope*C42-D42))+impuestos_medicareTasa*R42</f>
        <v/>
      </c>
      <c r="T42" s="7">
        <f>Q42-R42-S42</f>
        <v/>
      </c>
      <c r="U42" s="7">
        <f>D42+R42</f>
        <v/>
      </c>
      <c r="V42" s="7">
        <f>H42*0.9235</f>
        <v/>
      </c>
      <c r="W42" s="7">
        <f>IF(H42&gt;0,2*impuestos_ssTasa*MIN(V42,MAX(0,impuestos_ssTope*C42-U42))+2*impuestos_medicareTasa*V42,0)</f>
        <v/>
      </c>
      <c r="X42" s="7">
        <f>impuestos_ssTasa*MIN(U42,impuestos_ssTope*C42)+impuestos_medicareTasa*U42+impuestos_medicareAdicional*MAX(0,U42+H42*0.9235-impuestos_medicareUmbral)</f>
        <v/>
      </c>
      <c r="Y42" s="7">
        <f>MAX(0,D42-O42+R42+T42+H42-W42/2)</f>
        <v/>
      </c>
      <c r="Z42" s="7">
        <f>MAX(0,Y42-impuestos_deduccionEstandar*C42)</f>
        <v/>
      </c>
      <c r="AA42" s="7">
        <f>MIN(0.2*MAX(0,T42+H42-W42/2)*MAX(0,MIN(1,1-(Z42-impuestos_qbiUmbral*C42)/(impuestos_qbiRango*C42))),0.2*Z42)</f>
        <v/>
      </c>
      <c r="AB42" s="7">
        <f>MAX(0,Z42-AA42)</f>
        <v/>
      </c>
      <c r="AC42" s="7">
        <f>SUMPRODUCT((AB42&gt;tb_federalBrackets_lo*C42)*(AB42-tb_federalBrackets_lo*C42)*tb_federalBrackets_dr)</f>
        <v/>
      </c>
      <c r="AD42" s="7">
        <f>MAX(0,Y42-impuestos_nyDeduccion*C42)</f>
        <v/>
      </c>
      <c r="AE42" s="7">
        <f>CHOOSE(loc_taxcode,0,impuestos_ohTasa*MAX(0,Y42-impuestos_ohExento*C42)+impuestos_ohMunicipal*U42,SUMPRODUCT((AD42&gt;tb_nyBrackets_lo*C42)*(AD42-tb_nyBrackets_lo*C42)*tb_nyBrackets_dr)+loc_nyc*SUMPRODUCT((AD42&gt;tb_nycBrackets_lo*C42)*(AD42-tb_nycBrackets_lo*C42)*tb_nycBrackets_dr))</f>
        <v/>
      </c>
      <c r="AF42" s="7">
        <f>AC42+AE42+X42+W42</f>
        <v/>
      </c>
      <c r="AG42" s="7">
        <f>D42+F42+R42+T42+H42</f>
        <v/>
      </c>
      <c r="AH42" s="7">
        <f>AG42-AF42-O42</f>
        <v/>
      </c>
      <c r="AI42" s="7">
        <f>D42+F42+G42+H42</f>
        <v/>
      </c>
      <c r="AJ42" s="7">
        <f>loc_gastosVida*C42*g_gastos</f>
        <v/>
      </c>
      <c r="AK42" s="7">
        <f>IF(9=0,personal_liquidoInicial,DR41)</f>
        <v/>
      </c>
      <c r="AL42" s="7">
        <f>IF(9=0,0,BB41)</f>
        <v/>
      </c>
      <c r="AM42" s="7">
        <f>CHOOSE(sel_cfgIdx,loc_precio_duplex,loc_precio_inlaw,loc_precio_dosCasas,loc_precio_casaAdu,loc_precio_multi)</f>
        <v/>
      </c>
      <c r="AN42" s="7">
        <f>AM42*(1+g_appr)^(A42-2026)</f>
        <v/>
      </c>
      <c r="AO42" s="7">
        <f>IF(AND(M42=1,vivienda_prestamoMedico=1),1,0)</f>
        <v/>
      </c>
      <c r="AP42" s="7">
        <f>IF(AO42=1,0.05,vivienda_enganchePct)</f>
        <v/>
      </c>
      <c r="AQ42" s="7">
        <f>AN42*(1-AP42)</f>
        <v/>
      </c>
      <c r="AR42" s="7">
        <f>PMT(g_mortRate/12,vivienda_plazoHipoteca*12,-AQ42)</f>
        <v/>
      </c>
      <c r="AS42" s="7">
        <f>INDEX(cfg_units,sel_cfgIdx)</f>
        <v/>
      </c>
      <c r="AT42" s="7">
        <f>AS42*loc_rentaUnidad*(1+g_inf)^(A42-2026)*(1-vivienda_vacancia)</f>
        <v/>
      </c>
      <c r="AU42" s="7">
        <f>AR42+AN42*loc_impuestoPropPct/12+AM42*loc_seguroPct*(1+vivienda_inflacionSeguro)^(A42-2026)/12+IF(AND(AO42=0,AP42&lt;0.2),AQ42*vivienda_pmiTasa/12,0)</f>
        <v/>
      </c>
      <c r="AV42" s="7">
        <f>AN42*AP42+AN42*vivienda_cierrePct+general_reservaMeses/12*AJ42</f>
        <v/>
      </c>
      <c r="AW42" s="7">
        <f>(IF(9=0,MIN(personal_irsSaldo,personal_irsPagoMensual*12),MIN(CD41,personal_irsPagoMensual*12))+IF(CE42&gt;0,PMT(CF42,MAX(1,prestamos_plazoAnios-CG42),-CE42),0)+IF(CR42&gt;0,PMT(CS42,MAX(1,prestamos_plazoAnios-CT42),-CR42),0))/12</f>
        <v/>
      </c>
      <c r="AX42" s="7">
        <f>IF(OR(sel_cfg="duplex",sel_cfg="multi",sel_cfg="dosCasas"),0.75*personal_aporteFamiliaMensual,0)</f>
        <v/>
      </c>
      <c r="AY42" s="7">
        <f>AU42-0.75*AT42-AX42+AW42</f>
        <v/>
      </c>
      <c r="AZ42" s="7">
        <f>(D42+G42+H42+0.5*F42)/12</f>
        <v/>
      </c>
      <c r="BA42" s="7">
        <f>IF(AND(AL42=0,A42&gt;=vivienda_anioMinCompra,J42&lt;0.5,AI42&gt;0,AK42&gt;=AV42,AY42&lt;=vivienda_dtiMax*AZ42),1,0)</f>
        <v/>
      </c>
      <c r="BB42" s="7">
        <f>MAX(AL42,BA42)</f>
        <v/>
      </c>
      <c r="BC42" s="7">
        <f>IF(BA42=1,A42,IF(9=0,"",BC41))</f>
        <v/>
      </c>
      <c r="BD42" s="7">
        <f>AK42-IF(BA42=1,AN42*AP42+AN42*vivienda_cierrePct,0)</f>
        <v/>
      </c>
      <c r="BE42" s="7">
        <f>IF(BA42=1,AN42,IF(9=0,0,BE41))</f>
        <v/>
      </c>
      <c r="BF42" s="7">
        <f>IF(BA42=1,AR42,IF(9=0,0,BF41))</f>
        <v/>
      </c>
      <c r="BG42" s="7">
        <f>IF(BA42=1,IF(AND(AO42=0,AP42&lt;0.2),1,0),IF(9=0,0,BY41))</f>
        <v/>
      </c>
      <c r="BH42" s="7">
        <f>IF(sel_cfg="casaAdu",1,0)</f>
        <v/>
      </c>
      <c r="BI42" s="7">
        <f>IF(AND(BB42=1,BH42=1,IF(9=0,0,BJ41)=0,A42&gt;=IF(BC42="",9999,BC42)+vivienda_aduRetrasoAnios),1,0)</f>
        <v/>
      </c>
      <c r="BJ42" s="7">
        <f>MAX(IF(9=0,0,BJ41),BI42)</f>
        <v/>
      </c>
      <c r="BK42" s="7">
        <f>IF(BI42=1,PMT((g_mortRate+0.005)/12,180,-loc_precio_aduCosto*C42),IF(9=0,0,BK41))</f>
        <v/>
      </c>
      <c r="BL42" s="7">
        <f>IF(BA42=1,AN42,IF(9=0,0,DT41))+IF(BI42=1,loc_precio_aduCosto*C42,0)</f>
        <v/>
      </c>
      <c r="BM42" s="7">
        <f>IF(BA42=1,AQ42,IF(9=0,0,DU41))</f>
        <v/>
      </c>
      <c r="BN42" s="7">
        <f>IF(BM42&lt;=0,0,FV(g_mortRate/12,12,BF42,-BM42))</f>
        <v/>
      </c>
      <c r="BO42" s="7">
        <f>IF(BM42&lt;=0,0,12*BF42+MIN(0,BN42))</f>
        <v/>
      </c>
      <c r="BP42" s="7">
        <f>MAX(0,BN42)</f>
        <v/>
      </c>
      <c r="BQ42" s="7">
        <f>IF(BI42=1,loc_precio_aduCosto*C42,IF(9=0,0,DV41))</f>
        <v/>
      </c>
      <c r="BR42" s="7">
        <f>IF(BQ42&lt;=0,0,FV((g_mortRate+0.005)/12,12,BK42,-BQ42))</f>
        <v/>
      </c>
      <c r="BS42" s="7">
        <f>IF(BQ42&lt;=0,0,12*BK42+MIN(0,BR42))</f>
        <v/>
      </c>
      <c r="BT42" s="7">
        <f>MAX(0,BR42)</f>
        <v/>
      </c>
      <c r="BU42" s="7">
        <f>IF(BB42=1,AM42*loc_seguroPct*(1+vivienda_inflacionSeguro)^(A42-2026)*IF(BJ42=1,1+loc_precio_aduCosto/AM42,1),0)</f>
        <v/>
      </c>
      <c r="BV42" s="7">
        <f>BL42*loc_impuestoPropPct</f>
        <v/>
      </c>
      <c r="BW42" s="7">
        <f>BL42*vivienda_mantenimientoPct</f>
        <v/>
      </c>
      <c r="BX42" s="7">
        <f>IF(AND(BG42=1,BP42&gt;0.8*BE42),BE42*(1-vivienda_enganchePct)*vivienda_pmiTasa,0)</f>
        <v/>
      </c>
      <c r="BY42" s="7">
        <f>IF(AND(BG42=1,BP42&gt;0.8*BE42),1,0)</f>
        <v/>
      </c>
      <c r="BZ42" s="7">
        <f>IF(BB42=1,AS42*loc_rentaUnidad*12*C42*(1-vivienda_vacancia)*(1-vivienda_gestionPct),0)</f>
        <v/>
      </c>
      <c r="CA42" s="7">
        <f>IF(BB42=1,BO42+BS42+BU42+BV42+BW42+BX42,loc_rentaMensual*12*C42)</f>
        <v/>
      </c>
      <c r="CB42" s="7">
        <f>IF(BB42=1,personal_aporteFamiliaMensual*12,0)</f>
        <v/>
      </c>
      <c r="CC42" s="7">
        <f>MIN(IF(9=0,personal_irsSaldo,CD41),personal_irsPagoMensual*12)</f>
        <v/>
      </c>
      <c r="CD42" s="7">
        <f>IF(9=0,personal_irsSaldo,CD41)-CC42</f>
        <v/>
      </c>
      <c r="CE42" s="7">
        <f>IF(9=0,IF(personal_deudaEsFederal=1,personal_deudaEstudiantil,0),DW41)</f>
        <v/>
      </c>
      <c r="CF42" s="7">
        <f>IF(9=0,personal_tasaDeudaEstudiantil,DX41)</f>
        <v/>
      </c>
      <c r="CG42" s="7">
        <f>IF(9=0,0,DY41)</f>
        <v/>
      </c>
      <c r="CH42" s="7">
        <f>IF(J42&gt;=0.5,1,0)</f>
        <v/>
      </c>
      <c r="CI42" s="7">
        <f>IF(AND(CH42=0,prestamos_pslfActivo=1,K42&gt;=0.5,CE42&gt;0),1,0)</f>
        <v/>
      </c>
      <c r="CJ42" s="7">
        <f>CE42*CF42</f>
        <v/>
      </c>
      <c r="CK42" s="7">
        <f>MAX(prestamos_rapPagoMinimoAnual,IF(Y42&lt;10000,0,MIN(0.1,INT(Y42/10000)/100))*Y42)</f>
        <v/>
      </c>
      <c r="CL42" s="7">
        <f>IF(CE42&lt;=0,0,IF(CH42=1,0,IF(CI42=1,MIN(CE42+CJ42,CK42),PMT(CF42,MAX(1,prestamos_plazoAnios-CG42),-CE42))))</f>
        <v/>
      </c>
      <c r="CM42" s="7">
        <f>IF(CE42&lt;=0,0,IF(CH42=1,CE42+CJ42,IF(CI42=1,MAX(0,CE42-MAX(CL42-CJ42,MIN(600,CL42))),MAX(0,CE42*(1+CF42)-CL42))))</f>
        <v/>
      </c>
      <c r="CN42" s="7">
        <f>IF(9=0,0,CN41)+IF(CI42=1,12*MIN(1,K42),0)</f>
        <v/>
      </c>
      <c r="CO42" s="7">
        <f>IF(AND(CI42=1,CN42&gt;=prestamos_pslfPagos,CM42&gt;0),CM42,0)</f>
        <v/>
      </c>
      <c r="CP42" s="7">
        <f>CM42-CO42</f>
        <v/>
      </c>
      <c r="CQ42" s="7">
        <f>IF(AND(CE42&gt;0,CH42=0,CI42=0),CG42+1,CG42)</f>
        <v/>
      </c>
      <c r="CR42" s="7">
        <f>IF(9=0,IF(personal_deudaEsFederal=1,0,personal_deudaEstudiantil),EA41)</f>
        <v/>
      </c>
      <c r="CS42" s="7">
        <f>IF(9=0,IF(personal_deudaEsFederal=1,prestamos_tasaPrivada,personal_tasaDeudaEstudiantil),EB41)</f>
        <v/>
      </c>
      <c r="CT42" s="7">
        <f>IF(9=0,0,EC41)</f>
        <v/>
      </c>
      <c r="CU42" s="7">
        <f>IF(OR(CR42&lt;=0,CH42=1),0,PMT(CS42,MAX(1,prestamos_plazoAnios-CT42),-CR42))</f>
        <v/>
      </c>
      <c r="CV42" s="7">
        <f>IF(CR42&lt;=0,0,IF(CH42=1,CR42*(1+CS42),MAX(0,CR42*(1+CS42)-CU42)))</f>
        <v/>
      </c>
      <c r="CW42" s="7">
        <f>IF(AND(CR42&gt;0,CH42=0),CT42+1,CT42)</f>
        <v/>
      </c>
      <c r="CX42" s="7">
        <f>IF(9=0,0,ED41)*(1+general_tasaDeudaConsumo)</f>
        <v/>
      </c>
      <c r="CY42" s="7">
        <f>L42*12*tiempos_travelGastoExtraMes*C42</f>
        <v/>
      </c>
      <c r="CZ42" s="7">
        <f>AJ42+CY42+CA42+CC42+CL42+CU42+I42+N42-BZ42-CB42</f>
        <v/>
      </c>
      <c r="DA42" s="7">
        <f>AH42-CZ42</f>
        <v/>
      </c>
      <c r="DB42" s="7">
        <f>IF(9=0,0,DB41)+DA42</f>
        <v/>
      </c>
      <c r="DC42" s="7">
        <f>AN42*vivienda_enganchePct+AN42*vivienda_cierrePct+general_reservaMeses/12*AJ42</f>
        <v/>
      </c>
      <c r="DD42" s="7">
        <f>IF(BB42=1,g_ret,IF(BD42&gt;0,MIN(1,DC42/BD42),1)*g_cash+(1-IF(BD42&gt;0,MIN(1,DC42/BD42),1))*g_ret)</f>
        <v/>
      </c>
      <c r="DE42" s="7">
        <f>IF(DA42&gt;=0,MIN(CX42,DA42),0)</f>
        <v/>
      </c>
      <c r="DF42" s="7">
        <f>IF(DA42&gt;=0,(1-general_tasaAhorro)*(DA42-DE42),0)</f>
        <v/>
      </c>
      <c r="DG42" s="7">
        <f>IF(DA42&gt;=0,DA42-DE42-DF42,0)</f>
        <v/>
      </c>
      <c r="DH42" s="7">
        <f>MIN(personal_rothAnual,DG42)</f>
        <v/>
      </c>
      <c r="DI42" s="7">
        <f>IF(AND(DA42&gt;=0,BB42=1,BP42+BT42&gt;0),MIN(vivienda_prepagoPct*(DG42-DH42),BP42+BT42),0)</f>
        <v/>
      </c>
      <c r="DJ42" s="7">
        <f>MIN(DI42,BP42)</f>
        <v/>
      </c>
      <c r="DK42" s="7">
        <f>IF(DA42&lt;0,MIN(MAX(0,BD42),-DA42),0)</f>
        <v/>
      </c>
      <c r="DL42" s="7">
        <f>IF(DA42&lt;0,-DA42-DK42,0)</f>
        <v/>
      </c>
      <c r="DM42" s="7">
        <f>IF(9=0,0,DZ41)</f>
        <v/>
      </c>
      <c r="DN42" s="7">
        <f>IF(AND(DL42&gt;0,J42&gt;0),MIN(DL42,MIN(prestamos_topeAnualPosgrado*MIN(1,J42),MAX(0,prestamos_topeTotalPosgrado-DM42))),0)</f>
        <v/>
      </c>
      <c r="DO42" s="7">
        <f>IF(AND(DL42&gt;0,J42&gt;0),DL42-DN42,0)</f>
        <v/>
      </c>
      <c r="DP42" s="7">
        <f>IF(AND(DL42&gt;0,J42&lt;=0),DL42,0)</f>
        <v/>
      </c>
      <c r="DQ42" s="7">
        <f>IF(DA42&gt;=0,DG42-DH42-DI42,-DK42)</f>
        <v/>
      </c>
      <c r="DR42" s="7">
        <f>BD42*(1+DD42)+DQ42*(1+DD42/2)</f>
        <v/>
      </c>
      <c r="DS42" s="7">
        <f>IF(9=0,personal_retiroInicial,DS41)*(1+g_ret)+(O42+P42+DH42)*(1+g_ret/2)</f>
        <v/>
      </c>
      <c r="DT42" s="7">
        <f>IF(BB42=1,BL42*(1+g_appr),0)</f>
        <v/>
      </c>
      <c r="DU42" s="7">
        <f>BP42-DJ42</f>
        <v/>
      </c>
      <c r="DV42" s="7">
        <f>BT42-(DI42-DJ42)</f>
        <v/>
      </c>
      <c r="DW42" s="7">
        <f>CP42+DN42</f>
        <v/>
      </c>
      <c r="DX42" s="7">
        <f>IF(DN42&gt;0,(CP42*CF42+DN42*prestamos_tasaFederalPosgrado)/(CP42+DN42),CF42)</f>
        <v/>
      </c>
      <c r="DY42" s="7">
        <f>IF(DN42&gt;0,0,CQ42)</f>
        <v/>
      </c>
      <c r="DZ42" s="7">
        <f>DM42+DN42</f>
        <v/>
      </c>
      <c r="EA42" s="7">
        <f>CV42+DO42</f>
        <v/>
      </c>
      <c r="EB42" s="7">
        <f>IF(DO42&gt;0,(CV42*CS42+DO42*prestamos_tasaPrivada)/(CV42+DO42),CS42)</f>
        <v/>
      </c>
      <c r="EC42" s="7">
        <f>IF(DO42&gt;0,0,CW42)</f>
        <v/>
      </c>
      <c r="ED42" s="7">
        <f>CX42-DE42+DP42</f>
        <v/>
      </c>
      <c r="EE42" s="7">
        <f>IF(IF(9=0,"",EE41)&lt;&gt;"",EE41,IF(AND(BB42=1,DU42&lt;=0.5,DV42&lt;=0.5,OR(BH42=0,BJ42=1)),A42,""))</f>
        <v/>
      </c>
      <c r="EF42" s="7">
        <f>DU42+DV42+DW42+EA42+ED42+CD42</f>
        <v/>
      </c>
      <c r="EG42" s="7">
        <f>DR42+DS42+DT42-EF42</f>
        <v/>
      </c>
      <c r="EH42" s="7">
        <f>EG42/(1+g_inf)^(A42+1-2026)</f>
        <v/>
      </c>
    </row>
    <row r="43">
      <c r="A43" t="n">
        <v>2037</v>
      </c>
      <c r="B43" t="n">
        <v>10</v>
      </c>
      <c r="C43" s="7">
        <f>(1+g_inf)^(A43-2026)</f>
        <v/>
      </c>
      <c r="D43" s="7">
        <f>SUMPRODUCT($AD$5:$AD$29,$E$5:$E$29*(1+$F$5:$F$29)^(A43-2026)*$G$5:$G$29*$H$5:$H$29*(1-$N$5:$N$29*$O$5:$O$29))*g_salMult+SUMPRODUCT(($B$5:$B$29&gt;=A43)*($B$5:$B$29&lt;A43+1)*$I$5:$I$29)*g_salMult</f>
        <v/>
      </c>
      <c r="E43" s="7">
        <f>SUMPRODUCT($AD$5:$AD$29,$E$5:$E$29*(1+$F$5:$F$29)^(A43-2026)*$G$5:$G$29*$H$5:$H$29*$M$5:$M$29)*g_salMult</f>
        <v/>
      </c>
      <c r="F43" s="7">
        <f>SUMPRODUCT($AD$5:$AD$29,$E$5:$E$29*(1+$F$5:$F$29)^(A43-2026)*$G$5:$G$29*$H$5:$H$29*$N$5:$N$29*$O$5:$O$29)*g_salMult</f>
        <v/>
      </c>
      <c r="G43" s="7">
        <f>SUMPRODUCT($AD$5:$AD$29,$P$5:$P$29*(1+$F$5:$F$29)^(A43-2026))</f>
        <v/>
      </c>
      <c r="H43" s="7">
        <f>SUMPRODUCT($AD$5:$AD$29,$Q$5:$Q$29*(1+$F$5:$F$29)^(A43-2026))+IF(personal_llcActivo=1,personal_llcNeto*(1+personal_llcCrecimiento)^10,0)</f>
        <v/>
      </c>
      <c r="I43" s="7">
        <f>SUMPRODUCT($AD$5:$AD$29,$J$5:$J$29/($C$5:$C$29-$B$5:$B$29+($C$5:$C$29=$B$5:$B$29)))*C43</f>
        <v/>
      </c>
      <c r="J43" s="7">
        <f>SUMPRODUCT($AD$5:$AD$29,$K$5:$K$29)</f>
        <v/>
      </c>
      <c r="K43" s="7">
        <f>SUMPRODUCT($AD$5:$AD$29,$L$5:$L$29)</f>
        <v/>
      </c>
      <c r="L43" s="7">
        <f>SUMPRODUCT($AD$5:$AD$29,$N$5:$N$29)</f>
        <v/>
      </c>
      <c r="M43" s="7">
        <f>IF(SUMPRODUCT($AD$5:$AD$29,$R$5:$R$29)&gt;0,1,0)</f>
        <v/>
      </c>
      <c r="N43" s="7">
        <f>SUMPRODUCT(($AO$5:$AO$24&gt;=A43)*($AO$5:$AO$24&lt;A43+1)*$AP$5:$AP$24)*C43+IF(10=0,IF(sel_loc&lt;&gt;"miami",personal_costoMudanzaInicial,0),0)</f>
        <v/>
      </c>
      <c r="O43" s="7">
        <f>MIN(personal_aporte403bPct*D43,retiro_limite403b*C43)</f>
        <v/>
      </c>
      <c r="P43" s="7">
        <f>MIN(personal_aporte403bPct,personal_match403bPct)*E43</f>
        <v/>
      </c>
      <c r="Q43" s="7">
        <f>IF(G43&gt;0,MAX(0,G43-impuestos_scorpCostoAnual*C43),0)</f>
        <v/>
      </c>
      <c r="R43" s="7">
        <f>Q43*impuestos_scorpSalarioPct/(1+impuestos_ssTasa+impuestos_medicareTasa)</f>
        <v/>
      </c>
      <c r="S43" s="7">
        <f>impuestos_ssTasa*MIN(R43,MAX(0,impuestos_ssTope*C43-D43))+impuestos_medicareTasa*R43</f>
        <v/>
      </c>
      <c r="T43" s="7">
        <f>Q43-R43-S43</f>
        <v/>
      </c>
      <c r="U43" s="7">
        <f>D43+R43</f>
        <v/>
      </c>
      <c r="V43" s="7">
        <f>H43*0.9235</f>
        <v/>
      </c>
      <c r="W43" s="7">
        <f>IF(H43&gt;0,2*impuestos_ssTasa*MIN(V43,MAX(0,impuestos_ssTope*C43-U43))+2*impuestos_medicareTasa*V43,0)</f>
        <v/>
      </c>
      <c r="X43" s="7">
        <f>impuestos_ssTasa*MIN(U43,impuestos_ssTope*C43)+impuestos_medicareTasa*U43+impuestos_medicareAdicional*MAX(0,U43+H43*0.9235-impuestos_medicareUmbral)</f>
        <v/>
      </c>
      <c r="Y43" s="7">
        <f>MAX(0,D43-O43+R43+T43+H43-W43/2)</f>
        <v/>
      </c>
      <c r="Z43" s="7">
        <f>MAX(0,Y43-impuestos_deduccionEstandar*C43)</f>
        <v/>
      </c>
      <c r="AA43" s="7">
        <f>MIN(0.2*MAX(0,T43+H43-W43/2)*MAX(0,MIN(1,1-(Z43-impuestos_qbiUmbral*C43)/(impuestos_qbiRango*C43))),0.2*Z43)</f>
        <v/>
      </c>
      <c r="AB43" s="7">
        <f>MAX(0,Z43-AA43)</f>
        <v/>
      </c>
      <c r="AC43" s="7">
        <f>SUMPRODUCT((AB43&gt;tb_federalBrackets_lo*C43)*(AB43-tb_federalBrackets_lo*C43)*tb_federalBrackets_dr)</f>
        <v/>
      </c>
      <c r="AD43" s="7">
        <f>MAX(0,Y43-impuestos_nyDeduccion*C43)</f>
        <v/>
      </c>
      <c r="AE43" s="7">
        <f>CHOOSE(loc_taxcode,0,impuestos_ohTasa*MAX(0,Y43-impuestos_ohExento*C43)+impuestos_ohMunicipal*U43,SUMPRODUCT((AD43&gt;tb_nyBrackets_lo*C43)*(AD43-tb_nyBrackets_lo*C43)*tb_nyBrackets_dr)+loc_nyc*SUMPRODUCT((AD43&gt;tb_nycBrackets_lo*C43)*(AD43-tb_nycBrackets_lo*C43)*tb_nycBrackets_dr))</f>
        <v/>
      </c>
      <c r="AF43" s="7">
        <f>AC43+AE43+X43+W43</f>
        <v/>
      </c>
      <c r="AG43" s="7">
        <f>D43+F43+R43+T43+H43</f>
        <v/>
      </c>
      <c r="AH43" s="7">
        <f>AG43-AF43-O43</f>
        <v/>
      </c>
      <c r="AI43" s="7">
        <f>D43+F43+G43+H43</f>
        <v/>
      </c>
      <c r="AJ43" s="7">
        <f>loc_gastosVida*C43*g_gastos</f>
        <v/>
      </c>
      <c r="AK43" s="7">
        <f>IF(10=0,personal_liquidoInicial,DR42)</f>
        <v/>
      </c>
      <c r="AL43" s="7">
        <f>IF(10=0,0,BB42)</f>
        <v/>
      </c>
      <c r="AM43" s="7">
        <f>CHOOSE(sel_cfgIdx,loc_precio_duplex,loc_precio_inlaw,loc_precio_dosCasas,loc_precio_casaAdu,loc_precio_multi)</f>
        <v/>
      </c>
      <c r="AN43" s="7">
        <f>AM43*(1+g_appr)^(A43-2026)</f>
        <v/>
      </c>
      <c r="AO43" s="7">
        <f>IF(AND(M43=1,vivienda_prestamoMedico=1),1,0)</f>
        <v/>
      </c>
      <c r="AP43" s="7">
        <f>IF(AO43=1,0.05,vivienda_enganchePct)</f>
        <v/>
      </c>
      <c r="AQ43" s="7">
        <f>AN43*(1-AP43)</f>
        <v/>
      </c>
      <c r="AR43" s="7">
        <f>PMT(g_mortRate/12,vivienda_plazoHipoteca*12,-AQ43)</f>
        <v/>
      </c>
      <c r="AS43" s="7">
        <f>INDEX(cfg_units,sel_cfgIdx)</f>
        <v/>
      </c>
      <c r="AT43" s="7">
        <f>AS43*loc_rentaUnidad*(1+g_inf)^(A43-2026)*(1-vivienda_vacancia)</f>
        <v/>
      </c>
      <c r="AU43" s="7">
        <f>AR43+AN43*loc_impuestoPropPct/12+AM43*loc_seguroPct*(1+vivienda_inflacionSeguro)^(A43-2026)/12+IF(AND(AO43=0,AP43&lt;0.2),AQ43*vivienda_pmiTasa/12,0)</f>
        <v/>
      </c>
      <c r="AV43" s="7">
        <f>AN43*AP43+AN43*vivienda_cierrePct+general_reservaMeses/12*AJ43</f>
        <v/>
      </c>
      <c r="AW43" s="7">
        <f>(IF(10=0,MIN(personal_irsSaldo,personal_irsPagoMensual*12),MIN(CD42,personal_irsPagoMensual*12))+IF(CE43&gt;0,PMT(CF43,MAX(1,prestamos_plazoAnios-CG43),-CE43),0)+IF(CR43&gt;0,PMT(CS43,MAX(1,prestamos_plazoAnios-CT43),-CR43),0))/12</f>
        <v/>
      </c>
      <c r="AX43" s="7">
        <f>IF(OR(sel_cfg="duplex",sel_cfg="multi",sel_cfg="dosCasas"),0.75*personal_aporteFamiliaMensual,0)</f>
        <v/>
      </c>
      <c r="AY43" s="7">
        <f>AU43-0.75*AT43-AX43+AW43</f>
        <v/>
      </c>
      <c r="AZ43" s="7">
        <f>(D43+G43+H43+0.5*F43)/12</f>
        <v/>
      </c>
      <c r="BA43" s="7">
        <f>IF(AND(AL43=0,A43&gt;=vivienda_anioMinCompra,J43&lt;0.5,AI43&gt;0,AK43&gt;=AV43,AY43&lt;=vivienda_dtiMax*AZ43),1,0)</f>
        <v/>
      </c>
      <c r="BB43" s="7">
        <f>MAX(AL43,BA43)</f>
        <v/>
      </c>
      <c r="BC43" s="7">
        <f>IF(BA43=1,A43,IF(10=0,"",BC42))</f>
        <v/>
      </c>
      <c r="BD43" s="7">
        <f>AK43-IF(BA43=1,AN43*AP43+AN43*vivienda_cierrePct,0)</f>
        <v/>
      </c>
      <c r="BE43" s="7">
        <f>IF(BA43=1,AN43,IF(10=0,0,BE42))</f>
        <v/>
      </c>
      <c r="BF43" s="7">
        <f>IF(BA43=1,AR43,IF(10=0,0,BF42))</f>
        <v/>
      </c>
      <c r="BG43" s="7">
        <f>IF(BA43=1,IF(AND(AO43=0,AP43&lt;0.2),1,0),IF(10=0,0,BY42))</f>
        <v/>
      </c>
      <c r="BH43" s="7">
        <f>IF(sel_cfg="casaAdu",1,0)</f>
        <v/>
      </c>
      <c r="BI43" s="7">
        <f>IF(AND(BB43=1,BH43=1,IF(10=0,0,BJ42)=0,A43&gt;=IF(BC43="",9999,BC43)+vivienda_aduRetrasoAnios),1,0)</f>
        <v/>
      </c>
      <c r="BJ43" s="7">
        <f>MAX(IF(10=0,0,BJ42),BI43)</f>
        <v/>
      </c>
      <c r="BK43" s="7">
        <f>IF(BI43=1,PMT((g_mortRate+0.005)/12,180,-loc_precio_aduCosto*C43),IF(10=0,0,BK42))</f>
        <v/>
      </c>
      <c r="BL43" s="7">
        <f>IF(BA43=1,AN43,IF(10=0,0,DT42))+IF(BI43=1,loc_precio_aduCosto*C43,0)</f>
        <v/>
      </c>
      <c r="BM43" s="7">
        <f>IF(BA43=1,AQ43,IF(10=0,0,DU42))</f>
        <v/>
      </c>
      <c r="BN43" s="7">
        <f>IF(BM43&lt;=0,0,FV(g_mortRate/12,12,BF43,-BM43))</f>
        <v/>
      </c>
      <c r="BO43" s="7">
        <f>IF(BM43&lt;=0,0,12*BF43+MIN(0,BN43))</f>
        <v/>
      </c>
      <c r="BP43" s="7">
        <f>MAX(0,BN43)</f>
        <v/>
      </c>
      <c r="BQ43" s="7">
        <f>IF(BI43=1,loc_precio_aduCosto*C43,IF(10=0,0,DV42))</f>
        <v/>
      </c>
      <c r="BR43" s="7">
        <f>IF(BQ43&lt;=0,0,FV((g_mortRate+0.005)/12,12,BK43,-BQ43))</f>
        <v/>
      </c>
      <c r="BS43" s="7">
        <f>IF(BQ43&lt;=0,0,12*BK43+MIN(0,BR43))</f>
        <v/>
      </c>
      <c r="BT43" s="7">
        <f>MAX(0,BR43)</f>
        <v/>
      </c>
      <c r="BU43" s="7">
        <f>IF(BB43=1,AM43*loc_seguroPct*(1+vivienda_inflacionSeguro)^(A43-2026)*IF(BJ43=1,1+loc_precio_aduCosto/AM43,1),0)</f>
        <v/>
      </c>
      <c r="BV43" s="7">
        <f>BL43*loc_impuestoPropPct</f>
        <v/>
      </c>
      <c r="BW43" s="7">
        <f>BL43*vivienda_mantenimientoPct</f>
        <v/>
      </c>
      <c r="BX43" s="7">
        <f>IF(AND(BG43=1,BP43&gt;0.8*BE43),BE43*(1-vivienda_enganchePct)*vivienda_pmiTasa,0)</f>
        <v/>
      </c>
      <c r="BY43" s="7">
        <f>IF(AND(BG43=1,BP43&gt;0.8*BE43),1,0)</f>
        <v/>
      </c>
      <c r="BZ43" s="7">
        <f>IF(BB43=1,AS43*loc_rentaUnidad*12*C43*(1-vivienda_vacancia)*(1-vivienda_gestionPct),0)</f>
        <v/>
      </c>
      <c r="CA43" s="7">
        <f>IF(BB43=1,BO43+BS43+BU43+BV43+BW43+BX43,loc_rentaMensual*12*C43)</f>
        <v/>
      </c>
      <c r="CB43" s="7">
        <f>IF(BB43=1,personal_aporteFamiliaMensual*12,0)</f>
        <v/>
      </c>
      <c r="CC43" s="7">
        <f>MIN(IF(10=0,personal_irsSaldo,CD42),personal_irsPagoMensual*12)</f>
        <v/>
      </c>
      <c r="CD43" s="7">
        <f>IF(10=0,personal_irsSaldo,CD42)-CC43</f>
        <v/>
      </c>
      <c r="CE43" s="7">
        <f>IF(10=0,IF(personal_deudaEsFederal=1,personal_deudaEstudiantil,0),DW42)</f>
        <v/>
      </c>
      <c r="CF43" s="7">
        <f>IF(10=0,personal_tasaDeudaEstudiantil,DX42)</f>
        <v/>
      </c>
      <c r="CG43" s="7">
        <f>IF(10=0,0,DY42)</f>
        <v/>
      </c>
      <c r="CH43" s="7">
        <f>IF(J43&gt;=0.5,1,0)</f>
        <v/>
      </c>
      <c r="CI43" s="7">
        <f>IF(AND(CH43=0,prestamos_pslfActivo=1,K43&gt;=0.5,CE43&gt;0),1,0)</f>
        <v/>
      </c>
      <c r="CJ43" s="7">
        <f>CE43*CF43</f>
        <v/>
      </c>
      <c r="CK43" s="7">
        <f>MAX(prestamos_rapPagoMinimoAnual,IF(Y43&lt;10000,0,MIN(0.1,INT(Y43/10000)/100))*Y43)</f>
        <v/>
      </c>
      <c r="CL43" s="7">
        <f>IF(CE43&lt;=0,0,IF(CH43=1,0,IF(CI43=1,MIN(CE43+CJ43,CK43),PMT(CF43,MAX(1,prestamos_plazoAnios-CG43),-CE43))))</f>
        <v/>
      </c>
      <c r="CM43" s="7">
        <f>IF(CE43&lt;=0,0,IF(CH43=1,CE43+CJ43,IF(CI43=1,MAX(0,CE43-MAX(CL43-CJ43,MIN(600,CL43))),MAX(0,CE43*(1+CF43)-CL43))))</f>
        <v/>
      </c>
      <c r="CN43" s="7">
        <f>IF(10=0,0,CN42)+IF(CI43=1,12*MIN(1,K43),0)</f>
        <v/>
      </c>
      <c r="CO43" s="7">
        <f>IF(AND(CI43=1,CN43&gt;=prestamos_pslfPagos,CM43&gt;0),CM43,0)</f>
        <v/>
      </c>
      <c r="CP43" s="7">
        <f>CM43-CO43</f>
        <v/>
      </c>
      <c r="CQ43" s="7">
        <f>IF(AND(CE43&gt;0,CH43=0,CI43=0),CG43+1,CG43)</f>
        <v/>
      </c>
      <c r="CR43" s="7">
        <f>IF(10=0,IF(personal_deudaEsFederal=1,0,personal_deudaEstudiantil),EA42)</f>
        <v/>
      </c>
      <c r="CS43" s="7">
        <f>IF(10=0,IF(personal_deudaEsFederal=1,prestamos_tasaPrivada,personal_tasaDeudaEstudiantil),EB42)</f>
        <v/>
      </c>
      <c r="CT43" s="7">
        <f>IF(10=0,0,EC42)</f>
        <v/>
      </c>
      <c r="CU43" s="7">
        <f>IF(OR(CR43&lt;=0,CH43=1),0,PMT(CS43,MAX(1,prestamos_plazoAnios-CT43),-CR43))</f>
        <v/>
      </c>
      <c r="CV43" s="7">
        <f>IF(CR43&lt;=0,0,IF(CH43=1,CR43*(1+CS43),MAX(0,CR43*(1+CS43)-CU43)))</f>
        <v/>
      </c>
      <c r="CW43" s="7">
        <f>IF(AND(CR43&gt;0,CH43=0),CT43+1,CT43)</f>
        <v/>
      </c>
      <c r="CX43" s="7">
        <f>IF(10=0,0,ED42)*(1+general_tasaDeudaConsumo)</f>
        <v/>
      </c>
      <c r="CY43" s="7">
        <f>L43*12*tiempos_travelGastoExtraMes*C43</f>
        <v/>
      </c>
      <c r="CZ43" s="7">
        <f>AJ43+CY43+CA43+CC43+CL43+CU43+I43+N43-BZ43-CB43</f>
        <v/>
      </c>
      <c r="DA43" s="7">
        <f>AH43-CZ43</f>
        <v/>
      </c>
      <c r="DB43" s="7">
        <f>IF(10=0,0,DB42)+DA43</f>
        <v/>
      </c>
      <c r="DC43" s="7">
        <f>AN43*vivienda_enganchePct+AN43*vivienda_cierrePct+general_reservaMeses/12*AJ43</f>
        <v/>
      </c>
      <c r="DD43" s="7">
        <f>IF(BB43=1,g_ret,IF(BD43&gt;0,MIN(1,DC43/BD43),1)*g_cash+(1-IF(BD43&gt;0,MIN(1,DC43/BD43),1))*g_ret)</f>
        <v/>
      </c>
      <c r="DE43" s="7">
        <f>IF(DA43&gt;=0,MIN(CX43,DA43),0)</f>
        <v/>
      </c>
      <c r="DF43" s="7">
        <f>IF(DA43&gt;=0,(1-general_tasaAhorro)*(DA43-DE43),0)</f>
        <v/>
      </c>
      <c r="DG43" s="7">
        <f>IF(DA43&gt;=0,DA43-DE43-DF43,0)</f>
        <v/>
      </c>
      <c r="DH43" s="7">
        <f>MIN(personal_rothAnual,DG43)</f>
        <v/>
      </c>
      <c r="DI43" s="7">
        <f>IF(AND(DA43&gt;=0,BB43=1,BP43+BT43&gt;0),MIN(vivienda_prepagoPct*(DG43-DH43),BP43+BT43),0)</f>
        <v/>
      </c>
      <c r="DJ43" s="7">
        <f>MIN(DI43,BP43)</f>
        <v/>
      </c>
      <c r="DK43" s="7">
        <f>IF(DA43&lt;0,MIN(MAX(0,BD43),-DA43),0)</f>
        <v/>
      </c>
      <c r="DL43" s="7">
        <f>IF(DA43&lt;0,-DA43-DK43,0)</f>
        <v/>
      </c>
      <c r="DM43" s="7">
        <f>IF(10=0,0,DZ42)</f>
        <v/>
      </c>
      <c r="DN43" s="7">
        <f>IF(AND(DL43&gt;0,J43&gt;0),MIN(DL43,MIN(prestamos_topeAnualPosgrado*MIN(1,J43),MAX(0,prestamos_topeTotalPosgrado-DM43))),0)</f>
        <v/>
      </c>
      <c r="DO43" s="7">
        <f>IF(AND(DL43&gt;0,J43&gt;0),DL43-DN43,0)</f>
        <v/>
      </c>
      <c r="DP43" s="7">
        <f>IF(AND(DL43&gt;0,J43&lt;=0),DL43,0)</f>
        <v/>
      </c>
      <c r="DQ43" s="7">
        <f>IF(DA43&gt;=0,DG43-DH43-DI43,-DK43)</f>
        <v/>
      </c>
      <c r="DR43" s="7">
        <f>BD43*(1+DD43)+DQ43*(1+DD43/2)</f>
        <v/>
      </c>
      <c r="DS43" s="7">
        <f>IF(10=0,personal_retiroInicial,DS42)*(1+g_ret)+(O43+P43+DH43)*(1+g_ret/2)</f>
        <v/>
      </c>
      <c r="DT43" s="7">
        <f>IF(BB43=1,BL43*(1+g_appr),0)</f>
        <v/>
      </c>
      <c r="DU43" s="7">
        <f>BP43-DJ43</f>
        <v/>
      </c>
      <c r="DV43" s="7">
        <f>BT43-(DI43-DJ43)</f>
        <v/>
      </c>
      <c r="DW43" s="7">
        <f>CP43+DN43</f>
        <v/>
      </c>
      <c r="DX43" s="7">
        <f>IF(DN43&gt;0,(CP43*CF43+DN43*prestamos_tasaFederalPosgrado)/(CP43+DN43),CF43)</f>
        <v/>
      </c>
      <c r="DY43" s="7">
        <f>IF(DN43&gt;0,0,CQ43)</f>
        <v/>
      </c>
      <c r="DZ43" s="7">
        <f>DM43+DN43</f>
        <v/>
      </c>
      <c r="EA43" s="7">
        <f>CV43+DO43</f>
        <v/>
      </c>
      <c r="EB43" s="7">
        <f>IF(DO43&gt;0,(CV43*CS43+DO43*prestamos_tasaPrivada)/(CV43+DO43),CS43)</f>
        <v/>
      </c>
      <c r="EC43" s="7">
        <f>IF(DO43&gt;0,0,CW43)</f>
        <v/>
      </c>
      <c r="ED43" s="7">
        <f>CX43-DE43+DP43</f>
        <v/>
      </c>
      <c r="EE43" s="7">
        <f>IF(IF(10=0,"",EE42)&lt;&gt;"",EE42,IF(AND(BB43=1,DU43&lt;=0.5,DV43&lt;=0.5,OR(BH43=0,BJ43=1)),A43,""))</f>
        <v/>
      </c>
      <c r="EF43" s="7">
        <f>DU43+DV43+DW43+EA43+ED43+CD43</f>
        <v/>
      </c>
      <c r="EG43" s="7">
        <f>DR43+DS43+DT43-EF43</f>
        <v/>
      </c>
      <c r="EH43" s="7">
        <f>EG43/(1+g_inf)^(A43+1-2026)</f>
        <v/>
      </c>
    </row>
    <row r="44">
      <c r="A44" t="n">
        <v>2038</v>
      </c>
      <c r="B44" t="n">
        <v>11</v>
      </c>
      <c r="C44" s="7">
        <f>(1+g_inf)^(A44-2026)</f>
        <v/>
      </c>
      <c r="D44" s="7">
        <f>SUMPRODUCT($AE$5:$AE$29,$E$5:$E$29*(1+$F$5:$F$29)^(A44-2026)*$G$5:$G$29*$H$5:$H$29*(1-$N$5:$N$29*$O$5:$O$29))*g_salMult+SUMPRODUCT(($B$5:$B$29&gt;=A44)*($B$5:$B$29&lt;A44+1)*$I$5:$I$29)*g_salMult</f>
        <v/>
      </c>
      <c r="E44" s="7">
        <f>SUMPRODUCT($AE$5:$AE$29,$E$5:$E$29*(1+$F$5:$F$29)^(A44-2026)*$G$5:$G$29*$H$5:$H$29*$M$5:$M$29)*g_salMult</f>
        <v/>
      </c>
      <c r="F44" s="7">
        <f>SUMPRODUCT($AE$5:$AE$29,$E$5:$E$29*(1+$F$5:$F$29)^(A44-2026)*$G$5:$G$29*$H$5:$H$29*$N$5:$N$29*$O$5:$O$29)*g_salMult</f>
        <v/>
      </c>
      <c r="G44" s="7">
        <f>SUMPRODUCT($AE$5:$AE$29,$P$5:$P$29*(1+$F$5:$F$29)^(A44-2026))</f>
        <v/>
      </c>
      <c r="H44" s="7">
        <f>SUMPRODUCT($AE$5:$AE$29,$Q$5:$Q$29*(1+$F$5:$F$29)^(A44-2026))+IF(personal_llcActivo=1,personal_llcNeto*(1+personal_llcCrecimiento)^11,0)</f>
        <v/>
      </c>
      <c r="I44" s="7">
        <f>SUMPRODUCT($AE$5:$AE$29,$J$5:$J$29/($C$5:$C$29-$B$5:$B$29+($C$5:$C$29=$B$5:$B$29)))*C44</f>
        <v/>
      </c>
      <c r="J44" s="7">
        <f>SUMPRODUCT($AE$5:$AE$29,$K$5:$K$29)</f>
        <v/>
      </c>
      <c r="K44" s="7">
        <f>SUMPRODUCT($AE$5:$AE$29,$L$5:$L$29)</f>
        <v/>
      </c>
      <c r="L44" s="7">
        <f>SUMPRODUCT($AE$5:$AE$29,$N$5:$N$29)</f>
        <v/>
      </c>
      <c r="M44" s="7">
        <f>IF(SUMPRODUCT($AE$5:$AE$29,$R$5:$R$29)&gt;0,1,0)</f>
        <v/>
      </c>
      <c r="N44" s="7">
        <f>SUMPRODUCT(($AO$5:$AO$24&gt;=A44)*($AO$5:$AO$24&lt;A44+1)*$AP$5:$AP$24)*C44+IF(11=0,IF(sel_loc&lt;&gt;"miami",personal_costoMudanzaInicial,0),0)</f>
        <v/>
      </c>
      <c r="O44" s="7">
        <f>MIN(personal_aporte403bPct*D44,retiro_limite403b*C44)</f>
        <v/>
      </c>
      <c r="P44" s="7">
        <f>MIN(personal_aporte403bPct,personal_match403bPct)*E44</f>
        <v/>
      </c>
      <c r="Q44" s="7">
        <f>IF(G44&gt;0,MAX(0,G44-impuestos_scorpCostoAnual*C44),0)</f>
        <v/>
      </c>
      <c r="R44" s="7">
        <f>Q44*impuestos_scorpSalarioPct/(1+impuestos_ssTasa+impuestos_medicareTasa)</f>
        <v/>
      </c>
      <c r="S44" s="7">
        <f>impuestos_ssTasa*MIN(R44,MAX(0,impuestos_ssTope*C44-D44))+impuestos_medicareTasa*R44</f>
        <v/>
      </c>
      <c r="T44" s="7">
        <f>Q44-R44-S44</f>
        <v/>
      </c>
      <c r="U44" s="7">
        <f>D44+R44</f>
        <v/>
      </c>
      <c r="V44" s="7">
        <f>H44*0.9235</f>
        <v/>
      </c>
      <c r="W44" s="7">
        <f>IF(H44&gt;0,2*impuestos_ssTasa*MIN(V44,MAX(0,impuestos_ssTope*C44-U44))+2*impuestos_medicareTasa*V44,0)</f>
        <v/>
      </c>
      <c r="X44" s="7">
        <f>impuestos_ssTasa*MIN(U44,impuestos_ssTope*C44)+impuestos_medicareTasa*U44+impuestos_medicareAdicional*MAX(0,U44+H44*0.9235-impuestos_medicareUmbral)</f>
        <v/>
      </c>
      <c r="Y44" s="7">
        <f>MAX(0,D44-O44+R44+T44+H44-W44/2)</f>
        <v/>
      </c>
      <c r="Z44" s="7">
        <f>MAX(0,Y44-impuestos_deduccionEstandar*C44)</f>
        <v/>
      </c>
      <c r="AA44" s="7">
        <f>MIN(0.2*MAX(0,T44+H44-W44/2)*MAX(0,MIN(1,1-(Z44-impuestos_qbiUmbral*C44)/(impuestos_qbiRango*C44))),0.2*Z44)</f>
        <v/>
      </c>
      <c r="AB44" s="7">
        <f>MAX(0,Z44-AA44)</f>
        <v/>
      </c>
      <c r="AC44" s="7">
        <f>SUMPRODUCT((AB44&gt;tb_federalBrackets_lo*C44)*(AB44-tb_federalBrackets_lo*C44)*tb_federalBrackets_dr)</f>
        <v/>
      </c>
      <c r="AD44" s="7">
        <f>MAX(0,Y44-impuestos_nyDeduccion*C44)</f>
        <v/>
      </c>
      <c r="AE44" s="7">
        <f>CHOOSE(loc_taxcode,0,impuestos_ohTasa*MAX(0,Y44-impuestos_ohExento*C44)+impuestos_ohMunicipal*U44,SUMPRODUCT((AD44&gt;tb_nyBrackets_lo*C44)*(AD44-tb_nyBrackets_lo*C44)*tb_nyBrackets_dr)+loc_nyc*SUMPRODUCT((AD44&gt;tb_nycBrackets_lo*C44)*(AD44-tb_nycBrackets_lo*C44)*tb_nycBrackets_dr))</f>
        <v/>
      </c>
      <c r="AF44" s="7">
        <f>AC44+AE44+X44+W44</f>
        <v/>
      </c>
      <c r="AG44" s="7">
        <f>D44+F44+R44+T44+H44</f>
        <v/>
      </c>
      <c r="AH44" s="7">
        <f>AG44-AF44-O44</f>
        <v/>
      </c>
      <c r="AI44" s="7">
        <f>D44+F44+G44+H44</f>
        <v/>
      </c>
      <c r="AJ44" s="7">
        <f>loc_gastosVida*C44*g_gastos</f>
        <v/>
      </c>
      <c r="AK44" s="7">
        <f>IF(11=0,personal_liquidoInicial,DR43)</f>
        <v/>
      </c>
      <c r="AL44" s="7">
        <f>IF(11=0,0,BB43)</f>
        <v/>
      </c>
      <c r="AM44" s="7">
        <f>CHOOSE(sel_cfgIdx,loc_precio_duplex,loc_precio_inlaw,loc_precio_dosCasas,loc_precio_casaAdu,loc_precio_multi)</f>
        <v/>
      </c>
      <c r="AN44" s="7">
        <f>AM44*(1+g_appr)^(A44-2026)</f>
        <v/>
      </c>
      <c r="AO44" s="7">
        <f>IF(AND(M44=1,vivienda_prestamoMedico=1),1,0)</f>
        <v/>
      </c>
      <c r="AP44" s="7">
        <f>IF(AO44=1,0.05,vivienda_enganchePct)</f>
        <v/>
      </c>
      <c r="AQ44" s="7">
        <f>AN44*(1-AP44)</f>
        <v/>
      </c>
      <c r="AR44" s="7">
        <f>PMT(g_mortRate/12,vivienda_plazoHipoteca*12,-AQ44)</f>
        <v/>
      </c>
      <c r="AS44" s="7">
        <f>INDEX(cfg_units,sel_cfgIdx)</f>
        <v/>
      </c>
      <c r="AT44" s="7">
        <f>AS44*loc_rentaUnidad*(1+g_inf)^(A44-2026)*(1-vivienda_vacancia)</f>
        <v/>
      </c>
      <c r="AU44" s="7">
        <f>AR44+AN44*loc_impuestoPropPct/12+AM44*loc_seguroPct*(1+vivienda_inflacionSeguro)^(A44-2026)/12+IF(AND(AO44=0,AP44&lt;0.2),AQ44*vivienda_pmiTasa/12,0)</f>
        <v/>
      </c>
      <c r="AV44" s="7">
        <f>AN44*AP44+AN44*vivienda_cierrePct+general_reservaMeses/12*AJ44</f>
        <v/>
      </c>
      <c r="AW44" s="7">
        <f>(IF(11=0,MIN(personal_irsSaldo,personal_irsPagoMensual*12),MIN(CD43,personal_irsPagoMensual*12))+IF(CE44&gt;0,PMT(CF44,MAX(1,prestamos_plazoAnios-CG44),-CE44),0)+IF(CR44&gt;0,PMT(CS44,MAX(1,prestamos_plazoAnios-CT44),-CR44),0))/12</f>
        <v/>
      </c>
      <c r="AX44" s="7">
        <f>IF(OR(sel_cfg="duplex",sel_cfg="multi",sel_cfg="dosCasas"),0.75*personal_aporteFamiliaMensual,0)</f>
        <v/>
      </c>
      <c r="AY44" s="7">
        <f>AU44-0.75*AT44-AX44+AW44</f>
        <v/>
      </c>
      <c r="AZ44" s="7">
        <f>(D44+G44+H44+0.5*F44)/12</f>
        <v/>
      </c>
      <c r="BA44" s="7">
        <f>IF(AND(AL44=0,A44&gt;=vivienda_anioMinCompra,J44&lt;0.5,AI44&gt;0,AK44&gt;=AV44,AY44&lt;=vivienda_dtiMax*AZ44),1,0)</f>
        <v/>
      </c>
      <c r="BB44" s="7">
        <f>MAX(AL44,BA44)</f>
        <v/>
      </c>
      <c r="BC44" s="7">
        <f>IF(BA44=1,A44,IF(11=0,"",BC43))</f>
        <v/>
      </c>
      <c r="BD44" s="7">
        <f>AK44-IF(BA44=1,AN44*AP44+AN44*vivienda_cierrePct,0)</f>
        <v/>
      </c>
      <c r="BE44" s="7">
        <f>IF(BA44=1,AN44,IF(11=0,0,BE43))</f>
        <v/>
      </c>
      <c r="BF44" s="7">
        <f>IF(BA44=1,AR44,IF(11=0,0,BF43))</f>
        <v/>
      </c>
      <c r="BG44" s="7">
        <f>IF(BA44=1,IF(AND(AO44=0,AP44&lt;0.2),1,0),IF(11=0,0,BY43))</f>
        <v/>
      </c>
      <c r="BH44" s="7">
        <f>IF(sel_cfg="casaAdu",1,0)</f>
        <v/>
      </c>
      <c r="BI44" s="7">
        <f>IF(AND(BB44=1,BH44=1,IF(11=0,0,BJ43)=0,A44&gt;=IF(BC44="",9999,BC44)+vivienda_aduRetrasoAnios),1,0)</f>
        <v/>
      </c>
      <c r="BJ44" s="7">
        <f>MAX(IF(11=0,0,BJ43),BI44)</f>
        <v/>
      </c>
      <c r="BK44" s="7">
        <f>IF(BI44=1,PMT((g_mortRate+0.005)/12,180,-loc_precio_aduCosto*C44),IF(11=0,0,BK43))</f>
        <v/>
      </c>
      <c r="BL44" s="7">
        <f>IF(BA44=1,AN44,IF(11=0,0,DT43))+IF(BI44=1,loc_precio_aduCosto*C44,0)</f>
        <v/>
      </c>
      <c r="BM44" s="7">
        <f>IF(BA44=1,AQ44,IF(11=0,0,DU43))</f>
        <v/>
      </c>
      <c r="BN44" s="7">
        <f>IF(BM44&lt;=0,0,FV(g_mortRate/12,12,BF44,-BM44))</f>
        <v/>
      </c>
      <c r="BO44" s="7">
        <f>IF(BM44&lt;=0,0,12*BF44+MIN(0,BN44))</f>
        <v/>
      </c>
      <c r="BP44" s="7">
        <f>MAX(0,BN44)</f>
        <v/>
      </c>
      <c r="BQ44" s="7">
        <f>IF(BI44=1,loc_precio_aduCosto*C44,IF(11=0,0,DV43))</f>
        <v/>
      </c>
      <c r="BR44" s="7">
        <f>IF(BQ44&lt;=0,0,FV((g_mortRate+0.005)/12,12,BK44,-BQ44))</f>
        <v/>
      </c>
      <c r="BS44" s="7">
        <f>IF(BQ44&lt;=0,0,12*BK44+MIN(0,BR44))</f>
        <v/>
      </c>
      <c r="BT44" s="7">
        <f>MAX(0,BR44)</f>
        <v/>
      </c>
      <c r="BU44" s="7">
        <f>IF(BB44=1,AM44*loc_seguroPct*(1+vivienda_inflacionSeguro)^(A44-2026)*IF(BJ44=1,1+loc_precio_aduCosto/AM44,1),0)</f>
        <v/>
      </c>
      <c r="BV44" s="7">
        <f>BL44*loc_impuestoPropPct</f>
        <v/>
      </c>
      <c r="BW44" s="7">
        <f>BL44*vivienda_mantenimientoPct</f>
        <v/>
      </c>
      <c r="BX44" s="7">
        <f>IF(AND(BG44=1,BP44&gt;0.8*BE44),BE44*(1-vivienda_enganchePct)*vivienda_pmiTasa,0)</f>
        <v/>
      </c>
      <c r="BY44" s="7">
        <f>IF(AND(BG44=1,BP44&gt;0.8*BE44),1,0)</f>
        <v/>
      </c>
      <c r="BZ44" s="7">
        <f>IF(BB44=1,AS44*loc_rentaUnidad*12*C44*(1-vivienda_vacancia)*(1-vivienda_gestionPct),0)</f>
        <v/>
      </c>
      <c r="CA44" s="7">
        <f>IF(BB44=1,BO44+BS44+BU44+BV44+BW44+BX44,loc_rentaMensual*12*C44)</f>
        <v/>
      </c>
      <c r="CB44" s="7">
        <f>IF(BB44=1,personal_aporteFamiliaMensual*12,0)</f>
        <v/>
      </c>
      <c r="CC44" s="7">
        <f>MIN(IF(11=0,personal_irsSaldo,CD43),personal_irsPagoMensual*12)</f>
        <v/>
      </c>
      <c r="CD44" s="7">
        <f>IF(11=0,personal_irsSaldo,CD43)-CC44</f>
        <v/>
      </c>
      <c r="CE44" s="7">
        <f>IF(11=0,IF(personal_deudaEsFederal=1,personal_deudaEstudiantil,0),DW43)</f>
        <v/>
      </c>
      <c r="CF44" s="7">
        <f>IF(11=0,personal_tasaDeudaEstudiantil,DX43)</f>
        <v/>
      </c>
      <c r="CG44" s="7">
        <f>IF(11=0,0,DY43)</f>
        <v/>
      </c>
      <c r="CH44" s="7">
        <f>IF(J44&gt;=0.5,1,0)</f>
        <v/>
      </c>
      <c r="CI44" s="7">
        <f>IF(AND(CH44=0,prestamos_pslfActivo=1,K44&gt;=0.5,CE44&gt;0),1,0)</f>
        <v/>
      </c>
      <c r="CJ44" s="7">
        <f>CE44*CF44</f>
        <v/>
      </c>
      <c r="CK44" s="7">
        <f>MAX(prestamos_rapPagoMinimoAnual,IF(Y44&lt;10000,0,MIN(0.1,INT(Y44/10000)/100))*Y44)</f>
        <v/>
      </c>
      <c r="CL44" s="7">
        <f>IF(CE44&lt;=0,0,IF(CH44=1,0,IF(CI44=1,MIN(CE44+CJ44,CK44),PMT(CF44,MAX(1,prestamos_plazoAnios-CG44),-CE44))))</f>
        <v/>
      </c>
      <c r="CM44" s="7">
        <f>IF(CE44&lt;=0,0,IF(CH44=1,CE44+CJ44,IF(CI44=1,MAX(0,CE44-MAX(CL44-CJ44,MIN(600,CL44))),MAX(0,CE44*(1+CF44)-CL44))))</f>
        <v/>
      </c>
      <c r="CN44" s="7">
        <f>IF(11=0,0,CN43)+IF(CI44=1,12*MIN(1,K44),0)</f>
        <v/>
      </c>
      <c r="CO44" s="7">
        <f>IF(AND(CI44=1,CN44&gt;=prestamos_pslfPagos,CM44&gt;0),CM44,0)</f>
        <v/>
      </c>
      <c r="CP44" s="7">
        <f>CM44-CO44</f>
        <v/>
      </c>
      <c r="CQ44" s="7">
        <f>IF(AND(CE44&gt;0,CH44=0,CI44=0),CG44+1,CG44)</f>
        <v/>
      </c>
      <c r="CR44" s="7">
        <f>IF(11=0,IF(personal_deudaEsFederal=1,0,personal_deudaEstudiantil),EA43)</f>
        <v/>
      </c>
      <c r="CS44" s="7">
        <f>IF(11=0,IF(personal_deudaEsFederal=1,prestamos_tasaPrivada,personal_tasaDeudaEstudiantil),EB43)</f>
        <v/>
      </c>
      <c r="CT44" s="7">
        <f>IF(11=0,0,EC43)</f>
        <v/>
      </c>
      <c r="CU44" s="7">
        <f>IF(OR(CR44&lt;=0,CH44=1),0,PMT(CS44,MAX(1,prestamos_plazoAnios-CT44),-CR44))</f>
        <v/>
      </c>
      <c r="CV44" s="7">
        <f>IF(CR44&lt;=0,0,IF(CH44=1,CR44*(1+CS44),MAX(0,CR44*(1+CS44)-CU44)))</f>
        <v/>
      </c>
      <c r="CW44" s="7">
        <f>IF(AND(CR44&gt;0,CH44=0),CT44+1,CT44)</f>
        <v/>
      </c>
      <c r="CX44" s="7">
        <f>IF(11=0,0,ED43)*(1+general_tasaDeudaConsumo)</f>
        <v/>
      </c>
      <c r="CY44" s="7">
        <f>L44*12*tiempos_travelGastoExtraMes*C44</f>
        <v/>
      </c>
      <c r="CZ44" s="7">
        <f>AJ44+CY44+CA44+CC44+CL44+CU44+I44+N44-BZ44-CB44</f>
        <v/>
      </c>
      <c r="DA44" s="7">
        <f>AH44-CZ44</f>
        <v/>
      </c>
      <c r="DB44" s="7">
        <f>IF(11=0,0,DB43)+DA44</f>
        <v/>
      </c>
      <c r="DC44" s="7">
        <f>AN44*vivienda_enganchePct+AN44*vivienda_cierrePct+general_reservaMeses/12*AJ44</f>
        <v/>
      </c>
      <c r="DD44" s="7">
        <f>IF(BB44=1,g_ret,IF(BD44&gt;0,MIN(1,DC44/BD44),1)*g_cash+(1-IF(BD44&gt;0,MIN(1,DC44/BD44),1))*g_ret)</f>
        <v/>
      </c>
      <c r="DE44" s="7">
        <f>IF(DA44&gt;=0,MIN(CX44,DA44),0)</f>
        <v/>
      </c>
      <c r="DF44" s="7">
        <f>IF(DA44&gt;=0,(1-general_tasaAhorro)*(DA44-DE44),0)</f>
        <v/>
      </c>
      <c r="DG44" s="7">
        <f>IF(DA44&gt;=0,DA44-DE44-DF44,0)</f>
        <v/>
      </c>
      <c r="DH44" s="7">
        <f>MIN(personal_rothAnual,DG44)</f>
        <v/>
      </c>
      <c r="DI44" s="7">
        <f>IF(AND(DA44&gt;=0,BB44=1,BP44+BT44&gt;0),MIN(vivienda_prepagoPct*(DG44-DH44),BP44+BT44),0)</f>
        <v/>
      </c>
      <c r="DJ44" s="7">
        <f>MIN(DI44,BP44)</f>
        <v/>
      </c>
      <c r="DK44" s="7">
        <f>IF(DA44&lt;0,MIN(MAX(0,BD44),-DA44),0)</f>
        <v/>
      </c>
      <c r="DL44" s="7">
        <f>IF(DA44&lt;0,-DA44-DK44,0)</f>
        <v/>
      </c>
      <c r="DM44" s="7">
        <f>IF(11=0,0,DZ43)</f>
        <v/>
      </c>
      <c r="DN44" s="7">
        <f>IF(AND(DL44&gt;0,J44&gt;0),MIN(DL44,MIN(prestamos_topeAnualPosgrado*MIN(1,J44),MAX(0,prestamos_topeTotalPosgrado-DM44))),0)</f>
        <v/>
      </c>
      <c r="DO44" s="7">
        <f>IF(AND(DL44&gt;0,J44&gt;0),DL44-DN44,0)</f>
        <v/>
      </c>
      <c r="DP44" s="7">
        <f>IF(AND(DL44&gt;0,J44&lt;=0),DL44,0)</f>
        <v/>
      </c>
      <c r="DQ44" s="7">
        <f>IF(DA44&gt;=0,DG44-DH44-DI44,-DK44)</f>
        <v/>
      </c>
      <c r="DR44" s="7">
        <f>BD44*(1+DD44)+DQ44*(1+DD44/2)</f>
        <v/>
      </c>
      <c r="DS44" s="7">
        <f>IF(11=0,personal_retiroInicial,DS43)*(1+g_ret)+(O44+P44+DH44)*(1+g_ret/2)</f>
        <v/>
      </c>
      <c r="DT44" s="7">
        <f>IF(BB44=1,BL44*(1+g_appr),0)</f>
        <v/>
      </c>
      <c r="DU44" s="7">
        <f>BP44-DJ44</f>
        <v/>
      </c>
      <c r="DV44" s="7">
        <f>BT44-(DI44-DJ44)</f>
        <v/>
      </c>
      <c r="DW44" s="7">
        <f>CP44+DN44</f>
        <v/>
      </c>
      <c r="DX44" s="7">
        <f>IF(DN44&gt;0,(CP44*CF44+DN44*prestamos_tasaFederalPosgrado)/(CP44+DN44),CF44)</f>
        <v/>
      </c>
      <c r="DY44" s="7">
        <f>IF(DN44&gt;0,0,CQ44)</f>
        <v/>
      </c>
      <c r="DZ44" s="7">
        <f>DM44+DN44</f>
        <v/>
      </c>
      <c r="EA44" s="7">
        <f>CV44+DO44</f>
        <v/>
      </c>
      <c r="EB44" s="7">
        <f>IF(DO44&gt;0,(CV44*CS44+DO44*prestamos_tasaPrivada)/(CV44+DO44),CS44)</f>
        <v/>
      </c>
      <c r="EC44" s="7">
        <f>IF(DO44&gt;0,0,CW44)</f>
        <v/>
      </c>
      <c r="ED44" s="7">
        <f>CX44-DE44+DP44</f>
        <v/>
      </c>
      <c r="EE44" s="7">
        <f>IF(IF(11=0,"",EE43)&lt;&gt;"",EE43,IF(AND(BB44=1,DU44&lt;=0.5,DV44&lt;=0.5,OR(BH44=0,BJ44=1)),A44,""))</f>
        <v/>
      </c>
      <c r="EF44" s="7">
        <f>DU44+DV44+DW44+EA44+ED44+CD44</f>
        <v/>
      </c>
      <c r="EG44" s="7">
        <f>DR44+DS44+DT44-EF44</f>
        <v/>
      </c>
      <c r="EH44" s="7">
        <f>EG44/(1+g_inf)^(A44+1-2026)</f>
        <v/>
      </c>
    </row>
    <row r="45">
      <c r="A45" t="n">
        <v>2039</v>
      </c>
      <c r="B45" t="n">
        <v>12</v>
      </c>
      <c r="C45" s="7">
        <f>(1+g_inf)^(A45-2026)</f>
        <v/>
      </c>
      <c r="D45" s="7">
        <f>SUMPRODUCT($AF$5:$AF$29,$E$5:$E$29*(1+$F$5:$F$29)^(A45-2026)*$G$5:$G$29*$H$5:$H$29*(1-$N$5:$N$29*$O$5:$O$29))*g_salMult+SUMPRODUCT(($B$5:$B$29&gt;=A45)*($B$5:$B$29&lt;A45+1)*$I$5:$I$29)*g_salMult</f>
        <v/>
      </c>
      <c r="E45" s="7">
        <f>SUMPRODUCT($AF$5:$AF$29,$E$5:$E$29*(1+$F$5:$F$29)^(A45-2026)*$G$5:$G$29*$H$5:$H$29*$M$5:$M$29)*g_salMult</f>
        <v/>
      </c>
      <c r="F45" s="7">
        <f>SUMPRODUCT($AF$5:$AF$29,$E$5:$E$29*(1+$F$5:$F$29)^(A45-2026)*$G$5:$G$29*$H$5:$H$29*$N$5:$N$29*$O$5:$O$29)*g_salMult</f>
        <v/>
      </c>
      <c r="G45" s="7">
        <f>SUMPRODUCT($AF$5:$AF$29,$P$5:$P$29*(1+$F$5:$F$29)^(A45-2026))</f>
        <v/>
      </c>
      <c r="H45" s="7">
        <f>SUMPRODUCT($AF$5:$AF$29,$Q$5:$Q$29*(1+$F$5:$F$29)^(A45-2026))+IF(personal_llcActivo=1,personal_llcNeto*(1+personal_llcCrecimiento)^12,0)</f>
        <v/>
      </c>
      <c r="I45" s="7">
        <f>SUMPRODUCT($AF$5:$AF$29,$J$5:$J$29/($C$5:$C$29-$B$5:$B$29+($C$5:$C$29=$B$5:$B$29)))*C45</f>
        <v/>
      </c>
      <c r="J45" s="7">
        <f>SUMPRODUCT($AF$5:$AF$29,$K$5:$K$29)</f>
        <v/>
      </c>
      <c r="K45" s="7">
        <f>SUMPRODUCT($AF$5:$AF$29,$L$5:$L$29)</f>
        <v/>
      </c>
      <c r="L45" s="7">
        <f>SUMPRODUCT($AF$5:$AF$29,$N$5:$N$29)</f>
        <v/>
      </c>
      <c r="M45" s="7">
        <f>IF(SUMPRODUCT($AF$5:$AF$29,$R$5:$R$29)&gt;0,1,0)</f>
        <v/>
      </c>
      <c r="N45" s="7">
        <f>SUMPRODUCT(($AO$5:$AO$24&gt;=A45)*($AO$5:$AO$24&lt;A45+1)*$AP$5:$AP$24)*C45+IF(12=0,IF(sel_loc&lt;&gt;"miami",personal_costoMudanzaInicial,0),0)</f>
        <v/>
      </c>
      <c r="O45" s="7">
        <f>MIN(personal_aporte403bPct*D45,retiro_limite403b*C45)</f>
        <v/>
      </c>
      <c r="P45" s="7">
        <f>MIN(personal_aporte403bPct,personal_match403bPct)*E45</f>
        <v/>
      </c>
      <c r="Q45" s="7">
        <f>IF(G45&gt;0,MAX(0,G45-impuestos_scorpCostoAnual*C45),0)</f>
        <v/>
      </c>
      <c r="R45" s="7">
        <f>Q45*impuestos_scorpSalarioPct/(1+impuestos_ssTasa+impuestos_medicareTasa)</f>
        <v/>
      </c>
      <c r="S45" s="7">
        <f>impuestos_ssTasa*MIN(R45,MAX(0,impuestos_ssTope*C45-D45))+impuestos_medicareTasa*R45</f>
        <v/>
      </c>
      <c r="T45" s="7">
        <f>Q45-R45-S45</f>
        <v/>
      </c>
      <c r="U45" s="7">
        <f>D45+R45</f>
        <v/>
      </c>
      <c r="V45" s="7">
        <f>H45*0.9235</f>
        <v/>
      </c>
      <c r="W45" s="7">
        <f>IF(H45&gt;0,2*impuestos_ssTasa*MIN(V45,MAX(0,impuestos_ssTope*C45-U45))+2*impuestos_medicareTasa*V45,0)</f>
        <v/>
      </c>
      <c r="X45" s="7">
        <f>impuestos_ssTasa*MIN(U45,impuestos_ssTope*C45)+impuestos_medicareTasa*U45+impuestos_medicareAdicional*MAX(0,U45+H45*0.9235-impuestos_medicareUmbral)</f>
        <v/>
      </c>
      <c r="Y45" s="7">
        <f>MAX(0,D45-O45+R45+T45+H45-W45/2)</f>
        <v/>
      </c>
      <c r="Z45" s="7">
        <f>MAX(0,Y45-impuestos_deduccionEstandar*C45)</f>
        <v/>
      </c>
      <c r="AA45" s="7">
        <f>MIN(0.2*MAX(0,T45+H45-W45/2)*MAX(0,MIN(1,1-(Z45-impuestos_qbiUmbral*C45)/(impuestos_qbiRango*C45))),0.2*Z45)</f>
        <v/>
      </c>
      <c r="AB45" s="7">
        <f>MAX(0,Z45-AA45)</f>
        <v/>
      </c>
      <c r="AC45" s="7">
        <f>SUMPRODUCT((AB45&gt;tb_federalBrackets_lo*C45)*(AB45-tb_federalBrackets_lo*C45)*tb_federalBrackets_dr)</f>
        <v/>
      </c>
      <c r="AD45" s="7">
        <f>MAX(0,Y45-impuestos_nyDeduccion*C45)</f>
        <v/>
      </c>
      <c r="AE45" s="7">
        <f>CHOOSE(loc_taxcode,0,impuestos_ohTasa*MAX(0,Y45-impuestos_ohExento*C45)+impuestos_ohMunicipal*U45,SUMPRODUCT((AD45&gt;tb_nyBrackets_lo*C45)*(AD45-tb_nyBrackets_lo*C45)*tb_nyBrackets_dr)+loc_nyc*SUMPRODUCT((AD45&gt;tb_nycBrackets_lo*C45)*(AD45-tb_nycBrackets_lo*C45)*tb_nycBrackets_dr))</f>
        <v/>
      </c>
      <c r="AF45" s="7">
        <f>AC45+AE45+X45+W45</f>
        <v/>
      </c>
      <c r="AG45" s="7">
        <f>D45+F45+R45+T45+H45</f>
        <v/>
      </c>
      <c r="AH45" s="7">
        <f>AG45-AF45-O45</f>
        <v/>
      </c>
      <c r="AI45" s="7">
        <f>D45+F45+G45+H45</f>
        <v/>
      </c>
      <c r="AJ45" s="7">
        <f>loc_gastosVida*C45*g_gastos</f>
        <v/>
      </c>
      <c r="AK45" s="7">
        <f>IF(12=0,personal_liquidoInicial,DR44)</f>
        <v/>
      </c>
      <c r="AL45" s="7">
        <f>IF(12=0,0,BB44)</f>
        <v/>
      </c>
      <c r="AM45" s="7">
        <f>CHOOSE(sel_cfgIdx,loc_precio_duplex,loc_precio_inlaw,loc_precio_dosCasas,loc_precio_casaAdu,loc_precio_multi)</f>
        <v/>
      </c>
      <c r="AN45" s="7">
        <f>AM45*(1+g_appr)^(A45-2026)</f>
        <v/>
      </c>
      <c r="AO45" s="7">
        <f>IF(AND(M45=1,vivienda_prestamoMedico=1),1,0)</f>
        <v/>
      </c>
      <c r="AP45" s="7">
        <f>IF(AO45=1,0.05,vivienda_enganchePct)</f>
        <v/>
      </c>
      <c r="AQ45" s="7">
        <f>AN45*(1-AP45)</f>
        <v/>
      </c>
      <c r="AR45" s="7">
        <f>PMT(g_mortRate/12,vivienda_plazoHipoteca*12,-AQ45)</f>
        <v/>
      </c>
      <c r="AS45" s="7">
        <f>INDEX(cfg_units,sel_cfgIdx)</f>
        <v/>
      </c>
      <c r="AT45" s="7">
        <f>AS45*loc_rentaUnidad*(1+g_inf)^(A45-2026)*(1-vivienda_vacancia)</f>
        <v/>
      </c>
      <c r="AU45" s="7">
        <f>AR45+AN45*loc_impuestoPropPct/12+AM45*loc_seguroPct*(1+vivienda_inflacionSeguro)^(A45-2026)/12+IF(AND(AO45=0,AP45&lt;0.2),AQ45*vivienda_pmiTasa/12,0)</f>
        <v/>
      </c>
      <c r="AV45" s="7">
        <f>AN45*AP45+AN45*vivienda_cierrePct+general_reservaMeses/12*AJ45</f>
        <v/>
      </c>
      <c r="AW45" s="7">
        <f>(IF(12=0,MIN(personal_irsSaldo,personal_irsPagoMensual*12),MIN(CD44,personal_irsPagoMensual*12))+IF(CE45&gt;0,PMT(CF45,MAX(1,prestamos_plazoAnios-CG45),-CE45),0)+IF(CR45&gt;0,PMT(CS45,MAX(1,prestamos_plazoAnios-CT45),-CR45),0))/12</f>
        <v/>
      </c>
      <c r="AX45" s="7">
        <f>IF(OR(sel_cfg="duplex",sel_cfg="multi",sel_cfg="dosCasas"),0.75*personal_aporteFamiliaMensual,0)</f>
        <v/>
      </c>
      <c r="AY45" s="7">
        <f>AU45-0.75*AT45-AX45+AW45</f>
        <v/>
      </c>
      <c r="AZ45" s="7">
        <f>(D45+G45+H45+0.5*F45)/12</f>
        <v/>
      </c>
      <c r="BA45" s="7">
        <f>IF(AND(AL45=0,A45&gt;=vivienda_anioMinCompra,J45&lt;0.5,AI45&gt;0,AK45&gt;=AV45,AY45&lt;=vivienda_dtiMax*AZ45),1,0)</f>
        <v/>
      </c>
      <c r="BB45" s="7">
        <f>MAX(AL45,BA45)</f>
        <v/>
      </c>
      <c r="BC45" s="7">
        <f>IF(BA45=1,A45,IF(12=0,"",BC44))</f>
        <v/>
      </c>
      <c r="BD45" s="7">
        <f>AK45-IF(BA45=1,AN45*AP45+AN45*vivienda_cierrePct,0)</f>
        <v/>
      </c>
      <c r="BE45" s="7">
        <f>IF(BA45=1,AN45,IF(12=0,0,BE44))</f>
        <v/>
      </c>
      <c r="BF45" s="7">
        <f>IF(BA45=1,AR45,IF(12=0,0,BF44))</f>
        <v/>
      </c>
      <c r="BG45" s="7">
        <f>IF(BA45=1,IF(AND(AO45=0,AP45&lt;0.2),1,0),IF(12=0,0,BY44))</f>
        <v/>
      </c>
      <c r="BH45" s="7">
        <f>IF(sel_cfg="casaAdu",1,0)</f>
        <v/>
      </c>
      <c r="BI45" s="7">
        <f>IF(AND(BB45=1,BH45=1,IF(12=0,0,BJ44)=0,A45&gt;=IF(BC45="",9999,BC45)+vivienda_aduRetrasoAnios),1,0)</f>
        <v/>
      </c>
      <c r="BJ45" s="7">
        <f>MAX(IF(12=0,0,BJ44),BI45)</f>
        <v/>
      </c>
      <c r="BK45" s="7">
        <f>IF(BI45=1,PMT((g_mortRate+0.005)/12,180,-loc_precio_aduCosto*C45),IF(12=0,0,BK44))</f>
        <v/>
      </c>
      <c r="BL45" s="7">
        <f>IF(BA45=1,AN45,IF(12=0,0,DT44))+IF(BI45=1,loc_precio_aduCosto*C45,0)</f>
        <v/>
      </c>
      <c r="BM45" s="7">
        <f>IF(BA45=1,AQ45,IF(12=0,0,DU44))</f>
        <v/>
      </c>
      <c r="BN45" s="7">
        <f>IF(BM45&lt;=0,0,FV(g_mortRate/12,12,BF45,-BM45))</f>
        <v/>
      </c>
      <c r="BO45" s="7">
        <f>IF(BM45&lt;=0,0,12*BF45+MIN(0,BN45))</f>
        <v/>
      </c>
      <c r="BP45" s="7">
        <f>MAX(0,BN45)</f>
        <v/>
      </c>
      <c r="BQ45" s="7">
        <f>IF(BI45=1,loc_precio_aduCosto*C45,IF(12=0,0,DV44))</f>
        <v/>
      </c>
      <c r="BR45" s="7">
        <f>IF(BQ45&lt;=0,0,FV((g_mortRate+0.005)/12,12,BK45,-BQ45))</f>
        <v/>
      </c>
      <c r="BS45" s="7">
        <f>IF(BQ45&lt;=0,0,12*BK45+MIN(0,BR45))</f>
        <v/>
      </c>
      <c r="BT45" s="7">
        <f>MAX(0,BR45)</f>
        <v/>
      </c>
      <c r="BU45" s="7">
        <f>IF(BB45=1,AM45*loc_seguroPct*(1+vivienda_inflacionSeguro)^(A45-2026)*IF(BJ45=1,1+loc_precio_aduCosto/AM45,1),0)</f>
        <v/>
      </c>
      <c r="BV45" s="7">
        <f>BL45*loc_impuestoPropPct</f>
        <v/>
      </c>
      <c r="BW45" s="7">
        <f>BL45*vivienda_mantenimientoPct</f>
        <v/>
      </c>
      <c r="BX45" s="7">
        <f>IF(AND(BG45=1,BP45&gt;0.8*BE45),BE45*(1-vivienda_enganchePct)*vivienda_pmiTasa,0)</f>
        <v/>
      </c>
      <c r="BY45" s="7">
        <f>IF(AND(BG45=1,BP45&gt;0.8*BE45),1,0)</f>
        <v/>
      </c>
      <c r="BZ45" s="7">
        <f>IF(BB45=1,AS45*loc_rentaUnidad*12*C45*(1-vivienda_vacancia)*(1-vivienda_gestionPct),0)</f>
        <v/>
      </c>
      <c r="CA45" s="7">
        <f>IF(BB45=1,BO45+BS45+BU45+BV45+BW45+BX45,loc_rentaMensual*12*C45)</f>
        <v/>
      </c>
      <c r="CB45" s="7">
        <f>IF(BB45=1,personal_aporteFamiliaMensual*12,0)</f>
        <v/>
      </c>
      <c r="CC45" s="7">
        <f>MIN(IF(12=0,personal_irsSaldo,CD44),personal_irsPagoMensual*12)</f>
        <v/>
      </c>
      <c r="CD45" s="7">
        <f>IF(12=0,personal_irsSaldo,CD44)-CC45</f>
        <v/>
      </c>
      <c r="CE45" s="7">
        <f>IF(12=0,IF(personal_deudaEsFederal=1,personal_deudaEstudiantil,0),DW44)</f>
        <v/>
      </c>
      <c r="CF45" s="7">
        <f>IF(12=0,personal_tasaDeudaEstudiantil,DX44)</f>
        <v/>
      </c>
      <c r="CG45" s="7">
        <f>IF(12=0,0,DY44)</f>
        <v/>
      </c>
      <c r="CH45" s="7">
        <f>IF(J45&gt;=0.5,1,0)</f>
        <v/>
      </c>
      <c r="CI45" s="7">
        <f>IF(AND(CH45=0,prestamos_pslfActivo=1,K45&gt;=0.5,CE45&gt;0),1,0)</f>
        <v/>
      </c>
      <c r="CJ45" s="7">
        <f>CE45*CF45</f>
        <v/>
      </c>
      <c r="CK45" s="7">
        <f>MAX(prestamos_rapPagoMinimoAnual,IF(Y45&lt;10000,0,MIN(0.1,INT(Y45/10000)/100))*Y45)</f>
        <v/>
      </c>
      <c r="CL45" s="7">
        <f>IF(CE45&lt;=0,0,IF(CH45=1,0,IF(CI45=1,MIN(CE45+CJ45,CK45),PMT(CF45,MAX(1,prestamos_plazoAnios-CG45),-CE45))))</f>
        <v/>
      </c>
      <c r="CM45" s="7">
        <f>IF(CE45&lt;=0,0,IF(CH45=1,CE45+CJ45,IF(CI45=1,MAX(0,CE45-MAX(CL45-CJ45,MIN(600,CL45))),MAX(0,CE45*(1+CF45)-CL45))))</f>
        <v/>
      </c>
      <c r="CN45" s="7">
        <f>IF(12=0,0,CN44)+IF(CI45=1,12*MIN(1,K45),0)</f>
        <v/>
      </c>
      <c r="CO45" s="7">
        <f>IF(AND(CI45=1,CN45&gt;=prestamos_pslfPagos,CM45&gt;0),CM45,0)</f>
        <v/>
      </c>
      <c r="CP45" s="7">
        <f>CM45-CO45</f>
        <v/>
      </c>
      <c r="CQ45" s="7">
        <f>IF(AND(CE45&gt;0,CH45=0,CI45=0),CG45+1,CG45)</f>
        <v/>
      </c>
      <c r="CR45" s="7">
        <f>IF(12=0,IF(personal_deudaEsFederal=1,0,personal_deudaEstudiantil),EA44)</f>
        <v/>
      </c>
      <c r="CS45" s="7">
        <f>IF(12=0,IF(personal_deudaEsFederal=1,prestamos_tasaPrivada,personal_tasaDeudaEstudiantil),EB44)</f>
        <v/>
      </c>
      <c r="CT45" s="7">
        <f>IF(12=0,0,EC44)</f>
        <v/>
      </c>
      <c r="CU45" s="7">
        <f>IF(OR(CR45&lt;=0,CH45=1),0,PMT(CS45,MAX(1,prestamos_plazoAnios-CT45),-CR45))</f>
        <v/>
      </c>
      <c r="CV45" s="7">
        <f>IF(CR45&lt;=0,0,IF(CH45=1,CR45*(1+CS45),MAX(0,CR45*(1+CS45)-CU45)))</f>
        <v/>
      </c>
      <c r="CW45" s="7">
        <f>IF(AND(CR45&gt;0,CH45=0),CT45+1,CT45)</f>
        <v/>
      </c>
      <c r="CX45" s="7">
        <f>IF(12=0,0,ED44)*(1+general_tasaDeudaConsumo)</f>
        <v/>
      </c>
      <c r="CY45" s="7">
        <f>L45*12*tiempos_travelGastoExtraMes*C45</f>
        <v/>
      </c>
      <c r="CZ45" s="7">
        <f>AJ45+CY45+CA45+CC45+CL45+CU45+I45+N45-BZ45-CB45</f>
        <v/>
      </c>
      <c r="DA45" s="7">
        <f>AH45-CZ45</f>
        <v/>
      </c>
      <c r="DB45" s="7">
        <f>IF(12=0,0,DB44)+DA45</f>
        <v/>
      </c>
      <c r="DC45" s="7">
        <f>AN45*vivienda_enganchePct+AN45*vivienda_cierrePct+general_reservaMeses/12*AJ45</f>
        <v/>
      </c>
      <c r="DD45" s="7">
        <f>IF(BB45=1,g_ret,IF(BD45&gt;0,MIN(1,DC45/BD45),1)*g_cash+(1-IF(BD45&gt;0,MIN(1,DC45/BD45),1))*g_ret)</f>
        <v/>
      </c>
      <c r="DE45" s="7">
        <f>IF(DA45&gt;=0,MIN(CX45,DA45),0)</f>
        <v/>
      </c>
      <c r="DF45" s="7">
        <f>IF(DA45&gt;=0,(1-general_tasaAhorro)*(DA45-DE45),0)</f>
        <v/>
      </c>
      <c r="DG45" s="7">
        <f>IF(DA45&gt;=0,DA45-DE45-DF45,0)</f>
        <v/>
      </c>
      <c r="DH45" s="7">
        <f>MIN(personal_rothAnual,DG45)</f>
        <v/>
      </c>
      <c r="DI45" s="7">
        <f>IF(AND(DA45&gt;=0,BB45=1,BP45+BT45&gt;0),MIN(vivienda_prepagoPct*(DG45-DH45),BP45+BT45),0)</f>
        <v/>
      </c>
      <c r="DJ45" s="7">
        <f>MIN(DI45,BP45)</f>
        <v/>
      </c>
      <c r="DK45" s="7">
        <f>IF(DA45&lt;0,MIN(MAX(0,BD45),-DA45),0)</f>
        <v/>
      </c>
      <c r="DL45" s="7">
        <f>IF(DA45&lt;0,-DA45-DK45,0)</f>
        <v/>
      </c>
      <c r="DM45" s="7">
        <f>IF(12=0,0,DZ44)</f>
        <v/>
      </c>
      <c r="DN45" s="7">
        <f>IF(AND(DL45&gt;0,J45&gt;0),MIN(DL45,MIN(prestamos_topeAnualPosgrado*MIN(1,J45),MAX(0,prestamos_topeTotalPosgrado-DM45))),0)</f>
        <v/>
      </c>
      <c r="DO45" s="7">
        <f>IF(AND(DL45&gt;0,J45&gt;0),DL45-DN45,0)</f>
        <v/>
      </c>
      <c r="DP45" s="7">
        <f>IF(AND(DL45&gt;0,J45&lt;=0),DL45,0)</f>
        <v/>
      </c>
      <c r="DQ45" s="7">
        <f>IF(DA45&gt;=0,DG45-DH45-DI45,-DK45)</f>
        <v/>
      </c>
      <c r="DR45" s="7">
        <f>BD45*(1+DD45)+DQ45*(1+DD45/2)</f>
        <v/>
      </c>
      <c r="DS45" s="7">
        <f>IF(12=0,personal_retiroInicial,DS44)*(1+g_ret)+(O45+P45+DH45)*(1+g_ret/2)</f>
        <v/>
      </c>
      <c r="DT45" s="7">
        <f>IF(BB45=1,BL45*(1+g_appr),0)</f>
        <v/>
      </c>
      <c r="DU45" s="7">
        <f>BP45-DJ45</f>
        <v/>
      </c>
      <c r="DV45" s="7">
        <f>BT45-(DI45-DJ45)</f>
        <v/>
      </c>
      <c r="DW45" s="7">
        <f>CP45+DN45</f>
        <v/>
      </c>
      <c r="DX45" s="7">
        <f>IF(DN45&gt;0,(CP45*CF45+DN45*prestamos_tasaFederalPosgrado)/(CP45+DN45),CF45)</f>
        <v/>
      </c>
      <c r="DY45" s="7">
        <f>IF(DN45&gt;0,0,CQ45)</f>
        <v/>
      </c>
      <c r="DZ45" s="7">
        <f>DM45+DN45</f>
        <v/>
      </c>
      <c r="EA45" s="7">
        <f>CV45+DO45</f>
        <v/>
      </c>
      <c r="EB45" s="7">
        <f>IF(DO45&gt;0,(CV45*CS45+DO45*prestamos_tasaPrivada)/(CV45+DO45),CS45)</f>
        <v/>
      </c>
      <c r="EC45" s="7">
        <f>IF(DO45&gt;0,0,CW45)</f>
        <v/>
      </c>
      <c r="ED45" s="7">
        <f>CX45-DE45+DP45</f>
        <v/>
      </c>
      <c r="EE45" s="7">
        <f>IF(IF(12=0,"",EE44)&lt;&gt;"",EE44,IF(AND(BB45=1,DU45&lt;=0.5,DV45&lt;=0.5,OR(BH45=0,BJ45=1)),A45,""))</f>
        <v/>
      </c>
      <c r="EF45" s="7">
        <f>DU45+DV45+DW45+EA45+ED45+CD45</f>
        <v/>
      </c>
      <c r="EG45" s="7">
        <f>DR45+DS45+DT45-EF45</f>
        <v/>
      </c>
      <c r="EH45" s="7">
        <f>EG45/(1+g_inf)^(A45+1-2026)</f>
        <v/>
      </c>
    </row>
    <row r="46">
      <c r="A46" t="n">
        <v>2040</v>
      </c>
      <c r="B46" t="n">
        <v>13</v>
      </c>
      <c r="C46" s="7">
        <f>(1+g_inf)^(A46-2026)</f>
        <v/>
      </c>
      <c r="D46" s="7">
        <f>SUMPRODUCT($AG$5:$AG$29,$E$5:$E$29*(1+$F$5:$F$29)^(A46-2026)*$G$5:$G$29*$H$5:$H$29*(1-$N$5:$N$29*$O$5:$O$29))*g_salMult+SUMPRODUCT(($B$5:$B$29&gt;=A46)*($B$5:$B$29&lt;A46+1)*$I$5:$I$29)*g_salMult</f>
        <v/>
      </c>
      <c r="E46" s="7">
        <f>SUMPRODUCT($AG$5:$AG$29,$E$5:$E$29*(1+$F$5:$F$29)^(A46-2026)*$G$5:$G$29*$H$5:$H$29*$M$5:$M$29)*g_salMult</f>
        <v/>
      </c>
      <c r="F46" s="7">
        <f>SUMPRODUCT($AG$5:$AG$29,$E$5:$E$29*(1+$F$5:$F$29)^(A46-2026)*$G$5:$G$29*$H$5:$H$29*$N$5:$N$29*$O$5:$O$29)*g_salMult</f>
        <v/>
      </c>
      <c r="G46" s="7">
        <f>SUMPRODUCT($AG$5:$AG$29,$P$5:$P$29*(1+$F$5:$F$29)^(A46-2026))</f>
        <v/>
      </c>
      <c r="H46" s="7">
        <f>SUMPRODUCT($AG$5:$AG$29,$Q$5:$Q$29*(1+$F$5:$F$29)^(A46-2026))+IF(personal_llcActivo=1,personal_llcNeto*(1+personal_llcCrecimiento)^13,0)</f>
        <v/>
      </c>
      <c r="I46" s="7">
        <f>SUMPRODUCT($AG$5:$AG$29,$J$5:$J$29/($C$5:$C$29-$B$5:$B$29+($C$5:$C$29=$B$5:$B$29)))*C46</f>
        <v/>
      </c>
      <c r="J46" s="7">
        <f>SUMPRODUCT($AG$5:$AG$29,$K$5:$K$29)</f>
        <v/>
      </c>
      <c r="K46" s="7">
        <f>SUMPRODUCT($AG$5:$AG$29,$L$5:$L$29)</f>
        <v/>
      </c>
      <c r="L46" s="7">
        <f>SUMPRODUCT($AG$5:$AG$29,$N$5:$N$29)</f>
        <v/>
      </c>
      <c r="M46" s="7">
        <f>IF(SUMPRODUCT($AG$5:$AG$29,$R$5:$R$29)&gt;0,1,0)</f>
        <v/>
      </c>
      <c r="N46" s="7">
        <f>SUMPRODUCT(($AO$5:$AO$24&gt;=A46)*($AO$5:$AO$24&lt;A46+1)*$AP$5:$AP$24)*C46+IF(13=0,IF(sel_loc&lt;&gt;"miami",personal_costoMudanzaInicial,0),0)</f>
        <v/>
      </c>
      <c r="O46" s="7">
        <f>MIN(personal_aporte403bPct*D46,retiro_limite403b*C46)</f>
        <v/>
      </c>
      <c r="P46" s="7">
        <f>MIN(personal_aporte403bPct,personal_match403bPct)*E46</f>
        <v/>
      </c>
      <c r="Q46" s="7">
        <f>IF(G46&gt;0,MAX(0,G46-impuestos_scorpCostoAnual*C46),0)</f>
        <v/>
      </c>
      <c r="R46" s="7">
        <f>Q46*impuestos_scorpSalarioPct/(1+impuestos_ssTasa+impuestos_medicareTasa)</f>
        <v/>
      </c>
      <c r="S46" s="7">
        <f>impuestos_ssTasa*MIN(R46,MAX(0,impuestos_ssTope*C46-D46))+impuestos_medicareTasa*R46</f>
        <v/>
      </c>
      <c r="T46" s="7">
        <f>Q46-R46-S46</f>
        <v/>
      </c>
      <c r="U46" s="7">
        <f>D46+R46</f>
        <v/>
      </c>
      <c r="V46" s="7">
        <f>H46*0.9235</f>
        <v/>
      </c>
      <c r="W46" s="7">
        <f>IF(H46&gt;0,2*impuestos_ssTasa*MIN(V46,MAX(0,impuestos_ssTope*C46-U46))+2*impuestos_medicareTasa*V46,0)</f>
        <v/>
      </c>
      <c r="X46" s="7">
        <f>impuestos_ssTasa*MIN(U46,impuestos_ssTope*C46)+impuestos_medicareTasa*U46+impuestos_medicareAdicional*MAX(0,U46+H46*0.9235-impuestos_medicareUmbral)</f>
        <v/>
      </c>
      <c r="Y46" s="7">
        <f>MAX(0,D46-O46+R46+T46+H46-W46/2)</f>
        <v/>
      </c>
      <c r="Z46" s="7">
        <f>MAX(0,Y46-impuestos_deduccionEstandar*C46)</f>
        <v/>
      </c>
      <c r="AA46" s="7">
        <f>MIN(0.2*MAX(0,T46+H46-W46/2)*MAX(0,MIN(1,1-(Z46-impuestos_qbiUmbral*C46)/(impuestos_qbiRango*C46))),0.2*Z46)</f>
        <v/>
      </c>
      <c r="AB46" s="7">
        <f>MAX(0,Z46-AA46)</f>
        <v/>
      </c>
      <c r="AC46" s="7">
        <f>SUMPRODUCT((AB46&gt;tb_federalBrackets_lo*C46)*(AB46-tb_federalBrackets_lo*C46)*tb_federalBrackets_dr)</f>
        <v/>
      </c>
      <c r="AD46" s="7">
        <f>MAX(0,Y46-impuestos_nyDeduccion*C46)</f>
        <v/>
      </c>
      <c r="AE46" s="7">
        <f>CHOOSE(loc_taxcode,0,impuestos_ohTasa*MAX(0,Y46-impuestos_ohExento*C46)+impuestos_ohMunicipal*U46,SUMPRODUCT((AD46&gt;tb_nyBrackets_lo*C46)*(AD46-tb_nyBrackets_lo*C46)*tb_nyBrackets_dr)+loc_nyc*SUMPRODUCT((AD46&gt;tb_nycBrackets_lo*C46)*(AD46-tb_nycBrackets_lo*C46)*tb_nycBrackets_dr))</f>
        <v/>
      </c>
      <c r="AF46" s="7">
        <f>AC46+AE46+X46+W46</f>
        <v/>
      </c>
      <c r="AG46" s="7">
        <f>D46+F46+R46+T46+H46</f>
        <v/>
      </c>
      <c r="AH46" s="7">
        <f>AG46-AF46-O46</f>
        <v/>
      </c>
      <c r="AI46" s="7">
        <f>D46+F46+G46+H46</f>
        <v/>
      </c>
      <c r="AJ46" s="7">
        <f>loc_gastosVida*C46*g_gastos</f>
        <v/>
      </c>
      <c r="AK46" s="7">
        <f>IF(13=0,personal_liquidoInicial,DR45)</f>
        <v/>
      </c>
      <c r="AL46" s="7">
        <f>IF(13=0,0,BB45)</f>
        <v/>
      </c>
      <c r="AM46" s="7">
        <f>CHOOSE(sel_cfgIdx,loc_precio_duplex,loc_precio_inlaw,loc_precio_dosCasas,loc_precio_casaAdu,loc_precio_multi)</f>
        <v/>
      </c>
      <c r="AN46" s="7">
        <f>AM46*(1+g_appr)^(A46-2026)</f>
        <v/>
      </c>
      <c r="AO46" s="7">
        <f>IF(AND(M46=1,vivienda_prestamoMedico=1),1,0)</f>
        <v/>
      </c>
      <c r="AP46" s="7">
        <f>IF(AO46=1,0.05,vivienda_enganchePct)</f>
        <v/>
      </c>
      <c r="AQ46" s="7">
        <f>AN46*(1-AP46)</f>
        <v/>
      </c>
      <c r="AR46" s="7">
        <f>PMT(g_mortRate/12,vivienda_plazoHipoteca*12,-AQ46)</f>
        <v/>
      </c>
      <c r="AS46" s="7">
        <f>INDEX(cfg_units,sel_cfgIdx)</f>
        <v/>
      </c>
      <c r="AT46" s="7">
        <f>AS46*loc_rentaUnidad*(1+g_inf)^(A46-2026)*(1-vivienda_vacancia)</f>
        <v/>
      </c>
      <c r="AU46" s="7">
        <f>AR46+AN46*loc_impuestoPropPct/12+AM46*loc_seguroPct*(1+vivienda_inflacionSeguro)^(A46-2026)/12+IF(AND(AO46=0,AP46&lt;0.2),AQ46*vivienda_pmiTasa/12,0)</f>
        <v/>
      </c>
      <c r="AV46" s="7">
        <f>AN46*AP46+AN46*vivienda_cierrePct+general_reservaMeses/12*AJ46</f>
        <v/>
      </c>
      <c r="AW46" s="7">
        <f>(IF(13=0,MIN(personal_irsSaldo,personal_irsPagoMensual*12),MIN(CD45,personal_irsPagoMensual*12))+IF(CE46&gt;0,PMT(CF46,MAX(1,prestamos_plazoAnios-CG46),-CE46),0)+IF(CR46&gt;0,PMT(CS46,MAX(1,prestamos_plazoAnios-CT46),-CR46),0))/12</f>
        <v/>
      </c>
      <c r="AX46" s="7">
        <f>IF(OR(sel_cfg="duplex",sel_cfg="multi",sel_cfg="dosCasas"),0.75*personal_aporteFamiliaMensual,0)</f>
        <v/>
      </c>
      <c r="AY46" s="7">
        <f>AU46-0.75*AT46-AX46+AW46</f>
        <v/>
      </c>
      <c r="AZ46" s="7">
        <f>(D46+G46+H46+0.5*F46)/12</f>
        <v/>
      </c>
      <c r="BA46" s="7">
        <f>IF(AND(AL46=0,A46&gt;=vivienda_anioMinCompra,J46&lt;0.5,AI46&gt;0,AK46&gt;=AV46,AY46&lt;=vivienda_dtiMax*AZ46),1,0)</f>
        <v/>
      </c>
      <c r="BB46" s="7">
        <f>MAX(AL46,BA46)</f>
        <v/>
      </c>
      <c r="BC46" s="7">
        <f>IF(BA46=1,A46,IF(13=0,"",BC45))</f>
        <v/>
      </c>
      <c r="BD46" s="7">
        <f>AK46-IF(BA46=1,AN46*AP46+AN46*vivienda_cierrePct,0)</f>
        <v/>
      </c>
      <c r="BE46" s="7">
        <f>IF(BA46=1,AN46,IF(13=0,0,BE45))</f>
        <v/>
      </c>
      <c r="BF46" s="7">
        <f>IF(BA46=1,AR46,IF(13=0,0,BF45))</f>
        <v/>
      </c>
      <c r="BG46" s="7">
        <f>IF(BA46=1,IF(AND(AO46=0,AP46&lt;0.2),1,0),IF(13=0,0,BY45))</f>
        <v/>
      </c>
      <c r="BH46" s="7">
        <f>IF(sel_cfg="casaAdu",1,0)</f>
        <v/>
      </c>
      <c r="BI46" s="7">
        <f>IF(AND(BB46=1,BH46=1,IF(13=0,0,BJ45)=0,A46&gt;=IF(BC46="",9999,BC46)+vivienda_aduRetrasoAnios),1,0)</f>
        <v/>
      </c>
      <c r="BJ46" s="7">
        <f>MAX(IF(13=0,0,BJ45),BI46)</f>
        <v/>
      </c>
      <c r="BK46" s="7">
        <f>IF(BI46=1,PMT((g_mortRate+0.005)/12,180,-loc_precio_aduCosto*C46),IF(13=0,0,BK45))</f>
        <v/>
      </c>
      <c r="BL46" s="7">
        <f>IF(BA46=1,AN46,IF(13=0,0,DT45))+IF(BI46=1,loc_precio_aduCosto*C46,0)</f>
        <v/>
      </c>
      <c r="BM46" s="7">
        <f>IF(BA46=1,AQ46,IF(13=0,0,DU45))</f>
        <v/>
      </c>
      <c r="BN46" s="7">
        <f>IF(BM46&lt;=0,0,FV(g_mortRate/12,12,BF46,-BM46))</f>
        <v/>
      </c>
      <c r="BO46" s="7">
        <f>IF(BM46&lt;=0,0,12*BF46+MIN(0,BN46))</f>
        <v/>
      </c>
      <c r="BP46" s="7">
        <f>MAX(0,BN46)</f>
        <v/>
      </c>
      <c r="BQ46" s="7">
        <f>IF(BI46=1,loc_precio_aduCosto*C46,IF(13=0,0,DV45))</f>
        <v/>
      </c>
      <c r="BR46" s="7">
        <f>IF(BQ46&lt;=0,0,FV((g_mortRate+0.005)/12,12,BK46,-BQ46))</f>
        <v/>
      </c>
      <c r="BS46" s="7">
        <f>IF(BQ46&lt;=0,0,12*BK46+MIN(0,BR46))</f>
        <v/>
      </c>
      <c r="BT46" s="7">
        <f>MAX(0,BR46)</f>
        <v/>
      </c>
      <c r="BU46" s="7">
        <f>IF(BB46=1,AM46*loc_seguroPct*(1+vivienda_inflacionSeguro)^(A46-2026)*IF(BJ46=1,1+loc_precio_aduCosto/AM46,1),0)</f>
        <v/>
      </c>
      <c r="BV46" s="7">
        <f>BL46*loc_impuestoPropPct</f>
        <v/>
      </c>
      <c r="BW46" s="7">
        <f>BL46*vivienda_mantenimientoPct</f>
        <v/>
      </c>
      <c r="BX46" s="7">
        <f>IF(AND(BG46=1,BP46&gt;0.8*BE46),BE46*(1-vivienda_enganchePct)*vivienda_pmiTasa,0)</f>
        <v/>
      </c>
      <c r="BY46" s="7">
        <f>IF(AND(BG46=1,BP46&gt;0.8*BE46),1,0)</f>
        <v/>
      </c>
      <c r="BZ46" s="7">
        <f>IF(BB46=1,AS46*loc_rentaUnidad*12*C46*(1-vivienda_vacancia)*(1-vivienda_gestionPct),0)</f>
        <v/>
      </c>
      <c r="CA46" s="7">
        <f>IF(BB46=1,BO46+BS46+BU46+BV46+BW46+BX46,loc_rentaMensual*12*C46)</f>
        <v/>
      </c>
      <c r="CB46" s="7">
        <f>IF(BB46=1,personal_aporteFamiliaMensual*12,0)</f>
        <v/>
      </c>
      <c r="CC46" s="7">
        <f>MIN(IF(13=0,personal_irsSaldo,CD45),personal_irsPagoMensual*12)</f>
        <v/>
      </c>
      <c r="CD46" s="7">
        <f>IF(13=0,personal_irsSaldo,CD45)-CC46</f>
        <v/>
      </c>
      <c r="CE46" s="7">
        <f>IF(13=0,IF(personal_deudaEsFederal=1,personal_deudaEstudiantil,0),DW45)</f>
        <v/>
      </c>
      <c r="CF46" s="7">
        <f>IF(13=0,personal_tasaDeudaEstudiantil,DX45)</f>
        <v/>
      </c>
      <c r="CG46" s="7">
        <f>IF(13=0,0,DY45)</f>
        <v/>
      </c>
      <c r="CH46" s="7">
        <f>IF(J46&gt;=0.5,1,0)</f>
        <v/>
      </c>
      <c r="CI46" s="7">
        <f>IF(AND(CH46=0,prestamos_pslfActivo=1,K46&gt;=0.5,CE46&gt;0),1,0)</f>
        <v/>
      </c>
      <c r="CJ46" s="7">
        <f>CE46*CF46</f>
        <v/>
      </c>
      <c r="CK46" s="7">
        <f>MAX(prestamos_rapPagoMinimoAnual,IF(Y46&lt;10000,0,MIN(0.1,INT(Y46/10000)/100))*Y46)</f>
        <v/>
      </c>
      <c r="CL46" s="7">
        <f>IF(CE46&lt;=0,0,IF(CH46=1,0,IF(CI46=1,MIN(CE46+CJ46,CK46),PMT(CF46,MAX(1,prestamos_plazoAnios-CG46),-CE46))))</f>
        <v/>
      </c>
      <c r="CM46" s="7">
        <f>IF(CE46&lt;=0,0,IF(CH46=1,CE46+CJ46,IF(CI46=1,MAX(0,CE46-MAX(CL46-CJ46,MIN(600,CL46))),MAX(0,CE46*(1+CF46)-CL46))))</f>
        <v/>
      </c>
      <c r="CN46" s="7">
        <f>IF(13=0,0,CN45)+IF(CI46=1,12*MIN(1,K46),0)</f>
        <v/>
      </c>
      <c r="CO46" s="7">
        <f>IF(AND(CI46=1,CN46&gt;=prestamos_pslfPagos,CM46&gt;0),CM46,0)</f>
        <v/>
      </c>
      <c r="CP46" s="7">
        <f>CM46-CO46</f>
        <v/>
      </c>
      <c r="CQ46" s="7">
        <f>IF(AND(CE46&gt;0,CH46=0,CI46=0),CG46+1,CG46)</f>
        <v/>
      </c>
      <c r="CR46" s="7">
        <f>IF(13=0,IF(personal_deudaEsFederal=1,0,personal_deudaEstudiantil),EA45)</f>
        <v/>
      </c>
      <c r="CS46" s="7">
        <f>IF(13=0,IF(personal_deudaEsFederal=1,prestamos_tasaPrivada,personal_tasaDeudaEstudiantil),EB45)</f>
        <v/>
      </c>
      <c r="CT46" s="7">
        <f>IF(13=0,0,EC45)</f>
        <v/>
      </c>
      <c r="CU46" s="7">
        <f>IF(OR(CR46&lt;=0,CH46=1),0,PMT(CS46,MAX(1,prestamos_plazoAnios-CT46),-CR46))</f>
        <v/>
      </c>
      <c r="CV46" s="7">
        <f>IF(CR46&lt;=0,0,IF(CH46=1,CR46*(1+CS46),MAX(0,CR46*(1+CS46)-CU46)))</f>
        <v/>
      </c>
      <c r="CW46" s="7">
        <f>IF(AND(CR46&gt;0,CH46=0),CT46+1,CT46)</f>
        <v/>
      </c>
      <c r="CX46" s="7">
        <f>IF(13=0,0,ED45)*(1+general_tasaDeudaConsumo)</f>
        <v/>
      </c>
      <c r="CY46" s="7">
        <f>L46*12*tiempos_travelGastoExtraMes*C46</f>
        <v/>
      </c>
      <c r="CZ46" s="7">
        <f>AJ46+CY46+CA46+CC46+CL46+CU46+I46+N46-BZ46-CB46</f>
        <v/>
      </c>
      <c r="DA46" s="7">
        <f>AH46-CZ46</f>
        <v/>
      </c>
      <c r="DB46" s="7">
        <f>IF(13=0,0,DB45)+DA46</f>
        <v/>
      </c>
      <c r="DC46" s="7">
        <f>AN46*vivienda_enganchePct+AN46*vivienda_cierrePct+general_reservaMeses/12*AJ46</f>
        <v/>
      </c>
      <c r="DD46" s="7">
        <f>IF(BB46=1,g_ret,IF(BD46&gt;0,MIN(1,DC46/BD46),1)*g_cash+(1-IF(BD46&gt;0,MIN(1,DC46/BD46),1))*g_ret)</f>
        <v/>
      </c>
      <c r="DE46" s="7">
        <f>IF(DA46&gt;=0,MIN(CX46,DA46),0)</f>
        <v/>
      </c>
      <c r="DF46" s="7">
        <f>IF(DA46&gt;=0,(1-general_tasaAhorro)*(DA46-DE46),0)</f>
        <v/>
      </c>
      <c r="DG46" s="7">
        <f>IF(DA46&gt;=0,DA46-DE46-DF46,0)</f>
        <v/>
      </c>
      <c r="DH46" s="7">
        <f>MIN(personal_rothAnual,DG46)</f>
        <v/>
      </c>
      <c r="DI46" s="7">
        <f>IF(AND(DA46&gt;=0,BB46=1,BP46+BT46&gt;0),MIN(vivienda_prepagoPct*(DG46-DH46),BP46+BT46),0)</f>
        <v/>
      </c>
      <c r="DJ46" s="7">
        <f>MIN(DI46,BP46)</f>
        <v/>
      </c>
      <c r="DK46" s="7">
        <f>IF(DA46&lt;0,MIN(MAX(0,BD46),-DA46),0)</f>
        <v/>
      </c>
      <c r="DL46" s="7">
        <f>IF(DA46&lt;0,-DA46-DK46,0)</f>
        <v/>
      </c>
      <c r="DM46" s="7">
        <f>IF(13=0,0,DZ45)</f>
        <v/>
      </c>
      <c r="DN46" s="7">
        <f>IF(AND(DL46&gt;0,J46&gt;0),MIN(DL46,MIN(prestamos_topeAnualPosgrado*MIN(1,J46),MAX(0,prestamos_topeTotalPosgrado-DM46))),0)</f>
        <v/>
      </c>
      <c r="DO46" s="7">
        <f>IF(AND(DL46&gt;0,J46&gt;0),DL46-DN46,0)</f>
        <v/>
      </c>
      <c r="DP46" s="7">
        <f>IF(AND(DL46&gt;0,J46&lt;=0),DL46,0)</f>
        <v/>
      </c>
      <c r="DQ46" s="7">
        <f>IF(DA46&gt;=0,DG46-DH46-DI46,-DK46)</f>
        <v/>
      </c>
      <c r="DR46" s="7">
        <f>BD46*(1+DD46)+DQ46*(1+DD46/2)</f>
        <v/>
      </c>
      <c r="DS46" s="7">
        <f>IF(13=0,personal_retiroInicial,DS45)*(1+g_ret)+(O46+P46+DH46)*(1+g_ret/2)</f>
        <v/>
      </c>
      <c r="DT46" s="7">
        <f>IF(BB46=1,BL46*(1+g_appr),0)</f>
        <v/>
      </c>
      <c r="DU46" s="7">
        <f>BP46-DJ46</f>
        <v/>
      </c>
      <c r="DV46" s="7">
        <f>BT46-(DI46-DJ46)</f>
        <v/>
      </c>
      <c r="DW46" s="7">
        <f>CP46+DN46</f>
        <v/>
      </c>
      <c r="DX46" s="7">
        <f>IF(DN46&gt;0,(CP46*CF46+DN46*prestamos_tasaFederalPosgrado)/(CP46+DN46),CF46)</f>
        <v/>
      </c>
      <c r="DY46" s="7">
        <f>IF(DN46&gt;0,0,CQ46)</f>
        <v/>
      </c>
      <c r="DZ46" s="7">
        <f>DM46+DN46</f>
        <v/>
      </c>
      <c r="EA46" s="7">
        <f>CV46+DO46</f>
        <v/>
      </c>
      <c r="EB46" s="7">
        <f>IF(DO46&gt;0,(CV46*CS46+DO46*prestamos_tasaPrivada)/(CV46+DO46),CS46)</f>
        <v/>
      </c>
      <c r="EC46" s="7">
        <f>IF(DO46&gt;0,0,CW46)</f>
        <v/>
      </c>
      <c r="ED46" s="7">
        <f>CX46-DE46+DP46</f>
        <v/>
      </c>
      <c r="EE46" s="7">
        <f>IF(IF(13=0,"",EE45)&lt;&gt;"",EE45,IF(AND(BB46=1,DU46&lt;=0.5,DV46&lt;=0.5,OR(BH46=0,BJ46=1)),A46,""))</f>
        <v/>
      </c>
      <c r="EF46" s="7">
        <f>DU46+DV46+DW46+EA46+ED46+CD46</f>
        <v/>
      </c>
      <c r="EG46" s="7">
        <f>DR46+DS46+DT46-EF46</f>
        <v/>
      </c>
      <c r="EH46" s="7">
        <f>EG46/(1+g_inf)^(A46+1-2026)</f>
        <v/>
      </c>
    </row>
    <row r="47">
      <c r="A47" t="n">
        <v>2041</v>
      </c>
      <c r="B47" t="n">
        <v>14</v>
      </c>
      <c r="C47" s="7">
        <f>(1+g_inf)^(A47-2026)</f>
        <v/>
      </c>
      <c r="D47" s="7">
        <f>SUMPRODUCT($AH$5:$AH$29,$E$5:$E$29*(1+$F$5:$F$29)^(A47-2026)*$G$5:$G$29*$H$5:$H$29*(1-$N$5:$N$29*$O$5:$O$29))*g_salMult+SUMPRODUCT(($B$5:$B$29&gt;=A47)*($B$5:$B$29&lt;A47+1)*$I$5:$I$29)*g_salMult</f>
        <v/>
      </c>
      <c r="E47" s="7">
        <f>SUMPRODUCT($AH$5:$AH$29,$E$5:$E$29*(1+$F$5:$F$29)^(A47-2026)*$G$5:$G$29*$H$5:$H$29*$M$5:$M$29)*g_salMult</f>
        <v/>
      </c>
      <c r="F47" s="7">
        <f>SUMPRODUCT($AH$5:$AH$29,$E$5:$E$29*(1+$F$5:$F$29)^(A47-2026)*$G$5:$G$29*$H$5:$H$29*$N$5:$N$29*$O$5:$O$29)*g_salMult</f>
        <v/>
      </c>
      <c r="G47" s="7">
        <f>SUMPRODUCT($AH$5:$AH$29,$P$5:$P$29*(1+$F$5:$F$29)^(A47-2026))</f>
        <v/>
      </c>
      <c r="H47" s="7">
        <f>SUMPRODUCT($AH$5:$AH$29,$Q$5:$Q$29*(1+$F$5:$F$29)^(A47-2026))+IF(personal_llcActivo=1,personal_llcNeto*(1+personal_llcCrecimiento)^14,0)</f>
        <v/>
      </c>
      <c r="I47" s="7">
        <f>SUMPRODUCT($AH$5:$AH$29,$J$5:$J$29/($C$5:$C$29-$B$5:$B$29+($C$5:$C$29=$B$5:$B$29)))*C47</f>
        <v/>
      </c>
      <c r="J47" s="7">
        <f>SUMPRODUCT($AH$5:$AH$29,$K$5:$K$29)</f>
        <v/>
      </c>
      <c r="K47" s="7">
        <f>SUMPRODUCT($AH$5:$AH$29,$L$5:$L$29)</f>
        <v/>
      </c>
      <c r="L47" s="7">
        <f>SUMPRODUCT($AH$5:$AH$29,$N$5:$N$29)</f>
        <v/>
      </c>
      <c r="M47" s="7">
        <f>IF(SUMPRODUCT($AH$5:$AH$29,$R$5:$R$29)&gt;0,1,0)</f>
        <v/>
      </c>
      <c r="N47" s="7">
        <f>SUMPRODUCT(($AO$5:$AO$24&gt;=A47)*($AO$5:$AO$24&lt;A47+1)*$AP$5:$AP$24)*C47+IF(14=0,IF(sel_loc&lt;&gt;"miami",personal_costoMudanzaInicial,0),0)</f>
        <v/>
      </c>
      <c r="O47" s="7">
        <f>MIN(personal_aporte403bPct*D47,retiro_limite403b*C47)</f>
        <v/>
      </c>
      <c r="P47" s="7">
        <f>MIN(personal_aporte403bPct,personal_match403bPct)*E47</f>
        <v/>
      </c>
      <c r="Q47" s="7">
        <f>IF(G47&gt;0,MAX(0,G47-impuestos_scorpCostoAnual*C47),0)</f>
        <v/>
      </c>
      <c r="R47" s="7">
        <f>Q47*impuestos_scorpSalarioPct/(1+impuestos_ssTasa+impuestos_medicareTasa)</f>
        <v/>
      </c>
      <c r="S47" s="7">
        <f>impuestos_ssTasa*MIN(R47,MAX(0,impuestos_ssTope*C47-D47))+impuestos_medicareTasa*R47</f>
        <v/>
      </c>
      <c r="T47" s="7">
        <f>Q47-R47-S47</f>
        <v/>
      </c>
      <c r="U47" s="7">
        <f>D47+R47</f>
        <v/>
      </c>
      <c r="V47" s="7">
        <f>H47*0.9235</f>
        <v/>
      </c>
      <c r="W47" s="7">
        <f>IF(H47&gt;0,2*impuestos_ssTasa*MIN(V47,MAX(0,impuestos_ssTope*C47-U47))+2*impuestos_medicareTasa*V47,0)</f>
        <v/>
      </c>
      <c r="X47" s="7">
        <f>impuestos_ssTasa*MIN(U47,impuestos_ssTope*C47)+impuestos_medicareTasa*U47+impuestos_medicareAdicional*MAX(0,U47+H47*0.9235-impuestos_medicareUmbral)</f>
        <v/>
      </c>
      <c r="Y47" s="7">
        <f>MAX(0,D47-O47+R47+T47+H47-W47/2)</f>
        <v/>
      </c>
      <c r="Z47" s="7">
        <f>MAX(0,Y47-impuestos_deduccionEstandar*C47)</f>
        <v/>
      </c>
      <c r="AA47" s="7">
        <f>MIN(0.2*MAX(0,T47+H47-W47/2)*MAX(0,MIN(1,1-(Z47-impuestos_qbiUmbral*C47)/(impuestos_qbiRango*C47))),0.2*Z47)</f>
        <v/>
      </c>
      <c r="AB47" s="7">
        <f>MAX(0,Z47-AA47)</f>
        <v/>
      </c>
      <c r="AC47" s="7">
        <f>SUMPRODUCT((AB47&gt;tb_federalBrackets_lo*C47)*(AB47-tb_federalBrackets_lo*C47)*tb_federalBrackets_dr)</f>
        <v/>
      </c>
      <c r="AD47" s="7">
        <f>MAX(0,Y47-impuestos_nyDeduccion*C47)</f>
        <v/>
      </c>
      <c r="AE47" s="7">
        <f>CHOOSE(loc_taxcode,0,impuestos_ohTasa*MAX(0,Y47-impuestos_ohExento*C47)+impuestos_ohMunicipal*U47,SUMPRODUCT((AD47&gt;tb_nyBrackets_lo*C47)*(AD47-tb_nyBrackets_lo*C47)*tb_nyBrackets_dr)+loc_nyc*SUMPRODUCT((AD47&gt;tb_nycBrackets_lo*C47)*(AD47-tb_nycBrackets_lo*C47)*tb_nycBrackets_dr))</f>
        <v/>
      </c>
      <c r="AF47" s="7">
        <f>AC47+AE47+X47+W47</f>
        <v/>
      </c>
      <c r="AG47" s="7">
        <f>D47+F47+R47+T47+H47</f>
        <v/>
      </c>
      <c r="AH47" s="7">
        <f>AG47-AF47-O47</f>
        <v/>
      </c>
      <c r="AI47" s="7">
        <f>D47+F47+G47+H47</f>
        <v/>
      </c>
      <c r="AJ47" s="7">
        <f>loc_gastosVida*C47*g_gastos</f>
        <v/>
      </c>
      <c r="AK47" s="7">
        <f>IF(14=0,personal_liquidoInicial,DR46)</f>
        <v/>
      </c>
      <c r="AL47" s="7">
        <f>IF(14=0,0,BB46)</f>
        <v/>
      </c>
      <c r="AM47" s="7">
        <f>CHOOSE(sel_cfgIdx,loc_precio_duplex,loc_precio_inlaw,loc_precio_dosCasas,loc_precio_casaAdu,loc_precio_multi)</f>
        <v/>
      </c>
      <c r="AN47" s="7">
        <f>AM47*(1+g_appr)^(A47-2026)</f>
        <v/>
      </c>
      <c r="AO47" s="7">
        <f>IF(AND(M47=1,vivienda_prestamoMedico=1),1,0)</f>
        <v/>
      </c>
      <c r="AP47" s="7">
        <f>IF(AO47=1,0.05,vivienda_enganchePct)</f>
        <v/>
      </c>
      <c r="AQ47" s="7">
        <f>AN47*(1-AP47)</f>
        <v/>
      </c>
      <c r="AR47" s="7">
        <f>PMT(g_mortRate/12,vivienda_plazoHipoteca*12,-AQ47)</f>
        <v/>
      </c>
      <c r="AS47" s="7">
        <f>INDEX(cfg_units,sel_cfgIdx)</f>
        <v/>
      </c>
      <c r="AT47" s="7">
        <f>AS47*loc_rentaUnidad*(1+g_inf)^(A47-2026)*(1-vivienda_vacancia)</f>
        <v/>
      </c>
      <c r="AU47" s="7">
        <f>AR47+AN47*loc_impuestoPropPct/12+AM47*loc_seguroPct*(1+vivienda_inflacionSeguro)^(A47-2026)/12+IF(AND(AO47=0,AP47&lt;0.2),AQ47*vivienda_pmiTasa/12,0)</f>
        <v/>
      </c>
      <c r="AV47" s="7">
        <f>AN47*AP47+AN47*vivienda_cierrePct+general_reservaMeses/12*AJ47</f>
        <v/>
      </c>
      <c r="AW47" s="7">
        <f>(IF(14=0,MIN(personal_irsSaldo,personal_irsPagoMensual*12),MIN(CD46,personal_irsPagoMensual*12))+IF(CE47&gt;0,PMT(CF47,MAX(1,prestamos_plazoAnios-CG47),-CE47),0)+IF(CR47&gt;0,PMT(CS47,MAX(1,prestamos_plazoAnios-CT47),-CR47),0))/12</f>
        <v/>
      </c>
      <c r="AX47" s="7">
        <f>IF(OR(sel_cfg="duplex",sel_cfg="multi",sel_cfg="dosCasas"),0.75*personal_aporteFamiliaMensual,0)</f>
        <v/>
      </c>
      <c r="AY47" s="7">
        <f>AU47-0.75*AT47-AX47+AW47</f>
        <v/>
      </c>
      <c r="AZ47" s="7">
        <f>(D47+G47+H47+0.5*F47)/12</f>
        <v/>
      </c>
      <c r="BA47" s="7">
        <f>IF(AND(AL47=0,A47&gt;=vivienda_anioMinCompra,J47&lt;0.5,AI47&gt;0,AK47&gt;=AV47,AY47&lt;=vivienda_dtiMax*AZ47),1,0)</f>
        <v/>
      </c>
      <c r="BB47" s="7">
        <f>MAX(AL47,BA47)</f>
        <v/>
      </c>
      <c r="BC47" s="7">
        <f>IF(BA47=1,A47,IF(14=0,"",BC46))</f>
        <v/>
      </c>
      <c r="BD47" s="7">
        <f>AK47-IF(BA47=1,AN47*AP47+AN47*vivienda_cierrePct,0)</f>
        <v/>
      </c>
      <c r="BE47" s="7">
        <f>IF(BA47=1,AN47,IF(14=0,0,BE46))</f>
        <v/>
      </c>
      <c r="BF47" s="7">
        <f>IF(BA47=1,AR47,IF(14=0,0,BF46))</f>
        <v/>
      </c>
      <c r="BG47" s="7">
        <f>IF(BA47=1,IF(AND(AO47=0,AP47&lt;0.2),1,0),IF(14=0,0,BY46))</f>
        <v/>
      </c>
      <c r="BH47" s="7">
        <f>IF(sel_cfg="casaAdu",1,0)</f>
        <v/>
      </c>
      <c r="BI47" s="7">
        <f>IF(AND(BB47=1,BH47=1,IF(14=0,0,BJ46)=0,A47&gt;=IF(BC47="",9999,BC47)+vivienda_aduRetrasoAnios),1,0)</f>
        <v/>
      </c>
      <c r="BJ47" s="7">
        <f>MAX(IF(14=0,0,BJ46),BI47)</f>
        <v/>
      </c>
      <c r="BK47" s="7">
        <f>IF(BI47=1,PMT((g_mortRate+0.005)/12,180,-loc_precio_aduCosto*C47),IF(14=0,0,BK46))</f>
        <v/>
      </c>
      <c r="BL47" s="7">
        <f>IF(BA47=1,AN47,IF(14=0,0,DT46))+IF(BI47=1,loc_precio_aduCosto*C47,0)</f>
        <v/>
      </c>
      <c r="BM47" s="7">
        <f>IF(BA47=1,AQ47,IF(14=0,0,DU46))</f>
        <v/>
      </c>
      <c r="BN47" s="7">
        <f>IF(BM47&lt;=0,0,FV(g_mortRate/12,12,BF47,-BM47))</f>
        <v/>
      </c>
      <c r="BO47" s="7">
        <f>IF(BM47&lt;=0,0,12*BF47+MIN(0,BN47))</f>
        <v/>
      </c>
      <c r="BP47" s="7">
        <f>MAX(0,BN47)</f>
        <v/>
      </c>
      <c r="BQ47" s="7">
        <f>IF(BI47=1,loc_precio_aduCosto*C47,IF(14=0,0,DV46))</f>
        <v/>
      </c>
      <c r="BR47" s="7">
        <f>IF(BQ47&lt;=0,0,FV((g_mortRate+0.005)/12,12,BK47,-BQ47))</f>
        <v/>
      </c>
      <c r="BS47" s="7">
        <f>IF(BQ47&lt;=0,0,12*BK47+MIN(0,BR47))</f>
        <v/>
      </c>
      <c r="BT47" s="7">
        <f>MAX(0,BR47)</f>
        <v/>
      </c>
      <c r="BU47" s="7">
        <f>IF(BB47=1,AM47*loc_seguroPct*(1+vivienda_inflacionSeguro)^(A47-2026)*IF(BJ47=1,1+loc_precio_aduCosto/AM47,1),0)</f>
        <v/>
      </c>
      <c r="BV47" s="7">
        <f>BL47*loc_impuestoPropPct</f>
        <v/>
      </c>
      <c r="BW47" s="7">
        <f>BL47*vivienda_mantenimientoPct</f>
        <v/>
      </c>
      <c r="BX47" s="7">
        <f>IF(AND(BG47=1,BP47&gt;0.8*BE47),BE47*(1-vivienda_enganchePct)*vivienda_pmiTasa,0)</f>
        <v/>
      </c>
      <c r="BY47" s="7">
        <f>IF(AND(BG47=1,BP47&gt;0.8*BE47),1,0)</f>
        <v/>
      </c>
      <c r="BZ47" s="7">
        <f>IF(BB47=1,AS47*loc_rentaUnidad*12*C47*(1-vivienda_vacancia)*(1-vivienda_gestionPct),0)</f>
        <v/>
      </c>
      <c r="CA47" s="7">
        <f>IF(BB47=1,BO47+BS47+BU47+BV47+BW47+BX47,loc_rentaMensual*12*C47)</f>
        <v/>
      </c>
      <c r="CB47" s="7">
        <f>IF(BB47=1,personal_aporteFamiliaMensual*12,0)</f>
        <v/>
      </c>
      <c r="CC47" s="7">
        <f>MIN(IF(14=0,personal_irsSaldo,CD46),personal_irsPagoMensual*12)</f>
        <v/>
      </c>
      <c r="CD47" s="7">
        <f>IF(14=0,personal_irsSaldo,CD46)-CC47</f>
        <v/>
      </c>
      <c r="CE47" s="7">
        <f>IF(14=0,IF(personal_deudaEsFederal=1,personal_deudaEstudiantil,0),DW46)</f>
        <v/>
      </c>
      <c r="CF47" s="7">
        <f>IF(14=0,personal_tasaDeudaEstudiantil,DX46)</f>
        <v/>
      </c>
      <c r="CG47" s="7">
        <f>IF(14=0,0,DY46)</f>
        <v/>
      </c>
      <c r="CH47" s="7">
        <f>IF(J47&gt;=0.5,1,0)</f>
        <v/>
      </c>
      <c r="CI47" s="7">
        <f>IF(AND(CH47=0,prestamos_pslfActivo=1,K47&gt;=0.5,CE47&gt;0),1,0)</f>
        <v/>
      </c>
      <c r="CJ47" s="7">
        <f>CE47*CF47</f>
        <v/>
      </c>
      <c r="CK47" s="7">
        <f>MAX(prestamos_rapPagoMinimoAnual,IF(Y47&lt;10000,0,MIN(0.1,INT(Y47/10000)/100))*Y47)</f>
        <v/>
      </c>
      <c r="CL47" s="7">
        <f>IF(CE47&lt;=0,0,IF(CH47=1,0,IF(CI47=1,MIN(CE47+CJ47,CK47),PMT(CF47,MAX(1,prestamos_plazoAnios-CG47),-CE47))))</f>
        <v/>
      </c>
      <c r="CM47" s="7">
        <f>IF(CE47&lt;=0,0,IF(CH47=1,CE47+CJ47,IF(CI47=1,MAX(0,CE47-MAX(CL47-CJ47,MIN(600,CL47))),MAX(0,CE47*(1+CF47)-CL47))))</f>
        <v/>
      </c>
      <c r="CN47" s="7">
        <f>IF(14=0,0,CN46)+IF(CI47=1,12*MIN(1,K47),0)</f>
        <v/>
      </c>
      <c r="CO47" s="7">
        <f>IF(AND(CI47=1,CN47&gt;=prestamos_pslfPagos,CM47&gt;0),CM47,0)</f>
        <v/>
      </c>
      <c r="CP47" s="7">
        <f>CM47-CO47</f>
        <v/>
      </c>
      <c r="CQ47" s="7">
        <f>IF(AND(CE47&gt;0,CH47=0,CI47=0),CG47+1,CG47)</f>
        <v/>
      </c>
      <c r="CR47" s="7">
        <f>IF(14=0,IF(personal_deudaEsFederal=1,0,personal_deudaEstudiantil),EA46)</f>
        <v/>
      </c>
      <c r="CS47" s="7">
        <f>IF(14=0,IF(personal_deudaEsFederal=1,prestamos_tasaPrivada,personal_tasaDeudaEstudiantil),EB46)</f>
        <v/>
      </c>
      <c r="CT47" s="7">
        <f>IF(14=0,0,EC46)</f>
        <v/>
      </c>
      <c r="CU47" s="7">
        <f>IF(OR(CR47&lt;=0,CH47=1),0,PMT(CS47,MAX(1,prestamos_plazoAnios-CT47),-CR47))</f>
        <v/>
      </c>
      <c r="CV47" s="7">
        <f>IF(CR47&lt;=0,0,IF(CH47=1,CR47*(1+CS47),MAX(0,CR47*(1+CS47)-CU47)))</f>
        <v/>
      </c>
      <c r="CW47" s="7">
        <f>IF(AND(CR47&gt;0,CH47=0),CT47+1,CT47)</f>
        <v/>
      </c>
      <c r="CX47" s="7">
        <f>IF(14=0,0,ED46)*(1+general_tasaDeudaConsumo)</f>
        <v/>
      </c>
      <c r="CY47" s="7">
        <f>L47*12*tiempos_travelGastoExtraMes*C47</f>
        <v/>
      </c>
      <c r="CZ47" s="7">
        <f>AJ47+CY47+CA47+CC47+CL47+CU47+I47+N47-BZ47-CB47</f>
        <v/>
      </c>
      <c r="DA47" s="7">
        <f>AH47-CZ47</f>
        <v/>
      </c>
      <c r="DB47" s="7">
        <f>IF(14=0,0,DB46)+DA47</f>
        <v/>
      </c>
      <c r="DC47" s="7">
        <f>AN47*vivienda_enganchePct+AN47*vivienda_cierrePct+general_reservaMeses/12*AJ47</f>
        <v/>
      </c>
      <c r="DD47" s="7">
        <f>IF(BB47=1,g_ret,IF(BD47&gt;0,MIN(1,DC47/BD47),1)*g_cash+(1-IF(BD47&gt;0,MIN(1,DC47/BD47),1))*g_ret)</f>
        <v/>
      </c>
      <c r="DE47" s="7">
        <f>IF(DA47&gt;=0,MIN(CX47,DA47),0)</f>
        <v/>
      </c>
      <c r="DF47" s="7">
        <f>IF(DA47&gt;=0,(1-general_tasaAhorro)*(DA47-DE47),0)</f>
        <v/>
      </c>
      <c r="DG47" s="7">
        <f>IF(DA47&gt;=0,DA47-DE47-DF47,0)</f>
        <v/>
      </c>
      <c r="DH47" s="7">
        <f>MIN(personal_rothAnual,DG47)</f>
        <v/>
      </c>
      <c r="DI47" s="7">
        <f>IF(AND(DA47&gt;=0,BB47=1,BP47+BT47&gt;0),MIN(vivienda_prepagoPct*(DG47-DH47),BP47+BT47),0)</f>
        <v/>
      </c>
      <c r="DJ47" s="7">
        <f>MIN(DI47,BP47)</f>
        <v/>
      </c>
      <c r="DK47" s="7">
        <f>IF(DA47&lt;0,MIN(MAX(0,BD47),-DA47),0)</f>
        <v/>
      </c>
      <c r="DL47" s="7">
        <f>IF(DA47&lt;0,-DA47-DK47,0)</f>
        <v/>
      </c>
      <c r="DM47" s="7">
        <f>IF(14=0,0,DZ46)</f>
        <v/>
      </c>
      <c r="DN47" s="7">
        <f>IF(AND(DL47&gt;0,J47&gt;0),MIN(DL47,MIN(prestamos_topeAnualPosgrado*MIN(1,J47),MAX(0,prestamos_topeTotalPosgrado-DM47))),0)</f>
        <v/>
      </c>
      <c r="DO47" s="7">
        <f>IF(AND(DL47&gt;0,J47&gt;0),DL47-DN47,0)</f>
        <v/>
      </c>
      <c r="DP47" s="7">
        <f>IF(AND(DL47&gt;0,J47&lt;=0),DL47,0)</f>
        <v/>
      </c>
      <c r="DQ47" s="7">
        <f>IF(DA47&gt;=0,DG47-DH47-DI47,-DK47)</f>
        <v/>
      </c>
      <c r="DR47" s="7">
        <f>BD47*(1+DD47)+DQ47*(1+DD47/2)</f>
        <v/>
      </c>
      <c r="DS47" s="7">
        <f>IF(14=0,personal_retiroInicial,DS46)*(1+g_ret)+(O47+P47+DH47)*(1+g_ret/2)</f>
        <v/>
      </c>
      <c r="DT47" s="7">
        <f>IF(BB47=1,BL47*(1+g_appr),0)</f>
        <v/>
      </c>
      <c r="DU47" s="7">
        <f>BP47-DJ47</f>
        <v/>
      </c>
      <c r="DV47" s="7">
        <f>BT47-(DI47-DJ47)</f>
        <v/>
      </c>
      <c r="DW47" s="7">
        <f>CP47+DN47</f>
        <v/>
      </c>
      <c r="DX47" s="7">
        <f>IF(DN47&gt;0,(CP47*CF47+DN47*prestamos_tasaFederalPosgrado)/(CP47+DN47),CF47)</f>
        <v/>
      </c>
      <c r="DY47" s="7">
        <f>IF(DN47&gt;0,0,CQ47)</f>
        <v/>
      </c>
      <c r="DZ47" s="7">
        <f>DM47+DN47</f>
        <v/>
      </c>
      <c r="EA47" s="7">
        <f>CV47+DO47</f>
        <v/>
      </c>
      <c r="EB47" s="7">
        <f>IF(DO47&gt;0,(CV47*CS47+DO47*prestamos_tasaPrivada)/(CV47+DO47),CS47)</f>
        <v/>
      </c>
      <c r="EC47" s="7">
        <f>IF(DO47&gt;0,0,CW47)</f>
        <v/>
      </c>
      <c r="ED47" s="7">
        <f>CX47-DE47+DP47</f>
        <v/>
      </c>
      <c r="EE47" s="7">
        <f>IF(IF(14=0,"",EE46)&lt;&gt;"",EE46,IF(AND(BB47=1,DU47&lt;=0.5,DV47&lt;=0.5,OR(BH47=0,BJ47=1)),A47,""))</f>
        <v/>
      </c>
      <c r="EF47" s="7">
        <f>DU47+DV47+DW47+EA47+ED47+CD47</f>
        <v/>
      </c>
      <c r="EG47" s="7">
        <f>DR47+DS47+DT47-EF47</f>
        <v/>
      </c>
      <c r="EH47" s="7">
        <f>EG47/(1+g_inf)^(A47+1-2026)</f>
        <v/>
      </c>
    </row>
    <row r="48">
      <c r="A48" t="n">
        <v>2042</v>
      </c>
      <c r="B48" t="n">
        <v>15</v>
      </c>
      <c r="C48" s="7">
        <f>(1+g_inf)^(A48-2026)</f>
        <v/>
      </c>
      <c r="D48" s="7">
        <f>SUMPRODUCT($AI$5:$AI$29,$E$5:$E$29*(1+$F$5:$F$29)^(A48-2026)*$G$5:$G$29*$H$5:$H$29*(1-$N$5:$N$29*$O$5:$O$29))*g_salMult+SUMPRODUCT(($B$5:$B$29&gt;=A48)*($B$5:$B$29&lt;A48+1)*$I$5:$I$29)*g_salMult</f>
        <v/>
      </c>
      <c r="E48" s="7">
        <f>SUMPRODUCT($AI$5:$AI$29,$E$5:$E$29*(1+$F$5:$F$29)^(A48-2026)*$G$5:$G$29*$H$5:$H$29*$M$5:$M$29)*g_salMult</f>
        <v/>
      </c>
      <c r="F48" s="7">
        <f>SUMPRODUCT($AI$5:$AI$29,$E$5:$E$29*(1+$F$5:$F$29)^(A48-2026)*$G$5:$G$29*$H$5:$H$29*$N$5:$N$29*$O$5:$O$29)*g_salMult</f>
        <v/>
      </c>
      <c r="G48" s="7">
        <f>SUMPRODUCT($AI$5:$AI$29,$P$5:$P$29*(1+$F$5:$F$29)^(A48-2026))</f>
        <v/>
      </c>
      <c r="H48" s="7">
        <f>SUMPRODUCT($AI$5:$AI$29,$Q$5:$Q$29*(1+$F$5:$F$29)^(A48-2026))+IF(personal_llcActivo=1,personal_llcNeto*(1+personal_llcCrecimiento)^15,0)</f>
        <v/>
      </c>
      <c r="I48" s="7">
        <f>SUMPRODUCT($AI$5:$AI$29,$J$5:$J$29/($C$5:$C$29-$B$5:$B$29+($C$5:$C$29=$B$5:$B$29)))*C48</f>
        <v/>
      </c>
      <c r="J48" s="7">
        <f>SUMPRODUCT($AI$5:$AI$29,$K$5:$K$29)</f>
        <v/>
      </c>
      <c r="K48" s="7">
        <f>SUMPRODUCT($AI$5:$AI$29,$L$5:$L$29)</f>
        <v/>
      </c>
      <c r="L48" s="7">
        <f>SUMPRODUCT($AI$5:$AI$29,$N$5:$N$29)</f>
        <v/>
      </c>
      <c r="M48" s="7">
        <f>IF(SUMPRODUCT($AI$5:$AI$29,$R$5:$R$29)&gt;0,1,0)</f>
        <v/>
      </c>
      <c r="N48" s="7">
        <f>SUMPRODUCT(($AO$5:$AO$24&gt;=A48)*($AO$5:$AO$24&lt;A48+1)*$AP$5:$AP$24)*C48+IF(15=0,IF(sel_loc&lt;&gt;"miami",personal_costoMudanzaInicial,0),0)</f>
        <v/>
      </c>
      <c r="O48" s="7">
        <f>MIN(personal_aporte403bPct*D48,retiro_limite403b*C48)</f>
        <v/>
      </c>
      <c r="P48" s="7">
        <f>MIN(personal_aporte403bPct,personal_match403bPct)*E48</f>
        <v/>
      </c>
      <c r="Q48" s="7">
        <f>IF(G48&gt;0,MAX(0,G48-impuestos_scorpCostoAnual*C48),0)</f>
        <v/>
      </c>
      <c r="R48" s="7">
        <f>Q48*impuestos_scorpSalarioPct/(1+impuestos_ssTasa+impuestos_medicareTasa)</f>
        <v/>
      </c>
      <c r="S48" s="7">
        <f>impuestos_ssTasa*MIN(R48,MAX(0,impuestos_ssTope*C48-D48))+impuestos_medicareTasa*R48</f>
        <v/>
      </c>
      <c r="T48" s="7">
        <f>Q48-R48-S48</f>
        <v/>
      </c>
      <c r="U48" s="7">
        <f>D48+R48</f>
        <v/>
      </c>
      <c r="V48" s="7">
        <f>H48*0.9235</f>
        <v/>
      </c>
      <c r="W48" s="7">
        <f>IF(H48&gt;0,2*impuestos_ssTasa*MIN(V48,MAX(0,impuestos_ssTope*C48-U48))+2*impuestos_medicareTasa*V48,0)</f>
        <v/>
      </c>
      <c r="X48" s="7">
        <f>impuestos_ssTasa*MIN(U48,impuestos_ssTope*C48)+impuestos_medicareTasa*U48+impuestos_medicareAdicional*MAX(0,U48+H48*0.9235-impuestos_medicareUmbral)</f>
        <v/>
      </c>
      <c r="Y48" s="7">
        <f>MAX(0,D48-O48+R48+T48+H48-W48/2)</f>
        <v/>
      </c>
      <c r="Z48" s="7">
        <f>MAX(0,Y48-impuestos_deduccionEstandar*C48)</f>
        <v/>
      </c>
      <c r="AA48" s="7">
        <f>MIN(0.2*MAX(0,T48+H48-W48/2)*MAX(0,MIN(1,1-(Z48-impuestos_qbiUmbral*C48)/(impuestos_qbiRango*C48))),0.2*Z48)</f>
        <v/>
      </c>
      <c r="AB48" s="7">
        <f>MAX(0,Z48-AA48)</f>
        <v/>
      </c>
      <c r="AC48" s="7">
        <f>SUMPRODUCT((AB48&gt;tb_federalBrackets_lo*C48)*(AB48-tb_federalBrackets_lo*C48)*tb_federalBrackets_dr)</f>
        <v/>
      </c>
      <c r="AD48" s="7">
        <f>MAX(0,Y48-impuestos_nyDeduccion*C48)</f>
        <v/>
      </c>
      <c r="AE48" s="7">
        <f>CHOOSE(loc_taxcode,0,impuestos_ohTasa*MAX(0,Y48-impuestos_ohExento*C48)+impuestos_ohMunicipal*U48,SUMPRODUCT((AD48&gt;tb_nyBrackets_lo*C48)*(AD48-tb_nyBrackets_lo*C48)*tb_nyBrackets_dr)+loc_nyc*SUMPRODUCT((AD48&gt;tb_nycBrackets_lo*C48)*(AD48-tb_nycBrackets_lo*C48)*tb_nycBrackets_dr))</f>
        <v/>
      </c>
      <c r="AF48" s="7">
        <f>AC48+AE48+X48+W48</f>
        <v/>
      </c>
      <c r="AG48" s="7">
        <f>D48+F48+R48+T48+H48</f>
        <v/>
      </c>
      <c r="AH48" s="7">
        <f>AG48-AF48-O48</f>
        <v/>
      </c>
      <c r="AI48" s="7">
        <f>D48+F48+G48+H48</f>
        <v/>
      </c>
      <c r="AJ48" s="7">
        <f>loc_gastosVida*C48*g_gastos</f>
        <v/>
      </c>
      <c r="AK48" s="7">
        <f>IF(15=0,personal_liquidoInicial,DR47)</f>
        <v/>
      </c>
      <c r="AL48" s="7">
        <f>IF(15=0,0,BB47)</f>
        <v/>
      </c>
      <c r="AM48" s="7">
        <f>CHOOSE(sel_cfgIdx,loc_precio_duplex,loc_precio_inlaw,loc_precio_dosCasas,loc_precio_casaAdu,loc_precio_multi)</f>
        <v/>
      </c>
      <c r="AN48" s="7">
        <f>AM48*(1+g_appr)^(A48-2026)</f>
        <v/>
      </c>
      <c r="AO48" s="7">
        <f>IF(AND(M48=1,vivienda_prestamoMedico=1),1,0)</f>
        <v/>
      </c>
      <c r="AP48" s="7">
        <f>IF(AO48=1,0.05,vivienda_enganchePct)</f>
        <v/>
      </c>
      <c r="AQ48" s="7">
        <f>AN48*(1-AP48)</f>
        <v/>
      </c>
      <c r="AR48" s="7">
        <f>PMT(g_mortRate/12,vivienda_plazoHipoteca*12,-AQ48)</f>
        <v/>
      </c>
      <c r="AS48" s="7">
        <f>INDEX(cfg_units,sel_cfgIdx)</f>
        <v/>
      </c>
      <c r="AT48" s="7">
        <f>AS48*loc_rentaUnidad*(1+g_inf)^(A48-2026)*(1-vivienda_vacancia)</f>
        <v/>
      </c>
      <c r="AU48" s="7">
        <f>AR48+AN48*loc_impuestoPropPct/12+AM48*loc_seguroPct*(1+vivienda_inflacionSeguro)^(A48-2026)/12+IF(AND(AO48=0,AP48&lt;0.2),AQ48*vivienda_pmiTasa/12,0)</f>
        <v/>
      </c>
      <c r="AV48" s="7">
        <f>AN48*AP48+AN48*vivienda_cierrePct+general_reservaMeses/12*AJ48</f>
        <v/>
      </c>
      <c r="AW48" s="7">
        <f>(IF(15=0,MIN(personal_irsSaldo,personal_irsPagoMensual*12),MIN(CD47,personal_irsPagoMensual*12))+IF(CE48&gt;0,PMT(CF48,MAX(1,prestamos_plazoAnios-CG48),-CE48),0)+IF(CR48&gt;0,PMT(CS48,MAX(1,prestamos_plazoAnios-CT48),-CR48),0))/12</f>
        <v/>
      </c>
      <c r="AX48" s="7">
        <f>IF(OR(sel_cfg="duplex",sel_cfg="multi",sel_cfg="dosCasas"),0.75*personal_aporteFamiliaMensual,0)</f>
        <v/>
      </c>
      <c r="AY48" s="7">
        <f>AU48-0.75*AT48-AX48+AW48</f>
        <v/>
      </c>
      <c r="AZ48" s="7">
        <f>(D48+G48+H48+0.5*F48)/12</f>
        <v/>
      </c>
      <c r="BA48" s="7">
        <f>IF(AND(AL48=0,A48&gt;=vivienda_anioMinCompra,J48&lt;0.5,AI48&gt;0,AK48&gt;=AV48,AY48&lt;=vivienda_dtiMax*AZ48),1,0)</f>
        <v/>
      </c>
      <c r="BB48" s="7">
        <f>MAX(AL48,BA48)</f>
        <v/>
      </c>
      <c r="BC48" s="7">
        <f>IF(BA48=1,A48,IF(15=0,"",BC47))</f>
        <v/>
      </c>
      <c r="BD48" s="7">
        <f>AK48-IF(BA48=1,AN48*AP48+AN48*vivienda_cierrePct,0)</f>
        <v/>
      </c>
      <c r="BE48" s="7">
        <f>IF(BA48=1,AN48,IF(15=0,0,BE47))</f>
        <v/>
      </c>
      <c r="BF48" s="7">
        <f>IF(BA48=1,AR48,IF(15=0,0,BF47))</f>
        <v/>
      </c>
      <c r="BG48" s="7">
        <f>IF(BA48=1,IF(AND(AO48=0,AP48&lt;0.2),1,0),IF(15=0,0,BY47))</f>
        <v/>
      </c>
      <c r="BH48" s="7">
        <f>IF(sel_cfg="casaAdu",1,0)</f>
        <v/>
      </c>
      <c r="BI48" s="7">
        <f>IF(AND(BB48=1,BH48=1,IF(15=0,0,BJ47)=0,A48&gt;=IF(BC48="",9999,BC48)+vivienda_aduRetrasoAnios),1,0)</f>
        <v/>
      </c>
      <c r="BJ48" s="7">
        <f>MAX(IF(15=0,0,BJ47),BI48)</f>
        <v/>
      </c>
      <c r="BK48" s="7">
        <f>IF(BI48=1,PMT((g_mortRate+0.005)/12,180,-loc_precio_aduCosto*C48),IF(15=0,0,BK47))</f>
        <v/>
      </c>
      <c r="BL48" s="7">
        <f>IF(BA48=1,AN48,IF(15=0,0,DT47))+IF(BI48=1,loc_precio_aduCosto*C48,0)</f>
        <v/>
      </c>
      <c r="BM48" s="7">
        <f>IF(BA48=1,AQ48,IF(15=0,0,DU47))</f>
        <v/>
      </c>
      <c r="BN48" s="7">
        <f>IF(BM48&lt;=0,0,FV(g_mortRate/12,12,BF48,-BM48))</f>
        <v/>
      </c>
      <c r="BO48" s="7">
        <f>IF(BM48&lt;=0,0,12*BF48+MIN(0,BN48))</f>
        <v/>
      </c>
      <c r="BP48" s="7">
        <f>MAX(0,BN48)</f>
        <v/>
      </c>
      <c r="BQ48" s="7">
        <f>IF(BI48=1,loc_precio_aduCosto*C48,IF(15=0,0,DV47))</f>
        <v/>
      </c>
      <c r="BR48" s="7">
        <f>IF(BQ48&lt;=0,0,FV((g_mortRate+0.005)/12,12,BK48,-BQ48))</f>
        <v/>
      </c>
      <c r="BS48" s="7">
        <f>IF(BQ48&lt;=0,0,12*BK48+MIN(0,BR48))</f>
        <v/>
      </c>
      <c r="BT48" s="7">
        <f>MAX(0,BR48)</f>
        <v/>
      </c>
      <c r="BU48" s="7">
        <f>IF(BB48=1,AM48*loc_seguroPct*(1+vivienda_inflacionSeguro)^(A48-2026)*IF(BJ48=1,1+loc_precio_aduCosto/AM48,1),0)</f>
        <v/>
      </c>
      <c r="BV48" s="7">
        <f>BL48*loc_impuestoPropPct</f>
        <v/>
      </c>
      <c r="BW48" s="7">
        <f>BL48*vivienda_mantenimientoPct</f>
        <v/>
      </c>
      <c r="BX48" s="7">
        <f>IF(AND(BG48=1,BP48&gt;0.8*BE48),BE48*(1-vivienda_enganchePct)*vivienda_pmiTasa,0)</f>
        <v/>
      </c>
      <c r="BY48" s="7">
        <f>IF(AND(BG48=1,BP48&gt;0.8*BE48),1,0)</f>
        <v/>
      </c>
      <c r="BZ48" s="7">
        <f>IF(BB48=1,AS48*loc_rentaUnidad*12*C48*(1-vivienda_vacancia)*(1-vivienda_gestionPct),0)</f>
        <v/>
      </c>
      <c r="CA48" s="7">
        <f>IF(BB48=1,BO48+BS48+BU48+BV48+BW48+BX48,loc_rentaMensual*12*C48)</f>
        <v/>
      </c>
      <c r="CB48" s="7">
        <f>IF(BB48=1,personal_aporteFamiliaMensual*12,0)</f>
        <v/>
      </c>
      <c r="CC48" s="7">
        <f>MIN(IF(15=0,personal_irsSaldo,CD47),personal_irsPagoMensual*12)</f>
        <v/>
      </c>
      <c r="CD48" s="7">
        <f>IF(15=0,personal_irsSaldo,CD47)-CC48</f>
        <v/>
      </c>
      <c r="CE48" s="7">
        <f>IF(15=0,IF(personal_deudaEsFederal=1,personal_deudaEstudiantil,0),DW47)</f>
        <v/>
      </c>
      <c r="CF48" s="7">
        <f>IF(15=0,personal_tasaDeudaEstudiantil,DX47)</f>
        <v/>
      </c>
      <c r="CG48" s="7">
        <f>IF(15=0,0,DY47)</f>
        <v/>
      </c>
      <c r="CH48" s="7">
        <f>IF(J48&gt;=0.5,1,0)</f>
        <v/>
      </c>
      <c r="CI48" s="7">
        <f>IF(AND(CH48=0,prestamos_pslfActivo=1,K48&gt;=0.5,CE48&gt;0),1,0)</f>
        <v/>
      </c>
      <c r="CJ48" s="7">
        <f>CE48*CF48</f>
        <v/>
      </c>
      <c r="CK48" s="7">
        <f>MAX(prestamos_rapPagoMinimoAnual,IF(Y48&lt;10000,0,MIN(0.1,INT(Y48/10000)/100))*Y48)</f>
        <v/>
      </c>
      <c r="CL48" s="7">
        <f>IF(CE48&lt;=0,0,IF(CH48=1,0,IF(CI48=1,MIN(CE48+CJ48,CK48),PMT(CF48,MAX(1,prestamos_plazoAnios-CG48),-CE48))))</f>
        <v/>
      </c>
      <c r="CM48" s="7">
        <f>IF(CE48&lt;=0,0,IF(CH48=1,CE48+CJ48,IF(CI48=1,MAX(0,CE48-MAX(CL48-CJ48,MIN(600,CL48))),MAX(0,CE48*(1+CF48)-CL48))))</f>
        <v/>
      </c>
      <c r="CN48" s="7">
        <f>IF(15=0,0,CN47)+IF(CI48=1,12*MIN(1,K48),0)</f>
        <v/>
      </c>
      <c r="CO48" s="7">
        <f>IF(AND(CI48=1,CN48&gt;=prestamos_pslfPagos,CM48&gt;0),CM48,0)</f>
        <v/>
      </c>
      <c r="CP48" s="7">
        <f>CM48-CO48</f>
        <v/>
      </c>
      <c r="CQ48" s="7">
        <f>IF(AND(CE48&gt;0,CH48=0,CI48=0),CG48+1,CG48)</f>
        <v/>
      </c>
      <c r="CR48" s="7">
        <f>IF(15=0,IF(personal_deudaEsFederal=1,0,personal_deudaEstudiantil),EA47)</f>
        <v/>
      </c>
      <c r="CS48" s="7">
        <f>IF(15=0,IF(personal_deudaEsFederal=1,prestamos_tasaPrivada,personal_tasaDeudaEstudiantil),EB47)</f>
        <v/>
      </c>
      <c r="CT48" s="7">
        <f>IF(15=0,0,EC47)</f>
        <v/>
      </c>
      <c r="CU48" s="7">
        <f>IF(OR(CR48&lt;=0,CH48=1),0,PMT(CS48,MAX(1,prestamos_plazoAnios-CT48),-CR48))</f>
        <v/>
      </c>
      <c r="CV48" s="7">
        <f>IF(CR48&lt;=0,0,IF(CH48=1,CR48*(1+CS48),MAX(0,CR48*(1+CS48)-CU48)))</f>
        <v/>
      </c>
      <c r="CW48" s="7">
        <f>IF(AND(CR48&gt;0,CH48=0),CT48+1,CT48)</f>
        <v/>
      </c>
      <c r="CX48" s="7">
        <f>IF(15=0,0,ED47)*(1+general_tasaDeudaConsumo)</f>
        <v/>
      </c>
      <c r="CY48" s="7">
        <f>L48*12*tiempos_travelGastoExtraMes*C48</f>
        <v/>
      </c>
      <c r="CZ48" s="7">
        <f>AJ48+CY48+CA48+CC48+CL48+CU48+I48+N48-BZ48-CB48</f>
        <v/>
      </c>
      <c r="DA48" s="7">
        <f>AH48-CZ48</f>
        <v/>
      </c>
      <c r="DB48" s="7">
        <f>IF(15=0,0,DB47)+DA48</f>
        <v/>
      </c>
      <c r="DC48" s="7">
        <f>AN48*vivienda_enganchePct+AN48*vivienda_cierrePct+general_reservaMeses/12*AJ48</f>
        <v/>
      </c>
      <c r="DD48" s="7">
        <f>IF(BB48=1,g_ret,IF(BD48&gt;0,MIN(1,DC48/BD48),1)*g_cash+(1-IF(BD48&gt;0,MIN(1,DC48/BD48),1))*g_ret)</f>
        <v/>
      </c>
      <c r="DE48" s="7">
        <f>IF(DA48&gt;=0,MIN(CX48,DA48),0)</f>
        <v/>
      </c>
      <c r="DF48" s="7">
        <f>IF(DA48&gt;=0,(1-general_tasaAhorro)*(DA48-DE48),0)</f>
        <v/>
      </c>
      <c r="DG48" s="7">
        <f>IF(DA48&gt;=0,DA48-DE48-DF48,0)</f>
        <v/>
      </c>
      <c r="DH48" s="7">
        <f>MIN(personal_rothAnual,DG48)</f>
        <v/>
      </c>
      <c r="DI48" s="7">
        <f>IF(AND(DA48&gt;=0,BB48=1,BP48+BT48&gt;0),MIN(vivienda_prepagoPct*(DG48-DH48),BP48+BT48),0)</f>
        <v/>
      </c>
      <c r="DJ48" s="7">
        <f>MIN(DI48,BP48)</f>
        <v/>
      </c>
      <c r="DK48" s="7">
        <f>IF(DA48&lt;0,MIN(MAX(0,BD48),-DA48),0)</f>
        <v/>
      </c>
      <c r="DL48" s="7">
        <f>IF(DA48&lt;0,-DA48-DK48,0)</f>
        <v/>
      </c>
      <c r="DM48" s="7">
        <f>IF(15=0,0,DZ47)</f>
        <v/>
      </c>
      <c r="DN48" s="7">
        <f>IF(AND(DL48&gt;0,J48&gt;0),MIN(DL48,MIN(prestamos_topeAnualPosgrado*MIN(1,J48),MAX(0,prestamos_topeTotalPosgrado-DM48))),0)</f>
        <v/>
      </c>
      <c r="DO48" s="7">
        <f>IF(AND(DL48&gt;0,J48&gt;0),DL48-DN48,0)</f>
        <v/>
      </c>
      <c r="DP48" s="7">
        <f>IF(AND(DL48&gt;0,J48&lt;=0),DL48,0)</f>
        <v/>
      </c>
      <c r="DQ48" s="7">
        <f>IF(DA48&gt;=0,DG48-DH48-DI48,-DK48)</f>
        <v/>
      </c>
      <c r="DR48" s="7">
        <f>BD48*(1+DD48)+DQ48*(1+DD48/2)</f>
        <v/>
      </c>
      <c r="DS48" s="7">
        <f>IF(15=0,personal_retiroInicial,DS47)*(1+g_ret)+(O48+P48+DH48)*(1+g_ret/2)</f>
        <v/>
      </c>
      <c r="DT48" s="7">
        <f>IF(BB48=1,BL48*(1+g_appr),0)</f>
        <v/>
      </c>
      <c r="DU48" s="7">
        <f>BP48-DJ48</f>
        <v/>
      </c>
      <c r="DV48" s="7">
        <f>BT48-(DI48-DJ48)</f>
        <v/>
      </c>
      <c r="DW48" s="7">
        <f>CP48+DN48</f>
        <v/>
      </c>
      <c r="DX48" s="7">
        <f>IF(DN48&gt;0,(CP48*CF48+DN48*prestamos_tasaFederalPosgrado)/(CP48+DN48),CF48)</f>
        <v/>
      </c>
      <c r="DY48" s="7">
        <f>IF(DN48&gt;0,0,CQ48)</f>
        <v/>
      </c>
      <c r="DZ48" s="7">
        <f>DM48+DN48</f>
        <v/>
      </c>
      <c r="EA48" s="7">
        <f>CV48+DO48</f>
        <v/>
      </c>
      <c r="EB48" s="7">
        <f>IF(DO48&gt;0,(CV48*CS48+DO48*prestamos_tasaPrivada)/(CV48+DO48),CS48)</f>
        <v/>
      </c>
      <c r="EC48" s="7">
        <f>IF(DO48&gt;0,0,CW48)</f>
        <v/>
      </c>
      <c r="ED48" s="7">
        <f>CX48-DE48+DP48</f>
        <v/>
      </c>
      <c r="EE48" s="7">
        <f>IF(IF(15=0,"",EE47)&lt;&gt;"",EE47,IF(AND(BB48=1,DU48&lt;=0.5,DV48&lt;=0.5,OR(BH48=0,BJ48=1)),A48,""))</f>
        <v/>
      </c>
      <c r="EF48" s="7">
        <f>DU48+DV48+DW48+EA48+ED48+CD48</f>
        <v/>
      </c>
      <c r="EG48" s="7">
        <f>DR48+DS48+DT48-EF48</f>
        <v/>
      </c>
      <c r="EH48" s="7">
        <f>EG48/(1+g_inf)^(A48+1-2026)</f>
        <v/>
      </c>
    </row>
    <row r="49">
      <c r="A49" t="n">
        <v>2043</v>
      </c>
      <c r="B49" t="n">
        <v>16</v>
      </c>
      <c r="C49" s="7">
        <f>(1+g_inf)^(A49-2026)</f>
        <v/>
      </c>
      <c r="D49" s="7">
        <f>SUMPRODUCT($AJ$5:$AJ$29,$E$5:$E$29*(1+$F$5:$F$29)^(A49-2026)*$G$5:$G$29*$H$5:$H$29*(1-$N$5:$N$29*$O$5:$O$29))*g_salMult+SUMPRODUCT(($B$5:$B$29&gt;=A49)*($B$5:$B$29&lt;A49+1)*$I$5:$I$29)*g_salMult</f>
        <v/>
      </c>
      <c r="E49" s="7">
        <f>SUMPRODUCT($AJ$5:$AJ$29,$E$5:$E$29*(1+$F$5:$F$29)^(A49-2026)*$G$5:$G$29*$H$5:$H$29*$M$5:$M$29)*g_salMult</f>
        <v/>
      </c>
      <c r="F49" s="7">
        <f>SUMPRODUCT($AJ$5:$AJ$29,$E$5:$E$29*(1+$F$5:$F$29)^(A49-2026)*$G$5:$G$29*$H$5:$H$29*$N$5:$N$29*$O$5:$O$29)*g_salMult</f>
        <v/>
      </c>
      <c r="G49" s="7">
        <f>SUMPRODUCT($AJ$5:$AJ$29,$P$5:$P$29*(1+$F$5:$F$29)^(A49-2026))</f>
        <v/>
      </c>
      <c r="H49" s="7">
        <f>SUMPRODUCT($AJ$5:$AJ$29,$Q$5:$Q$29*(1+$F$5:$F$29)^(A49-2026))+IF(personal_llcActivo=1,personal_llcNeto*(1+personal_llcCrecimiento)^16,0)</f>
        <v/>
      </c>
      <c r="I49" s="7">
        <f>SUMPRODUCT($AJ$5:$AJ$29,$J$5:$J$29/($C$5:$C$29-$B$5:$B$29+($C$5:$C$29=$B$5:$B$29)))*C49</f>
        <v/>
      </c>
      <c r="J49" s="7">
        <f>SUMPRODUCT($AJ$5:$AJ$29,$K$5:$K$29)</f>
        <v/>
      </c>
      <c r="K49" s="7">
        <f>SUMPRODUCT($AJ$5:$AJ$29,$L$5:$L$29)</f>
        <v/>
      </c>
      <c r="L49" s="7">
        <f>SUMPRODUCT($AJ$5:$AJ$29,$N$5:$N$29)</f>
        <v/>
      </c>
      <c r="M49" s="7">
        <f>IF(SUMPRODUCT($AJ$5:$AJ$29,$R$5:$R$29)&gt;0,1,0)</f>
        <v/>
      </c>
      <c r="N49" s="7">
        <f>SUMPRODUCT(($AO$5:$AO$24&gt;=A49)*($AO$5:$AO$24&lt;A49+1)*$AP$5:$AP$24)*C49+IF(16=0,IF(sel_loc&lt;&gt;"miami",personal_costoMudanzaInicial,0),0)</f>
        <v/>
      </c>
      <c r="O49" s="7">
        <f>MIN(personal_aporte403bPct*D49,retiro_limite403b*C49)</f>
        <v/>
      </c>
      <c r="P49" s="7">
        <f>MIN(personal_aporte403bPct,personal_match403bPct)*E49</f>
        <v/>
      </c>
      <c r="Q49" s="7">
        <f>IF(G49&gt;0,MAX(0,G49-impuestos_scorpCostoAnual*C49),0)</f>
        <v/>
      </c>
      <c r="R49" s="7">
        <f>Q49*impuestos_scorpSalarioPct/(1+impuestos_ssTasa+impuestos_medicareTasa)</f>
        <v/>
      </c>
      <c r="S49" s="7">
        <f>impuestos_ssTasa*MIN(R49,MAX(0,impuestos_ssTope*C49-D49))+impuestos_medicareTasa*R49</f>
        <v/>
      </c>
      <c r="T49" s="7">
        <f>Q49-R49-S49</f>
        <v/>
      </c>
      <c r="U49" s="7">
        <f>D49+R49</f>
        <v/>
      </c>
      <c r="V49" s="7">
        <f>H49*0.9235</f>
        <v/>
      </c>
      <c r="W49" s="7">
        <f>IF(H49&gt;0,2*impuestos_ssTasa*MIN(V49,MAX(0,impuestos_ssTope*C49-U49))+2*impuestos_medicareTasa*V49,0)</f>
        <v/>
      </c>
      <c r="X49" s="7">
        <f>impuestos_ssTasa*MIN(U49,impuestos_ssTope*C49)+impuestos_medicareTasa*U49+impuestos_medicareAdicional*MAX(0,U49+H49*0.9235-impuestos_medicareUmbral)</f>
        <v/>
      </c>
      <c r="Y49" s="7">
        <f>MAX(0,D49-O49+R49+T49+H49-W49/2)</f>
        <v/>
      </c>
      <c r="Z49" s="7">
        <f>MAX(0,Y49-impuestos_deduccionEstandar*C49)</f>
        <v/>
      </c>
      <c r="AA49" s="7">
        <f>MIN(0.2*MAX(0,T49+H49-W49/2)*MAX(0,MIN(1,1-(Z49-impuestos_qbiUmbral*C49)/(impuestos_qbiRango*C49))),0.2*Z49)</f>
        <v/>
      </c>
      <c r="AB49" s="7">
        <f>MAX(0,Z49-AA49)</f>
        <v/>
      </c>
      <c r="AC49" s="7">
        <f>SUMPRODUCT((AB49&gt;tb_federalBrackets_lo*C49)*(AB49-tb_federalBrackets_lo*C49)*tb_federalBrackets_dr)</f>
        <v/>
      </c>
      <c r="AD49" s="7">
        <f>MAX(0,Y49-impuestos_nyDeduccion*C49)</f>
        <v/>
      </c>
      <c r="AE49" s="7">
        <f>CHOOSE(loc_taxcode,0,impuestos_ohTasa*MAX(0,Y49-impuestos_ohExento*C49)+impuestos_ohMunicipal*U49,SUMPRODUCT((AD49&gt;tb_nyBrackets_lo*C49)*(AD49-tb_nyBrackets_lo*C49)*tb_nyBrackets_dr)+loc_nyc*SUMPRODUCT((AD49&gt;tb_nycBrackets_lo*C49)*(AD49-tb_nycBrackets_lo*C49)*tb_nycBrackets_dr))</f>
        <v/>
      </c>
      <c r="AF49" s="7">
        <f>AC49+AE49+X49+W49</f>
        <v/>
      </c>
      <c r="AG49" s="7">
        <f>D49+F49+R49+T49+H49</f>
        <v/>
      </c>
      <c r="AH49" s="7">
        <f>AG49-AF49-O49</f>
        <v/>
      </c>
      <c r="AI49" s="7">
        <f>D49+F49+G49+H49</f>
        <v/>
      </c>
      <c r="AJ49" s="7">
        <f>loc_gastosVida*C49*g_gastos</f>
        <v/>
      </c>
      <c r="AK49" s="7">
        <f>IF(16=0,personal_liquidoInicial,DR48)</f>
        <v/>
      </c>
      <c r="AL49" s="7">
        <f>IF(16=0,0,BB48)</f>
        <v/>
      </c>
      <c r="AM49" s="7">
        <f>CHOOSE(sel_cfgIdx,loc_precio_duplex,loc_precio_inlaw,loc_precio_dosCasas,loc_precio_casaAdu,loc_precio_multi)</f>
        <v/>
      </c>
      <c r="AN49" s="7">
        <f>AM49*(1+g_appr)^(A49-2026)</f>
        <v/>
      </c>
      <c r="AO49" s="7">
        <f>IF(AND(M49=1,vivienda_prestamoMedico=1),1,0)</f>
        <v/>
      </c>
      <c r="AP49" s="7">
        <f>IF(AO49=1,0.05,vivienda_enganchePct)</f>
        <v/>
      </c>
      <c r="AQ49" s="7">
        <f>AN49*(1-AP49)</f>
        <v/>
      </c>
      <c r="AR49" s="7">
        <f>PMT(g_mortRate/12,vivienda_plazoHipoteca*12,-AQ49)</f>
        <v/>
      </c>
      <c r="AS49" s="7">
        <f>INDEX(cfg_units,sel_cfgIdx)</f>
        <v/>
      </c>
      <c r="AT49" s="7">
        <f>AS49*loc_rentaUnidad*(1+g_inf)^(A49-2026)*(1-vivienda_vacancia)</f>
        <v/>
      </c>
      <c r="AU49" s="7">
        <f>AR49+AN49*loc_impuestoPropPct/12+AM49*loc_seguroPct*(1+vivienda_inflacionSeguro)^(A49-2026)/12+IF(AND(AO49=0,AP49&lt;0.2),AQ49*vivienda_pmiTasa/12,0)</f>
        <v/>
      </c>
      <c r="AV49" s="7">
        <f>AN49*AP49+AN49*vivienda_cierrePct+general_reservaMeses/12*AJ49</f>
        <v/>
      </c>
      <c r="AW49" s="7">
        <f>(IF(16=0,MIN(personal_irsSaldo,personal_irsPagoMensual*12),MIN(CD48,personal_irsPagoMensual*12))+IF(CE49&gt;0,PMT(CF49,MAX(1,prestamos_plazoAnios-CG49),-CE49),0)+IF(CR49&gt;0,PMT(CS49,MAX(1,prestamos_plazoAnios-CT49),-CR49),0))/12</f>
        <v/>
      </c>
      <c r="AX49" s="7">
        <f>IF(OR(sel_cfg="duplex",sel_cfg="multi",sel_cfg="dosCasas"),0.75*personal_aporteFamiliaMensual,0)</f>
        <v/>
      </c>
      <c r="AY49" s="7">
        <f>AU49-0.75*AT49-AX49+AW49</f>
        <v/>
      </c>
      <c r="AZ49" s="7">
        <f>(D49+G49+H49+0.5*F49)/12</f>
        <v/>
      </c>
      <c r="BA49" s="7">
        <f>IF(AND(AL49=0,A49&gt;=vivienda_anioMinCompra,J49&lt;0.5,AI49&gt;0,AK49&gt;=AV49,AY49&lt;=vivienda_dtiMax*AZ49),1,0)</f>
        <v/>
      </c>
      <c r="BB49" s="7">
        <f>MAX(AL49,BA49)</f>
        <v/>
      </c>
      <c r="BC49" s="7">
        <f>IF(BA49=1,A49,IF(16=0,"",BC48))</f>
        <v/>
      </c>
      <c r="BD49" s="7">
        <f>AK49-IF(BA49=1,AN49*AP49+AN49*vivienda_cierrePct,0)</f>
        <v/>
      </c>
      <c r="BE49" s="7">
        <f>IF(BA49=1,AN49,IF(16=0,0,BE48))</f>
        <v/>
      </c>
      <c r="BF49" s="7">
        <f>IF(BA49=1,AR49,IF(16=0,0,BF48))</f>
        <v/>
      </c>
      <c r="BG49" s="7">
        <f>IF(BA49=1,IF(AND(AO49=0,AP49&lt;0.2),1,0),IF(16=0,0,BY48))</f>
        <v/>
      </c>
      <c r="BH49" s="7">
        <f>IF(sel_cfg="casaAdu",1,0)</f>
        <v/>
      </c>
      <c r="BI49" s="7">
        <f>IF(AND(BB49=1,BH49=1,IF(16=0,0,BJ48)=0,A49&gt;=IF(BC49="",9999,BC49)+vivienda_aduRetrasoAnios),1,0)</f>
        <v/>
      </c>
      <c r="BJ49" s="7">
        <f>MAX(IF(16=0,0,BJ48),BI49)</f>
        <v/>
      </c>
      <c r="BK49" s="7">
        <f>IF(BI49=1,PMT((g_mortRate+0.005)/12,180,-loc_precio_aduCosto*C49),IF(16=0,0,BK48))</f>
        <v/>
      </c>
      <c r="BL49" s="7">
        <f>IF(BA49=1,AN49,IF(16=0,0,DT48))+IF(BI49=1,loc_precio_aduCosto*C49,0)</f>
        <v/>
      </c>
      <c r="BM49" s="7">
        <f>IF(BA49=1,AQ49,IF(16=0,0,DU48))</f>
        <v/>
      </c>
      <c r="BN49" s="7">
        <f>IF(BM49&lt;=0,0,FV(g_mortRate/12,12,BF49,-BM49))</f>
        <v/>
      </c>
      <c r="BO49" s="7">
        <f>IF(BM49&lt;=0,0,12*BF49+MIN(0,BN49))</f>
        <v/>
      </c>
      <c r="BP49" s="7">
        <f>MAX(0,BN49)</f>
        <v/>
      </c>
      <c r="BQ49" s="7">
        <f>IF(BI49=1,loc_precio_aduCosto*C49,IF(16=0,0,DV48))</f>
        <v/>
      </c>
      <c r="BR49" s="7">
        <f>IF(BQ49&lt;=0,0,FV((g_mortRate+0.005)/12,12,BK49,-BQ49))</f>
        <v/>
      </c>
      <c r="BS49" s="7">
        <f>IF(BQ49&lt;=0,0,12*BK49+MIN(0,BR49))</f>
        <v/>
      </c>
      <c r="BT49" s="7">
        <f>MAX(0,BR49)</f>
        <v/>
      </c>
      <c r="BU49" s="7">
        <f>IF(BB49=1,AM49*loc_seguroPct*(1+vivienda_inflacionSeguro)^(A49-2026)*IF(BJ49=1,1+loc_precio_aduCosto/AM49,1),0)</f>
        <v/>
      </c>
      <c r="BV49" s="7">
        <f>BL49*loc_impuestoPropPct</f>
        <v/>
      </c>
      <c r="BW49" s="7">
        <f>BL49*vivienda_mantenimientoPct</f>
        <v/>
      </c>
      <c r="BX49" s="7">
        <f>IF(AND(BG49=1,BP49&gt;0.8*BE49),BE49*(1-vivienda_enganchePct)*vivienda_pmiTasa,0)</f>
        <v/>
      </c>
      <c r="BY49" s="7">
        <f>IF(AND(BG49=1,BP49&gt;0.8*BE49),1,0)</f>
        <v/>
      </c>
      <c r="BZ49" s="7">
        <f>IF(BB49=1,AS49*loc_rentaUnidad*12*C49*(1-vivienda_vacancia)*(1-vivienda_gestionPct),0)</f>
        <v/>
      </c>
      <c r="CA49" s="7">
        <f>IF(BB49=1,BO49+BS49+BU49+BV49+BW49+BX49,loc_rentaMensual*12*C49)</f>
        <v/>
      </c>
      <c r="CB49" s="7">
        <f>IF(BB49=1,personal_aporteFamiliaMensual*12,0)</f>
        <v/>
      </c>
      <c r="CC49" s="7">
        <f>MIN(IF(16=0,personal_irsSaldo,CD48),personal_irsPagoMensual*12)</f>
        <v/>
      </c>
      <c r="CD49" s="7">
        <f>IF(16=0,personal_irsSaldo,CD48)-CC49</f>
        <v/>
      </c>
      <c r="CE49" s="7">
        <f>IF(16=0,IF(personal_deudaEsFederal=1,personal_deudaEstudiantil,0),DW48)</f>
        <v/>
      </c>
      <c r="CF49" s="7">
        <f>IF(16=0,personal_tasaDeudaEstudiantil,DX48)</f>
        <v/>
      </c>
      <c r="CG49" s="7">
        <f>IF(16=0,0,DY48)</f>
        <v/>
      </c>
      <c r="CH49" s="7">
        <f>IF(J49&gt;=0.5,1,0)</f>
        <v/>
      </c>
      <c r="CI49" s="7">
        <f>IF(AND(CH49=0,prestamos_pslfActivo=1,K49&gt;=0.5,CE49&gt;0),1,0)</f>
        <v/>
      </c>
      <c r="CJ49" s="7">
        <f>CE49*CF49</f>
        <v/>
      </c>
      <c r="CK49" s="7">
        <f>MAX(prestamos_rapPagoMinimoAnual,IF(Y49&lt;10000,0,MIN(0.1,INT(Y49/10000)/100))*Y49)</f>
        <v/>
      </c>
      <c r="CL49" s="7">
        <f>IF(CE49&lt;=0,0,IF(CH49=1,0,IF(CI49=1,MIN(CE49+CJ49,CK49),PMT(CF49,MAX(1,prestamos_plazoAnios-CG49),-CE49))))</f>
        <v/>
      </c>
      <c r="CM49" s="7">
        <f>IF(CE49&lt;=0,0,IF(CH49=1,CE49+CJ49,IF(CI49=1,MAX(0,CE49-MAX(CL49-CJ49,MIN(600,CL49))),MAX(0,CE49*(1+CF49)-CL49))))</f>
        <v/>
      </c>
      <c r="CN49" s="7">
        <f>IF(16=0,0,CN48)+IF(CI49=1,12*MIN(1,K49),0)</f>
        <v/>
      </c>
      <c r="CO49" s="7">
        <f>IF(AND(CI49=1,CN49&gt;=prestamos_pslfPagos,CM49&gt;0),CM49,0)</f>
        <v/>
      </c>
      <c r="CP49" s="7">
        <f>CM49-CO49</f>
        <v/>
      </c>
      <c r="CQ49" s="7">
        <f>IF(AND(CE49&gt;0,CH49=0,CI49=0),CG49+1,CG49)</f>
        <v/>
      </c>
      <c r="CR49" s="7">
        <f>IF(16=0,IF(personal_deudaEsFederal=1,0,personal_deudaEstudiantil),EA48)</f>
        <v/>
      </c>
      <c r="CS49" s="7">
        <f>IF(16=0,IF(personal_deudaEsFederal=1,prestamos_tasaPrivada,personal_tasaDeudaEstudiantil),EB48)</f>
        <v/>
      </c>
      <c r="CT49" s="7">
        <f>IF(16=0,0,EC48)</f>
        <v/>
      </c>
      <c r="CU49" s="7">
        <f>IF(OR(CR49&lt;=0,CH49=1),0,PMT(CS49,MAX(1,prestamos_plazoAnios-CT49),-CR49))</f>
        <v/>
      </c>
      <c r="CV49" s="7">
        <f>IF(CR49&lt;=0,0,IF(CH49=1,CR49*(1+CS49),MAX(0,CR49*(1+CS49)-CU49)))</f>
        <v/>
      </c>
      <c r="CW49" s="7">
        <f>IF(AND(CR49&gt;0,CH49=0),CT49+1,CT49)</f>
        <v/>
      </c>
      <c r="CX49" s="7">
        <f>IF(16=0,0,ED48)*(1+general_tasaDeudaConsumo)</f>
        <v/>
      </c>
      <c r="CY49" s="7">
        <f>L49*12*tiempos_travelGastoExtraMes*C49</f>
        <v/>
      </c>
      <c r="CZ49" s="7">
        <f>AJ49+CY49+CA49+CC49+CL49+CU49+I49+N49-BZ49-CB49</f>
        <v/>
      </c>
      <c r="DA49" s="7">
        <f>AH49-CZ49</f>
        <v/>
      </c>
      <c r="DB49" s="7">
        <f>IF(16=0,0,DB48)+DA49</f>
        <v/>
      </c>
      <c r="DC49" s="7">
        <f>AN49*vivienda_enganchePct+AN49*vivienda_cierrePct+general_reservaMeses/12*AJ49</f>
        <v/>
      </c>
      <c r="DD49" s="7">
        <f>IF(BB49=1,g_ret,IF(BD49&gt;0,MIN(1,DC49/BD49),1)*g_cash+(1-IF(BD49&gt;0,MIN(1,DC49/BD49),1))*g_ret)</f>
        <v/>
      </c>
      <c r="DE49" s="7">
        <f>IF(DA49&gt;=0,MIN(CX49,DA49),0)</f>
        <v/>
      </c>
      <c r="DF49" s="7">
        <f>IF(DA49&gt;=0,(1-general_tasaAhorro)*(DA49-DE49),0)</f>
        <v/>
      </c>
      <c r="DG49" s="7">
        <f>IF(DA49&gt;=0,DA49-DE49-DF49,0)</f>
        <v/>
      </c>
      <c r="DH49" s="7">
        <f>MIN(personal_rothAnual,DG49)</f>
        <v/>
      </c>
      <c r="DI49" s="7">
        <f>IF(AND(DA49&gt;=0,BB49=1,BP49+BT49&gt;0),MIN(vivienda_prepagoPct*(DG49-DH49),BP49+BT49),0)</f>
        <v/>
      </c>
      <c r="DJ49" s="7">
        <f>MIN(DI49,BP49)</f>
        <v/>
      </c>
      <c r="DK49" s="7">
        <f>IF(DA49&lt;0,MIN(MAX(0,BD49),-DA49),0)</f>
        <v/>
      </c>
      <c r="DL49" s="7">
        <f>IF(DA49&lt;0,-DA49-DK49,0)</f>
        <v/>
      </c>
      <c r="DM49" s="7">
        <f>IF(16=0,0,DZ48)</f>
        <v/>
      </c>
      <c r="DN49" s="7">
        <f>IF(AND(DL49&gt;0,J49&gt;0),MIN(DL49,MIN(prestamos_topeAnualPosgrado*MIN(1,J49),MAX(0,prestamos_topeTotalPosgrado-DM49))),0)</f>
        <v/>
      </c>
      <c r="DO49" s="7">
        <f>IF(AND(DL49&gt;0,J49&gt;0),DL49-DN49,0)</f>
        <v/>
      </c>
      <c r="DP49" s="7">
        <f>IF(AND(DL49&gt;0,J49&lt;=0),DL49,0)</f>
        <v/>
      </c>
      <c r="DQ49" s="7">
        <f>IF(DA49&gt;=0,DG49-DH49-DI49,-DK49)</f>
        <v/>
      </c>
      <c r="DR49" s="7">
        <f>BD49*(1+DD49)+DQ49*(1+DD49/2)</f>
        <v/>
      </c>
      <c r="DS49" s="7">
        <f>IF(16=0,personal_retiroInicial,DS48)*(1+g_ret)+(O49+P49+DH49)*(1+g_ret/2)</f>
        <v/>
      </c>
      <c r="DT49" s="7">
        <f>IF(BB49=1,BL49*(1+g_appr),0)</f>
        <v/>
      </c>
      <c r="DU49" s="7">
        <f>BP49-DJ49</f>
        <v/>
      </c>
      <c r="DV49" s="7">
        <f>BT49-(DI49-DJ49)</f>
        <v/>
      </c>
      <c r="DW49" s="7">
        <f>CP49+DN49</f>
        <v/>
      </c>
      <c r="DX49" s="7">
        <f>IF(DN49&gt;0,(CP49*CF49+DN49*prestamos_tasaFederalPosgrado)/(CP49+DN49),CF49)</f>
        <v/>
      </c>
      <c r="DY49" s="7">
        <f>IF(DN49&gt;0,0,CQ49)</f>
        <v/>
      </c>
      <c r="DZ49" s="7">
        <f>DM49+DN49</f>
        <v/>
      </c>
      <c r="EA49" s="7">
        <f>CV49+DO49</f>
        <v/>
      </c>
      <c r="EB49" s="7">
        <f>IF(DO49&gt;0,(CV49*CS49+DO49*prestamos_tasaPrivada)/(CV49+DO49),CS49)</f>
        <v/>
      </c>
      <c r="EC49" s="7">
        <f>IF(DO49&gt;0,0,CW49)</f>
        <v/>
      </c>
      <c r="ED49" s="7">
        <f>CX49-DE49+DP49</f>
        <v/>
      </c>
      <c r="EE49" s="7">
        <f>IF(IF(16=0,"",EE48)&lt;&gt;"",EE48,IF(AND(BB49=1,DU49&lt;=0.5,DV49&lt;=0.5,OR(BH49=0,BJ49=1)),A49,""))</f>
        <v/>
      </c>
      <c r="EF49" s="7">
        <f>DU49+DV49+DW49+EA49+ED49+CD49</f>
        <v/>
      </c>
      <c r="EG49" s="7">
        <f>DR49+DS49+DT49-EF49</f>
        <v/>
      </c>
      <c r="EH49" s="7">
        <f>EG49/(1+g_inf)^(A49+1-2026)</f>
        <v/>
      </c>
    </row>
    <row r="50">
      <c r="A50" t="n">
        <v>2044</v>
      </c>
      <c r="B50" t="n">
        <v>17</v>
      </c>
      <c r="C50" s="7">
        <f>(1+g_inf)^(A50-2026)</f>
        <v/>
      </c>
      <c r="D50" s="7">
        <f>SUMPRODUCT($AK$5:$AK$29,$E$5:$E$29*(1+$F$5:$F$29)^(A50-2026)*$G$5:$G$29*$H$5:$H$29*(1-$N$5:$N$29*$O$5:$O$29))*g_salMult+SUMPRODUCT(($B$5:$B$29&gt;=A50)*($B$5:$B$29&lt;A50+1)*$I$5:$I$29)*g_salMult</f>
        <v/>
      </c>
      <c r="E50" s="7">
        <f>SUMPRODUCT($AK$5:$AK$29,$E$5:$E$29*(1+$F$5:$F$29)^(A50-2026)*$G$5:$G$29*$H$5:$H$29*$M$5:$M$29)*g_salMult</f>
        <v/>
      </c>
      <c r="F50" s="7">
        <f>SUMPRODUCT($AK$5:$AK$29,$E$5:$E$29*(1+$F$5:$F$29)^(A50-2026)*$G$5:$G$29*$H$5:$H$29*$N$5:$N$29*$O$5:$O$29)*g_salMult</f>
        <v/>
      </c>
      <c r="G50" s="7">
        <f>SUMPRODUCT($AK$5:$AK$29,$P$5:$P$29*(1+$F$5:$F$29)^(A50-2026))</f>
        <v/>
      </c>
      <c r="H50" s="7">
        <f>SUMPRODUCT($AK$5:$AK$29,$Q$5:$Q$29*(1+$F$5:$F$29)^(A50-2026))+IF(personal_llcActivo=1,personal_llcNeto*(1+personal_llcCrecimiento)^17,0)</f>
        <v/>
      </c>
      <c r="I50" s="7">
        <f>SUMPRODUCT($AK$5:$AK$29,$J$5:$J$29/($C$5:$C$29-$B$5:$B$29+($C$5:$C$29=$B$5:$B$29)))*C50</f>
        <v/>
      </c>
      <c r="J50" s="7">
        <f>SUMPRODUCT($AK$5:$AK$29,$K$5:$K$29)</f>
        <v/>
      </c>
      <c r="K50" s="7">
        <f>SUMPRODUCT($AK$5:$AK$29,$L$5:$L$29)</f>
        <v/>
      </c>
      <c r="L50" s="7">
        <f>SUMPRODUCT($AK$5:$AK$29,$N$5:$N$29)</f>
        <v/>
      </c>
      <c r="M50" s="7">
        <f>IF(SUMPRODUCT($AK$5:$AK$29,$R$5:$R$29)&gt;0,1,0)</f>
        <v/>
      </c>
      <c r="N50" s="7">
        <f>SUMPRODUCT(($AO$5:$AO$24&gt;=A50)*($AO$5:$AO$24&lt;A50+1)*$AP$5:$AP$24)*C50+IF(17=0,IF(sel_loc&lt;&gt;"miami",personal_costoMudanzaInicial,0),0)</f>
        <v/>
      </c>
      <c r="O50" s="7">
        <f>MIN(personal_aporte403bPct*D50,retiro_limite403b*C50)</f>
        <v/>
      </c>
      <c r="P50" s="7">
        <f>MIN(personal_aporte403bPct,personal_match403bPct)*E50</f>
        <v/>
      </c>
      <c r="Q50" s="7">
        <f>IF(G50&gt;0,MAX(0,G50-impuestos_scorpCostoAnual*C50),0)</f>
        <v/>
      </c>
      <c r="R50" s="7">
        <f>Q50*impuestos_scorpSalarioPct/(1+impuestos_ssTasa+impuestos_medicareTasa)</f>
        <v/>
      </c>
      <c r="S50" s="7">
        <f>impuestos_ssTasa*MIN(R50,MAX(0,impuestos_ssTope*C50-D50))+impuestos_medicareTasa*R50</f>
        <v/>
      </c>
      <c r="T50" s="7">
        <f>Q50-R50-S50</f>
        <v/>
      </c>
      <c r="U50" s="7">
        <f>D50+R50</f>
        <v/>
      </c>
      <c r="V50" s="7">
        <f>H50*0.9235</f>
        <v/>
      </c>
      <c r="W50" s="7">
        <f>IF(H50&gt;0,2*impuestos_ssTasa*MIN(V50,MAX(0,impuestos_ssTope*C50-U50))+2*impuestos_medicareTasa*V50,0)</f>
        <v/>
      </c>
      <c r="X50" s="7">
        <f>impuestos_ssTasa*MIN(U50,impuestos_ssTope*C50)+impuestos_medicareTasa*U50+impuestos_medicareAdicional*MAX(0,U50+H50*0.9235-impuestos_medicareUmbral)</f>
        <v/>
      </c>
      <c r="Y50" s="7">
        <f>MAX(0,D50-O50+R50+T50+H50-W50/2)</f>
        <v/>
      </c>
      <c r="Z50" s="7">
        <f>MAX(0,Y50-impuestos_deduccionEstandar*C50)</f>
        <v/>
      </c>
      <c r="AA50" s="7">
        <f>MIN(0.2*MAX(0,T50+H50-W50/2)*MAX(0,MIN(1,1-(Z50-impuestos_qbiUmbral*C50)/(impuestos_qbiRango*C50))),0.2*Z50)</f>
        <v/>
      </c>
      <c r="AB50" s="7">
        <f>MAX(0,Z50-AA50)</f>
        <v/>
      </c>
      <c r="AC50" s="7">
        <f>SUMPRODUCT((AB50&gt;tb_federalBrackets_lo*C50)*(AB50-tb_federalBrackets_lo*C50)*tb_federalBrackets_dr)</f>
        <v/>
      </c>
      <c r="AD50" s="7">
        <f>MAX(0,Y50-impuestos_nyDeduccion*C50)</f>
        <v/>
      </c>
      <c r="AE50" s="7">
        <f>CHOOSE(loc_taxcode,0,impuestos_ohTasa*MAX(0,Y50-impuestos_ohExento*C50)+impuestos_ohMunicipal*U50,SUMPRODUCT((AD50&gt;tb_nyBrackets_lo*C50)*(AD50-tb_nyBrackets_lo*C50)*tb_nyBrackets_dr)+loc_nyc*SUMPRODUCT((AD50&gt;tb_nycBrackets_lo*C50)*(AD50-tb_nycBrackets_lo*C50)*tb_nycBrackets_dr))</f>
        <v/>
      </c>
      <c r="AF50" s="7">
        <f>AC50+AE50+X50+W50</f>
        <v/>
      </c>
      <c r="AG50" s="7">
        <f>D50+F50+R50+T50+H50</f>
        <v/>
      </c>
      <c r="AH50" s="7">
        <f>AG50-AF50-O50</f>
        <v/>
      </c>
      <c r="AI50" s="7">
        <f>D50+F50+G50+H50</f>
        <v/>
      </c>
      <c r="AJ50" s="7">
        <f>loc_gastosVida*C50*g_gastos</f>
        <v/>
      </c>
      <c r="AK50" s="7">
        <f>IF(17=0,personal_liquidoInicial,DR49)</f>
        <v/>
      </c>
      <c r="AL50" s="7">
        <f>IF(17=0,0,BB49)</f>
        <v/>
      </c>
      <c r="AM50" s="7">
        <f>CHOOSE(sel_cfgIdx,loc_precio_duplex,loc_precio_inlaw,loc_precio_dosCasas,loc_precio_casaAdu,loc_precio_multi)</f>
        <v/>
      </c>
      <c r="AN50" s="7">
        <f>AM50*(1+g_appr)^(A50-2026)</f>
        <v/>
      </c>
      <c r="AO50" s="7">
        <f>IF(AND(M50=1,vivienda_prestamoMedico=1),1,0)</f>
        <v/>
      </c>
      <c r="AP50" s="7">
        <f>IF(AO50=1,0.05,vivienda_enganchePct)</f>
        <v/>
      </c>
      <c r="AQ50" s="7">
        <f>AN50*(1-AP50)</f>
        <v/>
      </c>
      <c r="AR50" s="7">
        <f>PMT(g_mortRate/12,vivienda_plazoHipoteca*12,-AQ50)</f>
        <v/>
      </c>
      <c r="AS50" s="7">
        <f>INDEX(cfg_units,sel_cfgIdx)</f>
        <v/>
      </c>
      <c r="AT50" s="7">
        <f>AS50*loc_rentaUnidad*(1+g_inf)^(A50-2026)*(1-vivienda_vacancia)</f>
        <v/>
      </c>
      <c r="AU50" s="7">
        <f>AR50+AN50*loc_impuestoPropPct/12+AM50*loc_seguroPct*(1+vivienda_inflacionSeguro)^(A50-2026)/12+IF(AND(AO50=0,AP50&lt;0.2),AQ50*vivienda_pmiTasa/12,0)</f>
        <v/>
      </c>
      <c r="AV50" s="7">
        <f>AN50*AP50+AN50*vivienda_cierrePct+general_reservaMeses/12*AJ50</f>
        <v/>
      </c>
      <c r="AW50" s="7">
        <f>(IF(17=0,MIN(personal_irsSaldo,personal_irsPagoMensual*12),MIN(CD49,personal_irsPagoMensual*12))+IF(CE50&gt;0,PMT(CF50,MAX(1,prestamos_plazoAnios-CG50),-CE50),0)+IF(CR50&gt;0,PMT(CS50,MAX(1,prestamos_plazoAnios-CT50),-CR50),0))/12</f>
        <v/>
      </c>
      <c r="AX50" s="7">
        <f>IF(OR(sel_cfg="duplex",sel_cfg="multi",sel_cfg="dosCasas"),0.75*personal_aporteFamiliaMensual,0)</f>
        <v/>
      </c>
      <c r="AY50" s="7">
        <f>AU50-0.75*AT50-AX50+AW50</f>
        <v/>
      </c>
      <c r="AZ50" s="7">
        <f>(D50+G50+H50+0.5*F50)/12</f>
        <v/>
      </c>
      <c r="BA50" s="7">
        <f>IF(AND(AL50=0,A50&gt;=vivienda_anioMinCompra,J50&lt;0.5,AI50&gt;0,AK50&gt;=AV50,AY50&lt;=vivienda_dtiMax*AZ50),1,0)</f>
        <v/>
      </c>
      <c r="BB50" s="7">
        <f>MAX(AL50,BA50)</f>
        <v/>
      </c>
      <c r="BC50" s="7">
        <f>IF(BA50=1,A50,IF(17=0,"",BC49))</f>
        <v/>
      </c>
      <c r="BD50" s="7">
        <f>AK50-IF(BA50=1,AN50*AP50+AN50*vivienda_cierrePct,0)</f>
        <v/>
      </c>
      <c r="BE50" s="7">
        <f>IF(BA50=1,AN50,IF(17=0,0,BE49))</f>
        <v/>
      </c>
      <c r="BF50" s="7">
        <f>IF(BA50=1,AR50,IF(17=0,0,BF49))</f>
        <v/>
      </c>
      <c r="BG50" s="7">
        <f>IF(BA50=1,IF(AND(AO50=0,AP50&lt;0.2),1,0),IF(17=0,0,BY49))</f>
        <v/>
      </c>
      <c r="BH50" s="7">
        <f>IF(sel_cfg="casaAdu",1,0)</f>
        <v/>
      </c>
      <c r="BI50" s="7">
        <f>IF(AND(BB50=1,BH50=1,IF(17=0,0,BJ49)=0,A50&gt;=IF(BC50="",9999,BC50)+vivienda_aduRetrasoAnios),1,0)</f>
        <v/>
      </c>
      <c r="BJ50" s="7">
        <f>MAX(IF(17=0,0,BJ49),BI50)</f>
        <v/>
      </c>
      <c r="BK50" s="7">
        <f>IF(BI50=1,PMT((g_mortRate+0.005)/12,180,-loc_precio_aduCosto*C50),IF(17=0,0,BK49))</f>
        <v/>
      </c>
      <c r="BL50" s="7">
        <f>IF(BA50=1,AN50,IF(17=0,0,DT49))+IF(BI50=1,loc_precio_aduCosto*C50,0)</f>
        <v/>
      </c>
      <c r="BM50" s="7">
        <f>IF(BA50=1,AQ50,IF(17=0,0,DU49))</f>
        <v/>
      </c>
      <c r="BN50" s="7">
        <f>IF(BM50&lt;=0,0,FV(g_mortRate/12,12,BF50,-BM50))</f>
        <v/>
      </c>
      <c r="BO50" s="7">
        <f>IF(BM50&lt;=0,0,12*BF50+MIN(0,BN50))</f>
        <v/>
      </c>
      <c r="BP50" s="7">
        <f>MAX(0,BN50)</f>
        <v/>
      </c>
      <c r="BQ50" s="7">
        <f>IF(BI50=1,loc_precio_aduCosto*C50,IF(17=0,0,DV49))</f>
        <v/>
      </c>
      <c r="BR50" s="7">
        <f>IF(BQ50&lt;=0,0,FV((g_mortRate+0.005)/12,12,BK50,-BQ50))</f>
        <v/>
      </c>
      <c r="BS50" s="7">
        <f>IF(BQ50&lt;=0,0,12*BK50+MIN(0,BR50))</f>
        <v/>
      </c>
      <c r="BT50" s="7">
        <f>MAX(0,BR50)</f>
        <v/>
      </c>
      <c r="BU50" s="7">
        <f>IF(BB50=1,AM50*loc_seguroPct*(1+vivienda_inflacionSeguro)^(A50-2026)*IF(BJ50=1,1+loc_precio_aduCosto/AM50,1),0)</f>
        <v/>
      </c>
      <c r="BV50" s="7">
        <f>BL50*loc_impuestoPropPct</f>
        <v/>
      </c>
      <c r="BW50" s="7">
        <f>BL50*vivienda_mantenimientoPct</f>
        <v/>
      </c>
      <c r="BX50" s="7">
        <f>IF(AND(BG50=1,BP50&gt;0.8*BE50),BE50*(1-vivienda_enganchePct)*vivienda_pmiTasa,0)</f>
        <v/>
      </c>
      <c r="BY50" s="7">
        <f>IF(AND(BG50=1,BP50&gt;0.8*BE50),1,0)</f>
        <v/>
      </c>
      <c r="BZ50" s="7">
        <f>IF(BB50=1,AS50*loc_rentaUnidad*12*C50*(1-vivienda_vacancia)*(1-vivienda_gestionPct),0)</f>
        <v/>
      </c>
      <c r="CA50" s="7">
        <f>IF(BB50=1,BO50+BS50+BU50+BV50+BW50+BX50,loc_rentaMensual*12*C50)</f>
        <v/>
      </c>
      <c r="CB50" s="7">
        <f>IF(BB50=1,personal_aporteFamiliaMensual*12,0)</f>
        <v/>
      </c>
      <c r="CC50" s="7">
        <f>MIN(IF(17=0,personal_irsSaldo,CD49),personal_irsPagoMensual*12)</f>
        <v/>
      </c>
      <c r="CD50" s="7">
        <f>IF(17=0,personal_irsSaldo,CD49)-CC50</f>
        <v/>
      </c>
      <c r="CE50" s="7">
        <f>IF(17=0,IF(personal_deudaEsFederal=1,personal_deudaEstudiantil,0),DW49)</f>
        <v/>
      </c>
      <c r="CF50" s="7">
        <f>IF(17=0,personal_tasaDeudaEstudiantil,DX49)</f>
        <v/>
      </c>
      <c r="CG50" s="7">
        <f>IF(17=0,0,DY49)</f>
        <v/>
      </c>
      <c r="CH50" s="7">
        <f>IF(J50&gt;=0.5,1,0)</f>
        <v/>
      </c>
      <c r="CI50" s="7">
        <f>IF(AND(CH50=0,prestamos_pslfActivo=1,K50&gt;=0.5,CE50&gt;0),1,0)</f>
        <v/>
      </c>
      <c r="CJ50" s="7">
        <f>CE50*CF50</f>
        <v/>
      </c>
      <c r="CK50" s="7">
        <f>MAX(prestamos_rapPagoMinimoAnual,IF(Y50&lt;10000,0,MIN(0.1,INT(Y50/10000)/100))*Y50)</f>
        <v/>
      </c>
      <c r="CL50" s="7">
        <f>IF(CE50&lt;=0,0,IF(CH50=1,0,IF(CI50=1,MIN(CE50+CJ50,CK50),PMT(CF50,MAX(1,prestamos_plazoAnios-CG50),-CE50))))</f>
        <v/>
      </c>
      <c r="CM50" s="7">
        <f>IF(CE50&lt;=0,0,IF(CH50=1,CE50+CJ50,IF(CI50=1,MAX(0,CE50-MAX(CL50-CJ50,MIN(600,CL50))),MAX(0,CE50*(1+CF50)-CL50))))</f>
        <v/>
      </c>
      <c r="CN50" s="7">
        <f>IF(17=0,0,CN49)+IF(CI50=1,12*MIN(1,K50),0)</f>
        <v/>
      </c>
      <c r="CO50" s="7">
        <f>IF(AND(CI50=1,CN50&gt;=prestamos_pslfPagos,CM50&gt;0),CM50,0)</f>
        <v/>
      </c>
      <c r="CP50" s="7">
        <f>CM50-CO50</f>
        <v/>
      </c>
      <c r="CQ50" s="7">
        <f>IF(AND(CE50&gt;0,CH50=0,CI50=0),CG50+1,CG50)</f>
        <v/>
      </c>
      <c r="CR50" s="7">
        <f>IF(17=0,IF(personal_deudaEsFederal=1,0,personal_deudaEstudiantil),EA49)</f>
        <v/>
      </c>
      <c r="CS50" s="7">
        <f>IF(17=0,IF(personal_deudaEsFederal=1,prestamos_tasaPrivada,personal_tasaDeudaEstudiantil),EB49)</f>
        <v/>
      </c>
      <c r="CT50" s="7">
        <f>IF(17=0,0,EC49)</f>
        <v/>
      </c>
      <c r="CU50" s="7">
        <f>IF(OR(CR50&lt;=0,CH50=1),0,PMT(CS50,MAX(1,prestamos_plazoAnios-CT50),-CR50))</f>
        <v/>
      </c>
      <c r="CV50" s="7">
        <f>IF(CR50&lt;=0,0,IF(CH50=1,CR50*(1+CS50),MAX(0,CR50*(1+CS50)-CU50)))</f>
        <v/>
      </c>
      <c r="CW50" s="7">
        <f>IF(AND(CR50&gt;0,CH50=0),CT50+1,CT50)</f>
        <v/>
      </c>
      <c r="CX50" s="7">
        <f>IF(17=0,0,ED49)*(1+general_tasaDeudaConsumo)</f>
        <v/>
      </c>
      <c r="CY50" s="7">
        <f>L50*12*tiempos_travelGastoExtraMes*C50</f>
        <v/>
      </c>
      <c r="CZ50" s="7">
        <f>AJ50+CY50+CA50+CC50+CL50+CU50+I50+N50-BZ50-CB50</f>
        <v/>
      </c>
      <c r="DA50" s="7">
        <f>AH50-CZ50</f>
        <v/>
      </c>
      <c r="DB50" s="7">
        <f>IF(17=0,0,DB49)+DA50</f>
        <v/>
      </c>
      <c r="DC50" s="7">
        <f>AN50*vivienda_enganchePct+AN50*vivienda_cierrePct+general_reservaMeses/12*AJ50</f>
        <v/>
      </c>
      <c r="DD50" s="7">
        <f>IF(BB50=1,g_ret,IF(BD50&gt;0,MIN(1,DC50/BD50),1)*g_cash+(1-IF(BD50&gt;0,MIN(1,DC50/BD50),1))*g_ret)</f>
        <v/>
      </c>
      <c r="DE50" s="7">
        <f>IF(DA50&gt;=0,MIN(CX50,DA50),0)</f>
        <v/>
      </c>
      <c r="DF50" s="7">
        <f>IF(DA50&gt;=0,(1-general_tasaAhorro)*(DA50-DE50),0)</f>
        <v/>
      </c>
      <c r="DG50" s="7">
        <f>IF(DA50&gt;=0,DA50-DE50-DF50,0)</f>
        <v/>
      </c>
      <c r="DH50" s="7">
        <f>MIN(personal_rothAnual,DG50)</f>
        <v/>
      </c>
      <c r="DI50" s="7">
        <f>IF(AND(DA50&gt;=0,BB50=1,BP50+BT50&gt;0),MIN(vivienda_prepagoPct*(DG50-DH50),BP50+BT50),0)</f>
        <v/>
      </c>
      <c r="DJ50" s="7">
        <f>MIN(DI50,BP50)</f>
        <v/>
      </c>
      <c r="DK50" s="7">
        <f>IF(DA50&lt;0,MIN(MAX(0,BD50),-DA50),0)</f>
        <v/>
      </c>
      <c r="DL50" s="7">
        <f>IF(DA50&lt;0,-DA50-DK50,0)</f>
        <v/>
      </c>
      <c r="DM50" s="7">
        <f>IF(17=0,0,DZ49)</f>
        <v/>
      </c>
      <c r="DN50" s="7">
        <f>IF(AND(DL50&gt;0,J50&gt;0),MIN(DL50,MIN(prestamos_topeAnualPosgrado*MIN(1,J50),MAX(0,prestamos_topeTotalPosgrado-DM50))),0)</f>
        <v/>
      </c>
      <c r="DO50" s="7">
        <f>IF(AND(DL50&gt;0,J50&gt;0),DL50-DN50,0)</f>
        <v/>
      </c>
      <c r="DP50" s="7">
        <f>IF(AND(DL50&gt;0,J50&lt;=0),DL50,0)</f>
        <v/>
      </c>
      <c r="DQ50" s="7">
        <f>IF(DA50&gt;=0,DG50-DH50-DI50,-DK50)</f>
        <v/>
      </c>
      <c r="DR50" s="7">
        <f>BD50*(1+DD50)+DQ50*(1+DD50/2)</f>
        <v/>
      </c>
      <c r="DS50" s="7">
        <f>IF(17=0,personal_retiroInicial,DS49)*(1+g_ret)+(O50+P50+DH50)*(1+g_ret/2)</f>
        <v/>
      </c>
      <c r="DT50" s="7">
        <f>IF(BB50=1,BL50*(1+g_appr),0)</f>
        <v/>
      </c>
      <c r="DU50" s="7">
        <f>BP50-DJ50</f>
        <v/>
      </c>
      <c r="DV50" s="7">
        <f>BT50-(DI50-DJ50)</f>
        <v/>
      </c>
      <c r="DW50" s="7">
        <f>CP50+DN50</f>
        <v/>
      </c>
      <c r="DX50" s="7">
        <f>IF(DN50&gt;0,(CP50*CF50+DN50*prestamos_tasaFederalPosgrado)/(CP50+DN50),CF50)</f>
        <v/>
      </c>
      <c r="DY50" s="7">
        <f>IF(DN50&gt;0,0,CQ50)</f>
        <v/>
      </c>
      <c r="DZ50" s="7">
        <f>DM50+DN50</f>
        <v/>
      </c>
      <c r="EA50" s="7">
        <f>CV50+DO50</f>
        <v/>
      </c>
      <c r="EB50" s="7">
        <f>IF(DO50&gt;0,(CV50*CS50+DO50*prestamos_tasaPrivada)/(CV50+DO50),CS50)</f>
        <v/>
      </c>
      <c r="EC50" s="7">
        <f>IF(DO50&gt;0,0,CW50)</f>
        <v/>
      </c>
      <c r="ED50" s="7">
        <f>CX50-DE50+DP50</f>
        <v/>
      </c>
      <c r="EE50" s="7">
        <f>IF(IF(17=0,"",EE49)&lt;&gt;"",EE49,IF(AND(BB50=1,DU50&lt;=0.5,DV50&lt;=0.5,OR(BH50=0,BJ50=1)),A50,""))</f>
        <v/>
      </c>
      <c r="EF50" s="7">
        <f>DU50+DV50+DW50+EA50+ED50+CD50</f>
        <v/>
      </c>
      <c r="EG50" s="7">
        <f>DR50+DS50+DT50-EF50</f>
        <v/>
      </c>
      <c r="EH50" s="7">
        <f>EG50/(1+g_inf)^(A50+1-2026)</f>
        <v/>
      </c>
    </row>
    <row r="51">
      <c r="A51" t="n">
        <v>2045</v>
      </c>
      <c r="B51" t="n">
        <v>18</v>
      </c>
      <c r="C51" s="7">
        <f>(1+g_inf)^(A51-2026)</f>
        <v/>
      </c>
      <c r="D51" s="7">
        <f>SUMPRODUCT($AL$5:$AL$29,$E$5:$E$29*(1+$F$5:$F$29)^(A51-2026)*$G$5:$G$29*$H$5:$H$29*(1-$N$5:$N$29*$O$5:$O$29))*g_salMult+SUMPRODUCT(($B$5:$B$29&gt;=A51)*($B$5:$B$29&lt;A51+1)*$I$5:$I$29)*g_salMult</f>
        <v/>
      </c>
      <c r="E51" s="7">
        <f>SUMPRODUCT($AL$5:$AL$29,$E$5:$E$29*(1+$F$5:$F$29)^(A51-2026)*$G$5:$G$29*$H$5:$H$29*$M$5:$M$29)*g_salMult</f>
        <v/>
      </c>
      <c r="F51" s="7">
        <f>SUMPRODUCT($AL$5:$AL$29,$E$5:$E$29*(1+$F$5:$F$29)^(A51-2026)*$G$5:$G$29*$H$5:$H$29*$N$5:$N$29*$O$5:$O$29)*g_salMult</f>
        <v/>
      </c>
      <c r="G51" s="7">
        <f>SUMPRODUCT($AL$5:$AL$29,$P$5:$P$29*(1+$F$5:$F$29)^(A51-2026))</f>
        <v/>
      </c>
      <c r="H51" s="7">
        <f>SUMPRODUCT($AL$5:$AL$29,$Q$5:$Q$29*(1+$F$5:$F$29)^(A51-2026))+IF(personal_llcActivo=1,personal_llcNeto*(1+personal_llcCrecimiento)^18,0)</f>
        <v/>
      </c>
      <c r="I51" s="7">
        <f>SUMPRODUCT($AL$5:$AL$29,$J$5:$J$29/($C$5:$C$29-$B$5:$B$29+($C$5:$C$29=$B$5:$B$29)))*C51</f>
        <v/>
      </c>
      <c r="J51" s="7">
        <f>SUMPRODUCT($AL$5:$AL$29,$K$5:$K$29)</f>
        <v/>
      </c>
      <c r="K51" s="7">
        <f>SUMPRODUCT($AL$5:$AL$29,$L$5:$L$29)</f>
        <v/>
      </c>
      <c r="L51" s="7">
        <f>SUMPRODUCT($AL$5:$AL$29,$N$5:$N$29)</f>
        <v/>
      </c>
      <c r="M51" s="7">
        <f>IF(SUMPRODUCT($AL$5:$AL$29,$R$5:$R$29)&gt;0,1,0)</f>
        <v/>
      </c>
      <c r="N51" s="7">
        <f>SUMPRODUCT(($AO$5:$AO$24&gt;=A51)*($AO$5:$AO$24&lt;A51+1)*$AP$5:$AP$24)*C51+IF(18=0,IF(sel_loc&lt;&gt;"miami",personal_costoMudanzaInicial,0),0)</f>
        <v/>
      </c>
      <c r="O51" s="7">
        <f>MIN(personal_aporte403bPct*D51,retiro_limite403b*C51)</f>
        <v/>
      </c>
      <c r="P51" s="7">
        <f>MIN(personal_aporte403bPct,personal_match403bPct)*E51</f>
        <v/>
      </c>
      <c r="Q51" s="7">
        <f>IF(G51&gt;0,MAX(0,G51-impuestos_scorpCostoAnual*C51),0)</f>
        <v/>
      </c>
      <c r="R51" s="7">
        <f>Q51*impuestos_scorpSalarioPct/(1+impuestos_ssTasa+impuestos_medicareTasa)</f>
        <v/>
      </c>
      <c r="S51" s="7">
        <f>impuestos_ssTasa*MIN(R51,MAX(0,impuestos_ssTope*C51-D51))+impuestos_medicareTasa*R51</f>
        <v/>
      </c>
      <c r="T51" s="7">
        <f>Q51-R51-S51</f>
        <v/>
      </c>
      <c r="U51" s="7">
        <f>D51+R51</f>
        <v/>
      </c>
      <c r="V51" s="7">
        <f>H51*0.9235</f>
        <v/>
      </c>
      <c r="W51" s="7">
        <f>IF(H51&gt;0,2*impuestos_ssTasa*MIN(V51,MAX(0,impuestos_ssTope*C51-U51))+2*impuestos_medicareTasa*V51,0)</f>
        <v/>
      </c>
      <c r="X51" s="7">
        <f>impuestos_ssTasa*MIN(U51,impuestos_ssTope*C51)+impuestos_medicareTasa*U51+impuestos_medicareAdicional*MAX(0,U51+H51*0.9235-impuestos_medicareUmbral)</f>
        <v/>
      </c>
      <c r="Y51" s="7">
        <f>MAX(0,D51-O51+R51+T51+H51-W51/2)</f>
        <v/>
      </c>
      <c r="Z51" s="7">
        <f>MAX(0,Y51-impuestos_deduccionEstandar*C51)</f>
        <v/>
      </c>
      <c r="AA51" s="7">
        <f>MIN(0.2*MAX(0,T51+H51-W51/2)*MAX(0,MIN(1,1-(Z51-impuestos_qbiUmbral*C51)/(impuestos_qbiRango*C51))),0.2*Z51)</f>
        <v/>
      </c>
      <c r="AB51" s="7">
        <f>MAX(0,Z51-AA51)</f>
        <v/>
      </c>
      <c r="AC51" s="7">
        <f>SUMPRODUCT((AB51&gt;tb_federalBrackets_lo*C51)*(AB51-tb_federalBrackets_lo*C51)*tb_federalBrackets_dr)</f>
        <v/>
      </c>
      <c r="AD51" s="7">
        <f>MAX(0,Y51-impuestos_nyDeduccion*C51)</f>
        <v/>
      </c>
      <c r="AE51" s="7">
        <f>CHOOSE(loc_taxcode,0,impuestos_ohTasa*MAX(0,Y51-impuestos_ohExento*C51)+impuestos_ohMunicipal*U51,SUMPRODUCT((AD51&gt;tb_nyBrackets_lo*C51)*(AD51-tb_nyBrackets_lo*C51)*tb_nyBrackets_dr)+loc_nyc*SUMPRODUCT((AD51&gt;tb_nycBrackets_lo*C51)*(AD51-tb_nycBrackets_lo*C51)*tb_nycBrackets_dr))</f>
        <v/>
      </c>
      <c r="AF51" s="7">
        <f>AC51+AE51+X51+W51</f>
        <v/>
      </c>
      <c r="AG51" s="7">
        <f>D51+F51+R51+T51+H51</f>
        <v/>
      </c>
      <c r="AH51" s="7">
        <f>AG51-AF51-O51</f>
        <v/>
      </c>
      <c r="AI51" s="7">
        <f>D51+F51+G51+H51</f>
        <v/>
      </c>
      <c r="AJ51" s="7">
        <f>loc_gastosVida*C51*g_gastos</f>
        <v/>
      </c>
      <c r="AK51" s="7">
        <f>IF(18=0,personal_liquidoInicial,DR50)</f>
        <v/>
      </c>
      <c r="AL51" s="7">
        <f>IF(18=0,0,BB50)</f>
        <v/>
      </c>
      <c r="AM51" s="7">
        <f>CHOOSE(sel_cfgIdx,loc_precio_duplex,loc_precio_inlaw,loc_precio_dosCasas,loc_precio_casaAdu,loc_precio_multi)</f>
        <v/>
      </c>
      <c r="AN51" s="7">
        <f>AM51*(1+g_appr)^(A51-2026)</f>
        <v/>
      </c>
      <c r="AO51" s="7">
        <f>IF(AND(M51=1,vivienda_prestamoMedico=1),1,0)</f>
        <v/>
      </c>
      <c r="AP51" s="7">
        <f>IF(AO51=1,0.05,vivienda_enganchePct)</f>
        <v/>
      </c>
      <c r="AQ51" s="7">
        <f>AN51*(1-AP51)</f>
        <v/>
      </c>
      <c r="AR51" s="7">
        <f>PMT(g_mortRate/12,vivienda_plazoHipoteca*12,-AQ51)</f>
        <v/>
      </c>
      <c r="AS51" s="7">
        <f>INDEX(cfg_units,sel_cfgIdx)</f>
        <v/>
      </c>
      <c r="AT51" s="7">
        <f>AS51*loc_rentaUnidad*(1+g_inf)^(A51-2026)*(1-vivienda_vacancia)</f>
        <v/>
      </c>
      <c r="AU51" s="7">
        <f>AR51+AN51*loc_impuestoPropPct/12+AM51*loc_seguroPct*(1+vivienda_inflacionSeguro)^(A51-2026)/12+IF(AND(AO51=0,AP51&lt;0.2),AQ51*vivienda_pmiTasa/12,0)</f>
        <v/>
      </c>
      <c r="AV51" s="7">
        <f>AN51*AP51+AN51*vivienda_cierrePct+general_reservaMeses/12*AJ51</f>
        <v/>
      </c>
      <c r="AW51" s="7">
        <f>(IF(18=0,MIN(personal_irsSaldo,personal_irsPagoMensual*12),MIN(CD50,personal_irsPagoMensual*12))+IF(CE51&gt;0,PMT(CF51,MAX(1,prestamos_plazoAnios-CG51),-CE51),0)+IF(CR51&gt;0,PMT(CS51,MAX(1,prestamos_plazoAnios-CT51),-CR51),0))/12</f>
        <v/>
      </c>
      <c r="AX51" s="7">
        <f>IF(OR(sel_cfg="duplex",sel_cfg="multi",sel_cfg="dosCasas"),0.75*personal_aporteFamiliaMensual,0)</f>
        <v/>
      </c>
      <c r="AY51" s="7">
        <f>AU51-0.75*AT51-AX51+AW51</f>
        <v/>
      </c>
      <c r="AZ51" s="7">
        <f>(D51+G51+H51+0.5*F51)/12</f>
        <v/>
      </c>
      <c r="BA51" s="7">
        <f>IF(AND(AL51=0,A51&gt;=vivienda_anioMinCompra,J51&lt;0.5,AI51&gt;0,AK51&gt;=AV51,AY51&lt;=vivienda_dtiMax*AZ51),1,0)</f>
        <v/>
      </c>
      <c r="BB51" s="7">
        <f>MAX(AL51,BA51)</f>
        <v/>
      </c>
      <c r="BC51" s="7">
        <f>IF(BA51=1,A51,IF(18=0,"",BC50))</f>
        <v/>
      </c>
      <c r="BD51" s="7">
        <f>AK51-IF(BA51=1,AN51*AP51+AN51*vivienda_cierrePct,0)</f>
        <v/>
      </c>
      <c r="BE51" s="7">
        <f>IF(BA51=1,AN51,IF(18=0,0,BE50))</f>
        <v/>
      </c>
      <c r="BF51" s="7">
        <f>IF(BA51=1,AR51,IF(18=0,0,BF50))</f>
        <v/>
      </c>
      <c r="BG51" s="7">
        <f>IF(BA51=1,IF(AND(AO51=0,AP51&lt;0.2),1,0),IF(18=0,0,BY50))</f>
        <v/>
      </c>
      <c r="BH51" s="7">
        <f>IF(sel_cfg="casaAdu",1,0)</f>
        <v/>
      </c>
      <c r="BI51" s="7">
        <f>IF(AND(BB51=1,BH51=1,IF(18=0,0,BJ50)=0,A51&gt;=IF(BC51="",9999,BC51)+vivienda_aduRetrasoAnios),1,0)</f>
        <v/>
      </c>
      <c r="BJ51" s="7">
        <f>MAX(IF(18=0,0,BJ50),BI51)</f>
        <v/>
      </c>
      <c r="BK51" s="7">
        <f>IF(BI51=1,PMT((g_mortRate+0.005)/12,180,-loc_precio_aduCosto*C51),IF(18=0,0,BK50))</f>
        <v/>
      </c>
      <c r="BL51" s="7">
        <f>IF(BA51=1,AN51,IF(18=0,0,DT50))+IF(BI51=1,loc_precio_aduCosto*C51,0)</f>
        <v/>
      </c>
      <c r="BM51" s="7">
        <f>IF(BA51=1,AQ51,IF(18=0,0,DU50))</f>
        <v/>
      </c>
      <c r="BN51" s="7">
        <f>IF(BM51&lt;=0,0,FV(g_mortRate/12,12,BF51,-BM51))</f>
        <v/>
      </c>
      <c r="BO51" s="7">
        <f>IF(BM51&lt;=0,0,12*BF51+MIN(0,BN51))</f>
        <v/>
      </c>
      <c r="BP51" s="7">
        <f>MAX(0,BN51)</f>
        <v/>
      </c>
      <c r="BQ51" s="7">
        <f>IF(BI51=1,loc_precio_aduCosto*C51,IF(18=0,0,DV50))</f>
        <v/>
      </c>
      <c r="BR51" s="7">
        <f>IF(BQ51&lt;=0,0,FV((g_mortRate+0.005)/12,12,BK51,-BQ51))</f>
        <v/>
      </c>
      <c r="BS51" s="7">
        <f>IF(BQ51&lt;=0,0,12*BK51+MIN(0,BR51))</f>
        <v/>
      </c>
      <c r="BT51" s="7">
        <f>MAX(0,BR51)</f>
        <v/>
      </c>
      <c r="BU51" s="7">
        <f>IF(BB51=1,AM51*loc_seguroPct*(1+vivienda_inflacionSeguro)^(A51-2026)*IF(BJ51=1,1+loc_precio_aduCosto/AM51,1),0)</f>
        <v/>
      </c>
      <c r="BV51" s="7">
        <f>BL51*loc_impuestoPropPct</f>
        <v/>
      </c>
      <c r="BW51" s="7">
        <f>BL51*vivienda_mantenimientoPct</f>
        <v/>
      </c>
      <c r="BX51" s="7">
        <f>IF(AND(BG51=1,BP51&gt;0.8*BE51),BE51*(1-vivienda_enganchePct)*vivienda_pmiTasa,0)</f>
        <v/>
      </c>
      <c r="BY51" s="7">
        <f>IF(AND(BG51=1,BP51&gt;0.8*BE51),1,0)</f>
        <v/>
      </c>
      <c r="BZ51" s="7">
        <f>IF(BB51=1,AS51*loc_rentaUnidad*12*C51*(1-vivienda_vacancia)*(1-vivienda_gestionPct),0)</f>
        <v/>
      </c>
      <c r="CA51" s="7">
        <f>IF(BB51=1,BO51+BS51+BU51+BV51+BW51+BX51,loc_rentaMensual*12*C51)</f>
        <v/>
      </c>
      <c r="CB51" s="7">
        <f>IF(BB51=1,personal_aporteFamiliaMensual*12,0)</f>
        <v/>
      </c>
      <c r="CC51" s="7">
        <f>MIN(IF(18=0,personal_irsSaldo,CD50),personal_irsPagoMensual*12)</f>
        <v/>
      </c>
      <c r="CD51" s="7">
        <f>IF(18=0,personal_irsSaldo,CD50)-CC51</f>
        <v/>
      </c>
      <c r="CE51" s="7">
        <f>IF(18=0,IF(personal_deudaEsFederal=1,personal_deudaEstudiantil,0),DW50)</f>
        <v/>
      </c>
      <c r="CF51" s="7">
        <f>IF(18=0,personal_tasaDeudaEstudiantil,DX50)</f>
        <v/>
      </c>
      <c r="CG51" s="7">
        <f>IF(18=0,0,DY50)</f>
        <v/>
      </c>
      <c r="CH51" s="7">
        <f>IF(J51&gt;=0.5,1,0)</f>
        <v/>
      </c>
      <c r="CI51" s="7">
        <f>IF(AND(CH51=0,prestamos_pslfActivo=1,K51&gt;=0.5,CE51&gt;0),1,0)</f>
        <v/>
      </c>
      <c r="CJ51" s="7">
        <f>CE51*CF51</f>
        <v/>
      </c>
      <c r="CK51" s="7">
        <f>MAX(prestamos_rapPagoMinimoAnual,IF(Y51&lt;10000,0,MIN(0.1,INT(Y51/10000)/100))*Y51)</f>
        <v/>
      </c>
      <c r="CL51" s="7">
        <f>IF(CE51&lt;=0,0,IF(CH51=1,0,IF(CI51=1,MIN(CE51+CJ51,CK51),PMT(CF51,MAX(1,prestamos_plazoAnios-CG51),-CE51))))</f>
        <v/>
      </c>
      <c r="CM51" s="7">
        <f>IF(CE51&lt;=0,0,IF(CH51=1,CE51+CJ51,IF(CI51=1,MAX(0,CE51-MAX(CL51-CJ51,MIN(600,CL51))),MAX(0,CE51*(1+CF51)-CL51))))</f>
        <v/>
      </c>
      <c r="CN51" s="7">
        <f>IF(18=0,0,CN50)+IF(CI51=1,12*MIN(1,K51),0)</f>
        <v/>
      </c>
      <c r="CO51" s="7">
        <f>IF(AND(CI51=1,CN51&gt;=prestamos_pslfPagos,CM51&gt;0),CM51,0)</f>
        <v/>
      </c>
      <c r="CP51" s="7">
        <f>CM51-CO51</f>
        <v/>
      </c>
      <c r="CQ51" s="7">
        <f>IF(AND(CE51&gt;0,CH51=0,CI51=0),CG51+1,CG51)</f>
        <v/>
      </c>
      <c r="CR51" s="7">
        <f>IF(18=0,IF(personal_deudaEsFederal=1,0,personal_deudaEstudiantil),EA50)</f>
        <v/>
      </c>
      <c r="CS51" s="7">
        <f>IF(18=0,IF(personal_deudaEsFederal=1,prestamos_tasaPrivada,personal_tasaDeudaEstudiantil),EB50)</f>
        <v/>
      </c>
      <c r="CT51" s="7">
        <f>IF(18=0,0,EC50)</f>
        <v/>
      </c>
      <c r="CU51" s="7">
        <f>IF(OR(CR51&lt;=0,CH51=1),0,PMT(CS51,MAX(1,prestamos_plazoAnios-CT51),-CR51))</f>
        <v/>
      </c>
      <c r="CV51" s="7">
        <f>IF(CR51&lt;=0,0,IF(CH51=1,CR51*(1+CS51),MAX(0,CR51*(1+CS51)-CU51)))</f>
        <v/>
      </c>
      <c r="CW51" s="7">
        <f>IF(AND(CR51&gt;0,CH51=0),CT51+1,CT51)</f>
        <v/>
      </c>
      <c r="CX51" s="7">
        <f>IF(18=0,0,ED50)*(1+general_tasaDeudaConsumo)</f>
        <v/>
      </c>
      <c r="CY51" s="7">
        <f>L51*12*tiempos_travelGastoExtraMes*C51</f>
        <v/>
      </c>
      <c r="CZ51" s="7">
        <f>AJ51+CY51+CA51+CC51+CL51+CU51+I51+N51-BZ51-CB51</f>
        <v/>
      </c>
      <c r="DA51" s="7">
        <f>AH51-CZ51</f>
        <v/>
      </c>
      <c r="DB51" s="7">
        <f>IF(18=0,0,DB50)+DA51</f>
        <v/>
      </c>
      <c r="DC51" s="7">
        <f>AN51*vivienda_enganchePct+AN51*vivienda_cierrePct+general_reservaMeses/12*AJ51</f>
        <v/>
      </c>
      <c r="DD51" s="7">
        <f>IF(BB51=1,g_ret,IF(BD51&gt;0,MIN(1,DC51/BD51),1)*g_cash+(1-IF(BD51&gt;0,MIN(1,DC51/BD51),1))*g_ret)</f>
        <v/>
      </c>
      <c r="DE51" s="7">
        <f>IF(DA51&gt;=0,MIN(CX51,DA51),0)</f>
        <v/>
      </c>
      <c r="DF51" s="7">
        <f>IF(DA51&gt;=0,(1-general_tasaAhorro)*(DA51-DE51),0)</f>
        <v/>
      </c>
      <c r="DG51" s="7">
        <f>IF(DA51&gt;=0,DA51-DE51-DF51,0)</f>
        <v/>
      </c>
      <c r="DH51" s="7">
        <f>MIN(personal_rothAnual,DG51)</f>
        <v/>
      </c>
      <c r="DI51" s="7">
        <f>IF(AND(DA51&gt;=0,BB51=1,BP51+BT51&gt;0),MIN(vivienda_prepagoPct*(DG51-DH51),BP51+BT51),0)</f>
        <v/>
      </c>
      <c r="DJ51" s="7">
        <f>MIN(DI51,BP51)</f>
        <v/>
      </c>
      <c r="DK51" s="7">
        <f>IF(DA51&lt;0,MIN(MAX(0,BD51),-DA51),0)</f>
        <v/>
      </c>
      <c r="DL51" s="7">
        <f>IF(DA51&lt;0,-DA51-DK51,0)</f>
        <v/>
      </c>
      <c r="DM51" s="7">
        <f>IF(18=0,0,DZ50)</f>
        <v/>
      </c>
      <c r="DN51" s="7">
        <f>IF(AND(DL51&gt;0,J51&gt;0),MIN(DL51,MIN(prestamos_topeAnualPosgrado*MIN(1,J51),MAX(0,prestamos_topeTotalPosgrado-DM51))),0)</f>
        <v/>
      </c>
      <c r="DO51" s="7">
        <f>IF(AND(DL51&gt;0,J51&gt;0),DL51-DN51,0)</f>
        <v/>
      </c>
      <c r="DP51" s="7">
        <f>IF(AND(DL51&gt;0,J51&lt;=0),DL51,0)</f>
        <v/>
      </c>
      <c r="DQ51" s="7">
        <f>IF(DA51&gt;=0,DG51-DH51-DI51,-DK51)</f>
        <v/>
      </c>
      <c r="DR51" s="7">
        <f>BD51*(1+DD51)+DQ51*(1+DD51/2)</f>
        <v/>
      </c>
      <c r="DS51" s="7">
        <f>IF(18=0,personal_retiroInicial,DS50)*(1+g_ret)+(O51+P51+DH51)*(1+g_ret/2)</f>
        <v/>
      </c>
      <c r="DT51" s="7">
        <f>IF(BB51=1,BL51*(1+g_appr),0)</f>
        <v/>
      </c>
      <c r="DU51" s="7">
        <f>BP51-DJ51</f>
        <v/>
      </c>
      <c r="DV51" s="7">
        <f>BT51-(DI51-DJ51)</f>
        <v/>
      </c>
      <c r="DW51" s="7">
        <f>CP51+DN51</f>
        <v/>
      </c>
      <c r="DX51" s="7">
        <f>IF(DN51&gt;0,(CP51*CF51+DN51*prestamos_tasaFederalPosgrado)/(CP51+DN51),CF51)</f>
        <v/>
      </c>
      <c r="DY51" s="7">
        <f>IF(DN51&gt;0,0,CQ51)</f>
        <v/>
      </c>
      <c r="DZ51" s="7">
        <f>DM51+DN51</f>
        <v/>
      </c>
      <c r="EA51" s="7">
        <f>CV51+DO51</f>
        <v/>
      </c>
      <c r="EB51" s="7">
        <f>IF(DO51&gt;0,(CV51*CS51+DO51*prestamos_tasaPrivada)/(CV51+DO51),CS51)</f>
        <v/>
      </c>
      <c r="EC51" s="7">
        <f>IF(DO51&gt;0,0,CW51)</f>
        <v/>
      </c>
      <c r="ED51" s="7">
        <f>CX51-DE51+DP51</f>
        <v/>
      </c>
      <c r="EE51" s="7">
        <f>IF(IF(18=0,"",EE50)&lt;&gt;"",EE50,IF(AND(BB51=1,DU51&lt;=0.5,DV51&lt;=0.5,OR(BH51=0,BJ51=1)),A51,""))</f>
        <v/>
      </c>
      <c r="EF51" s="7">
        <f>DU51+DV51+DW51+EA51+ED51+CD51</f>
        <v/>
      </c>
      <c r="EG51" s="7">
        <f>DR51+DS51+DT51-EF51</f>
        <v/>
      </c>
      <c r="EH51" s="7">
        <f>EG51/(1+g_inf)^(A51+1-2026)</f>
        <v/>
      </c>
    </row>
    <row r="52">
      <c r="A52" t="n">
        <v>2046</v>
      </c>
      <c r="B52" t="n">
        <v>19</v>
      </c>
      <c r="C52" s="7">
        <f>(1+g_inf)^(A52-2026)</f>
        <v/>
      </c>
      <c r="D52" s="7">
        <f>SUMPRODUCT($AM$5:$AM$29,$E$5:$E$29*(1+$F$5:$F$29)^(A52-2026)*$G$5:$G$29*$H$5:$H$29*(1-$N$5:$N$29*$O$5:$O$29))*g_salMult+SUMPRODUCT(($B$5:$B$29&gt;=A52)*($B$5:$B$29&lt;A52+1)*$I$5:$I$29)*g_salMult</f>
        <v/>
      </c>
      <c r="E52" s="7">
        <f>SUMPRODUCT($AM$5:$AM$29,$E$5:$E$29*(1+$F$5:$F$29)^(A52-2026)*$G$5:$G$29*$H$5:$H$29*$M$5:$M$29)*g_salMult</f>
        <v/>
      </c>
      <c r="F52" s="7">
        <f>SUMPRODUCT($AM$5:$AM$29,$E$5:$E$29*(1+$F$5:$F$29)^(A52-2026)*$G$5:$G$29*$H$5:$H$29*$N$5:$N$29*$O$5:$O$29)*g_salMult</f>
        <v/>
      </c>
      <c r="G52" s="7">
        <f>SUMPRODUCT($AM$5:$AM$29,$P$5:$P$29*(1+$F$5:$F$29)^(A52-2026))</f>
        <v/>
      </c>
      <c r="H52" s="7">
        <f>SUMPRODUCT($AM$5:$AM$29,$Q$5:$Q$29*(1+$F$5:$F$29)^(A52-2026))+IF(personal_llcActivo=1,personal_llcNeto*(1+personal_llcCrecimiento)^19,0)</f>
        <v/>
      </c>
      <c r="I52" s="7">
        <f>SUMPRODUCT($AM$5:$AM$29,$J$5:$J$29/($C$5:$C$29-$B$5:$B$29+($C$5:$C$29=$B$5:$B$29)))*C52</f>
        <v/>
      </c>
      <c r="J52" s="7">
        <f>SUMPRODUCT($AM$5:$AM$29,$K$5:$K$29)</f>
        <v/>
      </c>
      <c r="K52" s="7">
        <f>SUMPRODUCT($AM$5:$AM$29,$L$5:$L$29)</f>
        <v/>
      </c>
      <c r="L52" s="7">
        <f>SUMPRODUCT($AM$5:$AM$29,$N$5:$N$29)</f>
        <v/>
      </c>
      <c r="M52" s="7">
        <f>IF(SUMPRODUCT($AM$5:$AM$29,$R$5:$R$29)&gt;0,1,0)</f>
        <v/>
      </c>
      <c r="N52" s="7">
        <f>SUMPRODUCT(($AO$5:$AO$24&gt;=A52)*($AO$5:$AO$24&lt;A52+1)*$AP$5:$AP$24)*C52+IF(19=0,IF(sel_loc&lt;&gt;"miami",personal_costoMudanzaInicial,0),0)</f>
        <v/>
      </c>
      <c r="O52" s="7">
        <f>MIN(personal_aporte403bPct*D52,retiro_limite403b*C52)</f>
        <v/>
      </c>
      <c r="P52" s="7">
        <f>MIN(personal_aporte403bPct,personal_match403bPct)*E52</f>
        <v/>
      </c>
      <c r="Q52" s="7">
        <f>IF(G52&gt;0,MAX(0,G52-impuestos_scorpCostoAnual*C52),0)</f>
        <v/>
      </c>
      <c r="R52" s="7">
        <f>Q52*impuestos_scorpSalarioPct/(1+impuestos_ssTasa+impuestos_medicareTasa)</f>
        <v/>
      </c>
      <c r="S52" s="7">
        <f>impuestos_ssTasa*MIN(R52,MAX(0,impuestos_ssTope*C52-D52))+impuestos_medicareTasa*R52</f>
        <v/>
      </c>
      <c r="T52" s="7">
        <f>Q52-R52-S52</f>
        <v/>
      </c>
      <c r="U52" s="7">
        <f>D52+R52</f>
        <v/>
      </c>
      <c r="V52" s="7">
        <f>H52*0.9235</f>
        <v/>
      </c>
      <c r="W52" s="7">
        <f>IF(H52&gt;0,2*impuestos_ssTasa*MIN(V52,MAX(0,impuestos_ssTope*C52-U52))+2*impuestos_medicareTasa*V52,0)</f>
        <v/>
      </c>
      <c r="X52" s="7">
        <f>impuestos_ssTasa*MIN(U52,impuestos_ssTope*C52)+impuestos_medicareTasa*U52+impuestos_medicareAdicional*MAX(0,U52+H52*0.9235-impuestos_medicareUmbral)</f>
        <v/>
      </c>
      <c r="Y52" s="7">
        <f>MAX(0,D52-O52+R52+T52+H52-W52/2)</f>
        <v/>
      </c>
      <c r="Z52" s="7">
        <f>MAX(0,Y52-impuestos_deduccionEstandar*C52)</f>
        <v/>
      </c>
      <c r="AA52" s="7">
        <f>MIN(0.2*MAX(0,T52+H52-W52/2)*MAX(0,MIN(1,1-(Z52-impuestos_qbiUmbral*C52)/(impuestos_qbiRango*C52))),0.2*Z52)</f>
        <v/>
      </c>
      <c r="AB52" s="7">
        <f>MAX(0,Z52-AA52)</f>
        <v/>
      </c>
      <c r="AC52" s="7">
        <f>SUMPRODUCT((AB52&gt;tb_federalBrackets_lo*C52)*(AB52-tb_federalBrackets_lo*C52)*tb_federalBrackets_dr)</f>
        <v/>
      </c>
      <c r="AD52" s="7">
        <f>MAX(0,Y52-impuestos_nyDeduccion*C52)</f>
        <v/>
      </c>
      <c r="AE52" s="7">
        <f>CHOOSE(loc_taxcode,0,impuestos_ohTasa*MAX(0,Y52-impuestos_ohExento*C52)+impuestos_ohMunicipal*U52,SUMPRODUCT((AD52&gt;tb_nyBrackets_lo*C52)*(AD52-tb_nyBrackets_lo*C52)*tb_nyBrackets_dr)+loc_nyc*SUMPRODUCT((AD52&gt;tb_nycBrackets_lo*C52)*(AD52-tb_nycBrackets_lo*C52)*tb_nycBrackets_dr))</f>
        <v/>
      </c>
      <c r="AF52" s="7">
        <f>AC52+AE52+X52+W52</f>
        <v/>
      </c>
      <c r="AG52" s="7">
        <f>D52+F52+R52+T52+H52</f>
        <v/>
      </c>
      <c r="AH52" s="7">
        <f>AG52-AF52-O52</f>
        <v/>
      </c>
      <c r="AI52" s="7">
        <f>D52+F52+G52+H52</f>
        <v/>
      </c>
      <c r="AJ52" s="7">
        <f>loc_gastosVida*C52*g_gastos</f>
        <v/>
      </c>
      <c r="AK52" s="7">
        <f>IF(19=0,personal_liquidoInicial,DR51)</f>
        <v/>
      </c>
      <c r="AL52" s="7">
        <f>IF(19=0,0,BB51)</f>
        <v/>
      </c>
      <c r="AM52" s="7">
        <f>CHOOSE(sel_cfgIdx,loc_precio_duplex,loc_precio_inlaw,loc_precio_dosCasas,loc_precio_casaAdu,loc_precio_multi)</f>
        <v/>
      </c>
      <c r="AN52" s="7">
        <f>AM52*(1+g_appr)^(A52-2026)</f>
        <v/>
      </c>
      <c r="AO52" s="7">
        <f>IF(AND(M52=1,vivienda_prestamoMedico=1),1,0)</f>
        <v/>
      </c>
      <c r="AP52" s="7">
        <f>IF(AO52=1,0.05,vivienda_enganchePct)</f>
        <v/>
      </c>
      <c r="AQ52" s="7">
        <f>AN52*(1-AP52)</f>
        <v/>
      </c>
      <c r="AR52" s="7">
        <f>PMT(g_mortRate/12,vivienda_plazoHipoteca*12,-AQ52)</f>
        <v/>
      </c>
      <c r="AS52" s="7">
        <f>INDEX(cfg_units,sel_cfgIdx)</f>
        <v/>
      </c>
      <c r="AT52" s="7">
        <f>AS52*loc_rentaUnidad*(1+g_inf)^(A52-2026)*(1-vivienda_vacancia)</f>
        <v/>
      </c>
      <c r="AU52" s="7">
        <f>AR52+AN52*loc_impuestoPropPct/12+AM52*loc_seguroPct*(1+vivienda_inflacionSeguro)^(A52-2026)/12+IF(AND(AO52=0,AP52&lt;0.2),AQ52*vivienda_pmiTasa/12,0)</f>
        <v/>
      </c>
      <c r="AV52" s="7">
        <f>AN52*AP52+AN52*vivienda_cierrePct+general_reservaMeses/12*AJ52</f>
        <v/>
      </c>
      <c r="AW52" s="7">
        <f>(IF(19=0,MIN(personal_irsSaldo,personal_irsPagoMensual*12),MIN(CD51,personal_irsPagoMensual*12))+IF(CE52&gt;0,PMT(CF52,MAX(1,prestamos_plazoAnios-CG52),-CE52),0)+IF(CR52&gt;0,PMT(CS52,MAX(1,prestamos_plazoAnios-CT52),-CR52),0))/12</f>
        <v/>
      </c>
      <c r="AX52" s="7">
        <f>IF(OR(sel_cfg="duplex",sel_cfg="multi",sel_cfg="dosCasas"),0.75*personal_aporteFamiliaMensual,0)</f>
        <v/>
      </c>
      <c r="AY52" s="7">
        <f>AU52-0.75*AT52-AX52+AW52</f>
        <v/>
      </c>
      <c r="AZ52" s="7">
        <f>(D52+G52+H52+0.5*F52)/12</f>
        <v/>
      </c>
      <c r="BA52" s="7">
        <f>IF(AND(AL52=0,A52&gt;=vivienda_anioMinCompra,J52&lt;0.5,AI52&gt;0,AK52&gt;=AV52,AY52&lt;=vivienda_dtiMax*AZ52),1,0)</f>
        <v/>
      </c>
      <c r="BB52" s="7">
        <f>MAX(AL52,BA52)</f>
        <v/>
      </c>
      <c r="BC52" s="7">
        <f>IF(BA52=1,A52,IF(19=0,"",BC51))</f>
        <v/>
      </c>
      <c r="BD52" s="7">
        <f>AK52-IF(BA52=1,AN52*AP52+AN52*vivienda_cierrePct,0)</f>
        <v/>
      </c>
      <c r="BE52" s="7">
        <f>IF(BA52=1,AN52,IF(19=0,0,BE51))</f>
        <v/>
      </c>
      <c r="BF52" s="7">
        <f>IF(BA52=1,AR52,IF(19=0,0,BF51))</f>
        <v/>
      </c>
      <c r="BG52" s="7">
        <f>IF(BA52=1,IF(AND(AO52=0,AP52&lt;0.2),1,0),IF(19=0,0,BY51))</f>
        <v/>
      </c>
      <c r="BH52" s="7">
        <f>IF(sel_cfg="casaAdu",1,0)</f>
        <v/>
      </c>
      <c r="BI52" s="7">
        <f>IF(AND(BB52=1,BH52=1,IF(19=0,0,BJ51)=0,A52&gt;=IF(BC52="",9999,BC52)+vivienda_aduRetrasoAnios),1,0)</f>
        <v/>
      </c>
      <c r="BJ52" s="7">
        <f>MAX(IF(19=0,0,BJ51),BI52)</f>
        <v/>
      </c>
      <c r="BK52" s="7">
        <f>IF(BI52=1,PMT((g_mortRate+0.005)/12,180,-loc_precio_aduCosto*C52),IF(19=0,0,BK51))</f>
        <v/>
      </c>
      <c r="BL52" s="7">
        <f>IF(BA52=1,AN52,IF(19=0,0,DT51))+IF(BI52=1,loc_precio_aduCosto*C52,0)</f>
        <v/>
      </c>
      <c r="BM52" s="7">
        <f>IF(BA52=1,AQ52,IF(19=0,0,DU51))</f>
        <v/>
      </c>
      <c r="BN52" s="7">
        <f>IF(BM52&lt;=0,0,FV(g_mortRate/12,12,BF52,-BM52))</f>
        <v/>
      </c>
      <c r="BO52" s="7">
        <f>IF(BM52&lt;=0,0,12*BF52+MIN(0,BN52))</f>
        <v/>
      </c>
      <c r="BP52" s="7">
        <f>MAX(0,BN52)</f>
        <v/>
      </c>
      <c r="BQ52" s="7">
        <f>IF(BI52=1,loc_precio_aduCosto*C52,IF(19=0,0,DV51))</f>
        <v/>
      </c>
      <c r="BR52" s="7">
        <f>IF(BQ52&lt;=0,0,FV((g_mortRate+0.005)/12,12,BK52,-BQ52))</f>
        <v/>
      </c>
      <c r="BS52" s="7">
        <f>IF(BQ52&lt;=0,0,12*BK52+MIN(0,BR52))</f>
        <v/>
      </c>
      <c r="BT52" s="7">
        <f>MAX(0,BR52)</f>
        <v/>
      </c>
      <c r="BU52" s="7">
        <f>IF(BB52=1,AM52*loc_seguroPct*(1+vivienda_inflacionSeguro)^(A52-2026)*IF(BJ52=1,1+loc_precio_aduCosto/AM52,1),0)</f>
        <v/>
      </c>
      <c r="BV52" s="7">
        <f>BL52*loc_impuestoPropPct</f>
        <v/>
      </c>
      <c r="BW52" s="7">
        <f>BL52*vivienda_mantenimientoPct</f>
        <v/>
      </c>
      <c r="BX52" s="7">
        <f>IF(AND(BG52=1,BP52&gt;0.8*BE52),BE52*(1-vivienda_enganchePct)*vivienda_pmiTasa,0)</f>
        <v/>
      </c>
      <c r="BY52" s="7">
        <f>IF(AND(BG52=1,BP52&gt;0.8*BE52),1,0)</f>
        <v/>
      </c>
      <c r="BZ52" s="7">
        <f>IF(BB52=1,AS52*loc_rentaUnidad*12*C52*(1-vivienda_vacancia)*(1-vivienda_gestionPct),0)</f>
        <v/>
      </c>
      <c r="CA52" s="7">
        <f>IF(BB52=1,BO52+BS52+BU52+BV52+BW52+BX52,loc_rentaMensual*12*C52)</f>
        <v/>
      </c>
      <c r="CB52" s="7">
        <f>IF(BB52=1,personal_aporteFamiliaMensual*12,0)</f>
        <v/>
      </c>
      <c r="CC52" s="7">
        <f>MIN(IF(19=0,personal_irsSaldo,CD51),personal_irsPagoMensual*12)</f>
        <v/>
      </c>
      <c r="CD52" s="7">
        <f>IF(19=0,personal_irsSaldo,CD51)-CC52</f>
        <v/>
      </c>
      <c r="CE52" s="7">
        <f>IF(19=0,IF(personal_deudaEsFederal=1,personal_deudaEstudiantil,0),DW51)</f>
        <v/>
      </c>
      <c r="CF52" s="7">
        <f>IF(19=0,personal_tasaDeudaEstudiantil,DX51)</f>
        <v/>
      </c>
      <c r="CG52" s="7">
        <f>IF(19=0,0,DY51)</f>
        <v/>
      </c>
      <c r="CH52" s="7">
        <f>IF(J52&gt;=0.5,1,0)</f>
        <v/>
      </c>
      <c r="CI52" s="7">
        <f>IF(AND(CH52=0,prestamos_pslfActivo=1,K52&gt;=0.5,CE52&gt;0),1,0)</f>
        <v/>
      </c>
      <c r="CJ52" s="7">
        <f>CE52*CF52</f>
        <v/>
      </c>
      <c r="CK52" s="7">
        <f>MAX(prestamos_rapPagoMinimoAnual,IF(Y52&lt;10000,0,MIN(0.1,INT(Y52/10000)/100))*Y52)</f>
        <v/>
      </c>
      <c r="CL52" s="7">
        <f>IF(CE52&lt;=0,0,IF(CH52=1,0,IF(CI52=1,MIN(CE52+CJ52,CK52),PMT(CF52,MAX(1,prestamos_plazoAnios-CG52),-CE52))))</f>
        <v/>
      </c>
      <c r="CM52" s="7">
        <f>IF(CE52&lt;=0,0,IF(CH52=1,CE52+CJ52,IF(CI52=1,MAX(0,CE52-MAX(CL52-CJ52,MIN(600,CL52))),MAX(0,CE52*(1+CF52)-CL52))))</f>
        <v/>
      </c>
      <c r="CN52" s="7">
        <f>IF(19=0,0,CN51)+IF(CI52=1,12*MIN(1,K52),0)</f>
        <v/>
      </c>
      <c r="CO52" s="7">
        <f>IF(AND(CI52=1,CN52&gt;=prestamos_pslfPagos,CM52&gt;0),CM52,0)</f>
        <v/>
      </c>
      <c r="CP52" s="7">
        <f>CM52-CO52</f>
        <v/>
      </c>
      <c r="CQ52" s="7">
        <f>IF(AND(CE52&gt;0,CH52=0,CI52=0),CG52+1,CG52)</f>
        <v/>
      </c>
      <c r="CR52" s="7">
        <f>IF(19=0,IF(personal_deudaEsFederal=1,0,personal_deudaEstudiantil),EA51)</f>
        <v/>
      </c>
      <c r="CS52" s="7">
        <f>IF(19=0,IF(personal_deudaEsFederal=1,prestamos_tasaPrivada,personal_tasaDeudaEstudiantil),EB51)</f>
        <v/>
      </c>
      <c r="CT52" s="7">
        <f>IF(19=0,0,EC51)</f>
        <v/>
      </c>
      <c r="CU52" s="7">
        <f>IF(OR(CR52&lt;=0,CH52=1),0,PMT(CS52,MAX(1,prestamos_plazoAnios-CT52),-CR52))</f>
        <v/>
      </c>
      <c r="CV52" s="7">
        <f>IF(CR52&lt;=0,0,IF(CH52=1,CR52*(1+CS52),MAX(0,CR52*(1+CS52)-CU52)))</f>
        <v/>
      </c>
      <c r="CW52" s="7">
        <f>IF(AND(CR52&gt;0,CH52=0),CT52+1,CT52)</f>
        <v/>
      </c>
      <c r="CX52" s="7">
        <f>IF(19=0,0,ED51)*(1+general_tasaDeudaConsumo)</f>
        <v/>
      </c>
      <c r="CY52" s="7">
        <f>L52*12*tiempos_travelGastoExtraMes*C52</f>
        <v/>
      </c>
      <c r="CZ52" s="7">
        <f>AJ52+CY52+CA52+CC52+CL52+CU52+I52+N52-BZ52-CB52</f>
        <v/>
      </c>
      <c r="DA52" s="7">
        <f>AH52-CZ52</f>
        <v/>
      </c>
      <c r="DB52" s="7">
        <f>IF(19=0,0,DB51)+DA52</f>
        <v/>
      </c>
      <c r="DC52" s="7">
        <f>AN52*vivienda_enganchePct+AN52*vivienda_cierrePct+general_reservaMeses/12*AJ52</f>
        <v/>
      </c>
      <c r="DD52" s="7">
        <f>IF(BB52=1,g_ret,IF(BD52&gt;0,MIN(1,DC52/BD52),1)*g_cash+(1-IF(BD52&gt;0,MIN(1,DC52/BD52),1))*g_ret)</f>
        <v/>
      </c>
      <c r="DE52" s="7">
        <f>IF(DA52&gt;=0,MIN(CX52,DA52),0)</f>
        <v/>
      </c>
      <c r="DF52" s="7">
        <f>IF(DA52&gt;=0,(1-general_tasaAhorro)*(DA52-DE52),0)</f>
        <v/>
      </c>
      <c r="DG52" s="7">
        <f>IF(DA52&gt;=0,DA52-DE52-DF52,0)</f>
        <v/>
      </c>
      <c r="DH52" s="7">
        <f>MIN(personal_rothAnual,DG52)</f>
        <v/>
      </c>
      <c r="DI52" s="7">
        <f>IF(AND(DA52&gt;=0,BB52=1,BP52+BT52&gt;0),MIN(vivienda_prepagoPct*(DG52-DH52),BP52+BT52),0)</f>
        <v/>
      </c>
      <c r="DJ52" s="7">
        <f>MIN(DI52,BP52)</f>
        <v/>
      </c>
      <c r="DK52" s="7">
        <f>IF(DA52&lt;0,MIN(MAX(0,BD52),-DA52),0)</f>
        <v/>
      </c>
      <c r="DL52" s="7">
        <f>IF(DA52&lt;0,-DA52-DK52,0)</f>
        <v/>
      </c>
      <c r="DM52" s="7">
        <f>IF(19=0,0,DZ51)</f>
        <v/>
      </c>
      <c r="DN52" s="7">
        <f>IF(AND(DL52&gt;0,J52&gt;0),MIN(DL52,MIN(prestamos_topeAnualPosgrado*MIN(1,J52),MAX(0,prestamos_topeTotalPosgrado-DM52))),0)</f>
        <v/>
      </c>
      <c r="DO52" s="7">
        <f>IF(AND(DL52&gt;0,J52&gt;0),DL52-DN52,0)</f>
        <v/>
      </c>
      <c r="DP52" s="7">
        <f>IF(AND(DL52&gt;0,J52&lt;=0),DL52,0)</f>
        <v/>
      </c>
      <c r="DQ52" s="7">
        <f>IF(DA52&gt;=0,DG52-DH52-DI52,-DK52)</f>
        <v/>
      </c>
      <c r="DR52" s="7">
        <f>BD52*(1+DD52)+DQ52*(1+DD52/2)</f>
        <v/>
      </c>
      <c r="DS52" s="7">
        <f>IF(19=0,personal_retiroInicial,DS51)*(1+g_ret)+(O52+P52+DH52)*(1+g_ret/2)</f>
        <v/>
      </c>
      <c r="DT52" s="7">
        <f>IF(BB52=1,BL52*(1+g_appr),0)</f>
        <v/>
      </c>
      <c r="DU52" s="7">
        <f>BP52-DJ52</f>
        <v/>
      </c>
      <c r="DV52" s="7">
        <f>BT52-(DI52-DJ52)</f>
        <v/>
      </c>
      <c r="DW52" s="7">
        <f>CP52+DN52</f>
        <v/>
      </c>
      <c r="DX52" s="7">
        <f>IF(DN52&gt;0,(CP52*CF52+DN52*prestamos_tasaFederalPosgrado)/(CP52+DN52),CF52)</f>
        <v/>
      </c>
      <c r="DY52" s="7">
        <f>IF(DN52&gt;0,0,CQ52)</f>
        <v/>
      </c>
      <c r="DZ52" s="7">
        <f>DM52+DN52</f>
        <v/>
      </c>
      <c r="EA52" s="7">
        <f>CV52+DO52</f>
        <v/>
      </c>
      <c r="EB52" s="7">
        <f>IF(DO52&gt;0,(CV52*CS52+DO52*prestamos_tasaPrivada)/(CV52+DO52),CS52)</f>
        <v/>
      </c>
      <c r="EC52" s="7">
        <f>IF(DO52&gt;0,0,CW52)</f>
        <v/>
      </c>
      <c r="ED52" s="7">
        <f>CX52-DE52+DP52</f>
        <v/>
      </c>
      <c r="EE52" s="7">
        <f>IF(IF(19=0,"",EE51)&lt;&gt;"",EE51,IF(AND(BB52=1,DU52&lt;=0.5,DV52&lt;=0.5,OR(BH52=0,BJ52=1)),A52,""))</f>
        <v/>
      </c>
      <c r="EF52" s="7">
        <f>DU52+DV52+DW52+EA52+ED52+CD52</f>
        <v/>
      </c>
      <c r="EG52" s="7">
        <f>DR52+DS52+DT52-EF52</f>
        <v/>
      </c>
      <c r="EH52" s="7">
        <f>EG52/(1+g_inf)^(A52+1-2026)</f>
        <v/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EH52"/>
  <sheetViews>
    <sheetView workbookViewId="0">
      <pane xSplit="1" ySplit="32" topLeftCell="B3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0" customWidth="1" min="1" max="1"/>
  </cols>
  <sheetData>
    <row r="1">
      <c r="A1" s="1" t="inlineStr">
        <is>
          <t>B4 · MD: nunca hace match → vuelve a CDI</t>
        </is>
      </c>
    </row>
    <row r="2">
      <c r="A2" s="2" t="inlineStr">
        <is>
          <t>Etapas (celdas azules editables; fechas decimales: 2027.67 = sep-2027). Traslape por año en columnas T→AM. Hitos con costo en AN→AP.</t>
        </is>
      </c>
    </row>
    <row r="4">
      <c r="A4" s="5" t="inlineStr">
        <is>
          <t>Etapa</t>
        </is>
      </c>
      <c r="B4" s="5" t="inlineStr">
        <is>
          <t>Inicio</t>
        </is>
      </c>
      <c r="C4" s="5" t="inlineStr">
        <is>
          <t>Fin</t>
        </is>
      </c>
      <c r="D4" s="5" t="inlineStr">
        <is>
          <t>Rol</t>
        </is>
      </c>
      <c r="E4" s="5" t="inlineStr">
        <is>
          <t>Salario base FT 2026 ($)</t>
        </is>
      </c>
      <c r="F4" s="5" t="inlineStr">
        <is>
          <t>Aumento anual</t>
        </is>
      </c>
      <c r="G4" s="5" t="inlineStr">
        <is>
          <t>Horas (FTE)</t>
        </is>
      </c>
      <c r="H4" s="5" t="inlineStr">
        <is>
          <t>Multiplicador</t>
        </is>
      </c>
      <c r="I4" s="5" t="inlineStr">
        <is>
          <t>Bono al inicio</t>
        </is>
      </c>
      <c r="J4" s="5" t="inlineStr">
        <is>
          <t>Matrícula total (2026$)</t>
        </is>
      </c>
      <c r="K4" s="5" t="inlineStr">
        <is>
          <t>Estudio (1/0)</t>
        </is>
      </c>
      <c r="L4" s="5" t="inlineStr">
        <is>
          <t>PSLF (1/0)</t>
        </is>
      </c>
      <c r="M4" s="5" t="inlineStr">
        <is>
          <t>Match 403b (1/0)</t>
        </is>
      </c>
      <c r="N4" s="5" t="inlineStr">
        <is>
          <t>Travel (1/0)</t>
        </is>
      </c>
      <c r="O4" s="5" t="inlineStr">
        <is>
          <t>% stipend libre</t>
        </is>
      </c>
      <c r="P4" s="5" t="inlineStr">
        <is>
          <t>S-corp anual base</t>
        </is>
      </c>
      <c r="Q4" s="5" t="inlineStr">
        <is>
          <t>Autoempleo anual base</t>
        </is>
      </c>
      <c r="R4" s="5" t="inlineStr">
        <is>
          <t>Attending (1/0)</t>
        </is>
      </c>
      <c r="T4" s="8" t="n">
        <v>2027</v>
      </c>
      <c r="U4" s="8" t="n">
        <v>2028</v>
      </c>
      <c r="V4" s="8" t="n">
        <v>2029</v>
      </c>
      <c r="W4" s="8" t="n">
        <v>2030</v>
      </c>
      <c r="X4" s="8" t="n">
        <v>2031</v>
      </c>
      <c r="Y4" s="8" t="n">
        <v>2032</v>
      </c>
      <c r="Z4" s="8" t="n">
        <v>2033</v>
      </c>
      <c r="AA4" s="8" t="n">
        <v>2034</v>
      </c>
      <c r="AB4" s="8" t="n">
        <v>2035</v>
      </c>
      <c r="AC4" s="8" t="n">
        <v>2036</v>
      </c>
      <c r="AD4" s="8" t="n">
        <v>2037</v>
      </c>
      <c r="AE4" s="8" t="n">
        <v>2038</v>
      </c>
      <c r="AF4" s="8" t="n">
        <v>2039</v>
      </c>
      <c r="AG4" s="8" t="n">
        <v>2040</v>
      </c>
      <c r="AH4" s="8" t="n">
        <v>2041</v>
      </c>
      <c r="AI4" s="8" t="n">
        <v>2042</v>
      </c>
      <c r="AJ4" s="8" t="n">
        <v>2043</v>
      </c>
      <c r="AK4" s="8" t="n">
        <v>2044</v>
      </c>
      <c r="AL4" s="8" t="n">
        <v>2045</v>
      </c>
      <c r="AM4" s="8" t="n">
        <v>2046</v>
      </c>
      <c r="AN4" s="5" t="inlineStr">
        <is>
          <t>Hito</t>
        </is>
      </c>
      <c r="AO4" s="5" t="inlineStr">
        <is>
          <t>Fecha</t>
        </is>
      </c>
      <c r="AP4" s="5" t="inlineStr">
        <is>
          <t>Costo (2026$)</t>
        </is>
      </c>
    </row>
    <row r="5">
      <c r="A5" t="inlineStr">
        <is>
          <t>Case manager + estudio USMLE</t>
        </is>
      </c>
      <c r="B5" s="3" t="n">
        <v>2027</v>
      </c>
      <c r="C5" s="3" t="n">
        <v>2027.5</v>
      </c>
      <c r="D5" t="inlineStr">
        <is>
          <t>cm</t>
        </is>
      </c>
      <c r="E5">
        <f>personal_tarifaHora*2080*loc_factorRN/ubic_miami_factorRN</f>
        <v/>
      </c>
      <c r="F5">
        <f>roles_cm_aumento</f>
        <v/>
      </c>
      <c r="G5">
        <f>md_horasTrabajoEstudiando/40</f>
        <v/>
      </c>
      <c r="H5" s="3" t="n">
        <v>1</v>
      </c>
      <c r="I5" s="3" t="n">
        <v>0</v>
      </c>
      <c r="J5" s="3" t="n">
        <v>0</v>
      </c>
      <c r="K5" s="3" t="n">
        <v>0</v>
      </c>
      <c r="L5" s="3" t="n">
        <v>1</v>
      </c>
      <c r="M5" s="3" t="n">
        <v>1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T5">
        <f>MAX(0,MIN($C5,T$4+1)-MAX($B5,T$4))</f>
        <v/>
      </c>
      <c r="U5">
        <f>MAX(0,MIN($C5,U$4+1)-MAX($B5,U$4))</f>
        <v/>
      </c>
      <c r="V5">
        <f>MAX(0,MIN($C5,V$4+1)-MAX($B5,V$4))</f>
        <v/>
      </c>
      <c r="W5">
        <f>MAX(0,MIN($C5,W$4+1)-MAX($B5,W$4))</f>
        <v/>
      </c>
      <c r="X5">
        <f>MAX(0,MIN($C5,X$4+1)-MAX($B5,X$4))</f>
        <v/>
      </c>
      <c r="Y5">
        <f>MAX(0,MIN($C5,Y$4+1)-MAX($B5,Y$4))</f>
        <v/>
      </c>
      <c r="Z5">
        <f>MAX(0,MIN($C5,Z$4+1)-MAX($B5,Z$4))</f>
        <v/>
      </c>
      <c r="AA5">
        <f>MAX(0,MIN($C5,AA$4+1)-MAX($B5,AA$4))</f>
        <v/>
      </c>
      <c r="AB5">
        <f>MAX(0,MIN($C5,AB$4+1)-MAX($B5,AB$4))</f>
        <v/>
      </c>
      <c r="AC5">
        <f>MAX(0,MIN($C5,AC$4+1)-MAX($B5,AC$4))</f>
        <v/>
      </c>
      <c r="AD5">
        <f>MAX(0,MIN($C5,AD$4+1)-MAX($B5,AD$4))</f>
        <v/>
      </c>
      <c r="AE5">
        <f>MAX(0,MIN($C5,AE$4+1)-MAX($B5,AE$4))</f>
        <v/>
      </c>
      <c r="AF5">
        <f>MAX(0,MIN($C5,AF$4+1)-MAX($B5,AF$4))</f>
        <v/>
      </c>
      <c r="AG5">
        <f>MAX(0,MIN($C5,AG$4+1)-MAX($B5,AG$4))</f>
        <v/>
      </c>
      <c r="AH5">
        <f>MAX(0,MIN($C5,AH$4+1)-MAX($B5,AH$4))</f>
        <v/>
      </c>
      <c r="AI5">
        <f>MAX(0,MIN($C5,AI$4+1)-MAX($B5,AI$4))</f>
        <v/>
      </c>
      <c r="AJ5">
        <f>MAX(0,MIN($C5,AJ$4+1)-MAX($B5,AJ$4))</f>
        <v/>
      </c>
      <c r="AK5">
        <f>MAX(0,MIN($C5,AK$4+1)-MAX($B5,AK$4))</f>
        <v/>
      </c>
      <c r="AL5">
        <f>MAX(0,MIN($C5,AL$4+1)-MAX($B5,AL$4))</f>
        <v/>
      </c>
      <c r="AM5">
        <f>MAX(0,MIN($C5,AM$4+1)-MAX($B5,AM$4))</f>
        <v/>
      </c>
      <c r="AN5" t="inlineStr">
        <is>
          <t>Graduación RN-BSN</t>
        </is>
      </c>
      <c r="AO5" s="3" t="n">
        <v>2027.5</v>
      </c>
      <c r="AP5" s="3" t="n">
        <v>0</v>
      </c>
    </row>
    <row r="6">
      <c r="A6" t="inlineStr">
        <is>
          <t>Estudio dedicado Step 1 (sin sueldo)</t>
        </is>
      </c>
      <c r="B6" s="3" t="n">
        <v>2027.5</v>
      </c>
      <c r="C6" s="3" t="n">
        <v>2027.67</v>
      </c>
      <c r="D6" t="inlineStr"/>
      <c r="E6" t="n">
        <v>0</v>
      </c>
      <c r="F6" t="n">
        <v>0</v>
      </c>
      <c r="G6" s="3" t="n">
        <v>1</v>
      </c>
      <c r="H6" s="3" t="n">
        <v>1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  <c r="T6">
        <f>MAX(0,MIN($C6,T$4+1)-MAX($B6,T$4))</f>
        <v/>
      </c>
      <c r="U6">
        <f>MAX(0,MIN($C6,U$4+1)-MAX($B6,U$4))</f>
        <v/>
      </c>
      <c r="V6">
        <f>MAX(0,MIN($C6,V$4+1)-MAX($B6,V$4))</f>
        <v/>
      </c>
      <c r="W6">
        <f>MAX(0,MIN($C6,W$4+1)-MAX($B6,W$4))</f>
        <v/>
      </c>
      <c r="X6">
        <f>MAX(0,MIN($C6,X$4+1)-MAX($B6,X$4))</f>
        <v/>
      </c>
      <c r="Y6">
        <f>MAX(0,MIN($C6,Y$4+1)-MAX($B6,Y$4))</f>
        <v/>
      </c>
      <c r="Z6">
        <f>MAX(0,MIN($C6,Z$4+1)-MAX($B6,Z$4))</f>
        <v/>
      </c>
      <c r="AA6">
        <f>MAX(0,MIN($C6,AA$4+1)-MAX($B6,AA$4))</f>
        <v/>
      </c>
      <c r="AB6">
        <f>MAX(0,MIN($C6,AB$4+1)-MAX($B6,AB$4))</f>
        <v/>
      </c>
      <c r="AC6">
        <f>MAX(0,MIN($C6,AC$4+1)-MAX($B6,AC$4))</f>
        <v/>
      </c>
      <c r="AD6">
        <f>MAX(0,MIN($C6,AD$4+1)-MAX($B6,AD$4))</f>
        <v/>
      </c>
      <c r="AE6">
        <f>MAX(0,MIN($C6,AE$4+1)-MAX($B6,AE$4))</f>
        <v/>
      </c>
      <c r="AF6">
        <f>MAX(0,MIN($C6,AF$4+1)-MAX($B6,AF$4))</f>
        <v/>
      </c>
      <c r="AG6">
        <f>MAX(0,MIN($C6,AG$4+1)-MAX($B6,AG$4))</f>
        <v/>
      </c>
      <c r="AH6">
        <f>MAX(0,MIN($C6,AH$4+1)-MAX($B6,AH$4))</f>
        <v/>
      </c>
      <c r="AI6">
        <f>MAX(0,MIN($C6,AI$4+1)-MAX($B6,AI$4))</f>
        <v/>
      </c>
      <c r="AJ6">
        <f>MAX(0,MIN($C6,AJ$4+1)-MAX($B6,AJ$4))</f>
        <v/>
      </c>
      <c r="AK6">
        <f>MAX(0,MIN($C6,AK$4+1)-MAX($B6,AK$4))</f>
        <v/>
      </c>
      <c r="AL6">
        <f>MAX(0,MIN($C6,AL$4+1)-MAX($B6,AL$4))</f>
        <v/>
      </c>
      <c r="AM6">
        <f>MAX(0,MIN($C6,AM$4+1)-MAX($B6,AM$4))</f>
        <v/>
      </c>
      <c r="AN6" t="inlineStr">
        <is>
          <t>Matrícula restante BSN</t>
        </is>
      </c>
      <c r="AO6" s="3" t="n">
        <v>2027</v>
      </c>
      <c r="AP6" s="3">
        <f>personal_bsnCostoRestante</f>
        <v/>
      </c>
    </row>
    <row r="7">
      <c r="A7" t="inlineStr">
        <is>
          <t>Case manager + estudio Step 2 CK (BSN)</t>
        </is>
      </c>
      <c r="B7" s="3" t="n">
        <v>2027.67</v>
      </c>
      <c r="C7" s="3" t="n">
        <v>2028.15</v>
      </c>
      <c r="D7" t="inlineStr">
        <is>
          <t>cm</t>
        </is>
      </c>
      <c r="E7">
        <f>personal_tarifaHora*2080*loc_factorRN/ubic_miami_factorRN</f>
        <v/>
      </c>
      <c r="F7">
        <f>roles_cm_aumento</f>
        <v/>
      </c>
      <c r="G7">
        <f>md_horasTrabajoEstudiando/40</f>
        <v/>
      </c>
      <c r="H7">
        <f>1+personal_bsnAumento</f>
        <v/>
      </c>
      <c r="I7" s="3" t="n">
        <v>0</v>
      </c>
      <c r="J7" s="3" t="n">
        <v>0</v>
      </c>
      <c r="K7" s="3" t="n">
        <v>0</v>
      </c>
      <c r="L7" s="3" t="n">
        <v>1</v>
      </c>
      <c r="M7" s="3" t="n">
        <v>1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T7">
        <f>MAX(0,MIN($C7,T$4+1)-MAX($B7,T$4))</f>
        <v/>
      </c>
      <c r="U7">
        <f>MAX(0,MIN($C7,U$4+1)-MAX($B7,U$4))</f>
        <v/>
      </c>
      <c r="V7">
        <f>MAX(0,MIN($C7,V$4+1)-MAX($B7,V$4))</f>
        <v/>
      </c>
      <c r="W7">
        <f>MAX(0,MIN($C7,W$4+1)-MAX($B7,W$4))</f>
        <v/>
      </c>
      <c r="X7">
        <f>MAX(0,MIN($C7,X$4+1)-MAX($B7,X$4))</f>
        <v/>
      </c>
      <c r="Y7">
        <f>MAX(0,MIN($C7,Y$4+1)-MAX($B7,Y$4))</f>
        <v/>
      </c>
      <c r="Z7">
        <f>MAX(0,MIN($C7,Z$4+1)-MAX($B7,Z$4))</f>
        <v/>
      </c>
      <c r="AA7">
        <f>MAX(0,MIN($C7,AA$4+1)-MAX($B7,AA$4))</f>
        <v/>
      </c>
      <c r="AB7">
        <f>MAX(0,MIN($C7,AB$4+1)-MAX($B7,AB$4))</f>
        <v/>
      </c>
      <c r="AC7">
        <f>MAX(0,MIN($C7,AC$4+1)-MAX($B7,AC$4))</f>
        <v/>
      </c>
      <c r="AD7">
        <f>MAX(0,MIN($C7,AD$4+1)-MAX($B7,AD$4))</f>
        <v/>
      </c>
      <c r="AE7">
        <f>MAX(0,MIN($C7,AE$4+1)-MAX($B7,AE$4))</f>
        <v/>
      </c>
      <c r="AF7">
        <f>MAX(0,MIN($C7,AF$4+1)-MAX($B7,AF$4))</f>
        <v/>
      </c>
      <c r="AG7">
        <f>MAX(0,MIN($C7,AG$4+1)-MAX($B7,AG$4))</f>
        <v/>
      </c>
      <c r="AH7">
        <f>MAX(0,MIN($C7,AH$4+1)-MAX($B7,AH$4))</f>
        <v/>
      </c>
      <c r="AI7">
        <f>MAX(0,MIN($C7,AI$4+1)-MAX($B7,AI$4))</f>
        <v/>
      </c>
      <c r="AJ7">
        <f>MAX(0,MIN($C7,AJ$4+1)-MAX($B7,AJ$4))</f>
        <v/>
      </c>
      <c r="AK7">
        <f>MAX(0,MIN($C7,AK$4+1)-MAX($B7,AK$4))</f>
        <v/>
      </c>
      <c r="AL7">
        <f>MAX(0,MIN($C7,AL$4+1)-MAX($B7,AL$4))</f>
        <v/>
      </c>
      <c r="AM7">
        <f>MAX(0,MIN($C7,AM$4+1)-MAX($B7,AM$4))</f>
        <v/>
      </c>
      <c r="AN7" t="inlineStr">
        <is>
          <t>Step 1</t>
        </is>
      </c>
      <c r="AO7" s="3" t="n">
        <v>2027.67</v>
      </c>
      <c r="AP7" s="3">
        <f>md_costoStep1+md_costoPrepUSMLE</f>
        <v/>
      </c>
    </row>
    <row r="8">
      <c r="A8" t="inlineStr">
        <is>
          <t>Estudio dedicado Step 2 CK (sin sueldo)</t>
        </is>
      </c>
      <c r="B8" s="3" t="n">
        <v>2028.15</v>
      </c>
      <c r="C8" s="3" t="n">
        <v>2028.27</v>
      </c>
      <c r="D8" t="inlineStr"/>
      <c r="E8" t="n">
        <v>0</v>
      </c>
      <c r="F8" t="n">
        <v>0</v>
      </c>
      <c r="G8" s="3" t="n">
        <v>1</v>
      </c>
      <c r="H8" s="3" t="n">
        <v>1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T8">
        <f>MAX(0,MIN($C8,T$4+1)-MAX($B8,T$4))</f>
        <v/>
      </c>
      <c r="U8">
        <f>MAX(0,MIN($C8,U$4+1)-MAX($B8,U$4))</f>
        <v/>
      </c>
      <c r="V8">
        <f>MAX(0,MIN($C8,V$4+1)-MAX($B8,V$4))</f>
        <v/>
      </c>
      <c r="W8">
        <f>MAX(0,MIN($C8,W$4+1)-MAX($B8,W$4))</f>
        <v/>
      </c>
      <c r="X8">
        <f>MAX(0,MIN($C8,X$4+1)-MAX($B8,X$4))</f>
        <v/>
      </c>
      <c r="Y8">
        <f>MAX(0,MIN($C8,Y$4+1)-MAX($B8,Y$4))</f>
        <v/>
      </c>
      <c r="Z8">
        <f>MAX(0,MIN($C8,Z$4+1)-MAX($B8,Z$4))</f>
        <v/>
      </c>
      <c r="AA8">
        <f>MAX(0,MIN($C8,AA$4+1)-MAX($B8,AA$4))</f>
        <v/>
      </c>
      <c r="AB8">
        <f>MAX(0,MIN($C8,AB$4+1)-MAX($B8,AB$4))</f>
        <v/>
      </c>
      <c r="AC8">
        <f>MAX(0,MIN($C8,AC$4+1)-MAX($B8,AC$4))</f>
        <v/>
      </c>
      <c r="AD8">
        <f>MAX(0,MIN($C8,AD$4+1)-MAX($B8,AD$4))</f>
        <v/>
      </c>
      <c r="AE8">
        <f>MAX(0,MIN($C8,AE$4+1)-MAX($B8,AE$4))</f>
        <v/>
      </c>
      <c r="AF8">
        <f>MAX(0,MIN($C8,AF$4+1)-MAX($B8,AF$4))</f>
        <v/>
      </c>
      <c r="AG8">
        <f>MAX(0,MIN($C8,AG$4+1)-MAX($B8,AG$4))</f>
        <v/>
      </c>
      <c r="AH8">
        <f>MAX(0,MIN($C8,AH$4+1)-MAX($B8,AH$4))</f>
        <v/>
      </c>
      <c r="AI8">
        <f>MAX(0,MIN($C8,AI$4+1)-MAX($B8,AI$4))</f>
        <v/>
      </c>
      <c r="AJ8">
        <f>MAX(0,MIN($C8,AJ$4+1)-MAX($B8,AJ$4))</f>
        <v/>
      </c>
      <c r="AK8">
        <f>MAX(0,MIN($C8,AK$4+1)-MAX($B8,AK$4))</f>
        <v/>
      </c>
      <c r="AL8">
        <f>MAX(0,MIN($C8,AL$4+1)-MAX($B8,AL$4))</f>
        <v/>
      </c>
      <c r="AM8">
        <f>MAX(0,MIN($C8,AM$4+1)-MAX($B8,AM$4))</f>
        <v/>
      </c>
      <c r="AN8" t="inlineStr">
        <is>
          <t>Step 2 CK + ECFMG/OET</t>
        </is>
      </c>
      <c r="AO8" s="3" t="n">
        <v>2028.27</v>
      </c>
      <c r="AP8" s="3">
        <f>md_costoStep2+md_costoECFMG</f>
        <v/>
      </c>
    </row>
    <row r="9">
      <c r="A9" t="inlineStr">
        <is>
          <t>USCE (observership/externship)</t>
        </is>
      </c>
      <c r="B9" s="3" t="n">
        <v>2028.27</v>
      </c>
      <c r="C9" s="3" t="n">
        <v>2028.52</v>
      </c>
      <c r="D9" t="inlineStr"/>
      <c r="E9" t="n">
        <v>0</v>
      </c>
      <c r="F9" t="n">
        <v>0</v>
      </c>
      <c r="G9" s="3" t="n">
        <v>1</v>
      </c>
      <c r="H9" s="3" t="n">
        <v>1</v>
      </c>
      <c r="I9" s="3" t="n">
        <v>0</v>
      </c>
      <c r="J9">
        <f>md_usceCostoMes*12*md_usceDuracion</f>
        <v/>
      </c>
      <c r="K9" s="3" t="n">
        <v>0</v>
      </c>
      <c r="L9" s="3" t="n">
        <v>0</v>
      </c>
      <c r="M9" s="3" t="n">
        <v>0</v>
      </c>
      <c r="N9" s="3" t="n">
        <v>0</v>
      </c>
      <c r="O9" s="3" t="n">
        <v>0</v>
      </c>
      <c r="P9" s="3" t="n">
        <v>0</v>
      </c>
      <c r="Q9" s="3" t="n">
        <v>0</v>
      </c>
      <c r="R9" s="3" t="n">
        <v>0</v>
      </c>
      <c r="T9">
        <f>MAX(0,MIN($C9,T$4+1)-MAX($B9,T$4))</f>
        <v/>
      </c>
      <c r="U9">
        <f>MAX(0,MIN($C9,U$4+1)-MAX($B9,U$4))</f>
        <v/>
      </c>
      <c r="V9">
        <f>MAX(0,MIN($C9,V$4+1)-MAX($B9,V$4))</f>
        <v/>
      </c>
      <c r="W9">
        <f>MAX(0,MIN($C9,W$4+1)-MAX($B9,W$4))</f>
        <v/>
      </c>
      <c r="X9">
        <f>MAX(0,MIN($C9,X$4+1)-MAX($B9,X$4))</f>
        <v/>
      </c>
      <c r="Y9">
        <f>MAX(0,MIN($C9,Y$4+1)-MAX($B9,Y$4))</f>
        <v/>
      </c>
      <c r="Z9">
        <f>MAX(0,MIN($C9,Z$4+1)-MAX($B9,Z$4))</f>
        <v/>
      </c>
      <c r="AA9">
        <f>MAX(0,MIN($C9,AA$4+1)-MAX($B9,AA$4))</f>
        <v/>
      </c>
      <c r="AB9">
        <f>MAX(0,MIN($C9,AB$4+1)-MAX($B9,AB$4))</f>
        <v/>
      </c>
      <c r="AC9">
        <f>MAX(0,MIN($C9,AC$4+1)-MAX($B9,AC$4))</f>
        <v/>
      </c>
      <c r="AD9">
        <f>MAX(0,MIN($C9,AD$4+1)-MAX($B9,AD$4))</f>
        <v/>
      </c>
      <c r="AE9">
        <f>MAX(0,MIN($C9,AE$4+1)-MAX($B9,AE$4))</f>
        <v/>
      </c>
      <c r="AF9">
        <f>MAX(0,MIN($C9,AF$4+1)-MAX($B9,AF$4))</f>
        <v/>
      </c>
      <c r="AG9">
        <f>MAX(0,MIN($C9,AG$4+1)-MAX($B9,AG$4))</f>
        <v/>
      </c>
      <c r="AH9">
        <f>MAX(0,MIN($C9,AH$4+1)-MAX($B9,AH$4))</f>
        <v/>
      </c>
      <c r="AI9">
        <f>MAX(0,MIN($C9,AI$4+1)-MAX($B9,AI$4))</f>
        <v/>
      </c>
      <c r="AJ9">
        <f>MAX(0,MIN($C9,AJ$4+1)-MAX($B9,AJ$4))</f>
        <v/>
      </c>
      <c r="AK9">
        <f>MAX(0,MIN($C9,AK$4+1)-MAX($B9,AK$4))</f>
        <v/>
      </c>
      <c r="AL9">
        <f>MAX(0,MIN($C9,AL$4+1)-MAX($B9,AL$4))</f>
        <v/>
      </c>
      <c r="AM9">
        <f>MAX(0,MIN($C9,AM$4+1)-MAX($B9,AM$4))</f>
        <v/>
      </c>
      <c r="AN9" t="inlineStr">
        <is>
          <t>ERAS</t>
        </is>
      </c>
      <c r="AO9" s="3" t="n">
        <v>2028.7</v>
      </c>
      <c r="AP9" s="3">
        <f>md_costoERAS+md_costoEntrevistas</f>
        <v/>
      </c>
    </row>
    <row r="10">
      <c r="A10" t="inlineStr">
        <is>
          <t>Case manager (reintento) (BSN)</t>
        </is>
      </c>
      <c r="B10" s="3" t="n">
        <v>2028.52</v>
      </c>
      <c r="C10" s="3" t="n">
        <v>2029.5</v>
      </c>
      <c r="D10" t="inlineStr">
        <is>
          <t>cm</t>
        </is>
      </c>
      <c r="E10">
        <f>personal_tarifaHora*2080*loc_factorRN/ubic_miami_factorRN</f>
        <v/>
      </c>
      <c r="F10">
        <f>roles_cm_aumento</f>
        <v/>
      </c>
      <c r="G10">
        <f>personal_horasSemana/40</f>
        <v/>
      </c>
      <c r="H10">
        <f>1+personal_bsnAumento</f>
        <v/>
      </c>
      <c r="I10" s="3" t="n">
        <v>0</v>
      </c>
      <c r="J10" s="3" t="n">
        <v>0</v>
      </c>
      <c r="K10" s="3" t="n">
        <v>0</v>
      </c>
      <c r="L10" s="3" t="n">
        <v>1</v>
      </c>
      <c r="M10" s="3" t="n">
        <v>1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T10">
        <f>MAX(0,MIN($C10,T$4+1)-MAX($B10,T$4))</f>
        <v/>
      </c>
      <c r="U10">
        <f>MAX(0,MIN($C10,U$4+1)-MAX($B10,U$4))</f>
        <v/>
      </c>
      <c r="V10">
        <f>MAX(0,MIN($C10,V$4+1)-MAX($B10,V$4))</f>
        <v/>
      </c>
      <c r="W10">
        <f>MAX(0,MIN($C10,W$4+1)-MAX($B10,W$4))</f>
        <v/>
      </c>
      <c r="X10">
        <f>MAX(0,MIN($C10,X$4+1)-MAX($B10,X$4))</f>
        <v/>
      </c>
      <c r="Y10">
        <f>MAX(0,MIN($C10,Y$4+1)-MAX($B10,Y$4))</f>
        <v/>
      </c>
      <c r="Z10">
        <f>MAX(0,MIN($C10,Z$4+1)-MAX($B10,Z$4))</f>
        <v/>
      </c>
      <c r="AA10">
        <f>MAX(0,MIN($C10,AA$4+1)-MAX($B10,AA$4))</f>
        <v/>
      </c>
      <c r="AB10">
        <f>MAX(0,MIN($C10,AB$4+1)-MAX($B10,AB$4))</f>
        <v/>
      </c>
      <c r="AC10">
        <f>MAX(0,MIN($C10,AC$4+1)-MAX($B10,AC$4))</f>
        <v/>
      </c>
      <c r="AD10">
        <f>MAX(0,MIN($C10,AD$4+1)-MAX($B10,AD$4))</f>
        <v/>
      </c>
      <c r="AE10">
        <f>MAX(0,MIN($C10,AE$4+1)-MAX($B10,AE$4))</f>
        <v/>
      </c>
      <c r="AF10">
        <f>MAX(0,MIN($C10,AF$4+1)-MAX($B10,AF$4))</f>
        <v/>
      </c>
      <c r="AG10">
        <f>MAX(0,MIN($C10,AG$4+1)-MAX($B10,AG$4))</f>
        <v/>
      </c>
      <c r="AH10">
        <f>MAX(0,MIN($C10,AH$4+1)-MAX($B10,AH$4))</f>
        <v/>
      </c>
      <c r="AI10">
        <f>MAX(0,MIN($C10,AI$4+1)-MAX($B10,AI$4))</f>
        <v/>
      </c>
      <c r="AJ10">
        <f>MAX(0,MIN($C10,AJ$4+1)-MAX($B10,AJ$4))</f>
        <v/>
      </c>
      <c r="AK10">
        <f>MAX(0,MIN($C10,AK$4+1)-MAX($B10,AK$4))</f>
        <v/>
      </c>
      <c r="AL10">
        <f>MAX(0,MIN($C10,AL$4+1)-MAX($B10,AL$4))</f>
        <v/>
      </c>
      <c r="AM10">
        <f>MAX(0,MIN($C10,AM$4+1)-MAX($B10,AM$4))</f>
        <v/>
      </c>
      <c r="AN10" t="inlineStr">
        <is>
          <t>Sin match</t>
        </is>
      </c>
      <c r="AO10" s="3" t="n">
        <v>2029.21</v>
      </c>
      <c r="AP10" s="3" t="n">
        <v>0</v>
      </c>
    </row>
    <row r="11">
      <c r="A11" t="inlineStr">
        <is>
          <t>Case manager RN (BSN)</t>
        </is>
      </c>
      <c r="B11" s="3" t="n">
        <v>2029.5</v>
      </c>
      <c r="C11" s="3" t="n">
        <v>2030.31</v>
      </c>
      <c r="D11" t="inlineStr">
        <is>
          <t>cm</t>
        </is>
      </c>
      <c r="E11">
        <f>personal_tarifaHora*2080*loc_factorRN/ubic_miami_factorRN</f>
        <v/>
      </c>
      <c r="F11">
        <f>roles_cm_aumento</f>
        <v/>
      </c>
      <c r="G11">
        <f>personal_horasSemana/40</f>
        <v/>
      </c>
      <c r="H11">
        <f>1+personal_bsnAumento</f>
        <v/>
      </c>
      <c r="I11" s="3" t="n">
        <v>0</v>
      </c>
      <c r="J11" s="3" t="n">
        <v>0</v>
      </c>
      <c r="K11" s="3" t="n">
        <v>0</v>
      </c>
      <c r="L11" s="3" t="n">
        <v>1</v>
      </c>
      <c r="M11" s="3" t="n">
        <v>1</v>
      </c>
      <c r="N11" s="3" t="n">
        <v>0</v>
      </c>
      <c r="O11" s="3" t="n">
        <v>0</v>
      </c>
      <c r="P11" s="3" t="n">
        <v>0</v>
      </c>
      <c r="Q11" s="3" t="n">
        <v>0</v>
      </c>
      <c r="R11" s="3" t="n">
        <v>0</v>
      </c>
      <c r="T11">
        <f>MAX(0,MIN($C11,T$4+1)-MAX($B11,T$4))</f>
        <v/>
      </c>
      <c r="U11">
        <f>MAX(0,MIN($C11,U$4+1)-MAX($B11,U$4))</f>
        <v/>
      </c>
      <c r="V11">
        <f>MAX(0,MIN($C11,V$4+1)-MAX($B11,V$4))</f>
        <v/>
      </c>
      <c r="W11">
        <f>MAX(0,MIN($C11,W$4+1)-MAX($B11,W$4))</f>
        <v/>
      </c>
      <c r="X11">
        <f>MAX(0,MIN($C11,X$4+1)-MAX($B11,X$4))</f>
        <v/>
      </c>
      <c r="Y11">
        <f>MAX(0,MIN($C11,Y$4+1)-MAX($B11,Y$4))</f>
        <v/>
      </c>
      <c r="Z11">
        <f>MAX(0,MIN($C11,Z$4+1)-MAX($B11,Z$4))</f>
        <v/>
      </c>
      <c r="AA11">
        <f>MAX(0,MIN($C11,AA$4+1)-MAX($B11,AA$4))</f>
        <v/>
      </c>
      <c r="AB11">
        <f>MAX(0,MIN($C11,AB$4+1)-MAX($B11,AB$4))</f>
        <v/>
      </c>
      <c r="AC11">
        <f>MAX(0,MIN($C11,AC$4+1)-MAX($B11,AC$4))</f>
        <v/>
      </c>
      <c r="AD11">
        <f>MAX(0,MIN($C11,AD$4+1)-MAX($B11,AD$4))</f>
        <v/>
      </c>
      <c r="AE11">
        <f>MAX(0,MIN($C11,AE$4+1)-MAX($B11,AE$4))</f>
        <v/>
      </c>
      <c r="AF11">
        <f>MAX(0,MIN($C11,AF$4+1)-MAX($B11,AF$4))</f>
        <v/>
      </c>
      <c r="AG11">
        <f>MAX(0,MIN($C11,AG$4+1)-MAX($B11,AG$4))</f>
        <v/>
      </c>
      <c r="AH11">
        <f>MAX(0,MIN($C11,AH$4+1)-MAX($B11,AH$4))</f>
        <v/>
      </c>
      <c r="AI11">
        <f>MAX(0,MIN($C11,AI$4+1)-MAX($B11,AI$4))</f>
        <v/>
      </c>
      <c r="AJ11">
        <f>MAX(0,MIN($C11,AJ$4+1)-MAX($B11,AJ$4))</f>
        <v/>
      </c>
      <c r="AK11">
        <f>MAX(0,MIN($C11,AK$4+1)-MAX($B11,AK$4))</f>
        <v/>
      </c>
      <c r="AL11">
        <f>MAX(0,MIN($C11,AL$4+1)-MAX($B11,AL$4))</f>
        <v/>
      </c>
      <c r="AM11">
        <f>MAX(0,MIN($C11,AM$4+1)-MAX($B11,AM$4))</f>
        <v/>
      </c>
      <c r="AN11" t="inlineStr">
        <is>
          <t>ERAS (reintento)</t>
        </is>
      </c>
      <c r="AO11" s="3" t="n">
        <v>2029.7</v>
      </c>
      <c r="AP11" s="3">
        <f>md_costoERAS+md_costoEntrevistas</f>
        <v/>
      </c>
    </row>
    <row r="12">
      <c r="A12" t="inlineStr">
        <is>
          <t>CDI (plan B, tras no match)</t>
        </is>
      </c>
      <c r="B12" s="3" t="n">
        <v>2030.31</v>
      </c>
      <c r="C12" s="3" t="n">
        <v>2032.31</v>
      </c>
      <c r="D12" t="inlineStr">
        <is>
          <t>cdi</t>
        </is>
      </c>
      <c r="E12">
        <f>roles_cdi_base*(1+(loc_factorRN-1)*0.5)</f>
        <v/>
      </c>
      <c r="F12">
        <f>roles_cdi_aumento</f>
        <v/>
      </c>
      <c r="G12" s="3" t="n">
        <v>1</v>
      </c>
      <c r="H12" s="3" t="n">
        <v>1</v>
      </c>
      <c r="I12" s="3" t="n">
        <v>0</v>
      </c>
      <c r="J12" s="3" t="n">
        <v>0</v>
      </c>
      <c r="K12" s="3" t="n">
        <v>0</v>
      </c>
      <c r="L12" s="3" t="n">
        <v>1</v>
      </c>
      <c r="M12" s="3" t="n">
        <v>1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T12">
        <f>MAX(0,MIN($C12,T$4+1)-MAX($B12,T$4))</f>
        <v/>
      </c>
      <c r="U12">
        <f>MAX(0,MIN($C12,U$4+1)-MAX($B12,U$4))</f>
        <v/>
      </c>
      <c r="V12">
        <f>MAX(0,MIN($C12,V$4+1)-MAX($B12,V$4))</f>
        <v/>
      </c>
      <c r="W12">
        <f>MAX(0,MIN($C12,W$4+1)-MAX($B12,W$4))</f>
        <v/>
      </c>
      <c r="X12">
        <f>MAX(0,MIN($C12,X$4+1)-MAX($B12,X$4))</f>
        <v/>
      </c>
      <c r="Y12">
        <f>MAX(0,MIN($C12,Y$4+1)-MAX($B12,Y$4))</f>
        <v/>
      </c>
      <c r="Z12">
        <f>MAX(0,MIN($C12,Z$4+1)-MAX($B12,Z$4))</f>
        <v/>
      </c>
      <c r="AA12">
        <f>MAX(0,MIN($C12,AA$4+1)-MAX($B12,AA$4))</f>
        <v/>
      </c>
      <c r="AB12">
        <f>MAX(0,MIN($C12,AB$4+1)-MAX($B12,AB$4))</f>
        <v/>
      </c>
      <c r="AC12">
        <f>MAX(0,MIN($C12,AC$4+1)-MAX($B12,AC$4))</f>
        <v/>
      </c>
      <c r="AD12">
        <f>MAX(0,MIN($C12,AD$4+1)-MAX($B12,AD$4))</f>
        <v/>
      </c>
      <c r="AE12">
        <f>MAX(0,MIN($C12,AE$4+1)-MAX($B12,AE$4))</f>
        <v/>
      </c>
      <c r="AF12">
        <f>MAX(0,MIN($C12,AF$4+1)-MAX($B12,AF$4))</f>
        <v/>
      </c>
      <c r="AG12">
        <f>MAX(0,MIN($C12,AG$4+1)-MAX($B12,AG$4))</f>
        <v/>
      </c>
      <c r="AH12">
        <f>MAX(0,MIN($C12,AH$4+1)-MAX($B12,AH$4))</f>
        <v/>
      </c>
      <c r="AI12">
        <f>MAX(0,MIN($C12,AI$4+1)-MAX($B12,AI$4))</f>
        <v/>
      </c>
      <c r="AJ12">
        <f>MAX(0,MIN($C12,AJ$4+1)-MAX($B12,AJ$4))</f>
        <v/>
      </c>
      <c r="AK12">
        <f>MAX(0,MIN($C12,AK$4+1)-MAX($B12,AK$4))</f>
        <v/>
      </c>
      <c r="AL12">
        <f>MAX(0,MIN($C12,AL$4+1)-MAX($B12,AL$4))</f>
        <v/>
      </c>
      <c r="AM12">
        <f>MAX(0,MIN($C12,AM$4+1)-MAX($B12,AM$4))</f>
        <v/>
      </c>
      <c r="AN12" t="inlineStr">
        <is>
          <t>Sin match</t>
        </is>
      </c>
      <c r="AO12" s="3" t="n">
        <v>2030.21</v>
      </c>
      <c r="AP12" s="3" t="n">
        <v>0</v>
      </c>
    </row>
    <row r="13">
      <c r="A13" t="inlineStr">
        <is>
          <t>CDI (plan B, tras no match) (CCDS)</t>
        </is>
      </c>
      <c r="B13" s="3" t="n">
        <v>2032.31</v>
      </c>
      <c r="C13" s="3" t="n">
        <v>2036.31</v>
      </c>
      <c r="D13" t="inlineStr">
        <is>
          <t>cdi</t>
        </is>
      </c>
      <c r="E13">
        <f>roles_cdi_base*(1+(loc_factorRN-1)*0.5)</f>
        <v/>
      </c>
      <c r="F13">
        <f>roles_cdi_aumento</f>
        <v/>
      </c>
      <c r="G13" s="3" t="n">
        <v>1</v>
      </c>
      <c r="H13">
        <f>(1+tiempos_cdiCertAumento)^1</f>
        <v/>
      </c>
      <c r="I13" s="3" t="n">
        <v>0</v>
      </c>
      <c r="J13" s="3" t="n">
        <v>0</v>
      </c>
      <c r="K13" s="3" t="n">
        <v>0</v>
      </c>
      <c r="L13" s="3" t="n">
        <v>1</v>
      </c>
      <c r="M13" s="3" t="n">
        <v>1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T13">
        <f>MAX(0,MIN($C13,T$4+1)-MAX($B13,T$4))</f>
        <v/>
      </c>
      <c r="U13">
        <f>MAX(0,MIN($C13,U$4+1)-MAX($B13,U$4))</f>
        <v/>
      </c>
      <c r="V13">
        <f>MAX(0,MIN($C13,V$4+1)-MAX($B13,V$4))</f>
        <v/>
      </c>
      <c r="W13">
        <f>MAX(0,MIN($C13,W$4+1)-MAX($B13,W$4))</f>
        <v/>
      </c>
      <c r="X13">
        <f>MAX(0,MIN($C13,X$4+1)-MAX($B13,X$4))</f>
        <v/>
      </c>
      <c r="Y13">
        <f>MAX(0,MIN($C13,Y$4+1)-MAX($B13,Y$4))</f>
        <v/>
      </c>
      <c r="Z13">
        <f>MAX(0,MIN($C13,Z$4+1)-MAX($B13,Z$4))</f>
        <v/>
      </c>
      <c r="AA13">
        <f>MAX(0,MIN($C13,AA$4+1)-MAX($B13,AA$4))</f>
        <v/>
      </c>
      <c r="AB13">
        <f>MAX(0,MIN($C13,AB$4+1)-MAX($B13,AB$4))</f>
        <v/>
      </c>
      <c r="AC13">
        <f>MAX(0,MIN($C13,AC$4+1)-MAX($B13,AC$4))</f>
        <v/>
      </c>
      <c r="AD13">
        <f>MAX(0,MIN($C13,AD$4+1)-MAX($B13,AD$4))</f>
        <v/>
      </c>
      <c r="AE13">
        <f>MAX(0,MIN($C13,AE$4+1)-MAX($B13,AE$4))</f>
        <v/>
      </c>
      <c r="AF13">
        <f>MAX(0,MIN($C13,AF$4+1)-MAX($B13,AF$4))</f>
        <v/>
      </c>
      <c r="AG13">
        <f>MAX(0,MIN($C13,AG$4+1)-MAX($B13,AG$4))</f>
        <v/>
      </c>
      <c r="AH13">
        <f>MAX(0,MIN($C13,AH$4+1)-MAX($B13,AH$4))</f>
        <v/>
      </c>
      <c r="AI13">
        <f>MAX(0,MIN($C13,AI$4+1)-MAX($B13,AI$4))</f>
        <v/>
      </c>
      <c r="AJ13">
        <f>MAX(0,MIN($C13,AJ$4+1)-MAX($B13,AJ$4))</f>
        <v/>
      </c>
      <c r="AK13">
        <f>MAX(0,MIN($C13,AK$4+1)-MAX($B13,AK$4))</f>
        <v/>
      </c>
      <c r="AL13">
        <f>MAX(0,MIN($C13,AL$4+1)-MAX($B13,AL$4))</f>
        <v/>
      </c>
      <c r="AM13">
        <f>MAX(0,MIN($C13,AM$4+1)-MAX($B13,AM$4))</f>
        <v/>
      </c>
      <c r="AO13" t="n">
        <v>0</v>
      </c>
      <c r="AP13" t="n">
        <v>0</v>
      </c>
    </row>
    <row r="14">
      <c r="A14" t="inlineStr">
        <is>
          <t>CDI (plan B, tras no match) (lead/senior)</t>
        </is>
      </c>
      <c r="B14" s="3" t="n">
        <v>2036.31</v>
      </c>
      <c r="C14" s="3" t="n">
        <v>2048</v>
      </c>
      <c r="D14" t="inlineStr">
        <is>
          <t>cdi</t>
        </is>
      </c>
      <c r="E14">
        <f>roles_cdi_base*(1+(loc_factorRN-1)*0.5)</f>
        <v/>
      </c>
      <c r="F14">
        <f>roles_cdi_aumento</f>
        <v/>
      </c>
      <c r="G14" s="3" t="n">
        <v>1</v>
      </c>
      <c r="H14">
        <f>(1+tiempos_cdiCertAumento)^2</f>
        <v/>
      </c>
      <c r="I14" s="3" t="n">
        <v>0</v>
      </c>
      <c r="J14" s="3" t="n">
        <v>0</v>
      </c>
      <c r="K14" s="3" t="n">
        <v>0</v>
      </c>
      <c r="L14" s="3" t="n">
        <v>1</v>
      </c>
      <c r="M14" s="3" t="n">
        <v>1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T14">
        <f>MAX(0,MIN($C14,T$4+1)-MAX($B14,T$4))</f>
        <v/>
      </c>
      <c r="U14">
        <f>MAX(0,MIN($C14,U$4+1)-MAX($B14,U$4))</f>
        <v/>
      </c>
      <c r="V14">
        <f>MAX(0,MIN($C14,V$4+1)-MAX($B14,V$4))</f>
        <v/>
      </c>
      <c r="W14">
        <f>MAX(0,MIN($C14,W$4+1)-MAX($B14,W$4))</f>
        <v/>
      </c>
      <c r="X14">
        <f>MAX(0,MIN($C14,X$4+1)-MAX($B14,X$4))</f>
        <v/>
      </c>
      <c r="Y14">
        <f>MAX(0,MIN($C14,Y$4+1)-MAX($B14,Y$4))</f>
        <v/>
      </c>
      <c r="Z14">
        <f>MAX(0,MIN($C14,Z$4+1)-MAX($B14,Z$4))</f>
        <v/>
      </c>
      <c r="AA14">
        <f>MAX(0,MIN($C14,AA$4+1)-MAX($B14,AA$4))</f>
        <v/>
      </c>
      <c r="AB14">
        <f>MAX(0,MIN($C14,AB$4+1)-MAX($B14,AB$4))</f>
        <v/>
      </c>
      <c r="AC14">
        <f>MAX(0,MIN($C14,AC$4+1)-MAX($B14,AC$4))</f>
        <v/>
      </c>
      <c r="AD14">
        <f>MAX(0,MIN($C14,AD$4+1)-MAX($B14,AD$4))</f>
        <v/>
      </c>
      <c r="AE14">
        <f>MAX(0,MIN($C14,AE$4+1)-MAX($B14,AE$4))</f>
        <v/>
      </c>
      <c r="AF14">
        <f>MAX(0,MIN($C14,AF$4+1)-MAX($B14,AF$4))</f>
        <v/>
      </c>
      <c r="AG14">
        <f>MAX(0,MIN($C14,AG$4+1)-MAX($B14,AG$4))</f>
        <v/>
      </c>
      <c r="AH14">
        <f>MAX(0,MIN($C14,AH$4+1)-MAX($B14,AH$4))</f>
        <v/>
      </c>
      <c r="AI14">
        <f>MAX(0,MIN($C14,AI$4+1)-MAX($B14,AI$4))</f>
        <v/>
      </c>
      <c r="AJ14">
        <f>MAX(0,MIN($C14,AJ$4+1)-MAX($B14,AJ$4))</f>
        <v/>
      </c>
      <c r="AK14">
        <f>MAX(0,MIN($C14,AK$4+1)-MAX($B14,AK$4))</f>
        <v/>
      </c>
      <c r="AL14">
        <f>MAX(0,MIN($C14,AL$4+1)-MAX($B14,AL$4))</f>
        <v/>
      </c>
      <c r="AM14">
        <f>MAX(0,MIN($C14,AM$4+1)-MAX($B14,AM$4))</f>
        <v/>
      </c>
      <c r="AO14" t="n">
        <v>0</v>
      </c>
      <c r="AP14" t="n">
        <v>0</v>
      </c>
    </row>
    <row r="15">
      <c r="A15" t="inlineStr"/>
      <c r="B15" s="3" t="n">
        <v>0</v>
      </c>
      <c r="C15" s="3" t="n">
        <v>0</v>
      </c>
      <c r="D15" t="inlineStr"/>
      <c r="E15" t="n">
        <v>0</v>
      </c>
      <c r="F15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T15">
        <f>MAX(0,MIN($C15,T$4+1)-MAX($B15,T$4))</f>
        <v/>
      </c>
      <c r="U15">
        <f>MAX(0,MIN($C15,U$4+1)-MAX($B15,U$4))</f>
        <v/>
      </c>
      <c r="V15">
        <f>MAX(0,MIN($C15,V$4+1)-MAX($B15,V$4))</f>
        <v/>
      </c>
      <c r="W15">
        <f>MAX(0,MIN($C15,W$4+1)-MAX($B15,W$4))</f>
        <v/>
      </c>
      <c r="X15">
        <f>MAX(0,MIN($C15,X$4+1)-MAX($B15,X$4))</f>
        <v/>
      </c>
      <c r="Y15">
        <f>MAX(0,MIN($C15,Y$4+1)-MAX($B15,Y$4))</f>
        <v/>
      </c>
      <c r="Z15">
        <f>MAX(0,MIN($C15,Z$4+1)-MAX($B15,Z$4))</f>
        <v/>
      </c>
      <c r="AA15">
        <f>MAX(0,MIN($C15,AA$4+1)-MAX($B15,AA$4))</f>
        <v/>
      </c>
      <c r="AB15">
        <f>MAX(0,MIN($C15,AB$4+1)-MAX($B15,AB$4))</f>
        <v/>
      </c>
      <c r="AC15">
        <f>MAX(0,MIN($C15,AC$4+1)-MAX($B15,AC$4))</f>
        <v/>
      </c>
      <c r="AD15">
        <f>MAX(0,MIN($C15,AD$4+1)-MAX($B15,AD$4))</f>
        <v/>
      </c>
      <c r="AE15">
        <f>MAX(0,MIN($C15,AE$4+1)-MAX($B15,AE$4))</f>
        <v/>
      </c>
      <c r="AF15">
        <f>MAX(0,MIN($C15,AF$4+1)-MAX($B15,AF$4))</f>
        <v/>
      </c>
      <c r="AG15">
        <f>MAX(0,MIN($C15,AG$4+1)-MAX($B15,AG$4))</f>
        <v/>
      </c>
      <c r="AH15">
        <f>MAX(0,MIN($C15,AH$4+1)-MAX($B15,AH$4))</f>
        <v/>
      </c>
      <c r="AI15">
        <f>MAX(0,MIN($C15,AI$4+1)-MAX($B15,AI$4))</f>
        <v/>
      </c>
      <c r="AJ15">
        <f>MAX(0,MIN($C15,AJ$4+1)-MAX($B15,AJ$4))</f>
        <v/>
      </c>
      <c r="AK15">
        <f>MAX(0,MIN($C15,AK$4+1)-MAX($B15,AK$4))</f>
        <v/>
      </c>
      <c r="AL15">
        <f>MAX(0,MIN($C15,AL$4+1)-MAX($B15,AL$4))</f>
        <v/>
      </c>
      <c r="AM15">
        <f>MAX(0,MIN($C15,AM$4+1)-MAX($B15,AM$4))</f>
        <v/>
      </c>
      <c r="AO15" t="n">
        <v>0</v>
      </c>
      <c r="AP15" t="n">
        <v>0</v>
      </c>
    </row>
    <row r="16">
      <c r="A16" t="inlineStr"/>
      <c r="B16" s="3" t="n">
        <v>0</v>
      </c>
      <c r="C16" s="3" t="n">
        <v>0</v>
      </c>
      <c r="D16" t="inlineStr"/>
      <c r="E16" t="n">
        <v>0</v>
      </c>
      <c r="F16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0</v>
      </c>
      <c r="T16">
        <f>MAX(0,MIN($C16,T$4+1)-MAX($B16,T$4))</f>
        <v/>
      </c>
      <c r="U16">
        <f>MAX(0,MIN($C16,U$4+1)-MAX($B16,U$4))</f>
        <v/>
      </c>
      <c r="V16">
        <f>MAX(0,MIN($C16,V$4+1)-MAX($B16,V$4))</f>
        <v/>
      </c>
      <c r="W16">
        <f>MAX(0,MIN($C16,W$4+1)-MAX($B16,W$4))</f>
        <v/>
      </c>
      <c r="X16">
        <f>MAX(0,MIN($C16,X$4+1)-MAX($B16,X$4))</f>
        <v/>
      </c>
      <c r="Y16">
        <f>MAX(0,MIN($C16,Y$4+1)-MAX($B16,Y$4))</f>
        <v/>
      </c>
      <c r="Z16">
        <f>MAX(0,MIN($C16,Z$4+1)-MAX($B16,Z$4))</f>
        <v/>
      </c>
      <c r="AA16">
        <f>MAX(0,MIN($C16,AA$4+1)-MAX($B16,AA$4))</f>
        <v/>
      </c>
      <c r="AB16">
        <f>MAX(0,MIN($C16,AB$4+1)-MAX($B16,AB$4))</f>
        <v/>
      </c>
      <c r="AC16">
        <f>MAX(0,MIN($C16,AC$4+1)-MAX($B16,AC$4))</f>
        <v/>
      </c>
      <c r="AD16">
        <f>MAX(0,MIN($C16,AD$4+1)-MAX($B16,AD$4))</f>
        <v/>
      </c>
      <c r="AE16">
        <f>MAX(0,MIN($C16,AE$4+1)-MAX($B16,AE$4))</f>
        <v/>
      </c>
      <c r="AF16">
        <f>MAX(0,MIN($C16,AF$4+1)-MAX($B16,AF$4))</f>
        <v/>
      </c>
      <c r="AG16">
        <f>MAX(0,MIN($C16,AG$4+1)-MAX($B16,AG$4))</f>
        <v/>
      </c>
      <c r="AH16">
        <f>MAX(0,MIN($C16,AH$4+1)-MAX($B16,AH$4))</f>
        <v/>
      </c>
      <c r="AI16">
        <f>MAX(0,MIN($C16,AI$4+1)-MAX($B16,AI$4))</f>
        <v/>
      </c>
      <c r="AJ16">
        <f>MAX(0,MIN($C16,AJ$4+1)-MAX($B16,AJ$4))</f>
        <v/>
      </c>
      <c r="AK16">
        <f>MAX(0,MIN($C16,AK$4+1)-MAX($B16,AK$4))</f>
        <v/>
      </c>
      <c r="AL16">
        <f>MAX(0,MIN($C16,AL$4+1)-MAX($B16,AL$4))</f>
        <v/>
      </c>
      <c r="AM16">
        <f>MAX(0,MIN($C16,AM$4+1)-MAX($B16,AM$4))</f>
        <v/>
      </c>
      <c r="AO16" t="n">
        <v>0</v>
      </c>
      <c r="AP16" t="n">
        <v>0</v>
      </c>
    </row>
    <row r="17">
      <c r="A17" t="inlineStr"/>
      <c r="B17" s="3" t="n">
        <v>0</v>
      </c>
      <c r="C17" s="3" t="n">
        <v>0</v>
      </c>
      <c r="D17" t="inlineStr"/>
      <c r="E17" t="n">
        <v>0</v>
      </c>
      <c r="F17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T17">
        <f>MAX(0,MIN($C17,T$4+1)-MAX($B17,T$4))</f>
        <v/>
      </c>
      <c r="U17">
        <f>MAX(0,MIN($C17,U$4+1)-MAX($B17,U$4))</f>
        <v/>
      </c>
      <c r="V17">
        <f>MAX(0,MIN($C17,V$4+1)-MAX($B17,V$4))</f>
        <v/>
      </c>
      <c r="W17">
        <f>MAX(0,MIN($C17,W$4+1)-MAX($B17,W$4))</f>
        <v/>
      </c>
      <c r="X17">
        <f>MAX(0,MIN($C17,X$4+1)-MAX($B17,X$4))</f>
        <v/>
      </c>
      <c r="Y17">
        <f>MAX(0,MIN($C17,Y$4+1)-MAX($B17,Y$4))</f>
        <v/>
      </c>
      <c r="Z17">
        <f>MAX(0,MIN($C17,Z$4+1)-MAX($B17,Z$4))</f>
        <v/>
      </c>
      <c r="AA17">
        <f>MAX(0,MIN($C17,AA$4+1)-MAX($B17,AA$4))</f>
        <v/>
      </c>
      <c r="AB17">
        <f>MAX(0,MIN($C17,AB$4+1)-MAX($B17,AB$4))</f>
        <v/>
      </c>
      <c r="AC17">
        <f>MAX(0,MIN($C17,AC$4+1)-MAX($B17,AC$4))</f>
        <v/>
      </c>
      <c r="AD17">
        <f>MAX(0,MIN($C17,AD$4+1)-MAX($B17,AD$4))</f>
        <v/>
      </c>
      <c r="AE17">
        <f>MAX(0,MIN($C17,AE$4+1)-MAX($B17,AE$4))</f>
        <v/>
      </c>
      <c r="AF17">
        <f>MAX(0,MIN($C17,AF$4+1)-MAX($B17,AF$4))</f>
        <v/>
      </c>
      <c r="AG17">
        <f>MAX(0,MIN($C17,AG$4+1)-MAX($B17,AG$4))</f>
        <v/>
      </c>
      <c r="AH17">
        <f>MAX(0,MIN($C17,AH$4+1)-MAX($B17,AH$4))</f>
        <v/>
      </c>
      <c r="AI17">
        <f>MAX(0,MIN($C17,AI$4+1)-MAX($B17,AI$4))</f>
        <v/>
      </c>
      <c r="AJ17">
        <f>MAX(0,MIN($C17,AJ$4+1)-MAX($B17,AJ$4))</f>
        <v/>
      </c>
      <c r="AK17">
        <f>MAX(0,MIN($C17,AK$4+1)-MAX($B17,AK$4))</f>
        <v/>
      </c>
      <c r="AL17">
        <f>MAX(0,MIN($C17,AL$4+1)-MAX($B17,AL$4))</f>
        <v/>
      </c>
      <c r="AM17">
        <f>MAX(0,MIN($C17,AM$4+1)-MAX($B17,AM$4))</f>
        <v/>
      </c>
      <c r="AO17" t="n">
        <v>0</v>
      </c>
      <c r="AP17" t="n">
        <v>0</v>
      </c>
    </row>
    <row r="18">
      <c r="A18" t="inlineStr"/>
      <c r="B18" s="3" t="n">
        <v>0</v>
      </c>
      <c r="C18" s="3" t="n">
        <v>0</v>
      </c>
      <c r="D18" t="inlineStr"/>
      <c r="E18" t="n">
        <v>0</v>
      </c>
      <c r="F18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T18">
        <f>MAX(0,MIN($C18,T$4+1)-MAX($B18,T$4))</f>
        <v/>
      </c>
      <c r="U18">
        <f>MAX(0,MIN($C18,U$4+1)-MAX($B18,U$4))</f>
        <v/>
      </c>
      <c r="V18">
        <f>MAX(0,MIN($C18,V$4+1)-MAX($B18,V$4))</f>
        <v/>
      </c>
      <c r="W18">
        <f>MAX(0,MIN($C18,W$4+1)-MAX($B18,W$4))</f>
        <v/>
      </c>
      <c r="X18">
        <f>MAX(0,MIN($C18,X$4+1)-MAX($B18,X$4))</f>
        <v/>
      </c>
      <c r="Y18">
        <f>MAX(0,MIN($C18,Y$4+1)-MAX($B18,Y$4))</f>
        <v/>
      </c>
      <c r="Z18">
        <f>MAX(0,MIN($C18,Z$4+1)-MAX($B18,Z$4))</f>
        <v/>
      </c>
      <c r="AA18">
        <f>MAX(0,MIN($C18,AA$4+1)-MAX($B18,AA$4))</f>
        <v/>
      </c>
      <c r="AB18">
        <f>MAX(0,MIN($C18,AB$4+1)-MAX($B18,AB$4))</f>
        <v/>
      </c>
      <c r="AC18">
        <f>MAX(0,MIN($C18,AC$4+1)-MAX($B18,AC$4))</f>
        <v/>
      </c>
      <c r="AD18">
        <f>MAX(0,MIN($C18,AD$4+1)-MAX($B18,AD$4))</f>
        <v/>
      </c>
      <c r="AE18">
        <f>MAX(0,MIN($C18,AE$4+1)-MAX($B18,AE$4))</f>
        <v/>
      </c>
      <c r="AF18">
        <f>MAX(0,MIN($C18,AF$4+1)-MAX($B18,AF$4))</f>
        <v/>
      </c>
      <c r="AG18">
        <f>MAX(0,MIN($C18,AG$4+1)-MAX($B18,AG$4))</f>
        <v/>
      </c>
      <c r="AH18">
        <f>MAX(0,MIN($C18,AH$4+1)-MAX($B18,AH$4))</f>
        <v/>
      </c>
      <c r="AI18">
        <f>MAX(0,MIN($C18,AI$4+1)-MAX($B18,AI$4))</f>
        <v/>
      </c>
      <c r="AJ18">
        <f>MAX(0,MIN($C18,AJ$4+1)-MAX($B18,AJ$4))</f>
        <v/>
      </c>
      <c r="AK18">
        <f>MAX(0,MIN($C18,AK$4+1)-MAX($B18,AK$4))</f>
        <v/>
      </c>
      <c r="AL18">
        <f>MAX(0,MIN($C18,AL$4+1)-MAX($B18,AL$4))</f>
        <v/>
      </c>
      <c r="AM18">
        <f>MAX(0,MIN($C18,AM$4+1)-MAX($B18,AM$4))</f>
        <v/>
      </c>
      <c r="AO18" t="n">
        <v>0</v>
      </c>
      <c r="AP18" t="n">
        <v>0</v>
      </c>
    </row>
    <row r="19">
      <c r="A19" t="inlineStr"/>
      <c r="B19" s="3" t="n">
        <v>0</v>
      </c>
      <c r="C19" s="3" t="n">
        <v>0</v>
      </c>
      <c r="D19" t="inlineStr"/>
      <c r="E19" t="n">
        <v>0</v>
      </c>
      <c r="F19" t="n">
        <v>0</v>
      </c>
      <c r="G19" s="3" t="n">
        <v>0</v>
      </c>
      <c r="H19" s="3" t="n">
        <v>0</v>
      </c>
      <c r="I19" s="3" t="n">
        <v>0</v>
      </c>
      <c r="J19" s="3" t="n">
        <v>0</v>
      </c>
      <c r="K19" s="3" t="n">
        <v>0</v>
      </c>
      <c r="L19" s="3" t="n">
        <v>0</v>
      </c>
      <c r="M19" s="3" t="n">
        <v>0</v>
      </c>
      <c r="N19" s="3" t="n">
        <v>0</v>
      </c>
      <c r="O19" s="3" t="n">
        <v>0</v>
      </c>
      <c r="P19" s="3" t="n">
        <v>0</v>
      </c>
      <c r="Q19" s="3" t="n">
        <v>0</v>
      </c>
      <c r="R19" s="3" t="n">
        <v>0</v>
      </c>
      <c r="T19">
        <f>MAX(0,MIN($C19,T$4+1)-MAX($B19,T$4))</f>
        <v/>
      </c>
      <c r="U19">
        <f>MAX(0,MIN($C19,U$4+1)-MAX($B19,U$4))</f>
        <v/>
      </c>
      <c r="V19">
        <f>MAX(0,MIN($C19,V$4+1)-MAX($B19,V$4))</f>
        <v/>
      </c>
      <c r="W19">
        <f>MAX(0,MIN($C19,W$4+1)-MAX($B19,W$4))</f>
        <v/>
      </c>
      <c r="X19">
        <f>MAX(0,MIN($C19,X$4+1)-MAX($B19,X$4))</f>
        <v/>
      </c>
      <c r="Y19">
        <f>MAX(0,MIN($C19,Y$4+1)-MAX($B19,Y$4))</f>
        <v/>
      </c>
      <c r="Z19">
        <f>MAX(0,MIN($C19,Z$4+1)-MAX($B19,Z$4))</f>
        <v/>
      </c>
      <c r="AA19">
        <f>MAX(0,MIN($C19,AA$4+1)-MAX($B19,AA$4))</f>
        <v/>
      </c>
      <c r="AB19">
        <f>MAX(0,MIN($C19,AB$4+1)-MAX($B19,AB$4))</f>
        <v/>
      </c>
      <c r="AC19">
        <f>MAX(0,MIN($C19,AC$4+1)-MAX($B19,AC$4))</f>
        <v/>
      </c>
      <c r="AD19">
        <f>MAX(0,MIN($C19,AD$4+1)-MAX($B19,AD$4))</f>
        <v/>
      </c>
      <c r="AE19">
        <f>MAX(0,MIN($C19,AE$4+1)-MAX($B19,AE$4))</f>
        <v/>
      </c>
      <c r="AF19">
        <f>MAX(0,MIN($C19,AF$4+1)-MAX($B19,AF$4))</f>
        <v/>
      </c>
      <c r="AG19">
        <f>MAX(0,MIN($C19,AG$4+1)-MAX($B19,AG$4))</f>
        <v/>
      </c>
      <c r="AH19">
        <f>MAX(0,MIN($C19,AH$4+1)-MAX($B19,AH$4))</f>
        <v/>
      </c>
      <c r="AI19">
        <f>MAX(0,MIN($C19,AI$4+1)-MAX($B19,AI$4))</f>
        <v/>
      </c>
      <c r="AJ19">
        <f>MAX(0,MIN($C19,AJ$4+1)-MAX($B19,AJ$4))</f>
        <v/>
      </c>
      <c r="AK19">
        <f>MAX(0,MIN($C19,AK$4+1)-MAX($B19,AK$4))</f>
        <v/>
      </c>
      <c r="AL19">
        <f>MAX(0,MIN($C19,AL$4+1)-MAX($B19,AL$4))</f>
        <v/>
      </c>
      <c r="AM19">
        <f>MAX(0,MIN($C19,AM$4+1)-MAX($B19,AM$4))</f>
        <v/>
      </c>
      <c r="AO19" t="n">
        <v>0</v>
      </c>
      <c r="AP19" t="n">
        <v>0</v>
      </c>
    </row>
    <row r="20">
      <c r="A20" t="inlineStr"/>
      <c r="B20" s="3" t="n">
        <v>0</v>
      </c>
      <c r="C20" s="3" t="n">
        <v>0</v>
      </c>
      <c r="D20" t="inlineStr"/>
      <c r="E20" t="n">
        <v>0</v>
      </c>
      <c r="F20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T20">
        <f>MAX(0,MIN($C20,T$4+1)-MAX($B20,T$4))</f>
        <v/>
      </c>
      <c r="U20">
        <f>MAX(0,MIN($C20,U$4+1)-MAX($B20,U$4))</f>
        <v/>
      </c>
      <c r="V20">
        <f>MAX(0,MIN($C20,V$4+1)-MAX($B20,V$4))</f>
        <v/>
      </c>
      <c r="W20">
        <f>MAX(0,MIN($C20,W$4+1)-MAX($B20,W$4))</f>
        <v/>
      </c>
      <c r="X20">
        <f>MAX(0,MIN($C20,X$4+1)-MAX($B20,X$4))</f>
        <v/>
      </c>
      <c r="Y20">
        <f>MAX(0,MIN($C20,Y$4+1)-MAX($B20,Y$4))</f>
        <v/>
      </c>
      <c r="Z20">
        <f>MAX(0,MIN($C20,Z$4+1)-MAX($B20,Z$4))</f>
        <v/>
      </c>
      <c r="AA20">
        <f>MAX(0,MIN($C20,AA$4+1)-MAX($B20,AA$4))</f>
        <v/>
      </c>
      <c r="AB20">
        <f>MAX(0,MIN($C20,AB$4+1)-MAX($B20,AB$4))</f>
        <v/>
      </c>
      <c r="AC20">
        <f>MAX(0,MIN($C20,AC$4+1)-MAX($B20,AC$4))</f>
        <v/>
      </c>
      <c r="AD20">
        <f>MAX(0,MIN($C20,AD$4+1)-MAX($B20,AD$4))</f>
        <v/>
      </c>
      <c r="AE20">
        <f>MAX(0,MIN($C20,AE$4+1)-MAX($B20,AE$4))</f>
        <v/>
      </c>
      <c r="AF20">
        <f>MAX(0,MIN($C20,AF$4+1)-MAX($B20,AF$4))</f>
        <v/>
      </c>
      <c r="AG20">
        <f>MAX(0,MIN($C20,AG$4+1)-MAX($B20,AG$4))</f>
        <v/>
      </c>
      <c r="AH20">
        <f>MAX(0,MIN($C20,AH$4+1)-MAX($B20,AH$4))</f>
        <v/>
      </c>
      <c r="AI20">
        <f>MAX(0,MIN($C20,AI$4+1)-MAX($B20,AI$4))</f>
        <v/>
      </c>
      <c r="AJ20">
        <f>MAX(0,MIN($C20,AJ$4+1)-MAX($B20,AJ$4))</f>
        <v/>
      </c>
      <c r="AK20">
        <f>MAX(0,MIN($C20,AK$4+1)-MAX($B20,AK$4))</f>
        <v/>
      </c>
      <c r="AL20">
        <f>MAX(0,MIN($C20,AL$4+1)-MAX($B20,AL$4))</f>
        <v/>
      </c>
      <c r="AM20">
        <f>MAX(0,MIN($C20,AM$4+1)-MAX($B20,AM$4))</f>
        <v/>
      </c>
      <c r="AO20" t="n">
        <v>0</v>
      </c>
      <c r="AP20" t="n">
        <v>0</v>
      </c>
    </row>
    <row r="21">
      <c r="A21" t="inlineStr"/>
      <c r="B21" s="3" t="n">
        <v>0</v>
      </c>
      <c r="C21" s="3" t="n">
        <v>0</v>
      </c>
      <c r="D21" t="inlineStr"/>
      <c r="E21" t="n">
        <v>0</v>
      </c>
      <c r="F21" t="n">
        <v>0</v>
      </c>
      <c r="G21" s="3" t="n">
        <v>0</v>
      </c>
      <c r="H21" s="3" t="n">
        <v>0</v>
      </c>
      <c r="I21" s="3" t="n">
        <v>0</v>
      </c>
      <c r="J21" s="3" t="n">
        <v>0</v>
      </c>
      <c r="K21" s="3" t="n">
        <v>0</v>
      </c>
      <c r="L21" s="3" t="n">
        <v>0</v>
      </c>
      <c r="M21" s="3" t="n">
        <v>0</v>
      </c>
      <c r="N21" s="3" t="n">
        <v>0</v>
      </c>
      <c r="O21" s="3" t="n">
        <v>0</v>
      </c>
      <c r="P21" s="3" t="n">
        <v>0</v>
      </c>
      <c r="Q21" s="3" t="n">
        <v>0</v>
      </c>
      <c r="R21" s="3" t="n">
        <v>0</v>
      </c>
      <c r="T21">
        <f>MAX(0,MIN($C21,T$4+1)-MAX($B21,T$4))</f>
        <v/>
      </c>
      <c r="U21">
        <f>MAX(0,MIN($C21,U$4+1)-MAX($B21,U$4))</f>
        <v/>
      </c>
      <c r="V21">
        <f>MAX(0,MIN($C21,V$4+1)-MAX($B21,V$4))</f>
        <v/>
      </c>
      <c r="W21">
        <f>MAX(0,MIN($C21,W$4+1)-MAX($B21,W$4))</f>
        <v/>
      </c>
      <c r="X21">
        <f>MAX(0,MIN($C21,X$4+1)-MAX($B21,X$4))</f>
        <v/>
      </c>
      <c r="Y21">
        <f>MAX(0,MIN($C21,Y$4+1)-MAX($B21,Y$4))</f>
        <v/>
      </c>
      <c r="Z21">
        <f>MAX(0,MIN($C21,Z$4+1)-MAX($B21,Z$4))</f>
        <v/>
      </c>
      <c r="AA21">
        <f>MAX(0,MIN($C21,AA$4+1)-MAX($B21,AA$4))</f>
        <v/>
      </c>
      <c r="AB21">
        <f>MAX(0,MIN($C21,AB$4+1)-MAX($B21,AB$4))</f>
        <v/>
      </c>
      <c r="AC21">
        <f>MAX(0,MIN($C21,AC$4+1)-MAX($B21,AC$4))</f>
        <v/>
      </c>
      <c r="AD21">
        <f>MAX(0,MIN($C21,AD$4+1)-MAX($B21,AD$4))</f>
        <v/>
      </c>
      <c r="AE21">
        <f>MAX(0,MIN($C21,AE$4+1)-MAX($B21,AE$4))</f>
        <v/>
      </c>
      <c r="AF21">
        <f>MAX(0,MIN($C21,AF$4+1)-MAX($B21,AF$4))</f>
        <v/>
      </c>
      <c r="AG21">
        <f>MAX(0,MIN($C21,AG$4+1)-MAX($B21,AG$4))</f>
        <v/>
      </c>
      <c r="AH21">
        <f>MAX(0,MIN($C21,AH$4+1)-MAX($B21,AH$4))</f>
        <v/>
      </c>
      <c r="AI21">
        <f>MAX(0,MIN($C21,AI$4+1)-MAX($B21,AI$4))</f>
        <v/>
      </c>
      <c r="AJ21">
        <f>MAX(0,MIN($C21,AJ$4+1)-MAX($B21,AJ$4))</f>
        <v/>
      </c>
      <c r="AK21">
        <f>MAX(0,MIN($C21,AK$4+1)-MAX($B21,AK$4))</f>
        <v/>
      </c>
      <c r="AL21">
        <f>MAX(0,MIN($C21,AL$4+1)-MAX($B21,AL$4))</f>
        <v/>
      </c>
      <c r="AM21">
        <f>MAX(0,MIN($C21,AM$4+1)-MAX($B21,AM$4))</f>
        <v/>
      </c>
      <c r="AO21" t="n">
        <v>0</v>
      </c>
      <c r="AP21" t="n">
        <v>0</v>
      </c>
    </row>
    <row r="22">
      <c r="A22" t="inlineStr"/>
      <c r="B22" s="3" t="n">
        <v>0</v>
      </c>
      <c r="C22" s="3" t="n">
        <v>0</v>
      </c>
      <c r="D22" t="inlineStr"/>
      <c r="E22" t="n">
        <v>0</v>
      </c>
      <c r="F22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T22">
        <f>MAX(0,MIN($C22,T$4+1)-MAX($B22,T$4))</f>
        <v/>
      </c>
      <c r="U22">
        <f>MAX(0,MIN($C22,U$4+1)-MAX($B22,U$4))</f>
        <v/>
      </c>
      <c r="V22">
        <f>MAX(0,MIN($C22,V$4+1)-MAX($B22,V$4))</f>
        <v/>
      </c>
      <c r="W22">
        <f>MAX(0,MIN($C22,W$4+1)-MAX($B22,W$4))</f>
        <v/>
      </c>
      <c r="X22">
        <f>MAX(0,MIN($C22,X$4+1)-MAX($B22,X$4))</f>
        <v/>
      </c>
      <c r="Y22">
        <f>MAX(0,MIN($C22,Y$4+1)-MAX($B22,Y$4))</f>
        <v/>
      </c>
      <c r="Z22">
        <f>MAX(0,MIN($C22,Z$4+1)-MAX($B22,Z$4))</f>
        <v/>
      </c>
      <c r="AA22">
        <f>MAX(0,MIN($C22,AA$4+1)-MAX($B22,AA$4))</f>
        <v/>
      </c>
      <c r="AB22">
        <f>MAX(0,MIN($C22,AB$4+1)-MAX($B22,AB$4))</f>
        <v/>
      </c>
      <c r="AC22">
        <f>MAX(0,MIN($C22,AC$4+1)-MAX($B22,AC$4))</f>
        <v/>
      </c>
      <c r="AD22">
        <f>MAX(0,MIN($C22,AD$4+1)-MAX($B22,AD$4))</f>
        <v/>
      </c>
      <c r="AE22">
        <f>MAX(0,MIN($C22,AE$4+1)-MAX($B22,AE$4))</f>
        <v/>
      </c>
      <c r="AF22">
        <f>MAX(0,MIN($C22,AF$4+1)-MAX($B22,AF$4))</f>
        <v/>
      </c>
      <c r="AG22">
        <f>MAX(0,MIN($C22,AG$4+1)-MAX($B22,AG$4))</f>
        <v/>
      </c>
      <c r="AH22">
        <f>MAX(0,MIN($C22,AH$4+1)-MAX($B22,AH$4))</f>
        <v/>
      </c>
      <c r="AI22">
        <f>MAX(0,MIN($C22,AI$4+1)-MAX($B22,AI$4))</f>
        <v/>
      </c>
      <c r="AJ22">
        <f>MAX(0,MIN($C22,AJ$4+1)-MAX($B22,AJ$4))</f>
        <v/>
      </c>
      <c r="AK22">
        <f>MAX(0,MIN($C22,AK$4+1)-MAX($B22,AK$4))</f>
        <v/>
      </c>
      <c r="AL22">
        <f>MAX(0,MIN($C22,AL$4+1)-MAX($B22,AL$4))</f>
        <v/>
      </c>
      <c r="AM22">
        <f>MAX(0,MIN($C22,AM$4+1)-MAX($B22,AM$4))</f>
        <v/>
      </c>
      <c r="AO22" t="n">
        <v>0</v>
      </c>
      <c r="AP22" t="n">
        <v>0</v>
      </c>
    </row>
    <row r="23">
      <c r="A23" t="inlineStr"/>
      <c r="B23" s="3" t="n">
        <v>0</v>
      </c>
      <c r="C23" s="3" t="n">
        <v>0</v>
      </c>
      <c r="D23" t="inlineStr"/>
      <c r="E23" t="n">
        <v>0</v>
      </c>
      <c r="F2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T23">
        <f>MAX(0,MIN($C23,T$4+1)-MAX($B23,T$4))</f>
        <v/>
      </c>
      <c r="U23">
        <f>MAX(0,MIN($C23,U$4+1)-MAX($B23,U$4))</f>
        <v/>
      </c>
      <c r="V23">
        <f>MAX(0,MIN($C23,V$4+1)-MAX($B23,V$4))</f>
        <v/>
      </c>
      <c r="W23">
        <f>MAX(0,MIN($C23,W$4+1)-MAX($B23,W$4))</f>
        <v/>
      </c>
      <c r="X23">
        <f>MAX(0,MIN($C23,X$4+1)-MAX($B23,X$4))</f>
        <v/>
      </c>
      <c r="Y23">
        <f>MAX(0,MIN($C23,Y$4+1)-MAX($B23,Y$4))</f>
        <v/>
      </c>
      <c r="Z23">
        <f>MAX(0,MIN($C23,Z$4+1)-MAX($B23,Z$4))</f>
        <v/>
      </c>
      <c r="AA23">
        <f>MAX(0,MIN($C23,AA$4+1)-MAX($B23,AA$4))</f>
        <v/>
      </c>
      <c r="AB23">
        <f>MAX(0,MIN($C23,AB$4+1)-MAX($B23,AB$4))</f>
        <v/>
      </c>
      <c r="AC23">
        <f>MAX(0,MIN($C23,AC$4+1)-MAX($B23,AC$4))</f>
        <v/>
      </c>
      <c r="AD23">
        <f>MAX(0,MIN($C23,AD$4+1)-MAX($B23,AD$4))</f>
        <v/>
      </c>
      <c r="AE23">
        <f>MAX(0,MIN($C23,AE$4+1)-MAX($B23,AE$4))</f>
        <v/>
      </c>
      <c r="AF23">
        <f>MAX(0,MIN($C23,AF$4+1)-MAX($B23,AF$4))</f>
        <v/>
      </c>
      <c r="AG23">
        <f>MAX(0,MIN($C23,AG$4+1)-MAX($B23,AG$4))</f>
        <v/>
      </c>
      <c r="AH23">
        <f>MAX(0,MIN($C23,AH$4+1)-MAX($B23,AH$4))</f>
        <v/>
      </c>
      <c r="AI23">
        <f>MAX(0,MIN($C23,AI$4+1)-MAX($B23,AI$4))</f>
        <v/>
      </c>
      <c r="AJ23">
        <f>MAX(0,MIN($C23,AJ$4+1)-MAX($B23,AJ$4))</f>
        <v/>
      </c>
      <c r="AK23">
        <f>MAX(0,MIN($C23,AK$4+1)-MAX($B23,AK$4))</f>
        <v/>
      </c>
      <c r="AL23">
        <f>MAX(0,MIN($C23,AL$4+1)-MAX($B23,AL$4))</f>
        <v/>
      </c>
      <c r="AM23">
        <f>MAX(0,MIN($C23,AM$4+1)-MAX($B23,AM$4))</f>
        <v/>
      </c>
      <c r="AO23" t="n">
        <v>0</v>
      </c>
      <c r="AP23" t="n">
        <v>0</v>
      </c>
    </row>
    <row r="24">
      <c r="A24" t="inlineStr"/>
      <c r="B24" s="3" t="n">
        <v>0</v>
      </c>
      <c r="C24" s="3" t="n">
        <v>0</v>
      </c>
      <c r="D24" t="inlineStr"/>
      <c r="E24" t="n">
        <v>0</v>
      </c>
      <c r="F24" t="n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  <c r="P24" s="3" t="n">
        <v>0</v>
      </c>
      <c r="Q24" s="3" t="n">
        <v>0</v>
      </c>
      <c r="R24" s="3" t="n">
        <v>0</v>
      </c>
      <c r="T24">
        <f>MAX(0,MIN($C24,T$4+1)-MAX($B24,T$4))</f>
        <v/>
      </c>
      <c r="U24">
        <f>MAX(0,MIN($C24,U$4+1)-MAX($B24,U$4))</f>
        <v/>
      </c>
      <c r="V24">
        <f>MAX(0,MIN($C24,V$4+1)-MAX($B24,V$4))</f>
        <v/>
      </c>
      <c r="W24">
        <f>MAX(0,MIN($C24,W$4+1)-MAX($B24,W$4))</f>
        <v/>
      </c>
      <c r="X24">
        <f>MAX(0,MIN($C24,X$4+1)-MAX($B24,X$4))</f>
        <v/>
      </c>
      <c r="Y24">
        <f>MAX(0,MIN($C24,Y$4+1)-MAX($B24,Y$4))</f>
        <v/>
      </c>
      <c r="Z24">
        <f>MAX(0,MIN($C24,Z$4+1)-MAX($B24,Z$4))</f>
        <v/>
      </c>
      <c r="AA24">
        <f>MAX(0,MIN($C24,AA$4+1)-MAX($B24,AA$4))</f>
        <v/>
      </c>
      <c r="AB24">
        <f>MAX(0,MIN($C24,AB$4+1)-MAX($B24,AB$4))</f>
        <v/>
      </c>
      <c r="AC24">
        <f>MAX(0,MIN($C24,AC$4+1)-MAX($B24,AC$4))</f>
        <v/>
      </c>
      <c r="AD24">
        <f>MAX(0,MIN($C24,AD$4+1)-MAX($B24,AD$4))</f>
        <v/>
      </c>
      <c r="AE24">
        <f>MAX(0,MIN($C24,AE$4+1)-MAX($B24,AE$4))</f>
        <v/>
      </c>
      <c r="AF24">
        <f>MAX(0,MIN($C24,AF$4+1)-MAX($B24,AF$4))</f>
        <v/>
      </c>
      <c r="AG24">
        <f>MAX(0,MIN($C24,AG$4+1)-MAX($B24,AG$4))</f>
        <v/>
      </c>
      <c r="AH24">
        <f>MAX(0,MIN($C24,AH$4+1)-MAX($B24,AH$4))</f>
        <v/>
      </c>
      <c r="AI24">
        <f>MAX(0,MIN($C24,AI$4+1)-MAX($B24,AI$4))</f>
        <v/>
      </c>
      <c r="AJ24">
        <f>MAX(0,MIN($C24,AJ$4+1)-MAX($B24,AJ$4))</f>
        <v/>
      </c>
      <c r="AK24">
        <f>MAX(0,MIN($C24,AK$4+1)-MAX($B24,AK$4))</f>
        <v/>
      </c>
      <c r="AL24">
        <f>MAX(0,MIN($C24,AL$4+1)-MAX($B24,AL$4))</f>
        <v/>
      </c>
      <c r="AM24">
        <f>MAX(0,MIN($C24,AM$4+1)-MAX($B24,AM$4))</f>
        <v/>
      </c>
      <c r="AO24" t="n">
        <v>0</v>
      </c>
      <c r="AP24" t="n">
        <v>0</v>
      </c>
    </row>
    <row r="25">
      <c r="A25" t="inlineStr"/>
      <c r="B25" s="3" t="n">
        <v>0</v>
      </c>
      <c r="C25" s="3" t="n">
        <v>0</v>
      </c>
      <c r="D25" t="inlineStr"/>
      <c r="E25" t="n">
        <v>0</v>
      </c>
      <c r="F25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T25">
        <f>MAX(0,MIN($C25,T$4+1)-MAX($B25,T$4))</f>
        <v/>
      </c>
      <c r="U25">
        <f>MAX(0,MIN($C25,U$4+1)-MAX($B25,U$4))</f>
        <v/>
      </c>
      <c r="V25">
        <f>MAX(0,MIN($C25,V$4+1)-MAX($B25,V$4))</f>
        <v/>
      </c>
      <c r="W25">
        <f>MAX(0,MIN($C25,W$4+1)-MAX($B25,W$4))</f>
        <v/>
      </c>
      <c r="X25">
        <f>MAX(0,MIN($C25,X$4+1)-MAX($B25,X$4))</f>
        <v/>
      </c>
      <c r="Y25">
        <f>MAX(0,MIN($C25,Y$4+1)-MAX($B25,Y$4))</f>
        <v/>
      </c>
      <c r="Z25">
        <f>MAX(0,MIN($C25,Z$4+1)-MAX($B25,Z$4))</f>
        <v/>
      </c>
      <c r="AA25">
        <f>MAX(0,MIN($C25,AA$4+1)-MAX($B25,AA$4))</f>
        <v/>
      </c>
      <c r="AB25">
        <f>MAX(0,MIN($C25,AB$4+1)-MAX($B25,AB$4))</f>
        <v/>
      </c>
      <c r="AC25">
        <f>MAX(0,MIN($C25,AC$4+1)-MAX($B25,AC$4))</f>
        <v/>
      </c>
      <c r="AD25">
        <f>MAX(0,MIN($C25,AD$4+1)-MAX($B25,AD$4))</f>
        <v/>
      </c>
      <c r="AE25">
        <f>MAX(0,MIN($C25,AE$4+1)-MAX($B25,AE$4))</f>
        <v/>
      </c>
      <c r="AF25">
        <f>MAX(0,MIN($C25,AF$4+1)-MAX($B25,AF$4))</f>
        <v/>
      </c>
      <c r="AG25">
        <f>MAX(0,MIN($C25,AG$4+1)-MAX($B25,AG$4))</f>
        <v/>
      </c>
      <c r="AH25">
        <f>MAX(0,MIN($C25,AH$4+1)-MAX($B25,AH$4))</f>
        <v/>
      </c>
      <c r="AI25">
        <f>MAX(0,MIN($C25,AI$4+1)-MAX($B25,AI$4))</f>
        <v/>
      </c>
      <c r="AJ25">
        <f>MAX(0,MIN($C25,AJ$4+1)-MAX($B25,AJ$4))</f>
        <v/>
      </c>
      <c r="AK25">
        <f>MAX(0,MIN($C25,AK$4+1)-MAX($B25,AK$4))</f>
        <v/>
      </c>
      <c r="AL25">
        <f>MAX(0,MIN($C25,AL$4+1)-MAX($B25,AL$4))</f>
        <v/>
      </c>
      <c r="AM25">
        <f>MAX(0,MIN($C25,AM$4+1)-MAX($B25,AM$4))</f>
        <v/>
      </c>
    </row>
    <row r="26">
      <c r="A26" t="inlineStr"/>
      <c r="B26" s="3" t="n">
        <v>0</v>
      </c>
      <c r="C26" s="3" t="n">
        <v>0</v>
      </c>
      <c r="D26" t="inlineStr"/>
      <c r="E26" t="n">
        <v>0</v>
      </c>
      <c r="F26" t="n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  <c r="T26">
        <f>MAX(0,MIN($C26,T$4+1)-MAX($B26,T$4))</f>
        <v/>
      </c>
      <c r="U26">
        <f>MAX(0,MIN($C26,U$4+1)-MAX($B26,U$4))</f>
        <v/>
      </c>
      <c r="V26">
        <f>MAX(0,MIN($C26,V$4+1)-MAX($B26,V$4))</f>
        <v/>
      </c>
      <c r="W26">
        <f>MAX(0,MIN($C26,W$4+1)-MAX($B26,W$4))</f>
        <v/>
      </c>
      <c r="X26">
        <f>MAX(0,MIN($C26,X$4+1)-MAX($B26,X$4))</f>
        <v/>
      </c>
      <c r="Y26">
        <f>MAX(0,MIN($C26,Y$4+1)-MAX($B26,Y$4))</f>
        <v/>
      </c>
      <c r="Z26">
        <f>MAX(0,MIN($C26,Z$4+1)-MAX($B26,Z$4))</f>
        <v/>
      </c>
      <c r="AA26">
        <f>MAX(0,MIN($C26,AA$4+1)-MAX($B26,AA$4))</f>
        <v/>
      </c>
      <c r="AB26">
        <f>MAX(0,MIN($C26,AB$4+1)-MAX($B26,AB$4))</f>
        <v/>
      </c>
      <c r="AC26">
        <f>MAX(0,MIN($C26,AC$4+1)-MAX($B26,AC$4))</f>
        <v/>
      </c>
      <c r="AD26">
        <f>MAX(0,MIN($C26,AD$4+1)-MAX($B26,AD$4))</f>
        <v/>
      </c>
      <c r="AE26">
        <f>MAX(0,MIN($C26,AE$4+1)-MAX($B26,AE$4))</f>
        <v/>
      </c>
      <c r="AF26">
        <f>MAX(0,MIN($C26,AF$4+1)-MAX($B26,AF$4))</f>
        <v/>
      </c>
      <c r="AG26">
        <f>MAX(0,MIN($C26,AG$4+1)-MAX($B26,AG$4))</f>
        <v/>
      </c>
      <c r="AH26">
        <f>MAX(0,MIN($C26,AH$4+1)-MAX($B26,AH$4))</f>
        <v/>
      </c>
      <c r="AI26">
        <f>MAX(0,MIN($C26,AI$4+1)-MAX($B26,AI$4))</f>
        <v/>
      </c>
      <c r="AJ26">
        <f>MAX(0,MIN($C26,AJ$4+1)-MAX($B26,AJ$4))</f>
        <v/>
      </c>
      <c r="AK26">
        <f>MAX(0,MIN($C26,AK$4+1)-MAX($B26,AK$4))</f>
        <v/>
      </c>
      <c r="AL26">
        <f>MAX(0,MIN($C26,AL$4+1)-MAX($B26,AL$4))</f>
        <v/>
      </c>
      <c r="AM26">
        <f>MAX(0,MIN($C26,AM$4+1)-MAX($B26,AM$4))</f>
        <v/>
      </c>
    </row>
    <row r="27">
      <c r="A27" t="inlineStr"/>
      <c r="B27" s="3" t="n">
        <v>0</v>
      </c>
      <c r="C27" s="3" t="n">
        <v>0</v>
      </c>
      <c r="D27" t="inlineStr"/>
      <c r="E27" t="n">
        <v>0</v>
      </c>
      <c r="F27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T27">
        <f>MAX(0,MIN($C27,T$4+1)-MAX($B27,T$4))</f>
        <v/>
      </c>
      <c r="U27">
        <f>MAX(0,MIN($C27,U$4+1)-MAX($B27,U$4))</f>
        <v/>
      </c>
      <c r="V27">
        <f>MAX(0,MIN($C27,V$4+1)-MAX($B27,V$4))</f>
        <v/>
      </c>
      <c r="W27">
        <f>MAX(0,MIN($C27,W$4+1)-MAX($B27,W$4))</f>
        <v/>
      </c>
      <c r="X27">
        <f>MAX(0,MIN($C27,X$4+1)-MAX($B27,X$4))</f>
        <v/>
      </c>
      <c r="Y27">
        <f>MAX(0,MIN($C27,Y$4+1)-MAX($B27,Y$4))</f>
        <v/>
      </c>
      <c r="Z27">
        <f>MAX(0,MIN($C27,Z$4+1)-MAX($B27,Z$4))</f>
        <v/>
      </c>
      <c r="AA27">
        <f>MAX(0,MIN($C27,AA$4+1)-MAX($B27,AA$4))</f>
        <v/>
      </c>
      <c r="AB27">
        <f>MAX(0,MIN($C27,AB$4+1)-MAX($B27,AB$4))</f>
        <v/>
      </c>
      <c r="AC27">
        <f>MAX(0,MIN($C27,AC$4+1)-MAX($B27,AC$4))</f>
        <v/>
      </c>
      <c r="AD27">
        <f>MAX(0,MIN($C27,AD$4+1)-MAX($B27,AD$4))</f>
        <v/>
      </c>
      <c r="AE27">
        <f>MAX(0,MIN($C27,AE$4+1)-MAX($B27,AE$4))</f>
        <v/>
      </c>
      <c r="AF27">
        <f>MAX(0,MIN($C27,AF$4+1)-MAX($B27,AF$4))</f>
        <v/>
      </c>
      <c r="AG27">
        <f>MAX(0,MIN($C27,AG$4+1)-MAX($B27,AG$4))</f>
        <v/>
      </c>
      <c r="AH27">
        <f>MAX(0,MIN($C27,AH$4+1)-MAX($B27,AH$4))</f>
        <v/>
      </c>
      <c r="AI27">
        <f>MAX(0,MIN($C27,AI$4+1)-MAX($B27,AI$4))</f>
        <v/>
      </c>
      <c r="AJ27">
        <f>MAX(0,MIN($C27,AJ$4+1)-MAX($B27,AJ$4))</f>
        <v/>
      </c>
      <c r="AK27">
        <f>MAX(0,MIN($C27,AK$4+1)-MAX($B27,AK$4))</f>
        <v/>
      </c>
      <c r="AL27">
        <f>MAX(0,MIN($C27,AL$4+1)-MAX($B27,AL$4))</f>
        <v/>
      </c>
      <c r="AM27">
        <f>MAX(0,MIN($C27,AM$4+1)-MAX($B27,AM$4))</f>
        <v/>
      </c>
    </row>
    <row r="28">
      <c r="A28" t="inlineStr"/>
      <c r="B28" s="3" t="n">
        <v>0</v>
      </c>
      <c r="C28" s="3" t="n">
        <v>0</v>
      </c>
      <c r="D28" t="inlineStr"/>
      <c r="E28" t="n">
        <v>0</v>
      </c>
      <c r="F28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T28">
        <f>MAX(0,MIN($C28,T$4+1)-MAX($B28,T$4))</f>
        <v/>
      </c>
      <c r="U28">
        <f>MAX(0,MIN($C28,U$4+1)-MAX($B28,U$4))</f>
        <v/>
      </c>
      <c r="V28">
        <f>MAX(0,MIN($C28,V$4+1)-MAX($B28,V$4))</f>
        <v/>
      </c>
      <c r="W28">
        <f>MAX(0,MIN($C28,W$4+1)-MAX($B28,W$4))</f>
        <v/>
      </c>
      <c r="X28">
        <f>MAX(0,MIN($C28,X$4+1)-MAX($B28,X$4))</f>
        <v/>
      </c>
      <c r="Y28">
        <f>MAX(0,MIN($C28,Y$4+1)-MAX($B28,Y$4))</f>
        <v/>
      </c>
      <c r="Z28">
        <f>MAX(0,MIN($C28,Z$4+1)-MAX($B28,Z$4))</f>
        <v/>
      </c>
      <c r="AA28">
        <f>MAX(0,MIN($C28,AA$4+1)-MAX($B28,AA$4))</f>
        <v/>
      </c>
      <c r="AB28">
        <f>MAX(0,MIN($C28,AB$4+1)-MAX($B28,AB$4))</f>
        <v/>
      </c>
      <c r="AC28">
        <f>MAX(0,MIN($C28,AC$4+1)-MAX($B28,AC$4))</f>
        <v/>
      </c>
      <c r="AD28">
        <f>MAX(0,MIN($C28,AD$4+1)-MAX($B28,AD$4))</f>
        <v/>
      </c>
      <c r="AE28">
        <f>MAX(0,MIN($C28,AE$4+1)-MAX($B28,AE$4))</f>
        <v/>
      </c>
      <c r="AF28">
        <f>MAX(0,MIN($C28,AF$4+1)-MAX($B28,AF$4))</f>
        <v/>
      </c>
      <c r="AG28">
        <f>MAX(0,MIN($C28,AG$4+1)-MAX($B28,AG$4))</f>
        <v/>
      </c>
      <c r="AH28">
        <f>MAX(0,MIN($C28,AH$4+1)-MAX($B28,AH$4))</f>
        <v/>
      </c>
      <c r="AI28">
        <f>MAX(0,MIN($C28,AI$4+1)-MAX($B28,AI$4))</f>
        <v/>
      </c>
      <c r="AJ28">
        <f>MAX(0,MIN($C28,AJ$4+1)-MAX($B28,AJ$4))</f>
        <v/>
      </c>
      <c r="AK28">
        <f>MAX(0,MIN($C28,AK$4+1)-MAX($B28,AK$4))</f>
        <v/>
      </c>
      <c r="AL28">
        <f>MAX(0,MIN($C28,AL$4+1)-MAX($B28,AL$4))</f>
        <v/>
      </c>
      <c r="AM28">
        <f>MAX(0,MIN($C28,AM$4+1)-MAX($B28,AM$4))</f>
        <v/>
      </c>
    </row>
    <row r="29">
      <c r="A29" t="inlineStr"/>
      <c r="B29" s="3" t="n">
        <v>0</v>
      </c>
      <c r="C29" s="3" t="n">
        <v>0</v>
      </c>
      <c r="D29" t="inlineStr"/>
      <c r="E29" t="n">
        <v>0</v>
      </c>
      <c r="F29" t="n">
        <v>0</v>
      </c>
      <c r="G29" s="3" t="n">
        <v>0</v>
      </c>
      <c r="H29" s="3" t="n">
        <v>0</v>
      </c>
      <c r="I29" s="3" t="n">
        <v>0</v>
      </c>
      <c r="J29" s="3" t="n">
        <v>0</v>
      </c>
      <c r="K29" s="3" t="n">
        <v>0</v>
      </c>
      <c r="L29" s="3" t="n">
        <v>0</v>
      </c>
      <c r="M29" s="3" t="n">
        <v>0</v>
      </c>
      <c r="N29" s="3" t="n">
        <v>0</v>
      </c>
      <c r="O29" s="3" t="n">
        <v>0</v>
      </c>
      <c r="P29" s="3" t="n">
        <v>0</v>
      </c>
      <c r="Q29" s="3" t="n">
        <v>0</v>
      </c>
      <c r="R29" s="3" t="n">
        <v>0</v>
      </c>
      <c r="T29">
        <f>MAX(0,MIN($C29,T$4+1)-MAX($B29,T$4))</f>
        <v/>
      </c>
      <c r="U29">
        <f>MAX(0,MIN($C29,U$4+1)-MAX($B29,U$4))</f>
        <v/>
      </c>
      <c r="V29">
        <f>MAX(0,MIN($C29,V$4+1)-MAX($B29,V$4))</f>
        <v/>
      </c>
      <c r="W29">
        <f>MAX(0,MIN($C29,W$4+1)-MAX($B29,W$4))</f>
        <v/>
      </c>
      <c r="X29">
        <f>MAX(0,MIN($C29,X$4+1)-MAX($B29,X$4))</f>
        <v/>
      </c>
      <c r="Y29">
        <f>MAX(0,MIN($C29,Y$4+1)-MAX($B29,Y$4))</f>
        <v/>
      </c>
      <c r="Z29">
        <f>MAX(0,MIN($C29,Z$4+1)-MAX($B29,Z$4))</f>
        <v/>
      </c>
      <c r="AA29">
        <f>MAX(0,MIN($C29,AA$4+1)-MAX($B29,AA$4))</f>
        <v/>
      </c>
      <c r="AB29">
        <f>MAX(0,MIN($C29,AB$4+1)-MAX($B29,AB$4))</f>
        <v/>
      </c>
      <c r="AC29">
        <f>MAX(0,MIN($C29,AC$4+1)-MAX($B29,AC$4))</f>
        <v/>
      </c>
      <c r="AD29">
        <f>MAX(0,MIN($C29,AD$4+1)-MAX($B29,AD$4))</f>
        <v/>
      </c>
      <c r="AE29">
        <f>MAX(0,MIN($C29,AE$4+1)-MAX($B29,AE$4))</f>
        <v/>
      </c>
      <c r="AF29">
        <f>MAX(0,MIN($C29,AF$4+1)-MAX($B29,AF$4))</f>
        <v/>
      </c>
      <c r="AG29">
        <f>MAX(0,MIN($C29,AG$4+1)-MAX($B29,AG$4))</f>
        <v/>
      </c>
      <c r="AH29">
        <f>MAX(0,MIN($C29,AH$4+1)-MAX($B29,AH$4))</f>
        <v/>
      </c>
      <c r="AI29">
        <f>MAX(0,MIN($C29,AI$4+1)-MAX($B29,AI$4))</f>
        <v/>
      </c>
      <c r="AJ29">
        <f>MAX(0,MIN($C29,AJ$4+1)-MAX($B29,AJ$4))</f>
        <v/>
      </c>
      <c r="AK29">
        <f>MAX(0,MIN($C29,AK$4+1)-MAX($B29,AK$4))</f>
        <v/>
      </c>
      <c r="AL29">
        <f>MAX(0,MIN($C29,AL$4+1)-MAX($B29,AL$4))</f>
        <v/>
      </c>
      <c r="AM29">
        <f>MAX(0,MIN($C29,AM$4+1)-MAX($B29,AM$4))</f>
        <v/>
      </c>
    </row>
    <row r="31">
      <c r="A31" s="1" t="inlineStr">
        <is>
          <t>Simulación anual (todas las celdas son fórmulas)</t>
        </is>
      </c>
    </row>
    <row r="32">
      <c r="A32" s="5" t="inlineStr">
        <is>
          <t>Año</t>
        </is>
      </c>
      <c r="B32" s="5" t="inlineStr">
        <is>
          <t>k</t>
        </is>
      </c>
      <c r="C32" s="5" t="inlineStr">
        <is>
          <t>Índice inflación</t>
        </is>
      </c>
      <c r="D32" s="5" t="inlineStr">
        <is>
          <t>Salarios W-2</t>
        </is>
      </c>
      <c r="E32" s="5" t="inlineStr">
        <is>
          <t>W-2 con match</t>
        </is>
      </c>
      <c r="F32" s="5" t="inlineStr">
        <is>
          <t>Stipends libres</t>
        </is>
      </c>
      <c r="G32" s="5" t="inlineStr">
        <is>
          <t>Ingreso S-corp</t>
        </is>
      </c>
      <c r="H32" s="5" t="inlineStr">
        <is>
          <t>Autoempleo (LLC/tutoría)</t>
        </is>
      </c>
      <c r="I32" s="5" t="inlineStr">
        <is>
          <t>Matrícula</t>
        </is>
      </c>
      <c r="J32" s="5" t="inlineStr">
        <is>
          <t>Fracción estudio</t>
        </is>
      </c>
      <c r="K32" s="5" t="inlineStr">
        <is>
          <t>Fracción PSLF</t>
        </is>
      </c>
      <c r="L32" s="5" t="inlineStr">
        <is>
          <t>Fracción travel</t>
        </is>
      </c>
      <c r="M32" s="5" t="inlineStr">
        <is>
          <t>Attending</t>
        </is>
      </c>
      <c r="N32" s="5" t="inlineStr">
        <is>
          <t>Hitos (costos)</t>
        </is>
      </c>
      <c r="O32" s="5" t="inlineStr">
        <is>
          <t>Aporte 403b</t>
        </is>
      </c>
      <c r="P32" s="5" t="inlineStr">
        <is>
          <t>Match empleador</t>
        </is>
      </c>
      <c r="Q32" s="5" t="inlineStr">
        <is>
          <t>S-corp neto</t>
        </is>
      </c>
      <c r="R32" s="5" t="inlineStr">
        <is>
          <t>Salario S-corp</t>
        </is>
      </c>
      <c r="S32" s="5" t="inlineStr">
        <is>
          <t>FICA patronal S-corp</t>
        </is>
      </c>
      <c r="T32" s="5" t="inlineStr">
        <is>
          <t>Distribución S-corp</t>
        </is>
      </c>
      <c r="U32" s="5" t="inlineStr">
        <is>
          <t>Salarios totales</t>
        </is>
      </c>
      <c r="V32" s="5" t="inlineStr">
        <is>
          <t>Base autoempleo</t>
        </is>
      </c>
      <c r="W32" s="5" t="inlineStr">
        <is>
          <t>Impuesto autoempleo</t>
        </is>
      </c>
      <c r="X32" s="5" t="inlineStr">
        <is>
          <t>FICA empleado</t>
        </is>
      </c>
      <c r="Y32" s="5" t="inlineStr">
        <is>
          <t>AGI</t>
        </is>
      </c>
      <c r="Z32" s="5" t="inlineStr">
        <is>
          <t>Ingreso gravable antes QBI</t>
        </is>
      </c>
      <c r="AA32" s="5" t="inlineStr">
        <is>
          <t>Deducción QBI</t>
        </is>
      </c>
      <c r="AB32" s="5" t="inlineStr">
        <is>
          <t>Ingreso gravable</t>
        </is>
      </c>
      <c r="AC32" s="5" t="inlineStr">
        <is>
          <t>Impuesto federal</t>
        </is>
      </c>
      <c r="AD32" s="5" t="inlineStr">
        <is>
          <t>Gravable NY</t>
        </is>
      </c>
      <c r="AE32" s="5" t="inlineStr">
        <is>
          <t>Impuesto estatal/local</t>
        </is>
      </c>
      <c r="AF32" s="5" t="inlineStr">
        <is>
          <t>Impuestos totales</t>
        </is>
      </c>
      <c r="AG32" s="5" t="inlineStr">
        <is>
          <t>Ingreso personal bruto en efectivo</t>
        </is>
      </c>
      <c r="AH32" s="5" t="inlineStr">
        <is>
          <t>Efectivo neto (tras impuestos y 403b)</t>
        </is>
      </c>
      <c r="AI32" s="5" t="inlineStr">
        <is>
          <t>Ingreso bruto</t>
        </is>
      </c>
      <c r="AJ32" s="5" t="inlineStr">
        <is>
          <t>Gastos de vida</t>
        </is>
      </c>
      <c r="AK32" s="5" t="inlineStr">
        <is>
          <t>Ahorro líquido inicio</t>
        </is>
      </c>
      <c r="AL32" s="5" t="inlineStr">
        <is>
          <t>Ya era dueño</t>
        </is>
      </c>
      <c r="AM32" s="5" t="inlineStr">
        <is>
          <t>Precio base 2026</t>
        </is>
      </c>
      <c r="AN32" s="5" t="inlineStr">
        <is>
          <t>Precio en el año</t>
        </is>
      </c>
      <c r="AO32" s="5" t="inlineStr">
        <is>
          <t>Physician loan</t>
        </is>
      </c>
      <c r="AP32" s="5" t="inlineStr">
        <is>
          <t>% enganche</t>
        </is>
      </c>
      <c r="AQ32" s="5" t="inlineStr">
        <is>
          <t>Préstamo</t>
        </is>
      </c>
      <c r="AR32" s="5" t="inlineStr">
        <is>
          <t>Cuota P&amp;I mensual</t>
        </is>
      </c>
      <c r="AS32" s="5" t="inlineStr">
        <is>
          <t>Unidades rentadas</t>
        </is>
      </c>
      <c r="AT32" s="5" t="inlineStr">
        <is>
          <t>Renta mensual (cotización)</t>
        </is>
      </c>
      <c r="AU32" s="5" t="inlineStr">
        <is>
          <t>PITI mensual</t>
        </is>
      </c>
      <c r="AV32" s="5" t="inlineStr">
        <is>
          <t>Efectivo requerido</t>
        </is>
      </c>
      <c r="AW32" s="5" t="inlineStr">
        <is>
          <t>Otras deudas mensuales</t>
        </is>
      </c>
      <c r="AX32" s="5" t="inlineStr">
        <is>
          <t>Crédito aporte familiar</t>
        </is>
      </c>
      <c r="AY32" s="5" t="inlineStr">
        <is>
          <t>Carga mensual para DTI</t>
        </is>
      </c>
      <c r="AZ32" s="5" t="inlineStr">
        <is>
          <t>Ingreso mensual para DTI</t>
        </is>
      </c>
      <c r="BA32" s="5" t="inlineStr">
        <is>
          <t>Compra este año</t>
        </is>
      </c>
      <c r="BB32" s="5" t="inlineStr">
        <is>
          <t>Dueño</t>
        </is>
      </c>
      <c r="BC32" s="5" t="inlineStr">
        <is>
          <t>Año de compra</t>
        </is>
      </c>
      <c r="BD32" s="5" t="inlineStr">
        <is>
          <t>Ahorro tras enganche</t>
        </is>
      </c>
      <c r="BE32" s="5" t="inlineStr">
        <is>
          <t>Precio de compra</t>
        </is>
      </c>
      <c r="BF32" s="5" t="inlineStr">
        <is>
          <t>Cuota hipoteca</t>
        </is>
      </c>
      <c r="BG32" s="5" t="inlineStr">
        <is>
          <t>PMI activo (antes)</t>
        </is>
      </c>
      <c r="BH32" s="5" t="inlineStr">
        <is>
          <t>Config. con ADU</t>
        </is>
      </c>
      <c r="BI32" s="5" t="inlineStr">
        <is>
          <t>Construye ADU</t>
        </is>
      </c>
      <c r="BJ32" s="5" t="inlineStr">
        <is>
          <t>ADU construido</t>
        </is>
      </c>
      <c r="BK32" s="5" t="inlineStr">
        <is>
          <t>Cuota ADU</t>
        </is>
      </c>
      <c r="BL32" s="5" t="inlineStr">
        <is>
          <t>Valor vivienda inicio</t>
        </is>
      </c>
      <c r="BM32" s="5" t="inlineStr">
        <is>
          <t>Hipoteca inicio</t>
        </is>
      </c>
      <c r="BN32" s="5" t="inlineStr">
        <is>
          <t>Hipoteca tras 12 pagos</t>
        </is>
      </c>
      <c r="BO32" s="5" t="inlineStr">
        <is>
          <t>Pagado hipoteca</t>
        </is>
      </c>
      <c r="BP32" s="5" t="inlineStr">
        <is>
          <t>Hipoteca tras pagos</t>
        </is>
      </c>
      <c r="BQ32" s="5" t="inlineStr">
        <is>
          <t>ADU inicio</t>
        </is>
      </c>
      <c r="BR32" s="5" t="inlineStr">
        <is>
          <t>ADU tras 12 pagos</t>
        </is>
      </c>
      <c r="BS32" s="5" t="inlineStr">
        <is>
          <t>Pagado ADU</t>
        </is>
      </c>
      <c r="BT32" s="5" t="inlineStr">
        <is>
          <t>ADU tras pagos</t>
        </is>
      </c>
      <c r="BU32" s="5" t="inlineStr">
        <is>
          <t>Seguro</t>
        </is>
      </c>
      <c r="BV32" s="5" t="inlineStr">
        <is>
          <t>Impuesto predial</t>
        </is>
      </c>
      <c r="BW32" s="5" t="inlineStr">
        <is>
          <t>Mantenimiento</t>
        </is>
      </c>
      <c r="BX32" s="5" t="inlineStr">
        <is>
          <t>PMI</t>
        </is>
      </c>
      <c r="BY32" s="5" t="inlineStr">
        <is>
          <t>PMI activo (después)</t>
        </is>
      </c>
      <c r="BZ32" s="5" t="inlineStr">
        <is>
          <t>Renta recibida</t>
        </is>
      </c>
      <c r="CA32" s="5" t="inlineStr">
        <is>
          <t>Costo de vivienda</t>
        </is>
      </c>
      <c r="CB32" s="5" t="inlineStr">
        <is>
          <t>Aporte familiar</t>
        </is>
      </c>
      <c r="CC32" s="5" t="inlineStr">
        <is>
          <t>IRS pagado</t>
        </is>
      </c>
      <c r="CD32" s="5" t="inlineStr">
        <is>
          <t>IRS saldo</t>
        </is>
      </c>
      <c r="CE32" s="5" t="inlineStr">
        <is>
          <t>Federal inicio</t>
        </is>
      </c>
      <c r="CF32" s="5" t="inlineStr">
        <is>
          <t>Tasa federal</t>
        </is>
      </c>
      <c r="CG32" s="5" t="inlineStr">
        <is>
          <t>Años repago fed.</t>
        </is>
      </c>
      <c r="CH32" s="5" t="inlineStr">
        <is>
          <t>En estudios (≥50%)</t>
        </is>
      </c>
      <c r="CI32" s="5" t="inlineStr">
        <is>
          <t>Usa RAP/PSLF</t>
        </is>
      </c>
      <c r="CJ32" s="5" t="inlineStr">
        <is>
          <t>Interés federal</t>
        </is>
      </c>
      <c r="CK32" s="5" t="inlineStr">
        <is>
          <t>Pago RAP</t>
        </is>
      </c>
      <c r="CL32" s="5" t="inlineStr">
        <is>
          <t>Pago federal</t>
        </is>
      </c>
      <c r="CM32" s="5" t="inlineStr">
        <is>
          <t>Federal tras pago</t>
        </is>
      </c>
      <c r="CN32" s="5" t="inlineStr">
        <is>
          <t>Meses PSLF</t>
        </is>
      </c>
      <c r="CO32" s="5" t="inlineStr">
        <is>
          <t>Condonado PSLF</t>
        </is>
      </c>
      <c r="CP32" s="5" t="inlineStr">
        <is>
          <t>Federal tras PSLF</t>
        </is>
      </c>
      <c r="CQ32" s="5" t="inlineStr">
        <is>
          <t>Años repago (tras pago)</t>
        </is>
      </c>
      <c r="CR32" s="5" t="inlineStr">
        <is>
          <t>Privado inicio</t>
        </is>
      </c>
      <c r="CS32" s="5" t="inlineStr">
        <is>
          <t>Tasa privada</t>
        </is>
      </c>
      <c r="CT32" s="5" t="inlineStr">
        <is>
          <t>Años repago priv.</t>
        </is>
      </c>
      <c r="CU32" s="5" t="inlineStr">
        <is>
          <t>Pago privado</t>
        </is>
      </c>
      <c r="CV32" s="5" t="inlineStr">
        <is>
          <t>Privado tras pago</t>
        </is>
      </c>
      <c r="CW32" s="5" t="inlineStr">
        <is>
          <t>Años repago priv. (tras)</t>
        </is>
      </c>
      <c r="CX32" s="5" t="inlineStr">
        <is>
          <t>Consumo tras interés</t>
        </is>
      </c>
      <c r="CY32" s="5" t="inlineStr">
        <is>
          <t>Gasto extra travel</t>
        </is>
      </c>
      <c r="CZ32" s="5" t="inlineStr">
        <is>
          <t>Salidas</t>
        </is>
      </c>
      <c r="DA32" s="5" t="inlineStr">
        <is>
          <t>Excedente (déficit)</t>
        </is>
      </c>
      <c r="DB32" s="5" t="inlineStr">
        <is>
          <t>Flujo acumulado</t>
        </is>
      </c>
      <c r="DC32" s="5" t="inlineStr">
        <is>
          <t>Meta enganche</t>
        </is>
      </c>
      <c r="DD32" s="5" t="inlineStr">
        <is>
          <t>Retorno del ahorro líquido</t>
        </is>
      </c>
      <c r="DE32" s="5" t="inlineStr">
        <is>
          <t>Pago deuda consumo</t>
        </is>
      </c>
      <c r="DF32" s="5" t="inlineStr">
        <is>
          <t>Gasto discrecional</t>
        </is>
      </c>
      <c r="DG32" s="5" t="inlineStr">
        <is>
          <t>Ahorro</t>
        </is>
      </c>
      <c r="DH32" s="5" t="inlineStr">
        <is>
          <t>Roth</t>
        </is>
      </c>
      <c r="DI32" s="5" t="inlineStr">
        <is>
          <t>Prepago</t>
        </is>
      </c>
      <c r="DJ32" s="5" t="inlineStr">
        <is>
          <t>Prepago a hipoteca</t>
        </is>
      </c>
      <c r="DK32" s="5" t="inlineStr">
        <is>
          <t>Retiro del ahorro</t>
        </is>
      </c>
      <c r="DL32" s="5" t="inlineStr">
        <is>
          <t>Déficit por financiar</t>
        </is>
      </c>
      <c r="DM32" s="5" t="inlineStr">
        <is>
          <t>Federal acumulado (antes)</t>
        </is>
      </c>
      <c r="DN32" s="5" t="inlineStr">
        <is>
          <t>Nuevo préstamo federal</t>
        </is>
      </c>
      <c r="DO32" s="5" t="inlineStr">
        <is>
          <t>Nuevo préstamo privado</t>
        </is>
      </c>
      <c r="DP32" s="5" t="inlineStr">
        <is>
          <t>Nueva deuda consumo</t>
        </is>
      </c>
      <c r="DQ32" s="5" t="inlineStr">
        <is>
          <t>Flujo al ahorro líquido</t>
        </is>
      </c>
      <c r="DR32" s="5" t="inlineStr">
        <is>
          <t>Ahorro líquido fin</t>
        </is>
      </c>
      <c r="DS32" s="5" t="inlineStr">
        <is>
          <t>Retiro fin</t>
        </is>
      </c>
      <c r="DT32" s="5" t="inlineStr">
        <is>
          <t>Valor vivienda fin</t>
        </is>
      </c>
      <c r="DU32" s="5" t="inlineStr">
        <is>
          <t>Hipoteca fin</t>
        </is>
      </c>
      <c r="DV32" s="5" t="inlineStr">
        <is>
          <t>ADU fin</t>
        </is>
      </c>
      <c r="DW32" s="5" t="inlineStr">
        <is>
          <t>Federal fin</t>
        </is>
      </c>
      <c r="DX32" s="5" t="inlineStr">
        <is>
          <t>Tasa federal fin</t>
        </is>
      </c>
      <c r="DY32" s="5" t="inlineStr">
        <is>
          <t>Años repago fed. fin</t>
        </is>
      </c>
      <c r="DZ32" s="5" t="inlineStr">
        <is>
          <t>Federal acumulado</t>
        </is>
      </c>
      <c r="EA32" s="5" t="inlineStr">
        <is>
          <t>Privado fin</t>
        </is>
      </c>
      <c r="EB32" s="5" t="inlineStr">
        <is>
          <t>Tasa privada fin</t>
        </is>
      </c>
      <c r="EC32" s="5" t="inlineStr">
        <is>
          <t>Años repago priv. fin</t>
        </is>
      </c>
      <c r="ED32" s="5" t="inlineStr">
        <is>
          <t>Deuda consumo fin</t>
        </is>
      </c>
      <c r="EE32" s="5" t="inlineStr">
        <is>
          <t>Año vivienda pagada</t>
        </is>
      </c>
      <c r="EF32" s="5" t="inlineStr">
        <is>
          <t>Deuda total</t>
        </is>
      </c>
      <c r="EG32" s="9" t="inlineStr">
        <is>
          <t>PATRIMONIO NETO</t>
        </is>
      </c>
      <c r="EH32" s="5" t="inlineStr">
        <is>
          <t>Patrimonio (dólares 2026)</t>
        </is>
      </c>
    </row>
    <row r="33">
      <c r="A33" t="n">
        <v>2027</v>
      </c>
      <c r="B33" t="n">
        <v>0</v>
      </c>
      <c r="C33" s="7">
        <f>(1+g_inf)^(A33-2026)</f>
        <v/>
      </c>
      <c r="D33" s="7">
        <f>SUMPRODUCT($T$5:$T$29,$E$5:$E$29*(1+$F$5:$F$29)^(A33-2026)*$G$5:$G$29*$H$5:$H$29*(1-$N$5:$N$29*$O$5:$O$29))*g_salMult+SUMPRODUCT(($B$5:$B$29&gt;=A33)*($B$5:$B$29&lt;A33+1)*$I$5:$I$29)*g_salMult</f>
        <v/>
      </c>
      <c r="E33" s="7">
        <f>SUMPRODUCT($T$5:$T$29,$E$5:$E$29*(1+$F$5:$F$29)^(A33-2026)*$G$5:$G$29*$H$5:$H$29*$M$5:$M$29)*g_salMult</f>
        <v/>
      </c>
      <c r="F33" s="7">
        <f>SUMPRODUCT($T$5:$T$29,$E$5:$E$29*(1+$F$5:$F$29)^(A33-2026)*$G$5:$G$29*$H$5:$H$29*$N$5:$N$29*$O$5:$O$29)*g_salMult</f>
        <v/>
      </c>
      <c r="G33" s="7">
        <f>SUMPRODUCT($T$5:$T$29,$P$5:$P$29*(1+$F$5:$F$29)^(A33-2026))</f>
        <v/>
      </c>
      <c r="H33" s="7">
        <f>SUMPRODUCT($T$5:$T$29,$Q$5:$Q$29*(1+$F$5:$F$29)^(A33-2026))+IF(personal_llcActivo=1,personal_llcNeto*(1+personal_llcCrecimiento)^0,0)</f>
        <v/>
      </c>
      <c r="I33" s="7">
        <f>SUMPRODUCT($T$5:$T$29,$J$5:$J$29/($C$5:$C$29-$B$5:$B$29+($C$5:$C$29=$B$5:$B$29)))*C33</f>
        <v/>
      </c>
      <c r="J33" s="7">
        <f>SUMPRODUCT($T$5:$T$29,$K$5:$K$29)</f>
        <v/>
      </c>
      <c r="K33" s="7">
        <f>SUMPRODUCT($T$5:$T$29,$L$5:$L$29)</f>
        <v/>
      </c>
      <c r="L33" s="7">
        <f>SUMPRODUCT($T$5:$T$29,$N$5:$N$29)</f>
        <v/>
      </c>
      <c r="M33" s="7">
        <f>IF(SUMPRODUCT($T$5:$T$29,$R$5:$R$29)&gt;0,1,0)</f>
        <v/>
      </c>
      <c r="N33" s="7">
        <f>SUMPRODUCT(($AO$5:$AO$24&gt;=A33)*($AO$5:$AO$24&lt;A33+1)*$AP$5:$AP$24)*C33+IF(0=0,IF(sel_loc&lt;&gt;"miami",personal_costoMudanzaInicial,0),0)</f>
        <v/>
      </c>
      <c r="O33" s="7">
        <f>MIN(personal_aporte403bPct*D33,retiro_limite403b*C33)</f>
        <v/>
      </c>
      <c r="P33" s="7">
        <f>MIN(personal_aporte403bPct,personal_match403bPct)*E33</f>
        <v/>
      </c>
      <c r="Q33" s="7">
        <f>IF(G33&gt;0,MAX(0,G33-impuestos_scorpCostoAnual*C33),0)</f>
        <v/>
      </c>
      <c r="R33" s="7">
        <f>Q33*impuestos_scorpSalarioPct/(1+impuestos_ssTasa+impuestos_medicareTasa)</f>
        <v/>
      </c>
      <c r="S33" s="7">
        <f>impuestos_ssTasa*MIN(R33,MAX(0,impuestos_ssTope*C33-D33))+impuestos_medicareTasa*R33</f>
        <v/>
      </c>
      <c r="T33" s="7">
        <f>Q33-R33-S33</f>
        <v/>
      </c>
      <c r="U33" s="7">
        <f>D33+R33</f>
        <v/>
      </c>
      <c r="V33" s="7">
        <f>H33*0.9235</f>
        <v/>
      </c>
      <c r="W33" s="7">
        <f>IF(H33&gt;0,2*impuestos_ssTasa*MIN(V33,MAX(0,impuestos_ssTope*C33-U33))+2*impuestos_medicareTasa*V33,0)</f>
        <v/>
      </c>
      <c r="X33" s="7">
        <f>impuestos_ssTasa*MIN(U33,impuestos_ssTope*C33)+impuestos_medicareTasa*U33+impuestos_medicareAdicional*MAX(0,U33+H33*0.9235-impuestos_medicareUmbral)</f>
        <v/>
      </c>
      <c r="Y33" s="7">
        <f>MAX(0,D33-O33+R33+T33+H33-W33/2)</f>
        <v/>
      </c>
      <c r="Z33" s="7">
        <f>MAX(0,Y33-impuestos_deduccionEstandar*C33)</f>
        <v/>
      </c>
      <c r="AA33" s="7">
        <f>MIN(0.2*MAX(0,T33+H33-W33/2)*MAX(0,MIN(1,1-(Z33-impuestos_qbiUmbral*C33)/(impuestos_qbiRango*C33))),0.2*Z33)</f>
        <v/>
      </c>
      <c r="AB33" s="7">
        <f>MAX(0,Z33-AA33)</f>
        <v/>
      </c>
      <c r="AC33" s="7">
        <f>SUMPRODUCT((AB33&gt;tb_federalBrackets_lo*C33)*(AB33-tb_federalBrackets_lo*C33)*tb_federalBrackets_dr)</f>
        <v/>
      </c>
      <c r="AD33" s="7">
        <f>MAX(0,Y33-impuestos_nyDeduccion*C33)</f>
        <v/>
      </c>
      <c r="AE33" s="7">
        <f>CHOOSE(loc_taxcode,0,impuestos_ohTasa*MAX(0,Y33-impuestos_ohExento*C33)+impuestos_ohMunicipal*U33,SUMPRODUCT((AD33&gt;tb_nyBrackets_lo*C33)*(AD33-tb_nyBrackets_lo*C33)*tb_nyBrackets_dr)+loc_nyc*SUMPRODUCT((AD33&gt;tb_nycBrackets_lo*C33)*(AD33-tb_nycBrackets_lo*C33)*tb_nycBrackets_dr))</f>
        <v/>
      </c>
      <c r="AF33" s="7">
        <f>AC33+AE33+X33+W33</f>
        <v/>
      </c>
      <c r="AG33" s="7">
        <f>D33+F33+R33+T33+H33</f>
        <v/>
      </c>
      <c r="AH33" s="7">
        <f>AG33-AF33-O33</f>
        <v/>
      </c>
      <c r="AI33" s="7">
        <f>D33+F33+G33+H33</f>
        <v/>
      </c>
      <c r="AJ33" s="7">
        <f>loc_gastosVida*C33*g_gastos</f>
        <v/>
      </c>
      <c r="AK33" s="7">
        <f>IF(0=0,personal_liquidoInicial,DR32)</f>
        <v/>
      </c>
      <c r="AL33" s="7">
        <f>IF(0=0,0,BB32)</f>
        <v/>
      </c>
      <c r="AM33" s="7">
        <f>CHOOSE(sel_cfgIdx,loc_precio_duplex,loc_precio_inlaw,loc_precio_dosCasas,loc_precio_casaAdu,loc_precio_multi)</f>
        <v/>
      </c>
      <c r="AN33" s="7">
        <f>AM33*(1+g_appr)^(A33-2026)</f>
        <v/>
      </c>
      <c r="AO33" s="7">
        <f>IF(AND(M33=1,vivienda_prestamoMedico=1),1,0)</f>
        <v/>
      </c>
      <c r="AP33" s="7">
        <f>IF(AO33=1,0.05,vivienda_enganchePct)</f>
        <v/>
      </c>
      <c r="AQ33" s="7">
        <f>AN33*(1-AP33)</f>
        <v/>
      </c>
      <c r="AR33" s="7">
        <f>PMT(g_mortRate/12,vivienda_plazoHipoteca*12,-AQ33)</f>
        <v/>
      </c>
      <c r="AS33" s="7">
        <f>INDEX(cfg_units,sel_cfgIdx)</f>
        <v/>
      </c>
      <c r="AT33" s="7">
        <f>AS33*loc_rentaUnidad*(1+g_inf)^(A33-2026)*(1-vivienda_vacancia)</f>
        <v/>
      </c>
      <c r="AU33" s="7">
        <f>AR33+AN33*loc_impuestoPropPct/12+AM33*loc_seguroPct*(1+vivienda_inflacionSeguro)^(A33-2026)/12+IF(AND(AO33=0,AP33&lt;0.2),AQ33*vivienda_pmiTasa/12,0)</f>
        <v/>
      </c>
      <c r="AV33" s="7">
        <f>AN33*AP33+AN33*vivienda_cierrePct+general_reservaMeses/12*AJ33</f>
        <v/>
      </c>
      <c r="AW33" s="7">
        <f>(IF(0=0,MIN(personal_irsSaldo,personal_irsPagoMensual*12),MIN(CD32,personal_irsPagoMensual*12))+IF(CE33&gt;0,PMT(CF33,MAX(1,prestamos_plazoAnios-CG33),-CE33),0)+IF(CR33&gt;0,PMT(CS33,MAX(1,prestamos_plazoAnios-CT33),-CR33),0))/12</f>
        <v/>
      </c>
      <c r="AX33" s="7">
        <f>IF(OR(sel_cfg="duplex",sel_cfg="multi",sel_cfg="dosCasas"),0.75*personal_aporteFamiliaMensual,0)</f>
        <v/>
      </c>
      <c r="AY33" s="7">
        <f>AU33-0.75*AT33-AX33+AW33</f>
        <v/>
      </c>
      <c r="AZ33" s="7">
        <f>(D33+G33+H33+0.5*F33)/12</f>
        <v/>
      </c>
      <c r="BA33" s="7">
        <f>IF(AND(AL33=0,A33&gt;=vivienda_anioMinCompra,J33&lt;0.5,AI33&gt;0,AK33&gt;=AV33,AY33&lt;=vivienda_dtiMax*AZ33),1,0)</f>
        <v/>
      </c>
      <c r="BB33" s="7">
        <f>MAX(AL33,BA33)</f>
        <v/>
      </c>
      <c r="BC33" s="7">
        <f>IF(BA33=1,A33,IF(0=0,"",BC32))</f>
        <v/>
      </c>
      <c r="BD33" s="7">
        <f>AK33-IF(BA33=1,AN33*AP33+AN33*vivienda_cierrePct,0)</f>
        <v/>
      </c>
      <c r="BE33" s="7">
        <f>IF(BA33=1,AN33,IF(0=0,0,BE32))</f>
        <v/>
      </c>
      <c r="BF33" s="7">
        <f>IF(BA33=1,AR33,IF(0=0,0,BF32))</f>
        <v/>
      </c>
      <c r="BG33" s="7">
        <f>IF(BA33=1,IF(AND(AO33=0,AP33&lt;0.2),1,0),IF(0=0,0,BY32))</f>
        <v/>
      </c>
      <c r="BH33" s="7">
        <f>IF(sel_cfg="casaAdu",1,0)</f>
        <v/>
      </c>
      <c r="BI33" s="7">
        <f>IF(AND(BB33=1,BH33=1,IF(0=0,0,BJ32)=0,A33&gt;=IF(BC33="",9999,BC33)+vivienda_aduRetrasoAnios),1,0)</f>
        <v/>
      </c>
      <c r="BJ33" s="7">
        <f>MAX(IF(0=0,0,BJ32),BI33)</f>
        <v/>
      </c>
      <c r="BK33" s="7">
        <f>IF(BI33=1,PMT((g_mortRate+0.005)/12,180,-loc_precio_aduCosto*C33),IF(0=0,0,BK32))</f>
        <v/>
      </c>
      <c r="BL33" s="7">
        <f>IF(BA33=1,AN33,IF(0=0,0,DT32))+IF(BI33=1,loc_precio_aduCosto*C33,0)</f>
        <v/>
      </c>
      <c r="BM33" s="7">
        <f>IF(BA33=1,AQ33,IF(0=0,0,DU32))</f>
        <v/>
      </c>
      <c r="BN33" s="7">
        <f>IF(BM33&lt;=0,0,FV(g_mortRate/12,12,BF33,-BM33))</f>
        <v/>
      </c>
      <c r="BO33" s="7">
        <f>IF(BM33&lt;=0,0,12*BF33+MIN(0,BN33))</f>
        <v/>
      </c>
      <c r="BP33" s="7">
        <f>MAX(0,BN33)</f>
        <v/>
      </c>
      <c r="BQ33" s="7">
        <f>IF(BI33=1,loc_precio_aduCosto*C33,IF(0=0,0,DV32))</f>
        <v/>
      </c>
      <c r="BR33" s="7">
        <f>IF(BQ33&lt;=0,0,FV((g_mortRate+0.005)/12,12,BK33,-BQ33))</f>
        <v/>
      </c>
      <c r="BS33" s="7">
        <f>IF(BQ33&lt;=0,0,12*BK33+MIN(0,BR33))</f>
        <v/>
      </c>
      <c r="BT33" s="7">
        <f>MAX(0,BR33)</f>
        <v/>
      </c>
      <c r="BU33" s="7">
        <f>IF(BB33=1,AM33*loc_seguroPct*(1+vivienda_inflacionSeguro)^(A33-2026)*IF(BJ33=1,1+loc_precio_aduCosto/AM33,1),0)</f>
        <v/>
      </c>
      <c r="BV33" s="7">
        <f>BL33*loc_impuestoPropPct</f>
        <v/>
      </c>
      <c r="BW33" s="7">
        <f>BL33*vivienda_mantenimientoPct</f>
        <v/>
      </c>
      <c r="BX33" s="7">
        <f>IF(AND(BG33=1,BP33&gt;0.8*BE33),BE33*(1-vivienda_enganchePct)*vivienda_pmiTasa,0)</f>
        <v/>
      </c>
      <c r="BY33" s="7">
        <f>IF(AND(BG33=1,BP33&gt;0.8*BE33),1,0)</f>
        <v/>
      </c>
      <c r="BZ33" s="7">
        <f>IF(BB33=1,AS33*loc_rentaUnidad*12*C33*(1-vivienda_vacancia)*(1-vivienda_gestionPct),0)</f>
        <v/>
      </c>
      <c r="CA33" s="7">
        <f>IF(BB33=1,BO33+BS33+BU33+BV33+BW33+BX33,loc_rentaMensual*12*C33)</f>
        <v/>
      </c>
      <c r="CB33" s="7">
        <f>IF(BB33=1,personal_aporteFamiliaMensual*12,0)</f>
        <v/>
      </c>
      <c r="CC33" s="7">
        <f>MIN(IF(0=0,personal_irsSaldo,CD32),personal_irsPagoMensual*12)</f>
        <v/>
      </c>
      <c r="CD33" s="7">
        <f>IF(0=0,personal_irsSaldo,CD32)-CC33</f>
        <v/>
      </c>
      <c r="CE33" s="7">
        <f>IF(0=0,IF(personal_deudaEsFederal=1,personal_deudaEstudiantil,0),DW32)</f>
        <v/>
      </c>
      <c r="CF33" s="7">
        <f>IF(0=0,personal_tasaDeudaEstudiantil,DX32)</f>
        <v/>
      </c>
      <c r="CG33" s="7">
        <f>IF(0=0,0,DY32)</f>
        <v/>
      </c>
      <c r="CH33" s="7">
        <f>IF(J33&gt;=0.5,1,0)</f>
        <v/>
      </c>
      <c r="CI33" s="7">
        <f>IF(AND(CH33=0,prestamos_pslfActivo=1,K33&gt;=0.5,CE33&gt;0),1,0)</f>
        <v/>
      </c>
      <c r="CJ33" s="7">
        <f>CE33*CF33</f>
        <v/>
      </c>
      <c r="CK33" s="7">
        <f>MAX(prestamos_rapPagoMinimoAnual,IF(Y33&lt;10000,0,MIN(0.1,INT(Y33/10000)/100))*Y33)</f>
        <v/>
      </c>
      <c r="CL33" s="7">
        <f>IF(CE33&lt;=0,0,IF(CH33=1,0,IF(CI33=1,MIN(CE33+CJ33,CK33),PMT(CF33,MAX(1,prestamos_plazoAnios-CG33),-CE33))))</f>
        <v/>
      </c>
      <c r="CM33" s="7">
        <f>IF(CE33&lt;=0,0,IF(CH33=1,CE33+CJ33,IF(CI33=1,MAX(0,CE33-MAX(CL33-CJ33,MIN(600,CL33))),MAX(0,CE33*(1+CF33)-CL33))))</f>
        <v/>
      </c>
      <c r="CN33" s="7">
        <f>IF(0=0,0,CN32)+IF(CI33=1,12*MIN(1,K33),0)</f>
        <v/>
      </c>
      <c r="CO33" s="7">
        <f>IF(AND(CI33=1,CN33&gt;=prestamos_pslfPagos,CM33&gt;0),CM33,0)</f>
        <v/>
      </c>
      <c r="CP33" s="7">
        <f>CM33-CO33</f>
        <v/>
      </c>
      <c r="CQ33" s="7">
        <f>IF(AND(CE33&gt;0,CH33=0,CI33=0),CG33+1,CG33)</f>
        <v/>
      </c>
      <c r="CR33" s="7">
        <f>IF(0=0,IF(personal_deudaEsFederal=1,0,personal_deudaEstudiantil),EA32)</f>
        <v/>
      </c>
      <c r="CS33" s="7">
        <f>IF(0=0,IF(personal_deudaEsFederal=1,prestamos_tasaPrivada,personal_tasaDeudaEstudiantil),EB32)</f>
        <v/>
      </c>
      <c r="CT33" s="7">
        <f>IF(0=0,0,EC32)</f>
        <v/>
      </c>
      <c r="CU33" s="7">
        <f>IF(OR(CR33&lt;=0,CH33=1),0,PMT(CS33,MAX(1,prestamos_plazoAnios-CT33),-CR33))</f>
        <v/>
      </c>
      <c r="CV33" s="7">
        <f>IF(CR33&lt;=0,0,IF(CH33=1,CR33*(1+CS33),MAX(0,CR33*(1+CS33)-CU33)))</f>
        <v/>
      </c>
      <c r="CW33" s="7">
        <f>IF(AND(CR33&gt;0,CH33=0),CT33+1,CT33)</f>
        <v/>
      </c>
      <c r="CX33" s="7">
        <f>IF(0=0,0,ED32)*(1+general_tasaDeudaConsumo)</f>
        <v/>
      </c>
      <c r="CY33" s="7">
        <f>L33*12*tiempos_travelGastoExtraMes*C33</f>
        <v/>
      </c>
      <c r="CZ33" s="7">
        <f>AJ33+CY33+CA33+CC33+CL33+CU33+I33+N33-BZ33-CB33</f>
        <v/>
      </c>
      <c r="DA33" s="7">
        <f>AH33-CZ33</f>
        <v/>
      </c>
      <c r="DB33" s="7">
        <f>IF(0=0,0,DB32)+DA33</f>
        <v/>
      </c>
      <c r="DC33" s="7">
        <f>AN33*vivienda_enganchePct+AN33*vivienda_cierrePct+general_reservaMeses/12*AJ33</f>
        <v/>
      </c>
      <c r="DD33" s="7">
        <f>IF(BB33=1,g_ret,IF(BD33&gt;0,MIN(1,DC33/BD33),1)*g_cash+(1-IF(BD33&gt;0,MIN(1,DC33/BD33),1))*g_ret)</f>
        <v/>
      </c>
      <c r="DE33" s="7">
        <f>IF(DA33&gt;=0,MIN(CX33,DA33),0)</f>
        <v/>
      </c>
      <c r="DF33" s="7">
        <f>IF(DA33&gt;=0,(1-general_tasaAhorro)*(DA33-DE33),0)</f>
        <v/>
      </c>
      <c r="DG33" s="7">
        <f>IF(DA33&gt;=0,DA33-DE33-DF33,0)</f>
        <v/>
      </c>
      <c r="DH33" s="7">
        <f>MIN(personal_rothAnual,DG33)</f>
        <v/>
      </c>
      <c r="DI33" s="7">
        <f>IF(AND(DA33&gt;=0,BB33=1,BP33+BT33&gt;0),MIN(vivienda_prepagoPct*(DG33-DH33),BP33+BT33),0)</f>
        <v/>
      </c>
      <c r="DJ33" s="7">
        <f>MIN(DI33,BP33)</f>
        <v/>
      </c>
      <c r="DK33" s="7">
        <f>IF(DA33&lt;0,MIN(MAX(0,BD33),-DA33),0)</f>
        <v/>
      </c>
      <c r="DL33" s="7">
        <f>IF(DA33&lt;0,-DA33-DK33,0)</f>
        <v/>
      </c>
      <c r="DM33" s="7">
        <f>IF(0=0,0,DZ32)</f>
        <v/>
      </c>
      <c r="DN33" s="7">
        <f>IF(AND(DL33&gt;0,J33&gt;0),MIN(DL33,MIN(prestamos_topeAnualPosgrado*MIN(1,J33),MAX(0,prestamos_topeTotalPosgrado-DM33))),0)</f>
        <v/>
      </c>
      <c r="DO33" s="7">
        <f>IF(AND(DL33&gt;0,J33&gt;0),DL33-DN33,0)</f>
        <v/>
      </c>
      <c r="DP33" s="7">
        <f>IF(AND(DL33&gt;0,J33&lt;=0),DL33,0)</f>
        <v/>
      </c>
      <c r="DQ33" s="7">
        <f>IF(DA33&gt;=0,DG33-DH33-DI33,-DK33)</f>
        <v/>
      </c>
      <c r="DR33" s="7">
        <f>BD33*(1+DD33)+DQ33*(1+DD33/2)</f>
        <v/>
      </c>
      <c r="DS33" s="7">
        <f>IF(0=0,personal_retiroInicial,DS32)*(1+g_ret)+(O33+P33+DH33)*(1+g_ret/2)</f>
        <v/>
      </c>
      <c r="DT33" s="7">
        <f>IF(BB33=1,BL33*(1+g_appr),0)</f>
        <v/>
      </c>
      <c r="DU33" s="7">
        <f>BP33-DJ33</f>
        <v/>
      </c>
      <c r="DV33" s="7">
        <f>BT33-(DI33-DJ33)</f>
        <v/>
      </c>
      <c r="DW33" s="7">
        <f>CP33+DN33</f>
        <v/>
      </c>
      <c r="DX33" s="7">
        <f>IF(DN33&gt;0,(CP33*CF33+DN33*prestamos_tasaFederalPosgrado)/(CP33+DN33),CF33)</f>
        <v/>
      </c>
      <c r="DY33" s="7">
        <f>IF(DN33&gt;0,0,CQ33)</f>
        <v/>
      </c>
      <c r="DZ33" s="7">
        <f>DM33+DN33</f>
        <v/>
      </c>
      <c r="EA33" s="7">
        <f>CV33+DO33</f>
        <v/>
      </c>
      <c r="EB33" s="7">
        <f>IF(DO33&gt;0,(CV33*CS33+DO33*prestamos_tasaPrivada)/(CV33+DO33),CS33)</f>
        <v/>
      </c>
      <c r="EC33" s="7">
        <f>IF(DO33&gt;0,0,CW33)</f>
        <v/>
      </c>
      <c r="ED33" s="7">
        <f>CX33-DE33+DP33</f>
        <v/>
      </c>
      <c r="EE33" s="7">
        <f>IF(IF(0=0,"",EE32)&lt;&gt;"",EE32,IF(AND(BB33=1,DU33&lt;=0.5,DV33&lt;=0.5,OR(BH33=0,BJ33=1)),A33,""))</f>
        <v/>
      </c>
      <c r="EF33" s="7">
        <f>DU33+DV33+DW33+EA33+ED33+CD33</f>
        <v/>
      </c>
      <c r="EG33" s="7">
        <f>DR33+DS33+DT33-EF33</f>
        <v/>
      </c>
      <c r="EH33" s="7">
        <f>EG33/(1+g_inf)^(A33+1-2026)</f>
        <v/>
      </c>
    </row>
    <row r="34">
      <c r="A34" t="n">
        <v>2028</v>
      </c>
      <c r="B34" t="n">
        <v>1</v>
      </c>
      <c r="C34" s="7">
        <f>(1+g_inf)^(A34-2026)</f>
        <v/>
      </c>
      <c r="D34" s="7">
        <f>SUMPRODUCT($U$5:$U$29,$E$5:$E$29*(1+$F$5:$F$29)^(A34-2026)*$G$5:$G$29*$H$5:$H$29*(1-$N$5:$N$29*$O$5:$O$29))*g_salMult+SUMPRODUCT(($B$5:$B$29&gt;=A34)*($B$5:$B$29&lt;A34+1)*$I$5:$I$29)*g_salMult</f>
        <v/>
      </c>
      <c r="E34" s="7">
        <f>SUMPRODUCT($U$5:$U$29,$E$5:$E$29*(1+$F$5:$F$29)^(A34-2026)*$G$5:$G$29*$H$5:$H$29*$M$5:$M$29)*g_salMult</f>
        <v/>
      </c>
      <c r="F34" s="7">
        <f>SUMPRODUCT($U$5:$U$29,$E$5:$E$29*(1+$F$5:$F$29)^(A34-2026)*$G$5:$G$29*$H$5:$H$29*$N$5:$N$29*$O$5:$O$29)*g_salMult</f>
        <v/>
      </c>
      <c r="G34" s="7">
        <f>SUMPRODUCT($U$5:$U$29,$P$5:$P$29*(1+$F$5:$F$29)^(A34-2026))</f>
        <v/>
      </c>
      <c r="H34" s="7">
        <f>SUMPRODUCT($U$5:$U$29,$Q$5:$Q$29*(1+$F$5:$F$29)^(A34-2026))+IF(personal_llcActivo=1,personal_llcNeto*(1+personal_llcCrecimiento)^1,0)</f>
        <v/>
      </c>
      <c r="I34" s="7">
        <f>SUMPRODUCT($U$5:$U$29,$J$5:$J$29/($C$5:$C$29-$B$5:$B$29+($C$5:$C$29=$B$5:$B$29)))*C34</f>
        <v/>
      </c>
      <c r="J34" s="7">
        <f>SUMPRODUCT($U$5:$U$29,$K$5:$K$29)</f>
        <v/>
      </c>
      <c r="K34" s="7">
        <f>SUMPRODUCT($U$5:$U$29,$L$5:$L$29)</f>
        <v/>
      </c>
      <c r="L34" s="7">
        <f>SUMPRODUCT($U$5:$U$29,$N$5:$N$29)</f>
        <v/>
      </c>
      <c r="M34" s="7">
        <f>IF(SUMPRODUCT($U$5:$U$29,$R$5:$R$29)&gt;0,1,0)</f>
        <v/>
      </c>
      <c r="N34" s="7">
        <f>SUMPRODUCT(($AO$5:$AO$24&gt;=A34)*($AO$5:$AO$24&lt;A34+1)*$AP$5:$AP$24)*C34+IF(1=0,IF(sel_loc&lt;&gt;"miami",personal_costoMudanzaInicial,0),0)</f>
        <v/>
      </c>
      <c r="O34" s="7">
        <f>MIN(personal_aporte403bPct*D34,retiro_limite403b*C34)</f>
        <v/>
      </c>
      <c r="P34" s="7">
        <f>MIN(personal_aporte403bPct,personal_match403bPct)*E34</f>
        <v/>
      </c>
      <c r="Q34" s="7">
        <f>IF(G34&gt;0,MAX(0,G34-impuestos_scorpCostoAnual*C34),0)</f>
        <v/>
      </c>
      <c r="R34" s="7">
        <f>Q34*impuestos_scorpSalarioPct/(1+impuestos_ssTasa+impuestos_medicareTasa)</f>
        <v/>
      </c>
      <c r="S34" s="7">
        <f>impuestos_ssTasa*MIN(R34,MAX(0,impuestos_ssTope*C34-D34))+impuestos_medicareTasa*R34</f>
        <v/>
      </c>
      <c r="T34" s="7">
        <f>Q34-R34-S34</f>
        <v/>
      </c>
      <c r="U34" s="7">
        <f>D34+R34</f>
        <v/>
      </c>
      <c r="V34" s="7">
        <f>H34*0.9235</f>
        <v/>
      </c>
      <c r="W34" s="7">
        <f>IF(H34&gt;0,2*impuestos_ssTasa*MIN(V34,MAX(0,impuestos_ssTope*C34-U34))+2*impuestos_medicareTasa*V34,0)</f>
        <v/>
      </c>
      <c r="X34" s="7">
        <f>impuestos_ssTasa*MIN(U34,impuestos_ssTope*C34)+impuestos_medicareTasa*U34+impuestos_medicareAdicional*MAX(0,U34+H34*0.9235-impuestos_medicareUmbral)</f>
        <v/>
      </c>
      <c r="Y34" s="7">
        <f>MAX(0,D34-O34+R34+T34+H34-W34/2)</f>
        <v/>
      </c>
      <c r="Z34" s="7">
        <f>MAX(0,Y34-impuestos_deduccionEstandar*C34)</f>
        <v/>
      </c>
      <c r="AA34" s="7">
        <f>MIN(0.2*MAX(0,T34+H34-W34/2)*MAX(0,MIN(1,1-(Z34-impuestos_qbiUmbral*C34)/(impuestos_qbiRango*C34))),0.2*Z34)</f>
        <v/>
      </c>
      <c r="AB34" s="7">
        <f>MAX(0,Z34-AA34)</f>
        <v/>
      </c>
      <c r="AC34" s="7">
        <f>SUMPRODUCT((AB34&gt;tb_federalBrackets_lo*C34)*(AB34-tb_federalBrackets_lo*C34)*tb_federalBrackets_dr)</f>
        <v/>
      </c>
      <c r="AD34" s="7">
        <f>MAX(0,Y34-impuestos_nyDeduccion*C34)</f>
        <v/>
      </c>
      <c r="AE34" s="7">
        <f>CHOOSE(loc_taxcode,0,impuestos_ohTasa*MAX(0,Y34-impuestos_ohExento*C34)+impuestos_ohMunicipal*U34,SUMPRODUCT((AD34&gt;tb_nyBrackets_lo*C34)*(AD34-tb_nyBrackets_lo*C34)*tb_nyBrackets_dr)+loc_nyc*SUMPRODUCT((AD34&gt;tb_nycBrackets_lo*C34)*(AD34-tb_nycBrackets_lo*C34)*tb_nycBrackets_dr))</f>
        <v/>
      </c>
      <c r="AF34" s="7">
        <f>AC34+AE34+X34+W34</f>
        <v/>
      </c>
      <c r="AG34" s="7">
        <f>D34+F34+R34+T34+H34</f>
        <v/>
      </c>
      <c r="AH34" s="7">
        <f>AG34-AF34-O34</f>
        <v/>
      </c>
      <c r="AI34" s="7">
        <f>D34+F34+G34+H34</f>
        <v/>
      </c>
      <c r="AJ34" s="7">
        <f>loc_gastosVida*C34*g_gastos</f>
        <v/>
      </c>
      <c r="AK34" s="7">
        <f>IF(1=0,personal_liquidoInicial,DR33)</f>
        <v/>
      </c>
      <c r="AL34" s="7">
        <f>IF(1=0,0,BB33)</f>
        <v/>
      </c>
      <c r="AM34" s="7">
        <f>CHOOSE(sel_cfgIdx,loc_precio_duplex,loc_precio_inlaw,loc_precio_dosCasas,loc_precio_casaAdu,loc_precio_multi)</f>
        <v/>
      </c>
      <c r="AN34" s="7">
        <f>AM34*(1+g_appr)^(A34-2026)</f>
        <v/>
      </c>
      <c r="AO34" s="7">
        <f>IF(AND(M34=1,vivienda_prestamoMedico=1),1,0)</f>
        <v/>
      </c>
      <c r="AP34" s="7">
        <f>IF(AO34=1,0.05,vivienda_enganchePct)</f>
        <v/>
      </c>
      <c r="AQ34" s="7">
        <f>AN34*(1-AP34)</f>
        <v/>
      </c>
      <c r="AR34" s="7">
        <f>PMT(g_mortRate/12,vivienda_plazoHipoteca*12,-AQ34)</f>
        <v/>
      </c>
      <c r="AS34" s="7">
        <f>INDEX(cfg_units,sel_cfgIdx)</f>
        <v/>
      </c>
      <c r="AT34" s="7">
        <f>AS34*loc_rentaUnidad*(1+g_inf)^(A34-2026)*(1-vivienda_vacancia)</f>
        <v/>
      </c>
      <c r="AU34" s="7">
        <f>AR34+AN34*loc_impuestoPropPct/12+AM34*loc_seguroPct*(1+vivienda_inflacionSeguro)^(A34-2026)/12+IF(AND(AO34=0,AP34&lt;0.2),AQ34*vivienda_pmiTasa/12,0)</f>
        <v/>
      </c>
      <c r="AV34" s="7">
        <f>AN34*AP34+AN34*vivienda_cierrePct+general_reservaMeses/12*AJ34</f>
        <v/>
      </c>
      <c r="AW34" s="7">
        <f>(IF(1=0,MIN(personal_irsSaldo,personal_irsPagoMensual*12),MIN(CD33,personal_irsPagoMensual*12))+IF(CE34&gt;0,PMT(CF34,MAX(1,prestamos_plazoAnios-CG34),-CE34),0)+IF(CR34&gt;0,PMT(CS34,MAX(1,prestamos_plazoAnios-CT34),-CR34),0))/12</f>
        <v/>
      </c>
      <c r="AX34" s="7">
        <f>IF(OR(sel_cfg="duplex",sel_cfg="multi",sel_cfg="dosCasas"),0.75*personal_aporteFamiliaMensual,0)</f>
        <v/>
      </c>
      <c r="AY34" s="7">
        <f>AU34-0.75*AT34-AX34+AW34</f>
        <v/>
      </c>
      <c r="AZ34" s="7">
        <f>(D34+G34+H34+0.5*F34)/12</f>
        <v/>
      </c>
      <c r="BA34" s="7">
        <f>IF(AND(AL34=0,A34&gt;=vivienda_anioMinCompra,J34&lt;0.5,AI34&gt;0,AK34&gt;=AV34,AY34&lt;=vivienda_dtiMax*AZ34),1,0)</f>
        <v/>
      </c>
      <c r="BB34" s="7">
        <f>MAX(AL34,BA34)</f>
        <v/>
      </c>
      <c r="BC34" s="7">
        <f>IF(BA34=1,A34,IF(1=0,"",BC33))</f>
        <v/>
      </c>
      <c r="BD34" s="7">
        <f>AK34-IF(BA34=1,AN34*AP34+AN34*vivienda_cierrePct,0)</f>
        <v/>
      </c>
      <c r="BE34" s="7">
        <f>IF(BA34=1,AN34,IF(1=0,0,BE33))</f>
        <v/>
      </c>
      <c r="BF34" s="7">
        <f>IF(BA34=1,AR34,IF(1=0,0,BF33))</f>
        <v/>
      </c>
      <c r="BG34" s="7">
        <f>IF(BA34=1,IF(AND(AO34=0,AP34&lt;0.2),1,0),IF(1=0,0,BY33))</f>
        <v/>
      </c>
      <c r="BH34" s="7">
        <f>IF(sel_cfg="casaAdu",1,0)</f>
        <v/>
      </c>
      <c r="BI34" s="7">
        <f>IF(AND(BB34=1,BH34=1,IF(1=0,0,BJ33)=0,A34&gt;=IF(BC34="",9999,BC34)+vivienda_aduRetrasoAnios),1,0)</f>
        <v/>
      </c>
      <c r="BJ34" s="7">
        <f>MAX(IF(1=0,0,BJ33),BI34)</f>
        <v/>
      </c>
      <c r="BK34" s="7">
        <f>IF(BI34=1,PMT((g_mortRate+0.005)/12,180,-loc_precio_aduCosto*C34),IF(1=0,0,BK33))</f>
        <v/>
      </c>
      <c r="BL34" s="7">
        <f>IF(BA34=1,AN34,IF(1=0,0,DT33))+IF(BI34=1,loc_precio_aduCosto*C34,0)</f>
        <v/>
      </c>
      <c r="BM34" s="7">
        <f>IF(BA34=1,AQ34,IF(1=0,0,DU33))</f>
        <v/>
      </c>
      <c r="BN34" s="7">
        <f>IF(BM34&lt;=0,0,FV(g_mortRate/12,12,BF34,-BM34))</f>
        <v/>
      </c>
      <c r="BO34" s="7">
        <f>IF(BM34&lt;=0,0,12*BF34+MIN(0,BN34))</f>
        <v/>
      </c>
      <c r="BP34" s="7">
        <f>MAX(0,BN34)</f>
        <v/>
      </c>
      <c r="BQ34" s="7">
        <f>IF(BI34=1,loc_precio_aduCosto*C34,IF(1=0,0,DV33))</f>
        <v/>
      </c>
      <c r="BR34" s="7">
        <f>IF(BQ34&lt;=0,0,FV((g_mortRate+0.005)/12,12,BK34,-BQ34))</f>
        <v/>
      </c>
      <c r="BS34" s="7">
        <f>IF(BQ34&lt;=0,0,12*BK34+MIN(0,BR34))</f>
        <v/>
      </c>
      <c r="BT34" s="7">
        <f>MAX(0,BR34)</f>
        <v/>
      </c>
      <c r="BU34" s="7">
        <f>IF(BB34=1,AM34*loc_seguroPct*(1+vivienda_inflacionSeguro)^(A34-2026)*IF(BJ34=1,1+loc_precio_aduCosto/AM34,1),0)</f>
        <v/>
      </c>
      <c r="BV34" s="7">
        <f>BL34*loc_impuestoPropPct</f>
        <v/>
      </c>
      <c r="BW34" s="7">
        <f>BL34*vivienda_mantenimientoPct</f>
        <v/>
      </c>
      <c r="BX34" s="7">
        <f>IF(AND(BG34=1,BP34&gt;0.8*BE34),BE34*(1-vivienda_enganchePct)*vivienda_pmiTasa,0)</f>
        <v/>
      </c>
      <c r="BY34" s="7">
        <f>IF(AND(BG34=1,BP34&gt;0.8*BE34),1,0)</f>
        <v/>
      </c>
      <c r="BZ34" s="7">
        <f>IF(BB34=1,AS34*loc_rentaUnidad*12*C34*(1-vivienda_vacancia)*(1-vivienda_gestionPct),0)</f>
        <v/>
      </c>
      <c r="CA34" s="7">
        <f>IF(BB34=1,BO34+BS34+BU34+BV34+BW34+BX34,loc_rentaMensual*12*C34)</f>
        <v/>
      </c>
      <c r="CB34" s="7">
        <f>IF(BB34=1,personal_aporteFamiliaMensual*12,0)</f>
        <v/>
      </c>
      <c r="CC34" s="7">
        <f>MIN(IF(1=0,personal_irsSaldo,CD33),personal_irsPagoMensual*12)</f>
        <v/>
      </c>
      <c r="CD34" s="7">
        <f>IF(1=0,personal_irsSaldo,CD33)-CC34</f>
        <v/>
      </c>
      <c r="CE34" s="7">
        <f>IF(1=0,IF(personal_deudaEsFederal=1,personal_deudaEstudiantil,0),DW33)</f>
        <v/>
      </c>
      <c r="CF34" s="7">
        <f>IF(1=0,personal_tasaDeudaEstudiantil,DX33)</f>
        <v/>
      </c>
      <c r="CG34" s="7">
        <f>IF(1=0,0,DY33)</f>
        <v/>
      </c>
      <c r="CH34" s="7">
        <f>IF(J34&gt;=0.5,1,0)</f>
        <v/>
      </c>
      <c r="CI34" s="7">
        <f>IF(AND(CH34=0,prestamos_pslfActivo=1,K34&gt;=0.5,CE34&gt;0),1,0)</f>
        <v/>
      </c>
      <c r="CJ34" s="7">
        <f>CE34*CF34</f>
        <v/>
      </c>
      <c r="CK34" s="7">
        <f>MAX(prestamos_rapPagoMinimoAnual,IF(Y34&lt;10000,0,MIN(0.1,INT(Y34/10000)/100))*Y34)</f>
        <v/>
      </c>
      <c r="CL34" s="7">
        <f>IF(CE34&lt;=0,0,IF(CH34=1,0,IF(CI34=1,MIN(CE34+CJ34,CK34),PMT(CF34,MAX(1,prestamos_plazoAnios-CG34),-CE34))))</f>
        <v/>
      </c>
      <c r="CM34" s="7">
        <f>IF(CE34&lt;=0,0,IF(CH34=1,CE34+CJ34,IF(CI34=1,MAX(0,CE34-MAX(CL34-CJ34,MIN(600,CL34))),MAX(0,CE34*(1+CF34)-CL34))))</f>
        <v/>
      </c>
      <c r="CN34" s="7">
        <f>IF(1=0,0,CN33)+IF(CI34=1,12*MIN(1,K34),0)</f>
        <v/>
      </c>
      <c r="CO34" s="7">
        <f>IF(AND(CI34=1,CN34&gt;=prestamos_pslfPagos,CM34&gt;0),CM34,0)</f>
        <v/>
      </c>
      <c r="CP34" s="7">
        <f>CM34-CO34</f>
        <v/>
      </c>
      <c r="CQ34" s="7">
        <f>IF(AND(CE34&gt;0,CH34=0,CI34=0),CG34+1,CG34)</f>
        <v/>
      </c>
      <c r="CR34" s="7">
        <f>IF(1=0,IF(personal_deudaEsFederal=1,0,personal_deudaEstudiantil),EA33)</f>
        <v/>
      </c>
      <c r="CS34" s="7">
        <f>IF(1=0,IF(personal_deudaEsFederal=1,prestamos_tasaPrivada,personal_tasaDeudaEstudiantil),EB33)</f>
        <v/>
      </c>
      <c r="CT34" s="7">
        <f>IF(1=0,0,EC33)</f>
        <v/>
      </c>
      <c r="CU34" s="7">
        <f>IF(OR(CR34&lt;=0,CH34=1),0,PMT(CS34,MAX(1,prestamos_plazoAnios-CT34),-CR34))</f>
        <v/>
      </c>
      <c r="CV34" s="7">
        <f>IF(CR34&lt;=0,0,IF(CH34=1,CR34*(1+CS34),MAX(0,CR34*(1+CS34)-CU34)))</f>
        <v/>
      </c>
      <c r="CW34" s="7">
        <f>IF(AND(CR34&gt;0,CH34=0),CT34+1,CT34)</f>
        <v/>
      </c>
      <c r="CX34" s="7">
        <f>IF(1=0,0,ED33)*(1+general_tasaDeudaConsumo)</f>
        <v/>
      </c>
      <c r="CY34" s="7">
        <f>L34*12*tiempos_travelGastoExtraMes*C34</f>
        <v/>
      </c>
      <c r="CZ34" s="7">
        <f>AJ34+CY34+CA34+CC34+CL34+CU34+I34+N34-BZ34-CB34</f>
        <v/>
      </c>
      <c r="DA34" s="7">
        <f>AH34-CZ34</f>
        <v/>
      </c>
      <c r="DB34" s="7">
        <f>IF(1=0,0,DB33)+DA34</f>
        <v/>
      </c>
      <c r="DC34" s="7">
        <f>AN34*vivienda_enganchePct+AN34*vivienda_cierrePct+general_reservaMeses/12*AJ34</f>
        <v/>
      </c>
      <c r="DD34" s="7">
        <f>IF(BB34=1,g_ret,IF(BD34&gt;0,MIN(1,DC34/BD34),1)*g_cash+(1-IF(BD34&gt;0,MIN(1,DC34/BD34),1))*g_ret)</f>
        <v/>
      </c>
      <c r="DE34" s="7">
        <f>IF(DA34&gt;=0,MIN(CX34,DA34),0)</f>
        <v/>
      </c>
      <c r="DF34" s="7">
        <f>IF(DA34&gt;=0,(1-general_tasaAhorro)*(DA34-DE34),0)</f>
        <v/>
      </c>
      <c r="DG34" s="7">
        <f>IF(DA34&gt;=0,DA34-DE34-DF34,0)</f>
        <v/>
      </c>
      <c r="DH34" s="7">
        <f>MIN(personal_rothAnual,DG34)</f>
        <v/>
      </c>
      <c r="DI34" s="7">
        <f>IF(AND(DA34&gt;=0,BB34=1,BP34+BT34&gt;0),MIN(vivienda_prepagoPct*(DG34-DH34),BP34+BT34),0)</f>
        <v/>
      </c>
      <c r="DJ34" s="7">
        <f>MIN(DI34,BP34)</f>
        <v/>
      </c>
      <c r="DK34" s="7">
        <f>IF(DA34&lt;0,MIN(MAX(0,BD34),-DA34),0)</f>
        <v/>
      </c>
      <c r="DL34" s="7">
        <f>IF(DA34&lt;0,-DA34-DK34,0)</f>
        <v/>
      </c>
      <c r="DM34" s="7">
        <f>IF(1=0,0,DZ33)</f>
        <v/>
      </c>
      <c r="DN34" s="7">
        <f>IF(AND(DL34&gt;0,J34&gt;0),MIN(DL34,MIN(prestamos_topeAnualPosgrado*MIN(1,J34),MAX(0,prestamos_topeTotalPosgrado-DM34))),0)</f>
        <v/>
      </c>
      <c r="DO34" s="7">
        <f>IF(AND(DL34&gt;0,J34&gt;0),DL34-DN34,0)</f>
        <v/>
      </c>
      <c r="DP34" s="7">
        <f>IF(AND(DL34&gt;0,J34&lt;=0),DL34,0)</f>
        <v/>
      </c>
      <c r="DQ34" s="7">
        <f>IF(DA34&gt;=0,DG34-DH34-DI34,-DK34)</f>
        <v/>
      </c>
      <c r="DR34" s="7">
        <f>BD34*(1+DD34)+DQ34*(1+DD34/2)</f>
        <v/>
      </c>
      <c r="DS34" s="7">
        <f>IF(1=0,personal_retiroInicial,DS33)*(1+g_ret)+(O34+P34+DH34)*(1+g_ret/2)</f>
        <v/>
      </c>
      <c r="DT34" s="7">
        <f>IF(BB34=1,BL34*(1+g_appr),0)</f>
        <v/>
      </c>
      <c r="DU34" s="7">
        <f>BP34-DJ34</f>
        <v/>
      </c>
      <c r="DV34" s="7">
        <f>BT34-(DI34-DJ34)</f>
        <v/>
      </c>
      <c r="DW34" s="7">
        <f>CP34+DN34</f>
        <v/>
      </c>
      <c r="DX34" s="7">
        <f>IF(DN34&gt;0,(CP34*CF34+DN34*prestamos_tasaFederalPosgrado)/(CP34+DN34),CF34)</f>
        <v/>
      </c>
      <c r="DY34" s="7">
        <f>IF(DN34&gt;0,0,CQ34)</f>
        <v/>
      </c>
      <c r="DZ34" s="7">
        <f>DM34+DN34</f>
        <v/>
      </c>
      <c r="EA34" s="7">
        <f>CV34+DO34</f>
        <v/>
      </c>
      <c r="EB34" s="7">
        <f>IF(DO34&gt;0,(CV34*CS34+DO34*prestamos_tasaPrivada)/(CV34+DO34),CS34)</f>
        <v/>
      </c>
      <c r="EC34" s="7">
        <f>IF(DO34&gt;0,0,CW34)</f>
        <v/>
      </c>
      <c r="ED34" s="7">
        <f>CX34-DE34+DP34</f>
        <v/>
      </c>
      <c r="EE34" s="7">
        <f>IF(IF(1=0,"",EE33)&lt;&gt;"",EE33,IF(AND(BB34=1,DU34&lt;=0.5,DV34&lt;=0.5,OR(BH34=0,BJ34=1)),A34,""))</f>
        <v/>
      </c>
      <c r="EF34" s="7">
        <f>DU34+DV34+DW34+EA34+ED34+CD34</f>
        <v/>
      </c>
      <c r="EG34" s="7">
        <f>DR34+DS34+DT34-EF34</f>
        <v/>
      </c>
      <c r="EH34" s="7">
        <f>EG34/(1+g_inf)^(A34+1-2026)</f>
        <v/>
      </c>
    </row>
    <row r="35">
      <c r="A35" t="n">
        <v>2029</v>
      </c>
      <c r="B35" t="n">
        <v>2</v>
      </c>
      <c r="C35" s="7">
        <f>(1+g_inf)^(A35-2026)</f>
        <v/>
      </c>
      <c r="D35" s="7">
        <f>SUMPRODUCT($V$5:$V$29,$E$5:$E$29*(1+$F$5:$F$29)^(A35-2026)*$G$5:$G$29*$H$5:$H$29*(1-$N$5:$N$29*$O$5:$O$29))*g_salMult+SUMPRODUCT(($B$5:$B$29&gt;=A35)*($B$5:$B$29&lt;A35+1)*$I$5:$I$29)*g_salMult</f>
        <v/>
      </c>
      <c r="E35" s="7">
        <f>SUMPRODUCT($V$5:$V$29,$E$5:$E$29*(1+$F$5:$F$29)^(A35-2026)*$G$5:$G$29*$H$5:$H$29*$M$5:$M$29)*g_salMult</f>
        <v/>
      </c>
      <c r="F35" s="7">
        <f>SUMPRODUCT($V$5:$V$29,$E$5:$E$29*(1+$F$5:$F$29)^(A35-2026)*$G$5:$G$29*$H$5:$H$29*$N$5:$N$29*$O$5:$O$29)*g_salMult</f>
        <v/>
      </c>
      <c r="G35" s="7">
        <f>SUMPRODUCT($V$5:$V$29,$P$5:$P$29*(1+$F$5:$F$29)^(A35-2026))</f>
        <v/>
      </c>
      <c r="H35" s="7">
        <f>SUMPRODUCT($V$5:$V$29,$Q$5:$Q$29*(1+$F$5:$F$29)^(A35-2026))+IF(personal_llcActivo=1,personal_llcNeto*(1+personal_llcCrecimiento)^2,0)</f>
        <v/>
      </c>
      <c r="I35" s="7">
        <f>SUMPRODUCT($V$5:$V$29,$J$5:$J$29/($C$5:$C$29-$B$5:$B$29+($C$5:$C$29=$B$5:$B$29)))*C35</f>
        <v/>
      </c>
      <c r="J35" s="7">
        <f>SUMPRODUCT($V$5:$V$29,$K$5:$K$29)</f>
        <v/>
      </c>
      <c r="K35" s="7">
        <f>SUMPRODUCT($V$5:$V$29,$L$5:$L$29)</f>
        <v/>
      </c>
      <c r="L35" s="7">
        <f>SUMPRODUCT($V$5:$V$29,$N$5:$N$29)</f>
        <v/>
      </c>
      <c r="M35" s="7">
        <f>IF(SUMPRODUCT($V$5:$V$29,$R$5:$R$29)&gt;0,1,0)</f>
        <v/>
      </c>
      <c r="N35" s="7">
        <f>SUMPRODUCT(($AO$5:$AO$24&gt;=A35)*($AO$5:$AO$24&lt;A35+1)*$AP$5:$AP$24)*C35+IF(2=0,IF(sel_loc&lt;&gt;"miami",personal_costoMudanzaInicial,0),0)</f>
        <v/>
      </c>
      <c r="O35" s="7">
        <f>MIN(personal_aporte403bPct*D35,retiro_limite403b*C35)</f>
        <v/>
      </c>
      <c r="P35" s="7">
        <f>MIN(personal_aporte403bPct,personal_match403bPct)*E35</f>
        <v/>
      </c>
      <c r="Q35" s="7">
        <f>IF(G35&gt;0,MAX(0,G35-impuestos_scorpCostoAnual*C35),0)</f>
        <v/>
      </c>
      <c r="R35" s="7">
        <f>Q35*impuestos_scorpSalarioPct/(1+impuestos_ssTasa+impuestos_medicareTasa)</f>
        <v/>
      </c>
      <c r="S35" s="7">
        <f>impuestos_ssTasa*MIN(R35,MAX(0,impuestos_ssTope*C35-D35))+impuestos_medicareTasa*R35</f>
        <v/>
      </c>
      <c r="T35" s="7">
        <f>Q35-R35-S35</f>
        <v/>
      </c>
      <c r="U35" s="7">
        <f>D35+R35</f>
        <v/>
      </c>
      <c r="V35" s="7">
        <f>H35*0.9235</f>
        <v/>
      </c>
      <c r="W35" s="7">
        <f>IF(H35&gt;0,2*impuestos_ssTasa*MIN(V35,MAX(0,impuestos_ssTope*C35-U35))+2*impuestos_medicareTasa*V35,0)</f>
        <v/>
      </c>
      <c r="X35" s="7">
        <f>impuestos_ssTasa*MIN(U35,impuestos_ssTope*C35)+impuestos_medicareTasa*U35+impuestos_medicareAdicional*MAX(0,U35+H35*0.9235-impuestos_medicareUmbral)</f>
        <v/>
      </c>
      <c r="Y35" s="7">
        <f>MAX(0,D35-O35+R35+T35+H35-W35/2)</f>
        <v/>
      </c>
      <c r="Z35" s="7">
        <f>MAX(0,Y35-impuestos_deduccionEstandar*C35)</f>
        <v/>
      </c>
      <c r="AA35" s="7">
        <f>MIN(0.2*MAX(0,T35+H35-W35/2)*MAX(0,MIN(1,1-(Z35-impuestos_qbiUmbral*C35)/(impuestos_qbiRango*C35))),0.2*Z35)</f>
        <v/>
      </c>
      <c r="AB35" s="7">
        <f>MAX(0,Z35-AA35)</f>
        <v/>
      </c>
      <c r="AC35" s="7">
        <f>SUMPRODUCT((AB35&gt;tb_federalBrackets_lo*C35)*(AB35-tb_federalBrackets_lo*C35)*tb_federalBrackets_dr)</f>
        <v/>
      </c>
      <c r="AD35" s="7">
        <f>MAX(0,Y35-impuestos_nyDeduccion*C35)</f>
        <v/>
      </c>
      <c r="AE35" s="7">
        <f>CHOOSE(loc_taxcode,0,impuestos_ohTasa*MAX(0,Y35-impuestos_ohExento*C35)+impuestos_ohMunicipal*U35,SUMPRODUCT((AD35&gt;tb_nyBrackets_lo*C35)*(AD35-tb_nyBrackets_lo*C35)*tb_nyBrackets_dr)+loc_nyc*SUMPRODUCT((AD35&gt;tb_nycBrackets_lo*C35)*(AD35-tb_nycBrackets_lo*C35)*tb_nycBrackets_dr))</f>
        <v/>
      </c>
      <c r="AF35" s="7">
        <f>AC35+AE35+X35+W35</f>
        <v/>
      </c>
      <c r="AG35" s="7">
        <f>D35+F35+R35+T35+H35</f>
        <v/>
      </c>
      <c r="AH35" s="7">
        <f>AG35-AF35-O35</f>
        <v/>
      </c>
      <c r="AI35" s="7">
        <f>D35+F35+G35+H35</f>
        <v/>
      </c>
      <c r="AJ35" s="7">
        <f>loc_gastosVida*C35*g_gastos</f>
        <v/>
      </c>
      <c r="AK35" s="7">
        <f>IF(2=0,personal_liquidoInicial,DR34)</f>
        <v/>
      </c>
      <c r="AL35" s="7">
        <f>IF(2=0,0,BB34)</f>
        <v/>
      </c>
      <c r="AM35" s="7">
        <f>CHOOSE(sel_cfgIdx,loc_precio_duplex,loc_precio_inlaw,loc_precio_dosCasas,loc_precio_casaAdu,loc_precio_multi)</f>
        <v/>
      </c>
      <c r="AN35" s="7">
        <f>AM35*(1+g_appr)^(A35-2026)</f>
        <v/>
      </c>
      <c r="AO35" s="7">
        <f>IF(AND(M35=1,vivienda_prestamoMedico=1),1,0)</f>
        <v/>
      </c>
      <c r="AP35" s="7">
        <f>IF(AO35=1,0.05,vivienda_enganchePct)</f>
        <v/>
      </c>
      <c r="AQ35" s="7">
        <f>AN35*(1-AP35)</f>
        <v/>
      </c>
      <c r="AR35" s="7">
        <f>PMT(g_mortRate/12,vivienda_plazoHipoteca*12,-AQ35)</f>
        <v/>
      </c>
      <c r="AS35" s="7">
        <f>INDEX(cfg_units,sel_cfgIdx)</f>
        <v/>
      </c>
      <c r="AT35" s="7">
        <f>AS35*loc_rentaUnidad*(1+g_inf)^(A35-2026)*(1-vivienda_vacancia)</f>
        <v/>
      </c>
      <c r="AU35" s="7">
        <f>AR35+AN35*loc_impuestoPropPct/12+AM35*loc_seguroPct*(1+vivienda_inflacionSeguro)^(A35-2026)/12+IF(AND(AO35=0,AP35&lt;0.2),AQ35*vivienda_pmiTasa/12,0)</f>
        <v/>
      </c>
      <c r="AV35" s="7">
        <f>AN35*AP35+AN35*vivienda_cierrePct+general_reservaMeses/12*AJ35</f>
        <v/>
      </c>
      <c r="AW35" s="7">
        <f>(IF(2=0,MIN(personal_irsSaldo,personal_irsPagoMensual*12),MIN(CD34,personal_irsPagoMensual*12))+IF(CE35&gt;0,PMT(CF35,MAX(1,prestamos_plazoAnios-CG35),-CE35),0)+IF(CR35&gt;0,PMT(CS35,MAX(1,prestamos_plazoAnios-CT35),-CR35),0))/12</f>
        <v/>
      </c>
      <c r="AX35" s="7">
        <f>IF(OR(sel_cfg="duplex",sel_cfg="multi",sel_cfg="dosCasas"),0.75*personal_aporteFamiliaMensual,0)</f>
        <v/>
      </c>
      <c r="AY35" s="7">
        <f>AU35-0.75*AT35-AX35+AW35</f>
        <v/>
      </c>
      <c r="AZ35" s="7">
        <f>(D35+G35+H35+0.5*F35)/12</f>
        <v/>
      </c>
      <c r="BA35" s="7">
        <f>IF(AND(AL35=0,A35&gt;=vivienda_anioMinCompra,J35&lt;0.5,AI35&gt;0,AK35&gt;=AV35,AY35&lt;=vivienda_dtiMax*AZ35),1,0)</f>
        <v/>
      </c>
      <c r="BB35" s="7">
        <f>MAX(AL35,BA35)</f>
        <v/>
      </c>
      <c r="BC35" s="7">
        <f>IF(BA35=1,A35,IF(2=0,"",BC34))</f>
        <v/>
      </c>
      <c r="BD35" s="7">
        <f>AK35-IF(BA35=1,AN35*AP35+AN35*vivienda_cierrePct,0)</f>
        <v/>
      </c>
      <c r="BE35" s="7">
        <f>IF(BA35=1,AN35,IF(2=0,0,BE34))</f>
        <v/>
      </c>
      <c r="BF35" s="7">
        <f>IF(BA35=1,AR35,IF(2=0,0,BF34))</f>
        <v/>
      </c>
      <c r="BG35" s="7">
        <f>IF(BA35=1,IF(AND(AO35=0,AP35&lt;0.2),1,0),IF(2=0,0,BY34))</f>
        <v/>
      </c>
      <c r="BH35" s="7">
        <f>IF(sel_cfg="casaAdu",1,0)</f>
        <v/>
      </c>
      <c r="BI35" s="7">
        <f>IF(AND(BB35=1,BH35=1,IF(2=0,0,BJ34)=0,A35&gt;=IF(BC35="",9999,BC35)+vivienda_aduRetrasoAnios),1,0)</f>
        <v/>
      </c>
      <c r="BJ35" s="7">
        <f>MAX(IF(2=0,0,BJ34),BI35)</f>
        <v/>
      </c>
      <c r="BK35" s="7">
        <f>IF(BI35=1,PMT((g_mortRate+0.005)/12,180,-loc_precio_aduCosto*C35),IF(2=0,0,BK34))</f>
        <v/>
      </c>
      <c r="BL35" s="7">
        <f>IF(BA35=1,AN35,IF(2=0,0,DT34))+IF(BI35=1,loc_precio_aduCosto*C35,0)</f>
        <v/>
      </c>
      <c r="BM35" s="7">
        <f>IF(BA35=1,AQ35,IF(2=0,0,DU34))</f>
        <v/>
      </c>
      <c r="BN35" s="7">
        <f>IF(BM35&lt;=0,0,FV(g_mortRate/12,12,BF35,-BM35))</f>
        <v/>
      </c>
      <c r="BO35" s="7">
        <f>IF(BM35&lt;=0,0,12*BF35+MIN(0,BN35))</f>
        <v/>
      </c>
      <c r="BP35" s="7">
        <f>MAX(0,BN35)</f>
        <v/>
      </c>
      <c r="BQ35" s="7">
        <f>IF(BI35=1,loc_precio_aduCosto*C35,IF(2=0,0,DV34))</f>
        <v/>
      </c>
      <c r="BR35" s="7">
        <f>IF(BQ35&lt;=0,0,FV((g_mortRate+0.005)/12,12,BK35,-BQ35))</f>
        <v/>
      </c>
      <c r="BS35" s="7">
        <f>IF(BQ35&lt;=0,0,12*BK35+MIN(0,BR35))</f>
        <v/>
      </c>
      <c r="BT35" s="7">
        <f>MAX(0,BR35)</f>
        <v/>
      </c>
      <c r="BU35" s="7">
        <f>IF(BB35=1,AM35*loc_seguroPct*(1+vivienda_inflacionSeguro)^(A35-2026)*IF(BJ35=1,1+loc_precio_aduCosto/AM35,1),0)</f>
        <v/>
      </c>
      <c r="BV35" s="7">
        <f>BL35*loc_impuestoPropPct</f>
        <v/>
      </c>
      <c r="BW35" s="7">
        <f>BL35*vivienda_mantenimientoPct</f>
        <v/>
      </c>
      <c r="BX35" s="7">
        <f>IF(AND(BG35=1,BP35&gt;0.8*BE35),BE35*(1-vivienda_enganchePct)*vivienda_pmiTasa,0)</f>
        <v/>
      </c>
      <c r="BY35" s="7">
        <f>IF(AND(BG35=1,BP35&gt;0.8*BE35),1,0)</f>
        <v/>
      </c>
      <c r="BZ35" s="7">
        <f>IF(BB35=1,AS35*loc_rentaUnidad*12*C35*(1-vivienda_vacancia)*(1-vivienda_gestionPct),0)</f>
        <v/>
      </c>
      <c r="CA35" s="7">
        <f>IF(BB35=1,BO35+BS35+BU35+BV35+BW35+BX35,loc_rentaMensual*12*C35)</f>
        <v/>
      </c>
      <c r="CB35" s="7">
        <f>IF(BB35=1,personal_aporteFamiliaMensual*12,0)</f>
        <v/>
      </c>
      <c r="CC35" s="7">
        <f>MIN(IF(2=0,personal_irsSaldo,CD34),personal_irsPagoMensual*12)</f>
        <v/>
      </c>
      <c r="CD35" s="7">
        <f>IF(2=0,personal_irsSaldo,CD34)-CC35</f>
        <v/>
      </c>
      <c r="CE35" s="7">
        <f>IF(2=0,IF(personal_deudaEsFederal=1,personal_deudaEstudiantil,0),DW34)</f>
        <v/>
      </c>
      <c r="CF35" s="7">
        <f>IF(2=0,personal_tasaDeudaEstudiantil,DX34)</f>
        <v/>
      </c>
      <c r="CG35" s="7">
        <f>IF(2=0,0,DY34)</f>
        <v/>
      </c>
      <c r="CH35" s="7">
        <f>IF(J35&gt;=0.5,1,0)</f>
        <v/>
      </c>
      <c r="CI35" s="7">
        <f>IF(AND(CH35=0,prestamos_pslfActivo=1,K35&gt;=0.5,CE35&gt;0),1,0)</f>
        <v/>
      </c>
      <c r="CJ35" s="7">
        <f>CE35*CF35</f>
        <v/>
      </c>
      <c r="CK35" s="7">
        <f>MAX(prestamos_rapPagoMinimoAnual,IF(Y35&lt;10000,0,MIN(0.1,INT(Y35/10000)/100))*Y35)</f>
        <v/>
      </c>
      <c r="CL35" s="7">
        <f>IF(CE35&lt;=0,0,IF(CH35=1,0,IF(CI35=1,MIN(CE35+CJ35,CK35),PMT(CF35,MAX(1,prestamos_plazoAnios-CG35),-CE35))))</f>
        <v/>
      </c>
      <c r="CM35" s="7">
        <f>IF(CE35&lt;=0,0,IF(CH35=1,CE35+CJ35,IF(CI35=1,MAX(0,CE35-MAX(CL35-CJ35,MIN(600,CL35))),MAX(0,CE35*(1+CF35)-CL35))))</f>
        <v/>
      </c>
      <c r="CN35" s="7">
        <f>IF(2=0,0,CN34)+IF(CI35=1,12*MIN(1,K35),0)</f>
        <v/>
      </c>
      <c r="CO35" s="7">
        <f>IF(AND(CI35=1,CN35&gt;=prestamos_pslfPagos,CM35&gt;0),CM35,0)</f>
        <v/>
      </c>
      <c r="CP35" s="7">
        <f>CM35-CO35</f>
        <v/>
      </c>
      <c r="CQ35" s="7">
        <f>IF(AND(CE35&gt;0,CH35=0,CI35=0),CG35+1,CG35)</f>
        <v/>
      </c>
      <c r="CR35" s="7">
        <f>IF(2=0,IF(personal_deudaEsFederal=1,0,personal_deudaEstudiantil),EA34)</f>
        <v/>
      </c>
      <c r="CS35" s="7">
        <f>IF(2=0,IF(personal_deudaEsFederal=1,prestamos_tasaPrivada,personal_tasaDeudaEstudiantil),EB34)</f>
        <v/>
      </c>
      <c r="CT35" s="7">
        <f>IF(2=0,0,EC34)</f>
        <v/>
      </c>
      <c r="CU35" s="7">
        <f>IF(OR(CR35&lt;=0,CH35=1),0,PMT(CS35,MAX(1,prestamos_plazoAnios-CT35),-CR35))</f>
        <v/>
      </c>
      <c r="CV35" s="7">
        <f>IF(CR35&lt;=0,0,IF(CH35=1,CR35*(1+CS35),MAX(0,CR35*(1+CS35)-CU35)))</f>
        <v/>
      </c>
      <c r="CW35" s="7">
        <f>IF(AND(CR35&gt;0,CH35=0),CT35+1,CT35)</f>
        <v/>
      </c>
      <c r="CX35" s="7">
        <f>IF(2=0,0,ED34)*(1+general_tasaDeudaConsumo)</f>
        <v/>
      </c>
      <c r="CY35" s="7">
        <f>L35*12*tiempos_travelGastoExtraMes*C35</f>
        <v/>
      </c>
      <c r="CZ35" s="7">
        <f>AJ35+CY35+CA35+CC35+CL35+CU35+I35+N35-BZ35-CB35</f>
        <v/>
      </c>
      <c r="DA35" s="7">
        <f>AH35-CZ35</f>
        <v/>
      </c>
      <c r="DB35" s="7">
        <f>IF(2=0,0,DB34)+DA35</f>
        <v/>
      </c>
      <c r="DC35" s="7">
        <f>AN35*vivienda_enganchePct+AN35*vivienda_cierrePct+general_reservaMeses/12*AJ35</f>
        <v/>
      </c>
      <c r="DD35" s="7">
        <f>IF(BB35=1,g_ret,IF(BD35&gt;0,MIN(1,DC35/BD35),1)*g_cash+(1-IF(BD35&gt;0,MIN(1,DC35/BD35),1))*g_ret)</f>
        <v/>
      </c>
      <c r="DE35" s="7">
        <f>IF(DA35&gt;=0,MIN(CX35,DA35),0)</f>
        <v/>
      </c>
      <c r="DF35" s="7">
        <f>IF(DA35&gt;=0,(1-general_tasaAhorro)*(DA35-DE35),0)</f>
        <v/>
      </c>
      <c r="DG35" s="7">
        <f>IF(DA35&gt;=0,DA35-DE35-DF35,0)</f>
        <v/>
      </c>
      <c r="DH35" s="7">
        <f>MIN(personal_rothAnual,DG35)</f>
        <v/>
      </c>
      <c r="DI35" s="7">
        <f>IF(AND(DA35&gt;=0,BB35=1,BP35+BT35&gt;0),MIN(vivienda_prepagoPct*(DG35-DH35),BP35+BT35),0)</f>
        <v/>
      </c>
      <c r="DJ35" s="7">
        <f>MIN(DI35,BP35)</f>
        <v/>
      </c>
      <c r="DK35" s="7">
        <f>IF(DA35&lt;0,MIN(MAX(0,BD35),-DA35),0)</f>
        <v/>
      </c>
      <c r="DL35" s="7">
        <f>IF(DA35&lt;0,-DA35-DK35,0)</f>
        <v/>
      </c>
      <c r="DM35" s="7">
        <f>IF(2=0,0,DZ34)</f>
        <v/>
      </c>
      <c r="DN35" s="7">
        <f>IF(AND(DL35&gt;0,J35&gt;0),MIN(DL35,MIN(prestamos_topeAnualPosgrado*MIN(1,J35),MAX(0,prestamos_topeTotalPosgrado-DM35))),0)</f>
        <v/>
      </c>
      <c r="DO35" s="7">
        <f>IF(AND(DL35&gt;0,J35&gt;0),DL35-DN35,0)</f>
        <v/>
      </c>
      <c r="DP35" s="7">
        <f>IF(AND(DL35&gt;0,J35&lt;=0),DL35,0)</f>
        <v/>
      </c>
      <c r="DQ35" s="7">
        <f>IF(DA35&gt;=0,DG35-DH35-DI35,-DK35)</f>
        <v/>
      </c>
      <c r="DR35" s="7">
        <f>BD35*(1+DD35)+DQ35*(1+DD35/2)</f>
        <v/>
      </c>
      <c r="DS35" s="7">
        <f>IF(2=0,personal_retiroInicial,DS34)*(1+g_ret)+(O35+P35+DH35)*(1+g_ret/2)</f>
        <v/>
      </c>
      <c r="DT35" s="7">
        <f>IF(BB35=1,BL35*(1+g_appr),0)</f>
        <v/>
      </c>
      <c r="DU35" s="7">
        <f>BP35-DJ35</f>
        <v/>
      </c>
      <c r="DV35" s="7">
        <f>BT35-(DI35-DJ35)</f>
        <v/>
      </c>
      <c r="DW35" s="7">
        <f>CP35+DN35</f>
        <v/>
      </c>
      <c r="DX35" s="7">
        <f>IF(DN35&gt;0,(CP35*CF35+DN35*prestamos_tasaFederalPosgrado)/(CP35+DN35),CF35)</f>
        <v/>
      </c>
      <c r="DY35" s="7">
        <f>IF(DN35&gt;0,0,CQ35)</f>
        <v/>
      </c>
      <c r="DZ35" s="7">
        <f>DM35+DN35</f>
        <v/>
      </c>
      <c r="EA35" s="7">
        <f>CV35+DO35</f>
        <v/>
      </c>
      <c r="EB35" s="7">
        <f>IF(DO35&gt;0,(CV35*CS35+DO35*prestamos_tasaPrivada)/(CV35+DO35),CS35)</f>
        <v/>
      </c>
      <c r="EC35" s="7">
        <f>IF(DO35&gt;0,0,CW35)</f>
        <v/>
      </c>
      <c r="ED35" s="7">
        <f>CX35-DE35+DP35</f>
        <v/>
      </c>
      <c r="EE35" s="7">
        <f>IF(IF(2=0,"",EE34)&lt;&gt;"",EE34,IF(AND(BB35=1,DU35&lt;=0.5,DV35&lt;=0.5,OR(BH35=0,BJ35=1)),A35,""))</f>
        <v/>
      </c>
      <c r="EF35" s="7">
        <f>DU35+DV35+DW35+EA35+ED35+CD35</f>
        <v/>
      </c>
      <c r="EG35" s="7">
        <f>DR35+DS35+DT35-EF35</f>
        <v/>
      </c>
      <c r="EH35" s="7">
        <f>EG35/(1+g_inf)^(A35+1-2026)</f>
        <v/>
      </c>
    </row>
    <row r="36">
      <c r="A36" t="n">
        <v>2030</v>
      </c>
      <c r="B36" t="n">
        <v>3</v>
      </c>
      <c r="C36" s="7">
        <f>(1+g_inf)^(A36-2026)</f>
        <v/>
      </c>
      <c r="D36" s="7">
        <f>SUMPRODUCT($W$5:$W$29,$E$5:$E$29*(1+$F$5:$F$29)^(A36-2026)*$G$5:$G$29*$H$5:$H$29*(1-$N$5:$N$29*$O$5:$O$29))*g_salMult+SUMPRODUCT(($B$5:$B$29&gt;=A36)*($B$5:$B$29&lt;A36+1)*$I$5:$I$29)*g_salMult</f>
        <v/>
      </c>
      <c r="E36" s="7">
        <f>SUMPRODUCT($W$5:$W$29,$E$5:$E$29*(1+$F$5:$F$29)^(A36-2026)*$G$5:$G$29*$H$5:$H$29*$M$5:$M$29)*g_salMult</f>
        <v/>
      </c>
      <c r="F36" s="7">
        <f>SUMPRODUCT($W$5:$W$29,$E$5:$E$29*(1+$F$5:$F$29)^(A36-2026)*$G$5:$G$29*$H$5:$H$29*$N$5:$N$29*$O$5:$O$29)*g_salMult</f>
        <v/>
      </c>
      <c r="G36" s="7">
        <f>SUMPRODUCT($W$5:$W$29,$P$5:$P$29*(1+$F$5:$F$29)^(A36-2026))</f>
        <v/>
      </c>
      <c r="H36" s="7">
        <f>SUMPRODUCT($W$5:$W$29,$Q$5:$Q$29*(1+$F$5:$F$29)^(A36-2026))+IF(personal_llcActivo=1,personal_llcNeto*(1+personal_llcCrecimiento)^3,0)</f>
        <v/>
      </c>
      <c r="I36" s="7">
        <f>SUMPRODUCT($W$5:$W$29,$J$5:$J$29/($C$5:$C$29-$B$5:$B$29+($C$5:$C$29=$B$5:$B$29)))*C36</f>
        <v/>
      </c>
      <c r="J36" s="7">
        <f>SUMPRODUCT($W$5:$W$29,$K$5:$K$29)</f>
        <v/>
      </c>
      <c r="K36" s="7">
        <f>SUMPRODUCT($W$5:$W$29,$L$5:$L$29)</f>
        <v/>
      </c>
      <c r="L36" s="7">
        <f>SUMPRODUCT($W$5:$W$29,$N$5:$N$29)</f>
        <v/>
      </c>
      <c r="M36" s="7">
        <f>IF(SUMPRODUCT($W$5:$W$29,$R$5:$R$29)&gt;0,1,0)</f>
        <v/>
      </c>
      <c r="N36" s="7">
        <f>SUMPRODUCT(($AO$5:$AO$24&gt;=A36)*($AO$5:$AO$24&lt;A36+1)*$AP$5:$AP$24)*C36+IF(3=0,IF(sel_loc&lt;&gt;"miami",personal_costoMudanzaInicial,0),0)</f>
        <v/>
      </c>
      <c r="O36" s="7">
        <f>MIN(personal_aporte403bPct*D36,retiro_limite403b*C36)</f>
        <v/>
      </c>
      <c r="P36" s="7">
        <f>MIN(personal_aporte403bPct,personal_match403bPct)*E36</f>
        <v/>
      </c>
      <c r="Q36" s="7">
        <f>IF(G36&gt;0,MAX(0,G36-impuestos_scorpCostoAnual*C36),0)</f>
        <v/>
      </c>
      <c r="R36" s="7">
        <f>Q36*impuestos_scorpSalarioPct/(1+impuestos_ssTasa+impuestos_medicareTasa)</f>
        <v/>
      </c>
      <c r="S36" s="7">
        <f>impuestos_ssTasa*MIN(R36,MAX(0,impuestos_ssTope*C36-D36))+impuestos_medicareTasa*R36</f>
        <v/>
      </c>
      <c r="T36" s="7">
        <f>Q36-R36-S36</f>
        <v/>
      </c>
      <c r="U36" s="7">
        <f>D36+R36</f>
        <v/>
      </c>
      <c r="V36" s="7">
        <f>H36*0.9235</f>
        <v/>
      </c>
      <c r="W36" s="7">
        <f>IF(H36&gt;0,2*impuestos_ssTasa*MIN(V36,MAX(0,impuestos_ssTope*C36-U36))+2*impuestos_medicareTasa*V36,0)</f>
        <v/>
      </c>
      <c r="X36" s="7">
        <f>impuestos_ssTasa*MIN(U36,impuestos_ssTope*C36)+impuestos_medicareTasa*U36+impuestos_medicareAdicional*MAX(0,U36+H36*0.9235-impuestos_medicareUmbral)</f>
        <v/>
      </c>
      <c r="Y36" s="7">
        <f>MAX(0,D36-O36+R36+T36+H36-W36/2)</f>
        <v/>
      </c>
      <c r="Z36" s="7">
        <f>MAX(0,Y36-impuestos_deduccionEstandar*C36)</f>
        <v/>
      </c>
      <c r="AA36" s="7">
        <f>MIN(0.2*MAX(0,T36+H36-W36/2)*MAX(0,MIN(1,1-(Z36-impuestos_qbiUmbral*C36)/(impuestos_qbiRango*C36))),0.2*Z36)</f>
        <v/>
      </c>
      <c r="AB36" s="7">
        <f>MAX(0,Z36-AA36)</f>
        <v/>
      </c>
      <c r="AC36" s="7">
        <f>SUMPRODUCT((AB36&gt;tb_federalBrackets_lo*C36)*(AB36-tb_federalBrackets_lo*C36)*tb_federalBrackets_dr)</f>
        <v/>
      </c>
      <c r="AD36" s="7">
        <f>MAX(0,Y36-impuestos_nyDeduccion*C36)</f>
        <v/>
      </c>
      <c r="AE36" s="7">
        <f>CHOOSE(loc_taxcode,0,impuestos_ohTasa*MAX(0,Y36-impuestos_ohExento*C36)+impuestos_ohMunicipal*U36,SUMPRODUCT((AD36&gt;tb_nyBrackets_lo*C36)*(AD36-tb_nyBrackets_lo*C36)*tb_nyBrackets_dr)+loc_nyc*SUMPRODUCT((AD36&gt;tb_nycBrackets_lo*C36)*(AD36-tb_nycBrackets_lo*C36)*tb_nycBrackets_dr))</f>
        <v/>
      </c>
      <c r="AF36" s="7">
        <f>AC36+AE36+X36+W36</f>
        <v/>
      </c>
      <c r="AG36" s="7">
        <f>D36+F36+R36+T36+H36</f>
        <v/>
      </c>
      <c r="AH36" s="7">
        <f>AG36-AF36-O36</f>
        <v/>
      </c>
      <c r="AI36" s="7">
        <f>D36+F36+G36+H36</f>
        <v/>
      </c>
      <c r="AJ36" s="7">
        <f>loc_gastosVida*C36*g_gastos</f>
        <v/>
      </c>
      <c r="AK36" s="7">
        <f>IF(3=0,personal_liquidoInicial,DR35)</f>
        <v/>
      </c>
      <c r="AL36" s="7">
        <f>IF(3=0,0,BB35)</f>
        <v/>
      </c>
      <c r="AM36" s="7">
        <f>CHOOSE(sel_cfgIdx,loc_precio_duplex,loc_precio_inlaw,loc_precio_dosCasas,loc_precio_casaAdu,loc_precio_multi)</f>
        <v/>
      </c>
      <c r="AN36" s="7">
        <f>AM36*(1+g_appr)^(A36-2026)</f>
        <v/>
      </c>
      <c r="AO36" s="7">
        <f>IF(AND(M36=1,vivienda_prestamoMedico=1),1,0)</f>
        <v/>
      </c>
      <c r="AP36" s="7">
        <f>IF(AO36=1,0.05,vivienda_enganchePct)</f>
        <v/>
      </c>
      <c r="AQ36" s="7">
        <f>AN36*(1-AP36)</f>
        <v/>
      </c>
      <c r="AR36" s="7">
        <f>PMT(g_mortRate/12,vivienda_plazoHipoteca*12,-AQ36)</f>
        <v/>
      </c>
      <c r="AS36" s="7">
        <f>INDEX(cfg_units,sel_cfgIdx)</f>
        <v/>
      </c>
      <c r="AT36" s="7">
        <f>AS36*loc_rentaUnidad*(1+g_inf)^(A36-2026)*(1-vivienda_vacancia)</f>
        <v/>
      </c>
      <c r="AU36" s="7">
        <f>AR36+AN36*loc_impuestoPropPct/12+AM36*loc_seguroPct*(1+vivienda_inflacionSeguro)^(A36-2026)/12+IF(AND(AO36=0,AP36&lt;0.2),AQ36*vivienda_pmiTasa/12,0)</f>
        <v/>
      </c>
      <c r="AV36" s="7">
        <f>AN36*AP36+AN36*vivienda_cierrePct+general_reservaMeses/12*AJ36</f>
        <v/>
      </c>
      <c r="AW36" s="7">
        <f>(IF(3=0,MIN(personal_irsSaldo,personal_irsPagoMensual*12),MIN(CD35,personal_irsPagoMensual*12))+IF(CE36&gt;0,PMT(CF36,MAX(1,prestamos_plazoAnios-CG36),-CE36),0)+IF(CR36&gt;0,PMT(CS36,MAX(1,prestamos_plazoAnios-CT36),-CR36),0))/12</f>
        <v/>
      </c>
      <c r="AX36" s="7">
        <f>IF(OR(sel_cfg="duplex",sel_cfg="multi",sel_cfg="dosCasas"),0.75*personal_aporteFamiliaMensual,0)</f>
        <v/>
      </c>
      <c r="AY36" s="7">
        <f>AU36-0.75*AT36-AX36+AW36</f>
        <v/>
      </c>
      <c r="AZ36" s="7">
        <f>(D36+G36+H36+0.5*F36)/12</f>
        <v/>
      </c>
      <c r="BA36" s="7">
        <f>IF(AND(AL36=0,A36&gt;=vivienda_anioMinCompra,J36&lt;0.5,AI36&gt;0,AK36&gt;=AV36,AY36&lt;=vivienda_dtiMax*AZ36),1,0)</f>
        <v/>
      </c>
      <c r="BB36" s="7">
        <f>MAX(AL36,BA36)</f>
        <v/>
      </c>
      <c r="BC36" s="7">
        <f>IF(BA36=1,A36,IF(3=0,"",BC35))</f>
        <v/>
      </c>
      <c r="BD36" s="7">
        <f>AK36-IF(BA36=1,AN36*AP36+AN36*vivienda_cierrePct,0)</f>
        <v/>
      </c>
      <c r="BE36" s="7">
        <f>IF(BA36=1,AN36,IF(3=0,0,BE35))</f>
        <v/>
      </c>
      <c r="BF36" s="7">
        <f>IF(BA36=1,AR36,IF(3=0,0,BF35))</f>
        <v/>
      </c>
      <c r="BG36" s="7">
        <f>IF(BA36=1,IF(AND(AO36=0,AP36&lt;0.2),1,0),IF(3=0,0,BY35))</f>
        <v/>
      </c>
      <c r="BH36" s="7">
        <f>IF(sel_cfg="casaAdu",1,0)</f>
        <v/>
      </c>
      <c r="BI36" s="7">
        <f>IF(AND(BB36=1,BH36=1,IF(3=0,0,BJ35)=0,A36&gt;=IF(BC36="",9999,BC36)+vivienda_aduRetrasoAnios),1,0)</f>
        <v/>
      </c>
      <c r="BJ36" s="7">
        <f>MAX(IF(3=0,0,BJ35),BI36)</f>
        <v/>
      </c>
      <c r="BK36" s="7">
        <f>IF(BI36=1,PMT((g_mortRate+0.005)/12,180,-loc_precio_aduCosto*C36),IF(3=0,0,BK35))</f>
        <v/>
      </c>
      <c r="BL36" s="7">
        <f>IF(BA36=1,AN36,IF(3=0,0,DT35))+IF(BI36=1,loc_precio_aduCosto*C36,0)</f>
        <v/>
      </c>
      <c r="BM36" s="7">
        <f>IF(BA36=1,AQ36,IF(3=0,0,DU35))</f>
        <v/>
      </c>
      <c r="BN36" s="7">
        <f>IF(BM36&lt;=0,0,FV(g_mortRate/12,12,BF36,-BM36))</f>
        <v/>
      </c>
      <c r="BO36" s="7">
        <f>IF(BM36&lt;=0,0,12*BF36+MIN(0,BN36))</f>
        <v/>
      </c>
      <c r="BP36" s="7">
        <f>MAX(0,BN36)</f>
        <v/>
      </c>
      <c r="BQ36" s="7">
        <f>IF(BI36=1,loc_precio_aduCosto*C36,IF(3=0,0,DV35))</f>
        <v/>
      </c>
      <c r="BR36" s="7">
        <f>IF(BQ36&lt;=0,0,FV((g_mortRate+0.005)/12,12,BK36,-BQ36))</f>
        <v/>
      </c>
      <c r="BS36" s="7">
        <f>IF(BQ36&lt;=0,0,12*BK36+MIN(0,BR36))</f>
        <v/>
      </c>
      <c r="BT36" s="7">
        <f>MAX(0,BR36)</f>
        <v/>
      </c>
      <c r="BU36" s="7">
        <f>IF(BB36=1,AM36*loc_seguroPct*(1+vivienda_inflacionSeguro)^(A36-2026)*IF(BJ36=1,1+loc_precio_aduCosto/AM36,1),0)</f>
        <v/>
      </c>
      <c r="BV36" s="7">
        <f>BL36*loc_impuestoPropPct</f>
        <v/>
      </c>
      <c r="BW36" s="7">
        <f>BL36*vivienda_mantenimientoPct</f>
        <v/>
      </c>
      <c r="BX36" s="7">
        <f>IF(AND(BG36=1,BP36&gt;0.8*BE36),BE36*(1-vivienda_enganchePct)*vivienda_pmiTasa,0)</f>
        <v/>
      </c>
      <c r="BY36" s="7">
        <f>IF(AND(BG36=1,BP36&gt;0.8*BE36),1,0)</f>
        <v/>
      </c>
      <c r="BZ36" s="7">
        <f>IF(BB36=1,AS36*loc_rentaUnidad*12*C36*(1-vivienda_vacancia)*(1-vivienda_gestionPct),0)</f>
        <v/>
      </c>
      <c r="CA36" s="7">
        <f>IF(BB36=1,BO36+BS36+BU36+BV36+BW36+BX36,loc_rentaMensual*12*C36)</f>
        <v/>
      </c>
      <c r="CB36" s="7">
        <f>IF(BB36=1,personal_aporteFamiliaMensual*12,0)</f>
        <v/>
      </c>
      <c r="CC36" s="7">
        <f>MIN(IF(3=0,personal_irsSaldo,CD35),personal_irsPagoMensual*12)</f>
        <v/>
      </c>
      <c r="CD36" s="7">
        <f>IF(3=0,personal_irsSaldo,CD35)-CC36</f>
        <v/>
      </c>
      <c r="CE36" s="7">
        <f>IF(3=0,IF(personal_deudaEsFederal=1,personal_deudaEstudiantil,0),DW35)</f>
        <v/>
      </c>
      <c r="CF36" s="7">
        <f>IF(3=0,personal_tasaDeudaEstudiantil,DX35)</f>
        <v/>
      </c>
      <c r="CG36" s="7">
        <f>IF(3=0,0,DY35)</f>
        <v/>
      </c>
      <c r="CH36" s="7">
        <f>IF(J36&gt;=0.5,1,0)</f>
        <v/>
      </c>
      <c r="CI36" s="7">
        <f>IF(AND(CH36=0,prestamos_pslfActivo=1,K36&gt;=0.5,CE36&gt;0),1,0)</f>
        <v/>
      </c>
      <c r="CJ36" s="7">
        <f>CE36*CF36</f>
        <v/>
      </c>
      <c r="CK36" s="7">
        <f>MAX(prestamos_rapPagoMinimoAnual,IF(Y36&lt;10000,0,MIN(0.1,INT(Y36/10000)/100))*Y36)</f>
        <v/>
      </c>
      <c r="CL36" s="7">
        <f>IF(CE36&lt;=0,0,IF(CH36=1,0,IF(CI36=1,MIN(CE36+CJ36,CK36),PMT(CF36,MAX(1,prestamos_plazoAnios-CG36),-CE36))))</f>
        <v/>
      </c>
      <c r="CM36" s="7">
        <f>IF(CE36&lt;=0,0,IF(CH36=1,CE36+CJ36,IF(CI36=1,MAX(0,CE36-MAX(CL36-CJ36,MIN(600,CL36))),MAX(0,CE36*(1+CF36)-CL36))))</f>
        <v/>
      </c>
      <c r="CN36" s="7">
        <f>IF(3=0,0,CN35)+IF(CI36=1,12*MIN(1,K36),0)</f>
        <v/>
      </c>
      <c r="CO36" s="7">
        <f>IF(AND(CI36=1,CN36&gt;=prestamos_pslfPagos,CM36&gt;0),CM36,0)</f>
        <v/>
      </c>
      <c r="CP36" s="7">
        <f>CM36-CO36</f>
        <v/>
      </c>
      <c r="CQ36" s="7">
        <f>IF(AND(CE36&gt;0,CH36=0,CI36=0),CG36+1,CG36)</f>
        <v/>
      </c>
      <c r="CR36" s="7">
        <f>IF(3=0,IF(personal_deudaEsFederal=1,0,personal_deudaEstudiantil),EA35)</f>
        <v/>
      </c>
      <c r="CS36" s="7">
        <f>IF(3=0,IF(personal_deudaEsFederal=1,prestamos_tasaPrivada,personal_tasaDeudaEstudiantil),EB35)</f>
        <v/>
      </c>
      <c r="CT36" s="7">
        <f>IF(3=0,0,EC35)</f>
        <v/>
      </c>
      <c r="CU36" s="7">
        <f>IF(OR(CR36&lt;=0,CH36=1),0,PMT(CS36,MAX(1,prestamos_plazoAnios-CT36),-CR36))</f>
        <v/>
      </c>
      <c r="CV36" s="7">
        <f>IF(CR36&lt;=0,0,IF(CH36=1,CR36*(1+CS36),MAX(0,CR36*(1+CS36)-CU36)))</f>
        <v/>
      </c>
      <c r="CW36" s="7">
        <f>IF(AND(CR36&gt;0,CH36=0),CT36+1,CT36)</f>
        <v/>
      </c>
      <c r="CX36" s="7">
        <f>IF(3=0,0,ED35)*(1+general_tasaDeudaConsumo)</f>
        <v/>
      </c>
      <c r="CY36" s="7">
        <f>L36*12*tiempos_travelGastoExtraMes*C36</f>
        <v/>
      </c>
      <c r="CZ36" s="7">
        <f>AJ36+CY36+CA36+CC36+CL36+CU36+I36+N36-BZ36-CB36</f>
        <v/>
      </c>
      <c r="DA36" s="7">
        <f>AH36-CZ36</f>
        <v/>
      </c>
      <c r="DB36" s="7">
        <f>IF(3=0,0,DB35)+DA36</f>
        <v/>
      </c>
      <c r="DC36" s="7">
        <f>AN36*vivienda_enganchePct+AN36*vivienda_cierrePct+general_reservaMeses/12*AJ36</f>
        <v/>
      </c>
      <c r="DD36" s="7">
        <f>IF(BB36=1,g_ret,IF(BD36&gt;0,MIN(1,DC36/BD36),1)*g_cash+(1-IF(BD36&gt;0,MIN(1,DC36/BD36),1))*g_ret)</f>
        <v/>
      </c>
      <c r="DE36" s="7">
        <f>IF(DA36&gt;=0,MIN(CX36,DA36),0)</f>
        <v/>
      </c>
      <c r="DF36" s="7">
        <f>IF(DA36&gt;=0,(1-general_tasaAhorro)*(DA36-DE36),0)</f>
        <v/>
      </c>
      <c r="DG36" s="7">
        <f>IF(DA36&gt;=0,DA36-DE36-DF36,0)</f>
        <v/>
      </c>
      <c r="DH36" s="7">
        <f>MIN(personal_rothAnual,DG36)</f>
        <v/>
      </c>
      <c r="DI36" s="7">
        <f>IF(AND(DA36&gt;=0,BB36=1,BP36+BT36&gt;0),MIN(vivienda_prepagoPct*(DG36-DH36),BP36+BT36),0)</f>
        <v/>
      </c>
      <c r="DJ36" s="7">
        <f>MIN(DI36,BP36)</f>
        <v/>
      </c>
      <c r="DK36" s="7">
        <f>IF(DA36&lt;0,MIN(MAX(0,BD36),-DA36),0)</f>
        <v/>
      </c>
      <c r="DL36" s="7">
        <f>IF(DA36&lt;0,-DA36-DK36,0)</f>
        <v/>
      </c>
      <c r="DM36" s="7">
        <f>IF(3=0,0,DZ35)</f>
        <v/>
      </c>
      <c r="DN36" s="7">
        <f>IF(AND(DL36&gt;0,J36&gt;0),MIN(DL36,MIN(prestamos_topeAnualPosgrado*MIN(1,J36),MAX(0,prestamos_topeTotalPosgrado-DM36))),0)</f>
        <v/>
      </c>
      <c r="DO36" s="7">
        <f>IF(AND(DL36&gt;0,J36&gt;0),DL36-DN36,0)</f>
        <v/>
      </c>
      <c r="DP36" s="7">
        <f>IF(AND(DL36&gt;0,J36&lt;=0),DL36,0)</f>
        <v/>
      </c>
      <c r="DQ36" s="7">
        <f>IF(DA36&gt;=0,DG36-DH36-DI36,-DK36)</f>
        <v/>
      </c>
      <c r="DR36" s="7">
        <f>BD36*(1+DD36)+DQ36*(1+DD36/2)</f>
        <v/>
      </c>
      <c r="DS36" s="7">
        <f>IF(3=0,personal_retiroInicial,DS35)*(1+g_ret)+(O36+P36+DH36)*(1+g_ret/2)</f>
        <v/>
      </c>
      <c r="DT36" s="7">
        <f>IF(BB36=1,BL36*(1+g_appr),0)</f>
        <v/>
      </c>
      <c r="DU36" s="7">
        <f>BP36-DJ36</f>
        <v/>
      </c>
      <c r="DV36" s="7">
        <f>BT36-(DI36-DJ36)</f>
        <v/>
      </c>
      <c r="DW36" s="7">
        <f>CP36+DN36</f>
        <v/>
      </c>
      <c r="DX36" s="7">
        <f>IF(DN36&gt;0,(CP36*CF36+DN36*prestamos_tasaFederalPosgrado)/(CP36+DN36),CF36)</f>
        <v/>
      </c>
      <c r="DY36" s="7">
        <f>IF(DN36&gt;0,0,CQ36)</f>
        <v/>
      </c>
      <c r="DZ36" s="7">
        <f>DM36+DN36</f>
        <v/>
      </c>
      <c r="EA36" s="7">
        <f>CV36+DO36</f>
        <v/>
      </c>
      <c r="EB36" s="7">
        <f>IF(DO36&gt;0,(CV36*CS36+DO36*prestamos_tasaPrivada)/(CV36+DO36),CS36)</f>
        <v/>
      </c>
      <c r="EC36" s="7">
        <f>IF(DO36&gt;0,0,CW36)</f>
        <v/>
      </c>
      <c r="ED36" s="7">
        <f>CX36-DE36+DP36</f>
        <v/>
      </c>
      <c r="EE36" s="7">
        <f>IF(IF(3=0,"",EE35)&lt;&gt;"",EE35,IF(AND(BB36=1,DU36&lt;=0.5,DV36&lt;=0.5,OR(BH36=0,BJ36=1)),A36,""))</f>
        <v/>
      </c>
      <c r="EF36" s="7">
        <f>DU36+DV36+DW36+EA36+ED36+CD36</f>
        <v/>
      </c>
      <c r="EG36" s="7">
        <f>DR36+DS36+DT36-EF36</f>
        <v/>
      </c>
      <c r="EH36" s="7">
        <f>EG36/(1+g_inf)^(A36+1-2026)</f>
        <v/>
      </c>
    </row>
    <row r="37">
      <c r="A37" t="n">
        <v>2031</v>
      </c>
      <c r="B37" t="n">
        <v>4</v>
      </c>
      <c r="C37" s="7">
        <f>(1+g_inf)^(A37-2026)</f>
        <v/>
      </c>
      <c r="D37" s="7">
        <f>SUMPRODUCT($X$5:$X$29,$E$5:$E$29*(1+$F$5:$F$29)^(A37-2026)*$G$5:$G$29*$H$5:$H$29*(1-$N$5:$N$29*$O$5:$O$29))*g_salMult+SUMPRODUCT(($B$5:$B$29&gt;=A37)*($B$5:$B$29&lt;A37+1)*$I$5:$I$29)*g_salMult</f>
        <v/>
      </c>
      <c r="E37" s="7">
        <f>SUMPRODUCT($X$5:$X$29,$E$5:$E$29*(1+$F$5:$F$29)^(A37-2026)*$G$5:$G$29*$H$5:$H$29*$M$5:$M$29)*g_salMult</f>
        <v/>
      </c>
      <c r="F37" s="7">
        <f>SUMPRODUCT($X$5:$X$29,$E$5:$E$29*(1+$F$5:$F$29)^(A37-2026)*$G$5:$G$29*$H$5:$H$29*$N$5:$N$29*$O$5:$O$29)*g_salMult</f>
        <v/>
      </c>
      <c r="G37" s="7">
        <f>SUMPRODUCT($X$5:$X$29,$P$5:$P$29*(1+$F$5:$F$29)^(A37-2026))</f>
        <v/>
      </c>
      <c r="H37" s="7">
        <f>SUMPRODUCT($X$5:$X$29,$Q$5:$Q$29*(1+$F$5:$F$29)^(A37-2026))+IF(personal_llcActivo=1,personal_llcNeto*(1+personal_llcCrecimiento)^4,0)</f>
        <v/>
      </c>
      <c r="I37" s="7">
        <f>SUMPRODUCT($X$5:$X$29,$J$5:$J$29/($C$5:$C$29-$B$5:$B$29+($C$5:$C$29=$B$5:$B$29)))*C37</f>
        <v/>
      </c>
      <c r="J37" s="7">
        <f>SUMPRODUCT($X$5:$X$29,$K$5:$K$29)</f>
        <v/>
      </c>
      <c r="K37" s="7">
        <f>SUMPRODUCT($X$5:$X$29,$L$5:$L$29)</f>
        <v/>
      </c>
      <c r="L37" s="7">
        <f>SUMPRODUCT($X$5:$X$29,$N$5:$N$29)</f>
        <v/>
      </c>
      <c r="M37" s="7">
        <f>IF(SUMPRODUCT($X$5:$X$29,$R$5:$R$29)&gt;0,1,0)</f>
        <v/>
      </c>
      <c r="N37" s="7">
        <f>SUMPRODUCT(($AO$5:$AO$24&gt;=A37)*($AO$5:$AO$24&lt;A37+1)*$AP$5:$AP$24)*C37+IF(4=0,IF(sel_loc&lt;&gt;"miami",personal_costoMudanzaInicial,0),0)</f>
        <v/>
      </c>
      <c r="O37" s="7">
        <f>MIN(personal_aporte403bPct*D37,retiro_limite403b*C37)</f>
        <v/>
      </c>
      <c r="P37" s="7">
        <f>MIN(personal_aporte403bPct,personal_match403bPct)*E37</f>
        <v/>
      </c>
      <c r="Q37" s="7">
        <f>IF(G37&gt;0,MAX(0,G37-impuestos_scorpCostoAnual*C37),0)</f>
        <v/>
      </c>
      <c r="R37" s="7">
        <f>Q37*impuestos_scorpSalarioPct/(1+impuestos_ssTasa+impuestos_medicareTasa)</f>
        <v/>
      </c>
      <c r="S37" s="7">
        <f>impuestos_ssTasa*MIN(R37,MAX(0,impuestos_ssTope*C37-D37))+impuestos_medicareTasa*R37</f>
        <v/>
      </c>
      <c r="T37" s="7">
        <f>Q37-R37-S37</f>
        <v/>
      </c>
      <c r="U37" s="7">
        <f>D37+R37</f>
        <v/>
      </c>
      <c r="V37" s="7">
        <f>H37*0.9235</f>
        <v/>
      </c>
      <c r="W37" s="7">
        <f>IF(H37&gt;0,2*impuestos_ssTasa*MIN(V37,MAX(0,impuestos_ssTope*C37-U37))+2*impuestos_medicareTasa*V37,0)</f>
        <v/>
      </c>
      <c r="X37" s="7">
        <f>impuestos_ssTasa*MIN(U37,impuestos_ssTope*C37)+impuestos_medicareTasa*U37+impuestos_medicareAdicional*MAX(0,U37+H37*0.9235-impuestos_medicareUmbral)</f>
        <v/>
      </c>
      <c r="Y37" s="7">
        <f>MAX(0,D37-O37+R37+T37+H37-W37/2)</f>
        <v/>
      </c>
      <c r="Z37" s="7">
        <f>MAX(0,Y37-impuestos_deduccionEstandar*C37)</f>
        <v/>
      </c>
      <c r="AA37" s="7">
        <f>MIN(0.2*MAX(0,T37+H37-W37/2)*MAX(0,MIN(1,1-(Z37-impuestos_qbiUmbral*C37)/(impuestos_qbiRango*C37))),0.2*Z37)</f>
        <v/>
      </c>
      <c r="AB37" s="7">
        <f>MAX(0,Z37-AA37)</f>
        <v/>
      </c>
      <c r="AC37" s="7">
        <f>SUMPRODUCT((AB37&gt;tb_federalBrackets_lo*C37)*(AB37-tb_federalBrackets_lo*C37)*tb_federalBrackets_dr)</f>
        <v/>
      </c>
      <c r="AD37" s="7">
        <f>MAX(0,Y37-impuestos_nyDeduccion*C37)</f>
        <v/>
      </c>
      <c r="AE37" s="7">
        <f>CHOOSE(loc_taxcode,0,impuestos_ohTasa*MAX(0,Y37-impuestos_ohExento*C37)+impuestos_ohMunicipal*U37,SUMPRODUCT((AD37&gt;tb_nyBrackets_lo*C37)*(AD37-tb_nyBrackets_lo*C37)*tb_nyBrackets_dr)+loc_nyc*SUMPRODUCT((AD37&gt;tb_nycBrackets_lo*C37)*(AD37-tb_nycBrackets_lo*C37)*tb_nycBrackets_dr))</f>
        <v/>
      </c>
      <c r="AF37" s="7">
        <f>AC37+AE37+X37+W37</f>
        <v/>
      </c>
      <c r="AG37" s="7">
        <f>D37+F37+R37+T37+H37</f>
        <v/>
      </c>
      <c r="AH37" s="7">
        <f>AG37-AF37-O37</f>
        <v/>
      </c>
      <c r="AI37" s="7">
        <f>D37+F37+G37+H37</f>
        <v/>
      </c>
      <c r="AJ37" s="7">
        <f>loc_gastosVida*C37*g_gastos</f>
        <v/>
      </c>
      <c r="AK37" s="7">
        <f>IF(4=0,personal_liquidoInicial,DR36)</f>
        <v/>
      </c>
      <c r="AL37" s="7">
        <f>IF(4=0,0,BB36)</f>
        <v/>
      </c>
      <c r="AM37" s="7">
        <f>CHOOSE(sel_cfgIdx,loc_precio_duplex,loc_precio_inlaw,loc_precio_dosCasas,loc_precio_casaAdu,loc_precio_multi)</f>
        <v/>
      </c>
      <c r="AN37" s="7">
        <f>AM37*(1+g_appr)^(A37-2026)</f>
        <v/>
      </c>
      <c r="AO37" s="7">
        <f>IF(AND(M37=1,vivienda_prestamoMedico=1),1,0)</f>
        <v/>
      </c>
      <c r="AP37" s="7">
        <f>IF(AO37=1,0.05,vivienda_enganchePct)</f>
        <v/>
      </c>
      <c r="AQ37" s="7">
        <f>AN37*(1-AP37)</f>
        <v/>
      </c>
      <c r="AR37" s="7">
        <f>PMT(g_mortRate/12,vivienda_plazoHipoteca*12,-AQ37)</f>
        <v/>
      </c>
      <c r="AS37" s="7">
        <f>INDEX(cfg_units,sel_cfgIdx)</f>
        <v/>
      </c>
      <c r="AT37" s="7">
        <f>AS37*loc_rentaUnidad*(1+g_inf)^(A37-2026)*(1-vivienda_vacancia)</f>
        <v/>
      </c>
      <c r="AU37" s="7">
        <f>AR37+AN37*loc_impuestoPropPct/12+AM37*loc_seguroPct*(1+vivienda_inflacionSeguro)^(A37-2026)/12+IF(AND(AO37=0,AP37&lt;0.2),AQ37*vivienda_pmiTasa/12,0)</f>
        <v/>
      </c>
      <c r="AV37" s="7">
        <f>AN37*AP37+AN37*vivienda_cierrePct+general_reservaMeses/12*AJ37</f>
        <v/>
      </c>
      <c r="AW37" s="7">
        <f>(IF(4=0,MIN(personal_irsSaldo,personal_irsPagoMensual*12),MIN(CD36,personal_irsPagoMensual*12))+IF(CE37&gt;0,PMT(CF37,MAX(1,prestamos_plazoAnios-CG37),-CE37),0)+IF(CR37&gt;0,PMT(CS37,MAX(1,prestamos_plazoAnios-CT37),-CR37),0))/12</f>
        <v/>
      </c>
      <c r="AX37" s="7">
        <f>IF(OR(sel_cfg="duplex",sel_cfg="multi",sel_cfg="dosCasas"),0.75*personal_aporteFamiliaMensual,0)</f>
        <v/>
      </c>
      <c r="AY37" s="7">
        <f>AU37-0.75*AT37-AX37+AW37</f>
        <v/>
      </c>
      <c r="AZ37" s="7">
        <f>(D37+G37+H37+0.5*F37)/12</f>
        <v/>
      </c>
      <c r="BA37" s="7">
        <f>IF(AND(AL37=0,A37&gt;=vivienda_anioMinCompra,J37&lt;0.5,AI37&gt;0,AK37&gt;=AV37,AY37&lt;=vivienda_dtiMax*AZ37),1,0)</f>
        <v/>
      </c>
      <c r="BB37" s="7">
        <f>MAX(AL37,BA37)</f>
        <v/>
      </c>
      <c r="BC37" s="7">
        <f>IF(BA37=1,A37,IF(4=0,"",BC36))</f>
        <v/>
      </c>
      <c r="BD37" s="7">
        <f>AK37-IF(BA37=1,AN37*AP37+AN37*vivienda_cierrePct,0)</f>
        <v/>
      </c>
      <c r="BE37" s="7">
        <f>IF(BA37=1,AN37,IF(4=0,0,BE36))</f>
        <v/>
      </c>
      <c r="BF37" s="7">
        <f>IF(BA37=1,AR37,IF(4=0,0,BF36))</f>
        <v/>
      </c>
      <c r="BG37" s="7">
        <f>IF(BA37=1,IF(AND(AO37=0,AP37&lt;0.2),1,0),IF(4=0,0,BY36))</f>
        <v/>
      </c>
      <c r="BH37" s="7">
        <f>IF(sel_cfg="casaAdu",1,0)</f>
        <v/>
      </c>
      <c r="BI37" s="7">
        <f>IF(AND(BB37=1,BH37=1,IF(4=0,0,BJ36)=0,A37&gt;=IF(BC37="",9999,BC37)+vivienda_aduRetrasoAnios),1,0)</f>
        <v/>
      </c>
      <c r="BJ37" s="7">
        <f>MAX(IF(4=0,0,BJ36),BI37)</f>
        <v/>
      </c>
      <c r="BK37" s="7">
        <f>IF(BI37=1,PMT((g_mortRate+0.005)/12,180,-loc_precio_aduCosto*C37),IF(4=0,0,BK36))</f>
        <v/>
      </c>
      <c r="BL37" s="7">
        <f>IF(BA37=1,AN37,IF(4=0,0,DT36))+IF(BI37=1,loc_precio_aduCosto*C37,0)</f>
        <v/>
      </c>
      <c r="BM37" s="7">
        <f>IF(BA37=1,AQ37,IF(4=0,0,DU36))</f>
        <v/>
      </c>
      <c r="BN37" s="7">
        <f>IF(BM37&lt;=0,0,FV(g_mortRate/12,12,BF37,-BM37))</f>
        <v/>
      </c>
      <c r="BO37" s="7">
        <f>IF(BM37&lt;=0,0,12*BF37+MIN(0,BN37))</f>
        <v/>
      </c>
      <c r="BP37" s="7">
        <f>MAX(0,BN37)</f>
        <v/>
      </c>
      <c r="BQ37" s="7">
        <f>IF(BI37=1,loc_precio_aduCosto*C37,IF(4=0,0,DV36))</f>
        <v/>
      </c>
      <c r="BR37" s="7">
        <f>IF(BQ37&lt;=0,0,FV((g_mortRate+0.005)/12,12,BK37,-BQ37))</f>
        <v/>
      </c>
      <c r="BS37" s="7">
        <f>IF(BQ37&lt;=0,0,12*BK37+MIN(0,BR37))</f>
        <v/>
      </c>
      <c r="BT37" s="7">
        <f>MAX(0,BR37)</f>
        <v/>
      </c>
      <c r="BU37" s="7">
        <f>IF(BB37=1,AM37*loc_seguroPct*(1+vivienda_inflacionSeguro)^(A37-2026)*IF(BJ37=1,1+loc_precio_aduCosto/AM37,1),0)</f>
        <v/>
      </c>
      <c r="BV37" s="7">
        <f>BL37*loc_impuestoPropPct</f>
        <v/>
      </c>
      <c r="BW37" s="7">
        <f>BL37*vivienda_mantenimientoPct</f>
        <v/>
      </c>
      <c r="BX37" s="7">
        <f>IF(AND(BG37=1,BP37&gt;0.8*BE37),BE37*(1-vivienda_enganchePct)*vivienda_pmiTasa,0)</f>
        <v/>
      </c>
      <c r="BY37" s="7">
        <f>IF(AND(BG37=1,BP37&gt;0.8*BE37),1,0)</f>
        <v/>
      </c>
      <c r="BZ37" s="7">
        <f>IF(BB37=1,AS37*loc_rentaUnidad*12*C37*(1-vivienda_vacancia)*(1-vivienda_gestionPct),0)</f>
        <v/>
      </c>
      <c r="CA37" s="7">
        <f>IF(BB37=1,BO37+BS37+BU37+BV37+BW37+BX37,loc_rentaMensual*12*C37)</f>
        <v/>
      </c>
      <c r="CB37" s="7">
        <f>IF(BB37=1,personal_aporteFamiliaMensual*12,0)</f>
        <v/>
      </c>
      <c r="CC37" s="7">
        <f>MIN(IF(4=0,personal_irsSaldo,CD36),personal_irsPagoMensual*12)</f>
        <v/>
      </c>
      <c r="CD37" s="7">
        <f>IF(4=0,personal_irsSaldo,CD36)-CC37</f>
        <v/>
      </c>
      <c r="CE37" s="7">
        <f>IF(4=0,IF(personal_deudaEsFederal=1,personal_deudaEstudiantil,0),DW36)</f>
        <v/>
      </c>
      <c r="CF37" s="7">
        <f>IF(4=0,personal_tasaDeudaEstudiantil,DX36)</f>
        <v/>
      </c>
      <c r="CG37" s="7">
        <f>IF(4=0,0,DY36)</f>
        <v/>
      </c>
      <c r="CH37" s="7">
        <f>IF(J37&gt;=0.5,1,0)</f>
        <v/>
      </c>
      <c r="CI37" s="7">
        <f>IF(AND(CH37=0,prestamos_pslfActivo=1,K37&gt;=0.5,CE37&gt;0),1,0)</f>
        <v/>
      </c>
      <c r="CJ37" s="7">
        <f>CE37*CF37</f>
        <v/>
      </c>
      <c r="CK37" s="7">
        <f>MAX(prestamos_rapPagoMinimoAnual,IF(Y37&lt;10000,0,MIN(0.1,INT(Y37/10000)/100))*Y37)</f>
        <v/>
      </c>
      <c r="CL37" s="7">
        <f>IF(CE37&lt;=0,0,IF(CH37=1,0,IF(CI37=1,MIN(CE37+CJ37,CK37),PMT(CF37,MAX(1,prestamos_plazoAnios-CG37),-CE37))))</f>
        <v/>
      </c>
      <c r="CM37" s="7">
        <f>IF(CE37&lt;=0,0,IF(CH37=1,CE37+CJ37,IF(CI37=1,MAX(0,CE37-MAX(CL37-CJ37,MIN(600,CL37))),MAX(0,CE37*(1+CF37)-CL37))))</f>
        <v/>
      </c>
      <c r="CN37" s="7">
        <f>IF(4=0,0,CN36)+IF(CI37=1,12*MIN(1,K37),0)</f>
        <v/>
      </c>
      <c r="CO37" s="7">
        <f>IF(AND(CI37=1,CN37&gt;=prestamos_pslfPagos,CM37&gt;0),CM37,0)</f>
        <v/>
      </c>
      <c r="CP37" s="7">
        <f>CM37-CO37</f>
        <v/>
      </c>
      <c r="CQ37" s="7">
        <f>IF(AND(CE37&gt;0,CH37=0,CI37=0),CG37+1,CG37)</f>
        <v/>
      </c>
      <c r="CR37" s="7">
        <f>IF(4=0,IF(personal_deudaEsFederal=1,0,personal_deudaEstudiantil),EA36)</f>
        <v/>
      </c>
      <c r="CS37" s="7">
        <f>IF(4=0,IF(personal_deudaEsFederal=1,prestamos_tasaPrivada,personal_tasaDeudaEstudiantil),EB36)</f>
        <v/>
      </c>
      <c r="CT37" s="7">
        <f>IF(4=0,0,EC36)</f>
        <v/>
      </c>
      <c r="CU37" s="7">
        <f>IF(OR(CR37&lt;=0,CH37=1),0,PMT(CS37,MAX(1,prestamos_plazoAnios-CT37),-CR37))</f>
        <v/>
      </c>
      <c r="CV37" s="7">
        <f>IF(CR37&lt;=0,0,IF(CH37=1,CR37*(1+CS37),MAX(0,CR37*(1+CS37)-CU37)))</f>
        <v/>
      </c>
      <c r="CW37" s="7">
        <f>IF(AND(CR37&gt;0,CH37=0),CT37+1,CT37)</f>
        <v/>
      </c>
      <c r="CX37" s="7">
        <f>IF(4=0,0,ED36)*(1+general_tasaDeudaConsumo)</f>
        <v/>
      </c>
      <c r="CY37" s="7">
        <f>L37*12*tiempos_travelGastoExtraMes*C37</f>
        <v/>
      </c>
      <c r="CZ37" s="7">
        <f>AJ37+CY37+CA37+CC37+CL37+CU37+I37+N37-BZ37-CB37</f>
        <v/>
      </c>
      <c r="DA37" s="7">
        <f>AH37-CZ37</f>
        <v/>
      </c>
      <c r="DB37" s="7">
        <f>IF(4=0,0,DB36)+DA37</f>
        <v/>
      </c>
      <c r="DC37" s="7">
        <f>AN37*vivienda_enganchePct+AN37*vivienda_cierrePct+general_reservaMeses/12*AJ37</f>
        <v/>
      </c>
      <c r="DD37" s="7">
        <f>IF(BB37=1,g_ret,IF(BD37&gt;0,MIN(1,DC37/BD37),1)*g_cash+(1-IF(BD37&gt;0,MIN(1,DC37/BD37),1))*g_ret)</f>
        <v/>
      </c>
      <c r="DE37" s="7">
        <f>IF(DA37&gt;=0,MIN(CX37,DA37),0)</f>
        <v/>
      </c>
      <c r="DF37" s="7">
        <f>IF(DA37&gt;=0,(1-general_tasaAhorro)*(DA37-DE37),0)</f>
        <v/>
      </c>
      <c r="DG37" s="7">
        <f>IF(DA37&gt;=0,DA37-DE37-DF37,0)</f>
        <v/>
      </c>
      <c r="DH37" s="7">
        <f>MIN(personal_rothAnual,DG37)</f>
        <v/>
      </c>
      <c r="DI37" s="7">
        <f>IF(AND(DA37&gt;=0,BB37=1,BP37+BT37&gt;0),MIN(vivienda_prepagoPct*(DG37-DH37),BP37+BT37),0)</f>
        <v/>
      </c>
      <c r="DJ37" s="7">
        <f>MIN(DI37,BP37)</f>
        <v/>
      </c>
      <c r="DK37" s="7">
        <f>IF(DA37&lt;0,MIN(MAX(0,BD37),-DA37),0)</f>
        <v/>
      </c>
      <c r="DL37" s="7">
        <f>IF(DA37&lt;0,-DA37-DK37,0)</f>
        <v/>
      </c>
      <c r="DM37" s="7">
        <f>IF(4=0,0,DZ36)</f>
        <v/>
      </c>
      <c r="DN37" s="7">
        <f>IF(AND(DL37&gt;0,J37&gt;0),MIN(DL37,MIN(prestamos_topeAnualPosgrado*MIN(1,J37),MAX(0,prestamos_topeTotalPosgrado-DM37))),0)</f>
        <v/>
      </c>
      <c r="DO37" s="7">
        <f>IF(AND(DL37&gt;0,J37&gt;0),DL37-DN37,0)</f>
        <v/>
      </c>
      <c r="DP37" s="7">
        <f>IF(AND(DL37&gt;0,J37&lt;=0),DL37,0)</f>
        <v/>
      </c>
      <c r="DQ37" s="7">
        <f>IF(DA37&gt;=0,DG37-DH37-DI37,-DK37)</f>
        <v/>
      </c>
      <c r="DR37" s="7">
        <f>BD37*(1+DD37)+DQ37*(1+DD37/2)</f>
        <v/>
      </c>
      <c r="DS37" s="7">
        <f>IF(4=0,personal_retiroInicial,DS36)*(1+g_ret)+(O37+P37+DH37)*(1+g_ret/2)</f>
        <v/>
      </c>
      <c r="DT37" s="7">
        <f>IF(BB37=1,BL37*(1+g_appr),0)</f>
        <v/>
      </c>
      <c r="DU37" s="7">
        <f>BP37-DJ37</f>
        <v/>
      </c>
      <c r="DV37" s="7">
        <f>BT37-(DI37-DJ37)</f>
        <v/>
      </c>
      <c r="DW37" s="7">
        <f>CP37+DN37</f>
        <v/>
      </c>
      <c r="DX37" s="7">
        <f>IF(DN37&gt;0,(CP37*CF37+DN37*prestamos_tasaFederalPosgrado)/(CP37+DN37),CF37)</f>
        <v/>
      </c>
      <c r="DY37" s="7">
        <f>IF(DN37&gt;0,0,CQ37)</f>
        <v/>
      </c>
      <c r="DZ37" s="7">
        <f>DM37+DN37</f>
        <v/>
      </c>
      <c r="EA37" s="7">
        <f>CV37+DO37</f>
        <v/>
      </c>
      <c r="EB37" s="7">
        <f>IF(DO37&gt;0,(CV37*CS37+DO37*prestamos_tasaPrivada)/(CV37+DO37),CS37)</f>
        <v/>
      </c>
      <c r="EC37" s="7">
        <f>IF(DO37&gt;0,0,CW37)</f>
        <v/>
      </c>
      <c r="ED37" s="7">
        <f>CX37-DE37+DP37</f>
        <v/>
      </c>
      <c r="EE37" s="7">
        <f>IF(IF(4=0,"",EE36)&lt;&gt;"",EE36,IF(AND(BB37=1,DU37&lt;=0.5,DV37&lt;=0.5,OR(BH37=0,BJ37=1)),A37,""))</f>
        <v/>
      </c>
      <c r="EF37" s="7">
        <f>DU37+DV37+DW37+EA37+ED37+CD37</f>
        <v/>
      </c>
      <c r="EG37" s="7">
        <f>DR37+DS37+DT37-EF37</f>
        <v/>
      </c>
      <c r="EH37" s="7">
        <f>EG37/(1+g_inf)^(A37+1-2026)</f>
        <v/>
      </c>
    </row>
    <row r="38">
      <c r="A38" t="n">
        <v>2032</v>
      </c>
      <c r="B38" t="n">
        <v>5</v>
      </c>
      <c r="C38" s="7">
        <f>(1+g_inf)^(A38-2026)</f>
        <v/>
      </c>
      <c r="D38" s="7">
        <f>SUMPRODUCT($Y$5:$Y$29,$E$5:$E$29*(1+$F$5:$F$29)^(A38-2026)*$G$5:$G$29*$H$5:$H$29*(1-$N$5:$N$29*$O$5:$O$29))*g_salMult+SUMPRODUCT(($B$5:$B$29&gt;=A38)*($B$5:$B$29&lt;A38+1)*$I$5:$I$29)*g_salMult</f>
        <v/>
      </c>
      <c r="E38" s="7">
        <f>SUMPRODUCT($Y$5:$Y$29,$E$5:$E$29*(1+$F$5:$F$29)^(A38-2026)*$G$5:$G$29*$H$5:$H$29*$M$5:$M$29)*g_salMult</f>
        <v/>
      </c>
      <c r="F38" s="7">
        <f>SUMPRODUCT($Y$5:$Y$29,$E$5:$E$29*(1+$F$5:$F$29)^(A38-2026)*$G$5:$G$29*$H$5:$H$29*$N$5:$N$29*$O$5:$O$29)*g_salMult</f>
        <v/>
      </c>
      <c r="G38" s="7">
        <f>SUMPRODUCT($Y$5:$Y$29,$P$5:$P$29*(1+$F$5:$F$29)^(A38-2026))</f>
        <v/>
      </c>
      <c r="H38" s="7">
        <f>SUMPRODUCT($Y$5:$Y$29,$Q$5:$Q$29*(1+$F$5:$F$29)^(A38-2026))+IF(personal_llcActivo=1,personal_llcNeto*(1+personal_llcCrecimiento)^5,0)</f>
        <v/>
      </c>
      <c r="I38" s="7">
        <f>SUMPRODUCT($Y$5:$Y$29,$J$5:$J$29/($C$5:$C$29-$B$5:$B$29+($C$5:$C$29=$B$5:$B$29)))*C38</f>
        <v/>
      </c>
      <c r="J38" s="7">
        <f>SUMPRODUCT($Y$5:$Y$29,$K$5:$K$29)</f>
        <v/>
      </c>
      <c r="K38" s="7">
        <f>SUMPRODUCT($Y$5:$Y$29,$L$5:$L$29)</f>
        <v/>
      </c>
      <c r="L38" s="7">
        <f>SUMPRODUCT($Y$5:$Y$29,$N$5:$N$29)</f>
        <v/>
      </c>
      <c r="M38" s="7">
        <f>IF(SUMPRODUCT($Y$5:$Y$29,$R$5:$R$29)&gt;0,1,0)</f>
        <v/>
      </c>
      <c r="N38" s="7">
        <f>SUMPRODUCT(($AO$5:$AO$24&gt;=A38)*($AO$5:$AO$24&lt;A38+1)*$AP$5:$AP$24)*C38+IF(5=0,IF(sel_loc&lt;&gt;"miami",personal_costoMudanzaInicial,0),0)</f>
        <v/>
      </c>
      <c r="O38" s="7">
        <f>MIN(personal_aporte403bPct*D38,retiro_limite403b*C38)</f>
        <v/>
      </c>
      <c r="P38" s="7">
        <f>MIN(personal_aporte403bPct,personal_match403bPct)*E38</f>
        <v/>
      </c>
      <c r="Q38" s="7">
        <f>IF(G38&gt;0,MAX(0,G38-impuestos_scorpCostoAnual*C38),0)</f>
        <v/>
      </c>
      <c r="R38" s="7">
        <f>Q38*impuestos_scorpSalarioPct/(1+impuestos_ssTasa+impuestos_medicareTasa)</f>
        <v/>
      </c>
      <c r="S38" s="7">
        <f>impuestos_ssTasa*MIN(R38,MAX(0,impuestos_ssTope*C38-D38))+impuestos_medicareTasa*R38</f>
        <v/>
      </c>
      <c r="T38" s="7">
        <f>Q38-R38-S38</f>
        <v/>
      </c>
      <c r="U38" s="7">
        <f>D38+R38</f>
        <v/>
      </c>
      <c r="V38" s="7">
        <f>H38*0.9235</f>
        <v/>
      </c>
      <c r="W38" s="7">
        <f>IF(H38&gt;0,2*impuestos_ssTasa*MIN(V38,MAX(0,impuestos_ssTope*C38-U38))+2*impuestos_medicareTasa*V38,0)</f>
        <v/>
      </c>
      <c r="X38" s="7">
        <f>impuestos_ssTasa*MIN(U38,impuestos_ssTope*C38)+impuestos_medicareTasa*U38+impuestos_medicareAdicional*MAX(0,U38+H38*0.9235-impuestos_medicareUmbral)</f>
        <v/>
      </c>
      <c r="Y38" s="7">
        <f>MAX(0,D38-O38+R38+T38+H38-W38/2)</f>
        <v/>
      </c>
      <c r="Z38" s="7">
        <f>MAX(0,Y38-impuestos_deduccionEstandar*C38)</f>
        <v/>
      </c>
      <c r="AA38" s="7">
        <f>MIN(0.2*MAX(0,T38+H38-W38/2)*MAX(0,MIN(1,1-(Z38-impuestos_qbiUmbral*C38)/(impuestos_qbiRango*C38))),0.2*Z38)</f>
        <v/>
      </c>
      <c r="AB38" s="7">
        <f>MAX(0,Z38-AA38)</f>
        <v/>
      </c>
      <c r="AC38" s="7">
        <f>SUMPRODUCT((AB38&gt;tb_federalBrackets_lo*C38)*(AB38-tb_federalBrackets_lo*C38)*tb_federalBrackets_dr)</f>
        <v/>
      </c>
      <c r="AD38" s="7">
        <f>MAX(0,Y38-impuestos_nyDeduccion*C38)</f>
        <v/>
      </c>
      <c r="AE38" s="7">
        <f>CHOOSE(loc_taxcode,0,impuestos_ohTasa*MAX(0,Y38-impuestos_ohExento*C38)+impuestos_ohMunicipal*U38,SUMPRODUCT((AD38&gt;tb_nyBrackets_lo*C38)*(AD38-tb_nyBrackets_lo*C38)*tb_nyBrackets_dr)+loc_nyc*SUMPRODUCT((AD38&gt;tb_nycBrackets_lo*C38)*(AD38-tb_nycBrackets_lo*C38)*tb_nycBrackets_dr))</f>
        <v/>
      </c>
      <c r="AF38" s="7">
        <f>AC38+AE38+X38+W38</f>
        <v/>
      </c>
      <c r="AG38" s="7">
        <f>D38+F38+R38+T38+H38</f>
        <v/>
      </c>
      <c r="AH38" s="7">
        <f>AG38-AF38-O38</f>
        <v/>
      </c>
      <c r="AI38" s="7">
        <f>D38+F38+G38+H38</f>
        <v/>
      </c>
      <c r="AJ38" s="7">
        <f>loc_gastosVida*C38*g_gastos</f>
        <v/>
      </c>
      <c r="AK38" s="7">
        <f>IF(5=0,personal_liquidoInicial,DR37)</f>
        <v/>
      </c>
      <c r="AL38" s="7">
        <f>IF(5=0,0,BB37)</f>
        <v/>
      </c>
      <c r="AM38" s="7">
        <f>CHOOSE(sel_cfgIdx,loc_precio_duplex,loc_precio_inlaw,loc_precio_dosCasas,loc_precio_casaAdu,loc_precio_multi)</f>
        <v/>
      </c>
      <c r="AN38" s="7">
        <f>AM38*(1+g_appr)^(A38-2026)</f>
        <v/>
      </c>
      <c r="AO38" s="7">
        <f>IF(AND(M38=1,vivienda_prestamoMedico=1),1,0)</f>
        <v/>
      </c>
      <c r="AP38" s="7">
        <f>IF(AO38=1,0.05,vivienda_enganchePct)</f>
        <v/>
      </c>
      <c r="AQ38" s="7">
        <f>AN38*(1-AP38)</f>
        <v/>
      </c>
      <c r="AR38" s="7">
        <f>PMT(g_mortRate/12,vivienda_plazoHipoteca*12,-AQ38)</f>
        <v/>
      </c>
      <c r="AS38" s="7">
        <f>INDEX(cfg_units,sel_cfgIdx)</f>
        <v/>
      </c>
      <c r="AT38" s="7">
        <f>AS38*loc_rentaUnidad*(1+g_inf)^(A38-2026)*(1-vivienda_vacancia)</f>
        <v/>
      </c>
      <c r="AU38" s="7">
        <f>AR38+AN38*loc_impuestoPropPct/12+AM38*loc_seguroPct*(1+vivienda_inflacionSeguro)^(A38-2026)/12+IF(AND(AO38=0,AP38&lt;0.2),AQ38*vivienda_pmiTasa/12,0)</f>
        <v/>
      </c>
      <c r="AV38" s="7">
        <f>AN38*AP38+AN38*vivienda_cierrePct+general_reservaMeses/12*AJ38</f>
        <v/>
      </c>
      <c r="AW38" s="7">
        <f>(IF(5=0,MIN(personal_irsSaldo,personal_irsPagoMensual*12),MIN(CD37,personal_irsPagoMensual*12))+IF(CE38&gt;0,PMT(CF38,MAX(1,prestamos_plazoAnios-CG38),-CE38),0)+IF(CR38&gt;0,PMT(CS38,MAX(1,prestamos_plazoAnios-CT38),-CR38),0))/12</f>
        <v/>
      </c>
      <c r="AX38" s="7">
        <f>IF(OR(sel_cfg="duplex",sel_cfg="multi",sel_cfg="dosCasas"),0.75*personal_aporteFamiliaMensual,0)</f>
        <v/>
      </c>
      <c r="AY38" s="7">
        <f>AU38-0.75*AT38-AX38+AW38</f>
        <v/>
      </c>
      <c r="AZ38" s="7">
        <f>(D38+G38+H38+0.5*F38)/12</f>
        <v/>
      </c>
      <c r="BA38" s="7">
        <f>IF(AND(AL38=0,A38&gt;=vivienda_anioMinCompra,J38&lt;0.5,AI38&gt;0,AK38&gt;=AV38,AY38&lt;=vivienda_dtiMax*AZ38),1,0)</f>
        <v/>
      </c>
      <c r="BB38" s="7">
        <f>MAX(AL38,BA38)</f>
        <v/>
      </c>
      <c r="BC38" s="7">
        <f>IF(BA38=1,A38,IF(5=0,"",BC37))</f>
        <v/>
      </c>
      <c r="BD38" s="7">
        <f>AK38-IF(BA38=1,AN38*AP38+AN38*vivienda_cierrePct,0)</f>
        <v/>
      </c>
      <c r="BE38" s="7">
        <f>IF(BA38=1,AN38,IF(5=0,0,BE37))</f>
        <v/>
      </c>
      <c r="BF38" s="7">
        <f>IF(BA38=1,AR38,IF(5=0,0,BF37))</f>
        <v/>
      </c>
      <c r="BG38" s="7">
        <f>IF(BA38=1,IF(AND(AO38=0,AP38&lt;0.2),1,0),IF(5=0,0,BY37))</f>
        <v/>
      </c>
      <c r="BH38" s="7">
        <f>IF(sel_cfg="casaAdu",1,0)</f>
        <v/>
      </c>
      <c r="BI38" s="7">
        <f>IF(AND(BB38=1,BH38=1,IF(5=0,0,BJ37)=0,A38&gt;=IF(BC38="",9999,BC38)+vivienda_aduRetrasoAnios),1,0)</f>
        <v/>
      </c>
      <c r="BJ38" s="7">
        <f>MAX(IF(5=0,0,BJ37),BI38)</f>
        <v/>
      </c>
      <c r="BK38" s="7">
        <f>IF(BI38=1,PMT((g_mortRate+0.005)/12,180,-loc_precio_aduCosto*C38),IF(5=0,0,BK37))</f>
        <v/>
      </c>
      <c r="BL38" s="7">
        <f>IF(BA38=1,AN38,IF(5=0,0,DT37))+IF(BI38=1,loc_precio_aduCosto*C38,0)</f>
        <v/>
      </c>
      <c r="BM38" s="7">
        <f>IF(BA38=1,AQ38,IF(5=0,0,DU37))</f>
        <v/>
      </c>
      <c r="BN38" s="7">
        <f>IF(BM38&lt;=0,0,FV(g_mortRate/12,12,BF38,-BM38))</f>
        <v/>
      </c>
      <c r="BO38" s="7">
        <f>IF(BM38&lt;=0,0,12*BF38+MIN(0,BN38))</f>
        <v/>
      </c>
      <c r="BP38" s="7">
        <f>MAX(0,BN38)</f>
        <v/>
      </c>
      <c r="BQ38" s="7">
        <f>IF(BI38=1,loc_precio_aduCosto*C38,IF(5=0,0,DV37))</f>
        <v/>
      </c>
      <c r="BR38" s="7">
        <f>IF(BQ38&lt;=0,0,FV((g_mortRate+0.005)/12,12,BK38,-BQ38))</f>
        <v/>
      </c>
      <c r="BS38" s="7">
        <f>IF(BQ38&lt;=0,0,12*BK38+MIN(0,BR38))</f>
        <v/>
      </c>
      <c r="BT38" s="7">
        <f>MAX(0,BR38)</f>
        <v/>
      </c>
      <c r="BU38" s="7">
        <f>IF(BB38=1,AM38*loc_seguroPct*(1+vivienda_inflacionSeguro)^(A38-2026)*IF(BJ38=1,1+loc_precio_aduCosto/AM38,1),0)</f>
        <v/>
      </c>
      <c r="BV38" s="7">
        <f>BL38*loc_impuestoPropPct</f>
        <v/>
      </c>
      <c r="BW38" s="7">
        <f>BL38*vivienda_mantenimientoPct</f>
        <v/>
      </c>
      <c r="BX38" s="7">
        <f>IF(AND(BG38=1,BP38&gt;0.8*BE38),BE38*(1-vivienda_enganchePct)*vivienda_pmiTasa,0)</f>
        <v/>
      </c>
      <c r="BY38" s="7">
        <f>IF(AND(BG38=1,BP38&gt;0.8*BE38),1,0)</f>
        <v/>
      </c>
      <c r="BZ38" s="7">
        <f>IF(BB38=1,AS38*loc_rentaUnidad*12*C38*(1-vivienda_vacancia)*(1-vivienda_gestionPct),0)</f>
        <v/>
      </c>
      <c r="CA38" s="7">
        <f>IF(BB38=1,BO38+BS38+BU38+BV38+BW38+BX38,loc_rentaMensual*12*C38)</f>
        <v/>
      </c>
      <c r="CB38" s="7">
        <f>IF(BB38=1,personal_aporteFamiliaMensual*12,0)</f>
        <v/>
      </c>
      <c r="CC38" s="7">
        <f>MIN(IF(5=0,personal_irsSaldo,CD37),personal_irsPagoMensual*12)</f>
        <v/>
      </c>
      <c r="CD38" s="7">
        <f>IF(5=0,personal_irsSaldo,CD37)-CC38</f>
        <v/>
      </c>
      <c r="CE38" s="7">
        <f>IF(5=0,IF(personal_deudaEsFederal=1,personal_deudaEstudiantil,0),DW37)</f>
        <v/>
      </c>
      <c r="CF38" s="7">
        <f>IF(5=0,personal_tasaDeudaEstudiantil,DX37)</f>
        <v/>
      </c>
      <c r="CG38" s="7">
        <f>IF(5=0,0,DY37)</f>
        <v/>
      </c>
      <c r="CH38" s="7">
        <f>IF(J38&gt;=0.5,1,0)</f>
        <v/>
      </c>
      <c r="CI38" s="7">
        <f>IF(AND(CH38=0,prestamos_pslfActivo=1,K38&gt;=0.5,CE38&gt;0),1,0)</f>
        <v/>
      </c>
      <c r="CJ38" s="7">
        <f>CE38*CF38</f>
        <v/>
      </c>
      <c r="CK38" s="7">
        <f>MAX(prestamos_rapPagoMinimoAnual,IF(Y38&lt;10000,0,MIN(0.1,INT(Y38/10000)/100))*Y38)</f>
        <v/>
      </c>
      <c r="CL38" s="7">
        <f>IF(CE38&lt;=0,0,IF(CH38=1,0,IF(CI38=1,MIN(CE38+CJ38,CK38),PMT(CF38,MAX(1,prestamos_plazoAnios-CG38),-CE38))))</f>
        <v/>
      </c>
      <c r="CM38" s="7">
        <f>IF(CE38&lt;=0,0,IF(CH38=1,CE38+CJ38,IF(CI38=1,MAX(0,CE38-MAX(CL38-CJ38,MIN(600,CL38))),MAX(0,CE38*(1+CF38)-CL38))))</f>
        <v/>
      </c>
      <c r="CN38" s="7">
        <f>IF(5=0,0,CN37)+IF(CI38=1,12*MIN(1,K38),0)</f>
        <v/>
      </c>
      <c r="CO38" s="7">
        <f>IF(AND(CI38=1,CN38&gt;=prestamos_pslfPagos,CM38&gt;0),CM38,0)</f>
        <v/>
      </c>
      <c r="CP38" s="7">
        <f>CM38-CO38</f>
        <v/>
      </c>
      <c r="CQ38" s="7">
        <f>IF(AND(CE38&gt;0,CH38=0,CI38=0),CG38+1,CG38)</f>
        <v/>
      </c>
      <c r="CR38" s="7">
        <f>IF(5=0,IF(personal_deudaEsFederal=1,0,personal_deudaEstudiantil),EA37)</f>
        <v/>
      </c>
      <c r="CS38" s="7">
        <f>IF(5=0,IF(personal_deudaEsFederal=1,prestamos_tasaPrivada,personal_tasaDeudaEstudiantil),EB37)</f>
        <v/>
      </c>
      <c r="CT38" s="7">
        <f>IF(5=0,0,EC37)</f>
        <v/>
      </c>
      <c r="CU38" s="7">
        <f>IF(OR(CR38&lt;=0,CH38=1),0,PMT(CS38,MAX(1,prestamos_plazoAnios-CT38),-CR38))</f>
        <v/>
      </c>
      <c r="CV38" s="7">
        <f>IF(CR38&lt;=0,0,IF(CH38=1,CR38*(1+CS38),MAX(0,CR38*(1+CS38)-CU38)))</f>
        <v/>
      </c>
      <c r="CW38" s="7">
        <f>IF(AND(CR38&gt;0,CH38=0),CT38+1,CT38)</f>
        <v/>
      </c>
      <c r="CX38" s="7">
        <f>IF(5=0,0,ED37)*(1+general_tasaDeudaConsumo)</f>
        <v/>
      </c>
      <c r="CY38" s="7">
        <f>L38*12*tiempos_travelGastoExtraMes*C38</f>
        <v/>
      </c>
      <c r="CZ38" s="7">
        <f>AJ38+CY38+CA38+CC38+CL38+CU38+I38+N38-BZ38-CB38</f>
        <v/>
      </c>
      <c r="DA38" s="7">
        <f>AH38-CZ38</f>
        <v/>
      </c>
      <c r="DB38" s="7">
        <f>IF(5=0,0,DB37)+DA38</f>
        <v/>
      </c>
      <c r="DC38" s="7">
        <f>AN38*vivienda_enganchePct+AN38*vivienda_cierrePct+general_reservaMeses/12*AJ38</f>
        <v/>
      </c>
      <c r="DD38" s="7">
        <f>IF(BB38=1,g_ret,IF(BD38&gt;0,MIN(1,DC38/BD38),1)*g_cash+(1-IF(BD38&gt;0,MIN(1,DC38/BD38),1))*g_ret)</f>
        <v/>
      </c>
      <c r="DE38" s="7">
        <f>IF(DA38&gt;=0,MIN(CX38,DA38),0)</f>
        <v/>
      </c>
      <c r="DF38" s="7">
        <f>IF(DA38&gt;=0,(1-general_tasaAhorro)*(DA38-DE38),0)</f>
        <v/>
      </c>
      <c r="DG38" s="7">
        <f>IF(DA38&gt;=0,DA38-DE38-DF38,0)</f>
        <v/>
      </c>
      <c r="DH38" s="7">
        <f>MIN(personal_rothAnual,DG38)</f>
        <v/>
      </c>
      <c r="DI38" s="7">
        <f>IF(AND(DA38&gt;=0,BB38=1,BP38+BT38&gt;0),MIN(vivienda_prepagoPct*(DG38-DH38),BP38+BT38),0)</f>
        <v/>
      </c>
      <c r="DJ38" s="7">
        <f>MIN(DI38,BP38)</f>
        <v/>
      </c>
      <c r="DK38" s="7">
        <f>IF(DA38&lt;0,MIN(MAX(0,BD38),-DA38),0)</f>
        <v/>
      </c>
      <c r="DL38" s="7">
        <f>IF(DA38&lt;0,-DA38-DK38,0)</f>
        <v/>
      </c>
      <c r="DM38" s="7">
        <f>IF(5=0,0,DZ37)</f>
        <v/>
      </c>
      <c r="DN38" s="7">
        <f>IF(AND(DL38&gt;0,J38&gt;0),MIN(DL38,MIN(prestamos_topeAnualPosgrado*MIN(1,J38),MAX(0,prestamos_topeTotalPosgrado-DM38))),0)</f>
        <v/>
      </c>
      <c r="DO38" s="7">
        <f>IF(AND(DL38&gt;0,J38&gt;0),DL38-DN38,0)</f>
        <v/>
      </c>
      <c r="DP38" s="7">
        <f>IF(AND(DL38&gt;0,J38&lt;=0),DL38,0)</f>
        <v/>
      </c>
      <c r="DQ38" s="7">
        <f>IF(DA38&gt;=0,DG38-DH38-DI38,-DK38)</f>
        <v/>
      </c>
      <c r="DR38" s="7">
        <f>BD38*(1+DD38)+DQ38*(1+DD38/2)</f>
        <v/>
      </c>
      <c r="DS38" s="7">
        <f>IF(5=0,personal_retiroInicial,DS37)*(1+g_ret)+(O38+P38+DH38)*(1+g_ret/2)</f>
        <v/>
      </c>
      <c r="DT38" s="7">
        <f>IF(BB38=1,BL38*(1+g_appr),0)</f>
        <v/>
      </c>
      <c r="DU38" s="7">
        <f>BP38-DJ38</f>
        <v/>
      </c>
      <c r="DV38" s="7">
        <f>BT38-(DI38-DJ38)</f>
        <v/>
      </c>
      <c r="DW38" s="7">
        <f>CP38+DN38</f>
        <v/>
      </c>
      <c r="DX38" s="7">
        <f>IF(DN38&gt;0,(CP38*CF38+DN38*prestamos_tasaFederalPosgrado)/(CP38+DN38),CF38)</f>
        <v/>
      </c>
      <c r="DY38" s="7">
        <f>IF(DN38&gt;0,0,CQ38)</f>
        <v/>
      </c>
      <c r="DZ38" s="7">
        <f>DM38+DN38</f>
        <v/>
      </c>
      <c r="EA38" s="7">
        <f>CV38+DO38</f>
        <v/>
      </c>
      <c r="EB38" s="7">
        <f>IF(DO38&gt;0,(CV38*CS38+DO38*prestamos_tasaPrivada)/(CV38+DO38),CS38)</f>
        <v/>
      </c>
      <c r="EC38" s="7">
        <f>IF(DO38&gt;0,0,CW38)</f>
        <v/>
      </c>
      <c r="ED38" s="7">
        <f>CX38-DE38+DP38</f>
        <v/>
      </c>
      <c r="EE38" s="7">
        <f>IF(IF(5=0,"",EE37)&lt;&gt;"",EE37,IF(AND(BB38=1,DU38&lt;=0.5,DV38&lt;=0.5,OR(BH38=0,BJ38=1)),A38,""))</f>
        <v/>
      </c>
      <c r="EF38" s="7">
        <f>DU38+DV38+DW38+EA38+ED38+CD38</f>
        <v/>
      </c>
      <c r="EG38" s="7">
        <f>DR38+DS38+DT38-EF38</f>
        <v/>
      </c>
      <c r="EH38" s="7">
        <f>EG38/(1+g_inf)^(A38+1-2026)</f>
        <v/>
      </c>
    </row>
    <row r="39">
      <c r="A39" t="n">
        <v>2033</v>
      </c>
      <c r="B39" t="n">
        <v>6</v>
      </c>
      <c r="C39" s="7">
        <f>(1+g_inf)^(A39-2026)</f>
        <v/>
      </c>
      <c r="D39" s="7">
        <f>SUMPRODUCT($Z$5:$Z$29,$E$5:$E$29*(1+$F$5:$F$29)^(A39-2026)*$G$5:$G$29*$H$5:$H$29*(1-$N$5:$N$29*$O$5:$O$29))*g_salMult+SUMPRODUCT(($B$5:$B$29&gt;=A39)*($B$5:$B$29&lt;A39+1)*$I$5:$I$29)*g_salMult</f>
        <v/>
      </c>
      <c r="E39" s="7">
        <f>SUMPRODUCT($Z$5:$Z$29,$E$5:$E$29*(1+$F$5:$F$29)^(A39-2026)*$G$5:$G$29*$H$5:$H$29*$M$5:$M$29)*g_salMult</f>
        <v/>
      </c>
      <c r="F39" s="7">
        <f>SUMPRODUCT($Z$5:$Z$29,$E$5:$E$29*(1+$F$5:$F$29)^(A39-2026)*$G$5:$G$29*$H$5:$H$29*$N$5:$N$29*$O$5:$O$29)*g_salMult</f>
        <v/>
      </c>
      <c r="G39" s="7">
        <f>SUMPRODUCT($Z$5:$Z$29,$P$5:$P$29*(1+$F$5:$F$29)^(A39-2026))</f>
        <v/>
      </c>
      <c r="H39" s="7">
        <f>SUMPRODUCT($Z$5:$Z$29,$Q$5:$Q$29*(1+$F$5:$F$29)^(A39-2026))+IF(personal_llcActivo=1,personal_llcNeto*(1+personal_llcCrecimiento)^6,0)</f>
        <v/>
      </c>
      <c r="I39" s="7">
        <f>SUMPRODUCT($Z$5:$Z$29,$J$5:$J$29/($C$5:$C$29-$B$5:$B$29+($C$5:$C$29=$B$5:$B$29)))*C39</f>
        <v/>
      </c>
      <c r="J39" s="7">
        <f>SUMPRODUCT($Z$5:$Z$29,$K$5:$K$29)</f>
        <v/>
      </c>
      <c r="K39" s="7">
        <f>SUMPRODUCT($Z$5:$Z$29,$L$5:$L$29)</f>
        <v/>
      </c>
      <c r="L39" s="7">
        <f>SUMPRODUCT($Z$5:$Z$29,$N$5:$N$29)</f>
        <v/>
      </c>
      <c r="M39" s="7">
        <f>IF(SUMPRODUCT($Z$5:$Z$29,$R$5:$R$29)&gt;0,1,0)</f>
        <v/>
      </c>
      <c r="N39" s="7">
        <f>SUMPRODUCT(($AO$5:$AO$24&gt;=A39)*($AO$5:$AO$24&lt;A39+1)*$AP$5:$AP$24)*C39+IF(6=0,IF(sel_loc&lt;&gt;"miami",personal_costoMudanzaInicial,0),0)</f>
        <v/>
      </c>
      <c r="O39" s="7">
        <f>MIN(personal_aporte403bPct*D39,retiro_limite403b*C39)</f>
        <v/>
      </c>
      <c r="P39" s="7">
        <f>MIN(personal_aporte403bPct,personal_match403bPct)*E39</f>
        <v/>
      </c>
      <c r="Q39" s="7">
        <f>IF(G39&gt;0,MAX(0,G39-impuestos_scorpCostoAnual*C39),0)</f>
        <v/>
      </c>
      <c r="R39" s="7">
        <f>Q39*impuestos_scorpSalarioPct/(1+impuestos_ssTasa+impuestos_medicareTasa)</f>
        <v/>
      </c>
      <c r="S39" s="7">
        <f>impuestos_ssTasa*MIN(R39,MAX(0,impuestos_ssTope*C39-D39))+impuestos_medicareTasa*R39</f>
        <v/>
      </c>
      <c r="T39" s="7">
        <f>Q39-R39-S39</f>
        <v/>
      </c>
      <c r="U39" s="7">
        <f>D39+R39</f>
        <v/>
      </c>
      <c r="V39" s="7">
        <f>H39*0.9235</f>
        <v/>
      </c>
      <c r="W39" s="7">
        <f>IF(H39&gt;0,2*impuestos_ssTasa*MIN(V39,MAX(0,impuestos_ssTope*C39-U39))+2*impuestos_medicareTasa*V39,0)</f>
        <v/>
      </c>
      <c r="X39" s="7">
        <f>impuestos_ssTasa*MIN(U39,impuestos_ssTope*C39)+impuestos_medicareTasa*U39+impuestos_medicareAdicional*MAX(0,U39+H39*0.9235-impuestos_medicareUmbral)</f>
        <v/>
      </c>
      <c r="Y39" s="7">
        <f>MAX(0,D39-O39+R39+T39+H39-W39/2)</f>
        <v/>
      </c>
      <c r="Z39" s="7">
        <f>MAX(0,Y39-impuestos_deduccionEstandar*C39)</f>
        <v/>
      </c>
      <c r="AA39" s="7">
        <f>MIN(0.2*MAX(0,T39+H39-W39/2)*MAX(0,MIN(1,1-(Z39-impuestos_qbiUmbral*C39)/(impuestos_qbiRango*C39))),0.2*Z39)</f>
        <v/>
      </c>
      <c r="AB39" s="7">
        <f>MAX(0,Z39-AA39)</f>
        <v/>
      </c>
      <c r="AC39" s="7">
        <f>SUMPRODUCT((AB39&gt;tb_federalBrackets_lo*C39)*(AB39-tb_federalBrackets_lo*C39)*tb_federalBrackets_dr)</f>
        <v/>
      </c>
      <c r="AD39" s="7">
        <f>MAX(0,Y39-impuestos_nyDeduccion*C39)</f>
        <v/>
      </c>
      <c r="AE39" s="7">
        <f>CHOOSE(loc_taxcode,0,impuestos_ohTasa*MAX(0,Y39-impuestos_ohExento*C39)+impuestos_ohMunicipal*U39,SUMPRODUCT((AD39&gt;tb_nyBrackets_lo*C39)*(AD39-tb_nyBrackets_lo*C39)*tb_nyBrackets_dr)+loc_nyc*SUMPRODUCT((AD39&gt;tb_nycBrackets_lo*C39)*(AD39-tb_nycBrackets_lo*C39)*tb_nycBrackets_dr))</f>
        <v/>
      </c>
      <c r="AF39" s="7">
        <f>AC39+AE39+X39+W39</f>
        <v/>
      </c>
      <c r="AG39" s="7">
        <f>D39+F39+R39+T39+H39</f>
        <v/>
      </c>
      <c r="AH39" s="7">
        <f>AG39-AF39-O39</f>
        <v/>
      </c>
      <c r="AI39" s="7">
        <f>D39+F39+G39+H39</f>
        <v/>
      </c>
      <c r="AJ39" s="7">
        <f>loc_gastosVida*C39*g_gastos</f>
        <v/>
      </c>
      <c r="AK39" s="7">
        <f>IF(6=0,personal_liquidoInicial,DR38)</f>
        <v/>
      </c>
      <c r="AL39" s="7">
        <f>IF(6=0,0,BB38)</f>
        <v/>
      </c>
      <c r="AM39" s="7">
        <f>CHOOSE(sel_cfgIdx,loc_precio_duplex,loc_precio_inlaw,loc_precio_dosCasas,loc_precio_casaAdu,loc_precio_multi)</f>
        <v/>
      </c>
      <c r="AN39" s="7">
        <f>AM39*(1+g_appr)^(A39-2026)</f>
        <v/>
      </c>
      <c r="AO39" s="7">
        <f>IF(AND(M39=1,vivienda_prestamoMedico=1),1,0)</f>
        <v/>
      </c>
      <c r="AP39" s="7">
        <f>IF(AO39=1,0.05,vivienda_enganchePct)</f>
        <v/>
      </c>
      <c r="AQ39" s="7">
        <f>AN39*(1-AP39)</f>
        <v/>
      </c>
      <c r="AR39" s="7">
        <f>PMT(g_mortRate/12,vivienda_plazoHipoteca*12,-AQ39)</f>
        <v/>
      </c>
      <c r="AS39" s="7">
        <f>INDEX(cfg_units,sel_cfgIdx)</f>
        <v/>
      </c>
      <c r="AT39" s="7">
        <f>AS39*loc_rentaUnidad*(1+g_inf)^(A39-2026)*(1-vivienda_vacancia)</f>
        <v/>
      </c>
      <c r="AU39" s="7">
        <f>AR39+AN39*loc_impuestoPropPct/12+AM39*loc_seguroPct*(1+vivienda_inflacionSeguro)^(A39-2026)/12+IF(AND(AO39=0,AP39&lt;0.2),AQ39*vivienda_pmiTasa/12,0)</f>
        <v/>
      </c>
      <c r="AV39" s="7">
        <f>AN39*AP39+AN39*vivienda_cierrePct+general_reservaMeses/12*AJ39</f>
        <v/>
      </c>
      <c r="AW39" s="7">
        <f>(IF(6=0,MIN(personal_irsSaldo,personal_irsPagoMensual*12),MIN(CD38,personal_irsPagoMensual*12))+IF(CE39&gt;0,PMT(CF39,MAX(1,prestamos_plazoAnios-CG39),-CE39),0)+IF(CR39&gt;0,PMT(CS39,MAX(1,prestamos_plazoAnios-CT39),-CR39),0))/12</f>
        <v/>
      </c>
      <c r="AX39" s="7">
        <f>IF(OR(sel_cfg="duplex",sel_cfg="multi",sel_cfg="dosCasas"),0.75*personal_aporteFamiliaMensual,0)</f>
        <v/>
      </c>
      <c r="AY39" s="7">
        <f>AU39-0.75*AT39-AX39+AW39</f>
        <v/>
      </c>
      <c r="AZ39" s="7">
        <f>(D39+G39+H39+0.5*F39)/12</f>
        <v/>
      </c>
      <c r="BA39" s="7">
        <f>IF(AND(AL39=0,A39&gt;=vivienda_anioMinCompra,J39&lt;0.5,AI39&gt;0,AK39&gt;=AV39,AY39&lt;=vivienda_dtiMax*AZ39),1,0)</f>
        <v/>
      </c>
      <c r="BB39" s="7">
        <f>MAX(AL39,BA39)</f>
        <v/>
      </c>
      <c r="BC39" s="7">
        <f>IF(BA39=1,A39,IF(6=0,"",BC38))</f>
        <v/>
      </c>
      <c r="BD39" s="7">
        <f>AK39-IF(BA39=1,AN39*AP39+AN39*vivienda_cierrePct,0)</f>
        <v/>
      </c>
      <c r="BE39" s="7">
        <f>IF(BA39=1,AN39,IF(6=0,0,BE38))</f>
        <v/>
      </c>
      <c r="BF39" s="7">
        <f>IF(BA39=1,AR39,IF(6=0,0,BF38))</f>
        <v/>
      </c>
      <c r="BG39" s="7">
        <f>IF(BA39=1,IF(AND(AO39=0,AP39&lt;0.2),1,0),IF(6=0,0,BY38))</f>
        <v/>
      </c>
      <c r="BH39" s="7">
        <f>IF(sel_cfg="casaAdu",1,0)</f>
        <v/>
      </c>
      <c r="BI39" s="7">
        <f>IF(AND(BB39=1,BH39=1,IF(6=0,0,BJ38)=0,A39&gt;=IF(BC39="",9999,BC39)+vivienda_aduRetrasoAnios),1,0)</f>
        <v/>
      </c>
      <c r="BJ39" s="7">
        <f>MAX(IF(6=0,0,BJ38),BI39)</f>
        <v/>
      </c>
      <c r="BK39" s="7">
        <f>IF(BI39=1,PMT((g_mortRate+0.005)/12,180,-loc_precio_aduCosto*C39),IF(6=0,0,BK38))</f>
        <v/>
      </c>
      <c r="BL39" s="7">
        <f>IF(BA39=1,AN39,IF(6=0,0,DT38))+IF(BI39=1,loc_precio_aduCosto*C39,0)</f>
        <v/>
      </c>
      <c r="BM39" s="7">
        <f>IF(BA39=1,AQ39,IF(6=0,0,DU38))</f>
        <v/>
      </c>
      <c r="BN39" s="7">
        <f>IF(BM39&lt;=0,0,FV(g_mortRate/12,12,BF39,-BM39))</f>
        <v/>
      </c>
      <c r="BO39" s="7">
        <f>IF(BM39&lt;=0,0,12*BF39+MIN(0,BN39))</f>
        <v/>
      </c>
      <c r="BP39" s="7">
        <f>MAX(0,BN39)</f>
        <v/>
      </c>
      <c r="BQ39" s="7">
        <f>IF(BI39=1,loc_precio_aduCosto*C39,IF(6=0,0,DV38))</f>
        <v/>
      </c>
      <c r="BR39" s="7">
        <f>IF(BQ39&lt;=0,0,FV((g_mortRate+0.005)/12,12,BK39,-BQ39))</f>
        <v/>
      </c>
      <c r="BS39" s="7">
        <f>IF(BQ39&lt;=0,0,12*BK39+MIN(0,BR39))</f>
        <v/>
      </c>
      <c r="BT39" s="7">
        <f>MAX(0,BR39)</f>
        <v/>
      </c>
      <c r="BU39" s="7">
        <f>IF(BB39=1,AM39*loc_seguroPct*(1+vivienda_inflacionSeguro)^(A39-2026)*IF(BJ39=1,1+loc_precio_aduCosto/AM39,1),0)</f>
        <v/>
      </c>
      <c r="BV39" s="7">
        <f>BL39*loc_impuestoPropPct</f>
        <v/>
      </c>
      <c r="BW39" s="7">
        <f>BL39*vivienda_mantenimientoPct</f>
        <v/>
      </c>
      <c r="BX39" s="7">
        <f>IF(AND(BG39=1,BP39&gt;0.8*BE39),BE39*(1-vivienda_enganchePct)*vivienda_pmiTasa,0)</f>
        <v/>
      </c>
      <c r="BY39" s="7">
        <f>IF(AND(BG39=1,BP39&gt;0.8*BE39),1,0)</f>
        <v/>
      </c>
      <c r="BZ39" s="7">
        <f>IF(BB39=1,AS39*loc_rentaUnidad*12*C39*(1-vivienda_vacancia)*(1-vivienda_gestionPct),0)</f>
        <v/>
      </c>
      <c r="CA39" s="7">
        <f>IF(BB39=1,BO39+BS39+BU39+BV39+BW39+BX39,loc_rentaMensual*12*C39)</f>
        <v/>
      </c>
      <c r="CB39" s="7">
        <f>IF(BB39=1,personal_aporteFamiliaMensual*12,0)</f>
        <v/>
      </c>
      <c r="CC39" s="7">
        <f>MIN(IF(6=0,personal_irsSaldo,CD38),personal_irsPagoMensual*12)</f>
        <v/>
      </c>
      <c r="CD39" s="7">
        <f>IF(6=0,personal_irsSaldo,CD38)-CC39</f>
        <v/>
      </c>
      <c r="CE39" s="7">
        <f>IF(6=0,IF(personal_deudaEsFederal=1,personal_deudaEstudiantil,0),DW38)</f>
        <v/>
      </c>
      <c r="CF39" s="7">
        <f>IF(6=0,personal_tasaDeudaEstudiantil,DX38)</f>
        <v/>
      </c>
      <c r="CG39" s="7">
        <f>IF(6=0,0,DY38)</f>
        <v/>
      </c>
      <c r="CH39" s="7">
        <f>IF(J39&gt;=0.5,1,0)</f>
        <v/>
      </c>
      <c r="CI39" s="7">
        <f>IF(AND(CH39=0,prestamos_pslfActivo=1,K39&gt;=0.5,CE39&gt;0),1,0)</f>
        <v/>
      </c>
      <c r="CJ39" s="7">
        <f>CE39*CF39</f>
        <v/>
      </c>
      <c r="CK39" s="7">
        <f>MAX(prestamos_rapPagoMinimoAnual,IF(Y39&lt;10000,0,MIN(0.1,INT(Y39/10000)/100))*Y39)</f>
        <v/>
      </c>
      <c r="CL39" s="7">
        <f>IF(CE39&lt;=0,0,IF(CH39=1,0,IF(CI39=1,MIN(CE39+CJ39,CK39),PMT(CF39,MAX(1,prestamos_plazoAnios-CG39),-CE39))))</f>
        <v/>
      </c>
      <c r="CM39" s="7">
        <f>IF(CE39&lt;=0,0,IF(CH39=1,CE39+CJ39,IF(CI39=1,MAX(0,CE39-MAX(CL39-CJ39,MIN(600,CL39))),MAX(0,CE39*(1+CF39)-CL39))))</f>
        <v/>
      </c>
      <c r="CN39" s="7">
        <f>IF(6=0,0,CN38)+IF(CI39=1,12*MIN(1,K39),0)</f>
        <v/>
      </c>
      <c r="CO39" s="7">
        <f>IF(AND(CI39=1,CN39&gt;=prestamos_pslfPagos,CM39&gt;0),CM39,0)</f>
        <v/>
      </c>
      <c r="CP39" s="7">
        <f>CM39-CO39</f>
        <v/>
      </c>
      <c r="CQ39" s="7">
        <f>IF(AND(CE39&gt;0,CH39=0,CI39=0),CG39+1,CG39)</f>
        <v/>
      </c>
      <c r="CR39" s="7">
        <f>IF(6=0,IF(personal_deudaEsFederal=1,0,personal_deudaEstudiantil),EA38)</f>
        <v/>
      </c>
      <c r="CS39" s="7">
        <f>IF(6=0,IF(personal_deudaEsFederal=1,prestamos_tasaPrivada,personal_tasaDeudaEstudiantil),EB38)</f>
        <v/>
      </c>
      <c r="CT39" s="7">
        <f>IF(6=0,0,EC38)</f>
        <v/>
      </c>
      <c r="CU39" s="7">
        <f>IF(OR(CR39&lt;=0,CH39=1),0,PMT(CS39,MAX(1,prestamos_plazoAnios-CT39),-CR39))</f>
        <v/>
      </c>
      <c r="CV39" s="7">
        <f>IF(CR39&lt;=0,0,IF(CH39=1,CR39*(1+CS39),MAX(0,CR39*(1+CS39)-CU39)))</f>
        <v/>
      </c>
      <c r="CW39" s="7">
        <f>IF(AND(CR39&gt;0,CH39=0),CT39+1,CT39)</f>
        <v/>
      </c>
      <c r="CX39" s="7">
        <f>IF(6=0,0,ED38)*(1+general_tasaDeudaConsumo)</f>
        <v/>
      </c>
      <c r="CY39" s="7">
        <f>L39*12*tiempos_travelGastoExtraMes*C39</f>
        <v/>
      </c>
      <c r="CZ39" s="7">
        <f>AJ39+CY39+CA39+CC39+CL39+CU39+I39+N39-BZ39-CB39</f>
        <v/>
      </c>
      <c r="DA39" s="7">
        <f>AH39-CZ39</f>
        <v/>
      </c>
      <c r="DB39" s="7">
        <f>IF(6=0,0,DB38)+DA39</f>
        <v/>
      </c>
      <c r="DC39" s="7">
        <f>AN39*vivienda_enganchePct+AN39*vivienda_cierrePct+general_reservaMeses/12*AJ39</f>
        <v/>
      </c>
      <c r="DD39" s="7">
        <f>IF(BB39=1,g_ret,IF(BD39&gt;0,MIN(1,DC39/BD39),1)*g_cash+(1-IF(BD39&gt;0,MIN(1,DC39/BD39),1))*g_ret)</f>
        <v/>
      </c>
      <c r="DE39" s="7">
        <f>IF(DA39&gt;=0,MIN(CX39,DA39),0)</f>
        <v/>
      </c>
      <c r="DF39" s="7">
        <f>IF(DA39&gt;=0,(1-general_tasaAhorro)*(DA39-DE39),0)</f>
        <v/>
      </c>
      <c r="DG39" s="7">
        <f>IF(DA39&gt;=0,DA39-DE39-DF39,0)</f>
        <v/>
      </c>
      <c r="DH39" s="7">
        <f>MIN(personal_rothAnual,DG39)</f>
        <v/>
      </c>
      <c r="DI39" s="7">
        <f>IF(AND(DA39&gt;=0,BB39=1,BP39+BT39&gt;0),MIN(vivienda_prepagoPct*(DG39-DH39),BP39+BT39),0)</f>
        <v/>
      </c>
      <c r="DJ39" s="7">
        <f>MIN(DI39,BP39)</f>
        <v/>
      </c>
      <c r="DK39" s="7">
        <f>IF(DA39&lt;0,MIN(MAX(0,BD39),-DA39),0)</f>
        <v/>
      </c>
      <c r="DL39" s="7">
        <f>IF(DA39&lt;0,-DA39-DK39,0)</f>
        <v/>
      </c>
      <c r="DM39" s="7">
        <f>IF(6=0,0,DZ38)</f>
        <v/>
      </c>
      <c r="DN39" s="7">
        <f>IF(AND(DL39&gt;0,J39&gt;0),MIN(DL39,MIN(prestamos_topeAnualPosgrado*MIN(1,J39),MAX(0,prestamos_topeTotalPosgrado-DM39))),0)</f>
        <v/>
      </c>
      <c r="DO39" s="7">
        <f>IF(AND(DL39&gt;0,J39&gt;0),DL39-DN39,0)</f>
        <v/>
      </c>
      <c r="DP39" s="7">
        <f>IF(AND(DL39&gt;0,J39&lt;=0),DL39,0)</f>
        <v/>
      </c>
      <c r="DQ39" s="7">
        <f>IF(DA39&gt;=0,DG39-DH39-DI39,-DK39)</f>
        <v/>
      </c>
      <c r="DR39" s="7">
        <f>BD39*(1+DD39)+DQ39*(1+DD39/2)</f>
        <v/>
      </c>
      <c r="DS39" s="7">
        <f>IF(6=0,personal_retiroInicial,DS38)*(1+g_ret)+(O39+P39+DH39)*(1+g_ret/2)</f>
        <v/>
      </c>
      <c r="DT39" s="7">
        <f>IF(BB39=1,BL39*(1+g_appr),0)</f>
        <v/>
      </c>
      <c r="DU39" s="7">
        <f>BP39-DJ39</f>
        <v/>
      </c>
      <c r="DV39" s="7">
        <f>BT39-(DI39-DJ39)</f>
        <v/>
      </c>
      <c r="DW39" s="7">
        <f>CP39+DN39</f>
        <v/>
      </c>
      <c r="DX39" s="7">
        <f>IF(DN39&gt;0,(CP39*CF39+DN39*prestamos_tasaFederalPosgrado)/(CP39+DN39),CF39)</f>
        <v/>
      </c>
      <c r="DY39" s="7">
        <f>IF(DN39&gt;0,0,CQ39)</f>
        <v/>
      </c>
      <c r="DZ39" s="7">
        <f>DM39+DN39</f>
        <v/>
      </c>
      <c r="EA39" s="7">
        <f>CV39+DO39</f>
        <v/>
      </c>
      <c r="EB39" s="7">
        <f>IF(DO39&gt;0,(CV39*CS39+DO39*prestamos_tasaPrivada)/(CV39+DO39),CS39)</f>
        <v/>
      </c>
      <c r="EC39" s="7">
        <f>IF(DO39&gt;0,0,CW39)</f>
        <v/>
      </c>
      <c r="ED39" s="7">
        <f>CX39-DE39+DP39</f>
        <v/>
      </c>
      <c r="EE39" s="7">
        <f>IF(IF(6=0,"",EE38)&lt;&gt;"",EE38,IF(AND(BB39=1,DU39&lt;=0.5,DV39&lt;=0.5,OR(BH39=0,BJ39=1)),A39,""))</f>
        <v/>
      </c>
      <c r="EF39" s="7">
        <f>DU39+DV39+DW39+EA39+ED39+CD39</f>
        <v/>
      </c>
      <c r="EG39" s="7">
        <f>DR39+DS39+DT39-EF39</f>
        <v/>
      </c>
      <c r="EH39" s="7">
        <f>EG39/(1+g_inf)^(A39+1-2026)</f>
        <v/>
      </c>
    </row>
    <row r="40">
      <c r="A40" t="n">
        <v>2034</v>
      </c>
      <c r="B40" t="n">
        <v>7</v>
      </c>
      <c r="C40" s="7">
        <f>(1+g_inf)^(A40-2026)</f>
        <v/>
      </c>
      <c r="D40" s="7">
        <f>SUMPRODUCT($AA$5:$AA$29,$E$5:$E$29*(1+$F$5:$F$29)^(A40-2026)*$G$5:$G$29*$H$5:$H$29*(1-$N$5:$N$29*$O$5:$O$29))*g_salMult+SUMPRODUCT(($B$5:$B$29&gt;=A40)*($B$5:$B$29&lt;A40+1)*$I$5:$I$29)*g_salMult</f>
        <v/>
      </c>
      <c r="E40" s="7">
        <f>SUMPRODUCT($AA$5:$AA$29,$E$5:$E$29*(1+$F$5:$F$29)^(A40-2026)*$G$5:$G$29*$H$5:$H$29*$M$5:$M$29)*g_salMult</f>
        <v/>
      </c>
      <c r="F40" s="7">
        <f>SUMPRODUCT($AA$5:$AA$29,$E$5:$E$29*(1+$F$5:$F$29)^(A40-2026)*$G$5:$G$29*$H$5:$H$29*$N$5:$N$29*$O$5:$O$29)*g_salMult</f>
        <v/>
      </c>
      <c r="G40" s="7">
        <f>SUMPRODUCT($AA$5:$AA$29,$P$5:$P$29*(1+$F$5:$F$29)^(A40-2026))</f>
        <v/>
      </c>
      <c r="H40" s="7">
        <f>SUMPRODUCT($AA$5:$AA$29,$Q$5:$Q$29*(1+$F$5:$F$29)^(A40-2026))+IF(personal_llcActivo=1,personal_llcNeto*(1+personal_llcCrecimiento)^7,0)</f>
        <v/>
      </c>
      <c r="I40" s="7">
        <f>SUMPRODUCT($AA$5:$AA$29,$J$5:$J$29/($C$5:$C$29-$B$5:$B$29+($C$5:$C$29=$B$5:$B$29)))*C40</f>
        <v/>
      </c>
      <c r="J40" s="7">
        <f>SUMPRODUCT($AA$5:$AA$29,$K$5:$K$29)</f>
        <v/>
      </c>
      <c r="K40" s="7">
        <f>SUMPRODUCT($AA$5:$AA$29,$L$5:$L$29)</f>
        <v/>
      </c>
      <c r="L40" s="7">
        <f>SUMPRODUCT($AA$5:$AA$29,$N$5:$N$29)</f>
        <v/>
      </c>
      <c r="M40" s="7">
        <f>IF(SUMPRODUCT($AA$5:$AA$29,$R$5:$R$29)&gt;0,1,0)</f>
        <v/>
      </c>
      <c r="N40" s="7">
        <f>SUMPRODUCT(($AO$5:$AO$24&gt;=A40)*($AO$5:$AO$24&lt;A40+1)*$AP$5:$AP$24)*C40+IF(7=0,IF(sel_loc&lt;&gt;"miami",personal_costoMudanzaInicial,0),0)</f>
        <v/>
      </c>
      <c r="O40" s="7">
        <f>MIN(personal_aporte403bPct*D40,retiro_limite403b*C40)</f>
        <v/>
      </c>
      <c r="P40" s="7">
        <f>MIN(personal_aporte403bPct,personal_match403bPct)*E40</f>
        <v/>
      </c>
      <c r="Q40" s="7">
        <f>IF(G40&gt;0,MAX(0,G40-impuestos_scorpCostoAnual*C40),0)</f>
        <v/>
      </c>
      <c r="R40" s="7">
        <f>Q40*impuestos_scorpSalarioPct/(1+impuestos_ssTasa+impuestos_medicareTasa)</f>
        <v/>
      </c>
      <c r="S40" s="7">
        <f>impuestos_ssTasa*MIN(R40,MAX(0,impuestos_ssTope*C40-D40))+impuestos_medicareTasa*R40</f>
        <v/>
      </c>
      <c r="T40" s="7">
        <f>Q40-R40-S40</f>
        <v/>
      </c>
      <c r="U40" s="7">
        <f>D40+R40</f>
        <v/>
      </c>
      <c r="V40" s="7">
        <f>H40*0.9235</f>
        <v/>
      </c>
      <c r="W40" s="7">
        <f>IF(H40&gt;0,2*impuestos_ssTasa*MIN(V40,MAX(0,impuestos_ssTope*C40-U40))+2*impuestos_medicareTasa*V40,0)</f>
        <v/>
      </c>
      <c r="X40" s="7">
        <f>impuestos_ssTasa*MIN(U40,impuestos_ssTope*C40)+impuestos_medicareTasa*U40+impuestos_medicareAdicional*MAX(0,U40+H40*0.9235-impuestos_medicareUmbral)</f>
        <v/>
      </c>
      <c r="Y40" s="7">
        <f>MAX(0,D40-O40+R40+T40+H40-W40/2)</f>
        <v/>
      </c>
      <c r="Z40" s="7">
        <f>MAX(0,Y40-impuestos_deduccionEstandar*C40)</f>
        <v/>
      </c>
      <c r="AA40" s="7">
        <f>MIN(0.2*MAX(0,T40+H40-W40/2)*MAX(0,MIN(1,1-(Z40-impuestos_qbiUmbral*C40)/(impuestos_qbiRango*C40))),0.2*Z40)</f>
        <v/>
      </c>
      <c r="AB40" s="7">
        <f>MAX(0,Z40-AA40)</f>
        <v/>
      </c>
      <c r="AC40" s="7">
        <f>SUMPRODUCT((AB40&gt;tb_federalBrackets_lo*C40)*(AB40-tb_federalBrackets_lo*C40)*tb_federalBrackets_dr)</f>
        <v/>
      </c>
      <c r="AD40" s="7">
        <f>MAX(0,Y40-impuestos_nyDeduccion*C40)</f>
        <v/>
      </c>
      <c r="AE40" s="7">
        <f>CHOOSE(loc_taxcode,0,impuestos_ohTasa*MAX(0,Y40-impuestos_ohExento*C40)+impuestos_ohMunicipal*U40,SUMPRODUCT((AD40&gt;tb_nyBrackets_lo*C40)*(AD40-tb_nyBrackets_lo*C40)*tb_nyBrackets_dr)+loc_nyc*SUMPRODUCT((AD40&gt;tb_nycBrackets_lo*C40)*(AD40-tb_nycBrackets_lo*C40)*tb_nycBrackets_dr))</f>
        <v/>
      </c>
      <c r="AF40" s="7">
        <f>AC40+AE40+X40+W40</f>
        <v/>
      </c>
      <c r="AG40" s="7">
        <f>D40+F40+R40+T40+H40</f>
        <v/>
      </c>
      <c r="AH40" s="7">
        <f>AG40-AF40-O40</f>
        <v/>
      </c>
      <c r="AI40" s="7">
        <f>D40+F40+G40+H40</f>
        <v/>
      </c>
      <c r="AJ40" s="7">
        <f>loc_gastosVida*C40*g_gastos</f>
        <v/>
      </c>
      <c r="AK40" s="7">
        <f>IF(7=0,personal_liquidoInicial,DR39)</f>
        <v/>
      </c>
      <c r="AL40" s="7">
        <f>IF(7=0,0,BB39)</f>
        <v/>
      </c>
      <c r="AM40" s="7">
        <f>CHOOSE(sel_cfgIdx,loc_precio_duplex,loc_precio_inlaw,loc_precio_dosCasas,loc_precio_casaAdu,loc_precio_multi)</f>
        <v/>
      </c>
      <c r="AN40" s="7">
        <f>AM40*(1+g_appr)^(A40-2026)</f>
        <v/>
      </c>
      <c r="AO40" s="7">
        <f>IF(AND(M40=1,vivienda_prestamoMedico=1),1,0)</f>
        <v/>
      </c>
      <c r="AP40" s="7">
        <f>IF(AO40=1,0.05,vivienda_enganchePct)</f>
        <v/>
      </c>
      <c r="AQ40" s="7">
        <f>AN40*(1-AP40)</f>
        <v/>
      </c>
      <c r="AR40" s="7">
        <f>PMT(g_mortRate/12,vivienda_plazoHipoteca*12,-AQ40)</f>
        <v/>
      </c>
      <c r="AS40" s="7">
        <f>INDEX(cfg_units,sel_cfgIdx)</f>
        <v/>
      </c>
      <c r="AT40" s="7">
        <f>AS40*loc_rentaUnidad*(1+g_inf)^(A40-2026)*(1-vivienda_vacancia)</f>
        <v/>
      </c>
      <c r="AU40" s="7">
        <f>AR40+AN40*loc_impuestoPropPct/12+AM40*loc_seguroPct*(1+vivienda_inflacionSeguro)^(A40-2026)/12+IF(AND(AO40=0,AP40&lt;0.2),AQ40*vivienda_pmiTasa/12,0)</f>
        <v/>
      </c>
      <c r="AV40" s="7">
        <f>AN40*AP40+AN40*vivienda_cierrePct+general_reservaMeses/12*AJ40</f>
        <v/>
      </c>
      <c r="AW40" s="7">
        <f>(IF(7=0,MIN(personal_irsSaldo,personal_irsPagoMensual*12),MIN(CD39,personal_irsPagoMensual*12))+IF(CE40&gt;0,PMT(CF40,MAX(1,prestamos_plazoAnios-CG40),-CE40),0)+IF(CR40&gt;0,PMT(CS40,MAX(1,prestamos_plazoAnios-CT40),-CR40),0))/12</f>
        <v/>
      </c>
      <c r="AX40" s="7">
        <f>IF(OR(sel_cfg="duplex",sel_cfg="multi",sel_cfg="dosCasas"),0.75*personal_aporteFamiliaMensual,0)</f>
        <v/>
      </c>
      <c r="AY40" s="7">
        <f>AU40-0.75*AT40-AX40+AW40</f>
        <v/>
      </c>
      <c r="AZ40" s="7">
        <f>(D40+G40+H40+0.5*F40)/12</f>
        <v/>
      </c>
      <c r="BA40" s="7">
        <f>IF(AND(AL40=0,A40&gt;=vivienda_anioMinCompra,J40&lt;0.5,AI40&gt;0,AK40&gt;=AV40,AY40&lt;=vivienda_dtiMax*AZ40),1,0)</f>
        <v/>
      </c>
      <c r="BB40" s="7">
        <f>MAX(AL40,BA40)</f>
        <v/>
      </c>
      <c r="BC40" s="7">
        <f>IF(BA40=1,A40,IF(7=0,"",BC39))</f>
        <v/>
      </c>
      <c r="BD40" s="7">
        <f>AK40-IF(BA40=1,AN40*AP40+AN40*vivienda_cierrePct,0)</f>
        <v/>
      </c>
      <c r="BE40" s="7">
        <f>IF(BA40=1,AN40,IF(7=0,0,BE39))</f>
        <v/>
      </c>
      <c r="BF40" s="7">
        <f>IF(BA40=1,AR40,IF(7=0,0,BF39))</f>
        <v/>
      </c>
      <c r="BG40" s="7">
        <f>IF(BA40=1,IF(AND(AO40=0,AP40&lt;0.2),1,0),IF(7=0,0,BY39))</f>
        <v/>
      </c>
      <c r="BH40" s="7">
        <f>IF(sel_cfg="casaAdu",1,0)</f>
        <v/>
      </c>
      <c r="BI40" s="7">
        <f>IF(AND(BB40=1,BH40=1,IF(7=0,0,BJ39)=0,A40&gt;=IF(BC40="",9999,BC40)+vivienda_aduRetrasoAnios),1,0)</f>
        <v/>
      </c>
      <c r="BJ40" s="7">
        <f>MAX(IF(7=0,0,BJ39),BI40)</f>
        <v/>
      </c>
      <c r="BK40" s="7">
        <f>IF(BI40=1,PMT((g_mortRate+0.005)/12,180,-loc_precio_aduCosto*C40),IF(7=0,0,BK39))</f>
        <v/>
      </c>
      <c r="BL40" s="7">
        <f>IF(BA40=1,AN40,IF(7=0,0,DT39))+IF(BI40=1,loc_precio_aduCosto*C40,0)</f>
        <v/>
      </c>
      <c r="BM40" s="7">
        <f>IF(BA40=1,AQ40,IF(7=0,0,DU39))</f>
        <v/>
      </c>
      <c r="BN40" s="7">
        <f>IF(BM40&lt;=0,0,FV(g_mortRate/12,12,BF40,-BM40))</f>
        <v/>
      </c>
      <c r="BO40" s="7">
        <f>IF(BM40&lt;=0,0,12*BF40+MIN(0,BN40))</f>
        <v/>
      </c>
      <c r="BP40" s="7">
        <f>MAX(0,BN40)</f>
        <v/>
      </c>
      <c r="BQ40" s="7">
        <f>IF(BI40=1,loc_precio_aduCosto*C40,IF(7=0,0,DV39))</f>
        <v/>
      </c>
      <c r="BR40" s="7">
        <f>IF(BQ40&lt;=0,0,FV((g_mortRate+0.005)/12,12,BK40,-BQ40))</f>
        <v/>
      </c>
      <c r="BS40" s="7">
        <f>IF(BQ40&lt;=0,0,12*BK40+MIN(0,BR40))</f>
        <v/>
      </c>
      <c r="BT40" s="7">
        <f>MAX(0,BR40)</f>
        <v/>
      </c>
      <c r="BU40" s="7">
        <f>IF(BB40=1,AM40*loc_seguroPct*(1+vivienda_inflacionSeguro)^(A40-2026)*IF(BJ40=1,1+loc_precio_aduCosto/AM40,1),0)</f>
        <v/>
      </c>
      <c r="BV40" s="7">
        <f>BL40*loc_impuestoPropPct</f>
        <v/>
      </c>
      <c r="BW40" s="7">
        <f>BL40*vivienda_mantenimientoPct</f>
        <v/>
      </c>
      <c r="BX40" s="7">
        <f>IF(AND(BG40=1,BP40&gt;0.8*BE40),BE40*(1-vivienda_enganchePct)*vivienda_pmiTasa,0)</f>
        <v/>
      </c>
      <c r="BY40" s="7">
        <f>IF(AND(BG40=1,BP40&gt;0.8*BE40),1,0)</f>
        <v/>
      </c>
      <c r="BZ40" s="7">
        <f>IF(BB40=1,AS40*loc_rentaUnidad*12*C40*(1-vivienda_vacancia)*(1-vivienda_gestionPct),0)</f>
        <v/>
      </c>
      <c r="CA40" s="7">
        <f>IF(BB40=1,BO40+BS40+BU40+BV40+BW40+BX40,loc_rentaMensual*12*C40)</f>
        <v/>
      </c>
      <c r="CB40" s="7">
        <f>IF(BB40=1,personal_aporteFamiliaMensual*12,0)</f>
        <v/>
      </c>
      <c r="CC40" s="7">
        <f>MIN(IF(7=0,personal_irsSaldo,CD39),personal_irsPagoMensual*12)</f>
        <v/>
      </c>
      <c r="CD40" s="7">
        <f>IF(7=0,personal_irsSaldo,CD39)-CC40</f>
        <v/>
      </c>
      <c r="CE40" s="7">
        <f>IF(7=0,IF(personal_deudaEsFederal=1,personal_deudaEstudiantil,0),DW39)</f>
        <v/>
      </c>
      <c r="CF40" s="7">
        <f>IF(7=0,personal_tasaDeudaEstudiantil,DX39)</f>
        <v/>
      </c>
      <c r="CG40" s="7">
        <f>IF(7=0,0,DY39)</f>
        <v/>
      </c>
      <c r="CH40" s="7">
        <f>IF(J40&gt;=0.5,1,0)</f>
        <v/>
      </c>
      <c r="CI40" s="7">
        <f>IF(AND(CH40=0,prestamos_pslfActivo=1,K40&gt;=0.5,CE40&gt;0),1,0)</f>
        <v/>
      </c>
      <c r="CJ40" s="7">
        <f>CE40*CF40</f>
        <v/>
      </c>
      <c r="CK40" s="7">
        <f>MAX(prestamos_rapPagoMinimoAnual,IF(Y40&lt;10000,0,MIN(0.1,INT(Y40/10000)/100))*Y40)</f>
        <v/>
      </c>
      <c r="CL40" s="7">
        <f>IF(CE40&lt;=0,0,IF(CH40=1,0,IF(CI40=1,MIN(CE40+CJ40,CK40),PMT(CF40,MAX(1,prestamos_plazoAnios-CG40),-CE40))))</f>
        <v/>
      </c>
      <c r="CM40" s="7">
        <f>IF(CE40&lt;=0,0,IF(CH40=1,CE40+CJ40,IF(CI40=1,MAX(0,CE40-MAX(CL40-CJ40,MIN(600,CL40))),MAX(0,CE40*(1+CF40)-CL40))))</f>
        <v/>
      </c>
      <c r="CN40" s="7">
        <f>IF(7=0,0,CN39)+IF(CI40=1,12*MIN(1,K40),0)</f>
        <v/>
      </c>
      <c r="CO40" s="7">
        <f>IF(AND(CI40=1,CN40&gt;=prestamos_pslfPagos,CM40&gt;0),CM40,0)</f>
        <v/>
      </c>
      <c r="CP40" s="7">
        <f>CM40-CO40</f>
        <v/>
      </c>
      <c r="CQ40" s="7">
        <f>IF(AND(CE40&gt;0,CH40=0,CI40=0),CG40+1,CG40)</f>
        <v/>
      </c>
      <c r="CR40" s="7">
        <f>IF(7=0,IF(personal_deudaEsFederal=1,0,personal_deudaEstudiantil),EA39)</f>
        <v/>
      </c>
      <c r="CS40" s="7">
        <f>IF(7=0,IF(personal_deudaEsFederal=1,prestamos_tasaPrivada,personal_tasaDeudaEstudiantil),EB39)</f>
        <v/>
      </c>
      <c r="CT40" s="7">
        <f>IF(7=0,0,EC39)</f>
        <v/>
      </c>
      <c r="CU40" s="7">
        <f>IF(OR(CR40&lt;=0,CH40=1),0,PMT(CS40,MAX(1,prestamos_plazoAnios-CT40),-CR40))</f>
        <v/>
      </c>
      <c r="CV40" s="7">
        <f>IF(CR40&lt;=0,0,IF(CH40=1,CR40*(1+CS40),MAX(0,CR40*(1+CS40)-CU40)))</f>
        <v/>
      </c>
      <c r="CW40" s="7">
        <f>IF(AND(CR40&gt;0,CH40=0),CT40+1,CT40)</f>
        <v/>
      </c>
      <c r="CX40" s="7">
        <f>IF(7=0,0,ED39)*(1+general_tasaDeudaConsumo)</f>
        <v/>
      </c>
      <c r="CY40" s="7">
        <f>L40*12*tiempos_travelGastoExtraMes*C40</f>
        <v/>
      </c>
      <c r="CZ40" s="7">
        <f>AJ40+CY40+CA40+CC40+CL40+CU40+I40+N40-BZ40-CB40</f>
        <v/>
      </c>
      <c r="DA40" s="7">
        <f>AH40-CZ40</f>
        <v/>
      </c>
      <c r="DB40" s="7">
        <f>IF(7=0,0,DB39)+DA40</f>
        <v/>
      </c>
      <c r="DC40" s="7">
        <f>AN40*vivienda_enganchePct+AN40*vivienda_cierrePct+general_reservaMeses/12*AJ40</f>
        <v/>
      </c>
      <c r="DD40" s="7">
        <f>IF(BB40=1,g_ret,IF(BD40&gt;0,MIN(1,DC40/BD40),1)*g_cash+(1-IF(BD40&gt;0,MIN(1,DC40/BD40),1))*g_ret)</f>
        <v/>
      </c>
      <c r="DE40" s="7">
        <f>IF(DA40&gt;=0,MIN(CX40,DA40),0)</f>
        <v/>
      </c>
      <c r="DF40" s="7">
        <f>IF(DA40&gt;=0,(1-general_tasaAhorro)*(DA40-DE40),0)</f>
        <v/>
      </c>
      <c r="DG40" s="7">
        <f>IF(DA40&gt;=0,DA40-DE40-DF40,0)</f>
        <v/>
      </c>
      <c r="DH40" s="7">
        <f>MIN(personal_rothAnual,DG40)</f>
        <v/>
      </c>
      <c r="DI40" s="7">
        <f>IF(AND(DA40&gt;=0,BB40=1,BP40+BT40&gt;0),MIN(vivienda_prepagoPct*(DG40-DH40),BP40+BT40),0)</f>
        <v/>
      </c>
      <c r="DJ40" s="7">
        <f>MIN(DI40,BP40)</f>
        <v/>
      </c>
      <c r="DK40" s="7">
        <f>IF(DA40&lt;0,MIN(MAX(0,BD40),-DA40),0)</f>
        <v/>
      </c>
      <c r="DL40" s="7">
        <f>IF(DA40&lt;0,-DA40-DK40,0)</f>
        <v/>
      </c>
      <c r="DM40" s="7">
        <f>IF(7=0,0,DZ39)</f>
        <v/>
      </c>
      <c r="DN40" s="7">
        <f>IF(AND(DL40&gt;0,J40&gt;0),MIN(DL40,MIN(prestamos_topeAnualPosgrado*MIN(1,J40),MAX(0,prestamos_topeTotalPosgrado-DM40))),0)</f>
        <v/>
      </c>
      <c r="DO40" s="7">
        <f>IF(AND(DL40&gt;0,J40&gt;0),DL40-DN40,0)</f>
        <v/>
      </c>
      <c r="DP40" s="7">
        <f>IF(AND(DL40&gt;0,J40&lt;=0),DL40,0)</f>
        <v/>
      </c>
      <c r="DQ40" s="7">
        <f>IF(DA40&gt;=0,DG40-DH40-DI40,-DK40)</f>
        <v/>
      </c>
      <c r="DR40" s="7">
        <f>BD40*(1+DD40)+DQ40*(1+DD40/2)</f>
        <v/>
      </c>
      <c r="DS40" s="7">
        <f>IF(7=0,personal_retiroInicial,DS39)*(1+g_ret)+(O40+P40+DH40)*(1+g_ret/2)</f>
        <v/>
      </c>
      <c r="DT40" s="7">
        <f>IF(BB40=1,BL40*(1+g_appr),0)</f>
        <v/>
      </c>
      <c r="DU40" s="7">
        <f>BP40-DJ40</f>
        <v/>
      </c>
      <c r="DV40" s="7">
        <f>BT40-(DI40-DJ40)</f>
        <v/>
      </c>
      <c r="DW40" s="7">
        <f>CP40+DN40</f>
        <v/>
      </c>
      <c r="DX40" s="7">
        <f>IF(DN40&gt;0,(CP40*CF40+DN40*prestamos_tasaFederalPosgrado)/(CP40+DN40),CF40)</f>
        <v/>
      </c>
      <c r="DY40" s="7">
        <f>IF(DN40&gt;0,0,CQ40)</f>
        <v/>
      </c>
      <c r="DZ40" s="7">
        <f>DM40+DN40</f>
        <v/>
      </c>
      <c r="EA40" s="7">
        <f>CV40+DO40</f>
        <v/>
      </c>
      <c r="EB40" s="7">
        <f>IF(DO40&gt;0,(CV40*CS40+DO40*prestamos_tasaPrivada)/(CV40+DO40),CS40)</f>
        <v/>
      </c>
      <c r="EC40" s="7">
        <f>IF(DO40&gt;0,0,CW40)</f>
        <v/>
      </c>
      <c r="ED40" s="7">
        <f>CX40-DE40+DP40</f>
        <v/>
      </c>
      <c r="EE40" s="7">
        <f>IF(IF(7=0,"",EE39)&lt;&gt;"",EE39,IF(AND(BB40=1,DU40&lt;=0.5,DV40&lt;=0.5,OR(BH40=0,BJ40=1)),A40,""))</f>
        <v/>
      </c>
      <c r="EF40" s="7">
        <f>DU40+DV40+DW40+EA40+ED40+CD40</f>
        <v/>
      </c>
      <c r="EG40" s="7">
        <f>DR40+DS40+DT40-EF40</f>
        <v/>
      </c>
      <c r="EH40" s="7">
        <f>EG40/(1+g_inf)^(A40+1-2026)</f>
        <v/>
      </c>
    </row>
    <row r="41">
      <c r="A41" t="n">
        <v>2035</v>
      </c>
      <c r="B41" t="n">
        <v>8</v>
      </c>
      <c r="C41" s="7">
        <f>(1+g_inf)^(A41-2026)</f>
        <v/>
      </c>
      <c r="D41" s="7">
        <f>SUMPRODUCT($AB$5:$AB$29,$E$5:$E$29*(1+$F$5:$F$29)^(A41-2026)*$G$5:$G$29*$H$5:$H$29*(1-$N$5:$N$29*$O$5:$O$29))*g_salMult+SUMPRODUCT(($B$5:$B$29&gt;=A41)*($B$5:$B$29&lt;A41+1)*$I$5:$I$29)*g_salMult</f>
        <v/>
      </c>
      <c r="E41" s="7">
        <f>SUMPRODUCT($AB$5:$AB$29,$E$5:$E$29*(1+$F$5:$F$29)^(A41-2026)*$G$5:$G$29*$H$5:$H$29*$M$5:$M$29)*g_salMult</f>
        <v/>
      </c>
      <c r="F41" s="7">
        <f>SUMPRODUCT($AB$5:$AB$29,$E$5:$E$29*(1+$F$5:$F$29)^(A41-2026)*$G$5:$G$29*$H$5:$H$29*$N$5:$N$29*$O$5:$O$29)*g_salMult</f>
        <v/>
      </c>
      <c r="G41" s="7">
        <f>SUMPRODUCT($AB$5:$AB$29,$P$5:$P$29*(1+$F$5:$F$29)^(A41-2026))</f>
        <v/>
      </c>
      <c r="H41" s="7">
        <f>SUMPRODUCT($AB$5:$AB$29,$Q$5:$Q$29*(1+$F$5:$F$29)^(A41-2026))+IF(personal_llcActivo=1,personal_llcNeto*(1+personal_llcCrecimiento)^8,0)</f>
        <v/>
      </c>
      <c r="I41" s="7">
        <f>SUMPRODUCT($AB$5:$AB$29,$J$5:$J$29/($C$5:$C$29-$B$5:$B$29+($C$5:$C$29=$B$5:$B$29)))*C41</f>
        <v/>
      </c>
      <c r="J41" s="7">
        <f>SUMPRODUCT($AB$5:$AB$29,$K$5:$K$29)</f>
        <v/>
      </c>
      <c r="K41" s="7">
        <f>SUMPRODUCT($AB$5:$AB$29,$L$5:$L$29)</f>
        <v/>
      </c>
      <c r="L41" s="7">
        <f>SUMPRODUCT($AB$5:$AB$29,$N$5:$N$29)</f>
        <v/>
      </c>
      <c r="M41" s="7">
        <f>IF(SUMPRODUCT($AB$5:$AB$29,$R$5:$R$29)&gt;0,1,0)</f>
        <v/>
      </c>
      <c r="N41" s="7">
        <f>SUMPRODUCT(($AO$5:$AO$24&gt;=A41)*($AO$5:$AO$24&lt;A41+1)*$AP$5:$AP$24)*C41+IF(8=0,IF(sel_loc&lt;&gt;"miami",personal_costoMudanzaInicial,0),0)</f>
        <v/>
      </c>
      <c r="O41" s="7">
        <f>MIN(personal_aporte403bPct*D41,retiro_limite403b*C41)</f>
        <v/>
      </c>
      <c r="P41" s="7">
        <f>MIN(personal_aporte403bPct,personal_match403bPct)*E41</f>
        <v/>
      </c>
      <c r="Q41" s="7">
        <f>IF(G41&gt;0,MAX(0,G41-impuestos_scorpCostoAnual*C41),0)</f>
        <v/>
      </c>
      <c r="R41" s="7">
        <f>Q41*impuestos_scorpSalarioPct/(1+impuestos_ssTasa+impuestos_medicareTasa)</f>
        <v/>
      </c>
      <c r="S41" s="7">
        <f>impuestos_ssTasa*MIN(R41,MAX(0,impuestos_ssTope*C41-D41))+impuestos_medicareTasa*R41</f>
        <v/>
      </c>
      <c r="T41" s="7">
        <f>Q41-R41-S41</f>
        <v/>
      </c>
      <c r="U41" s="7">
        <f>D41+R41</f>
        <v/>
      </c>
      <c r="V41" s="7">
        <f>H41*0.9235</f>
        <v/>
      </c>
      <c r="W41" s="7">
        <f>IF(H41&gt;0,2*impuestos_ssTasa*MIN(V41,MAX(0,impuestos_ssTope*C41-U41))+2*impuestos_medicareTasa*V41,0)</f>
        <v/>
      </c>
      <c r="X41" s="7">
        <f>impuestos_ssTasa*MIN(U41,impuestos_ssTope*C41)+impuestos_medicareTasa*U41+impuestos_medicareAdicional*MAX(0,U41+H41*0.9235-impuestos_medicareUmbral)</f>
        <v/>
      </c>
      <c r="Y41" s="7">
        <f>MAX(0,D41-O41+R41+T41+H41-W41/2)</f>
        <v/>
      </c>
      <c r="Z41" s="7">
        <f>MAX(0,Y41-impuestos_deduccionEstandar*C41)</f>
        <v/>
      </c>
      <c r="AA41" s="7">
        <f>MIN(0.2*MAX(0,T41+H41-W41/2)*MAX(0,MIN(1,1-(Z41-impuestos_qbiUmbral*C41)/(impuestos_qbiRango*C41))),0.2*Z41)</f>
        <v/>
      </c>
      <c r="AB41" s="7">
        <f>MAX(0,Z41-AA41)</f>
        <v/>
      </c>
      <c r="AC41" s="7">
        <f>SUMPRODUCT((AB41&gt;tb_federalBrackets_lo*C41)*(AB41-tb_federalBrackets_lo*C41)*tb_federalBrackets_dr)</f>
        <v/>
      </c>
      <c r="AD41" s="7">
        <f>MAX(0,Y41-impuestos_nyDeduccion*C41)</f>
        <v/>
      </c>
      <c r="AE41" s="7">
        <f>CHOOSE(loc_taxcode,0,impuestos_ohTasa*MAX(0,Y41-impuestos_ohExento*C41)+impuestos_ohMunicipal*U41,SUMPRODUCT((AD41&gt;tb_nyBrackets_lo*C41)*(AD41-tb_nyBrackets_lo*C41)*tb_nyBrackets_dr)+loc_nyc*SUMPRODUCT((AD41&gt;tb_nycBrackets_lo*C41)*(AD41-tb_nycBrackets_lo*C41)*tb_nycBrackets_dr))</f>
        <v/>
      </c>
      <c r="AF41" s="7">
        <f>AC41+AE41+X41+W41</f>
        <v/>
      </c>
      <c r="AG41" s="7">
        <f>D41+F41+R41+T41+H41</f>
        <v/>
      </c>
      <c r="AH41" s="7">
        <f>AG41-AF41-O41</f>
        <v/>
      </c>
      <c r="AI41" s="7">
        <f>D41+F41+G41+H41</f>
        <v/>
      </c>
      <c r="AJ41" s="7">
        <f>loc_gastosVida*C41*g_gastos</f>
        <v/>
      </c>
      <c r="AK41" s="7">
        <f>IF(8=0,personal_liquidoInicial,DR40)</f>
        <v/>
      </c>
      <c r="AL41" s="7">
        <f>IF(8=0,0,BB40)</f>
        <v/>
      </c>
      <c r="AM41" s="7">
        <f>CHOOSE(sel_cfgIdx,loc_precio_duplex,loc_precio_inlaw,loc_precio_dosCasas,loc_precio_casaAdu,loc_precio_multi)</f>
        <v/>
      </c>
      <c r="AN41" s="7">
        <f>AM41*(1+g_appr)^(A41-2026)</f>
        <v/>
      </c>
      <c r="AO41" s="7">
        <f>IF(AND(M41=1,vivienda_prestamoMedico=1),1,0)</f>
        <v/>
      </c>
      <c r="AP41" s="7">
        <f>IF(AO41=1,0.05,vivienda_enganchePct)</f>
        <v/>
      </c>
      <c r="AQ41" s="7">
        <f>AN41*(1-AP41)</f>
        <v/>
      </c>
      <c r="AR41" s="7">
        <f>PMT(g_mortRate/12,vivienda_plazoHipoteca*12,-AQ41)</f>
        <v/>
      </c>
      <c r="AS41" s="7">
        <f>INDEX(cfg_units,sel_cfgIdx)</f>
        <v/>
      </c>
      <c r="AT41" s="7">
        <f>AS41*loc_rentaUnidad*(1+g_inf)^(A41-2026)*(1-vivienda_vacancia)</f>
        <v/>
      </c>
      <c r="AU41" s="7">
        <f>AR41+AN41*loc_impuestoPropPct/12+AM41*loc_seguroPct*(1+vivienda_inflacionSeguro)^(A41-2026)/12+IF(AND(AO41=0,AP41&lt;0.2),AQ41*vivienda_pmiTasa/12,0)</f>
        <v/>
      </c>
      <c r="AV41" s="7">
        <f>AN41*AP41+AN41*vivienda_cierrePct+general_reservaMeses/12*AJ41</f>
        <v/>
      </c>
      <c r="AW41" s="7">
        <f>(IF(8=0,MIN(personal_irsSaldo,personal_irsPagoMensual*12),MIN(CD40,personal_irsPagoMensual*12))+IF(CE41&gt;0,PMT(CF41,MAX(1,prestamos_plazoAnios-CG41),-CE41),0)+IF(CR41&gt;0,PMT(CS41,MAX(1,prestamos_plazoAnios-CT41),-CR41),0))/12</f>
        <v/>
      </c>
      <c r="AX41" s="7">
        <f>IF(OR(sel_cfg="duplex",sel_cfg="multi",sel_cfg="dosCasas"),0.75*personal_aporteFamiliaMensual,0)</f>
        <v/>
      </c>
      <c r="AY41" s="7">
        <f>AU41-0.75*AT41-AX41+AW41</f>
        <v/>
      </c>
      <c r="AZ41" s="7">
        <f>(D41+G41+H41+0.5*F41)/12</f>
        <v/>
      </c>
      <c r="BA41" s="7">
        <f>IF(AND(AL41=0,A41&gt;=vivienda_anioMinCompra,J41&lt;0.5,AI41&gt;0,AK41&gt;=AV41,AY41&lt;=vivienda_dtiMax*AZ41),1,0)</f>
        <v/>
      </c>
      <c r="BB41" s="7">
        <f>MAX(AL41,BA41)</f>
        <v/>
      </c>
      <c r="BC41" s="7">
        <f>IF(BA41=1,A41,IF(8=0,"",BC40))</f>
        <v/>
      </c>
      <c r="BD41" s="7">
        <f>AK41-IF(BA41=1,AN41*AP41+AN41*vivienda_cierrePct,0)</f>
        <v/>
      </c>
      <c r="BE41" s="7">
        <f>IF(BA41=1,AN41,IF(8=0,0,BE40))</f>
        <v/>
      </c>
      <c r="BF41" s="7">
        <f>IF(BA41=1,AR41,IF(8=0,0,BF40))</f>
        <v/>
      </c>
      <c r="BG41" s="7">
        <f>IF(BA41=1,IF(AND(AO41=0,AP41&lt;0.2),1,0),IF(8=0,0,BY40))</f>
        <v/>
      </c>
      <c r="BH41" s="7">
        <f>IF(sel_cfg="casaAdu",1,0)</f>
        <v/>
      </c>
      <c r="BI41" s="7">
        <f>IF(AND(BB41=1,BH41=1,IF(8=0,0,BJ40)=0,A41&gt;=IF(BC41="",9999,BC41)+vivienda_aduRetrasoAnios),1,0)</f>
        <v/>
      </c>
      <c r="BJ41" s="7">
        <f>MAX(IF(8=0,0,BJ40),BI41)</f>
        <v/>
      </c>
      <c r="BK41" s="7">
        <f>IF(BI41=1,PMT((g_mortRate+0.005)/12,180,-loc_precio_aduCosto*C41),IF(8=0,0,BK40))</f>
        <v/>
      </c>
      <c r="BL41" s="7">
        <f>IF(BA41=1,AN41,IF(8=0,0,DT40))+IF(BI41=1,loc_precio_aduCosto*C41,0)</f>
        <v/>
      </c>
      <c r="BM41" s="7">
        <f>IF(BA41=1,AQ41,IF(8=0,0,DU40))</f>
        <v/>
      </c>
      <c r="BN41" s="7">
        <f>IF(BM41&lt;=0,0,FV(g_mortRate/12,12,BF41,-BM41))</f>
        <v/>
      </c>
      <c r="BO41" s="7">
        <f>IF(BM41&lt;=0,0,12*BF41+MIN(0,BN41))</f>
        <v/>
      </c>
      <c r="BP41" s="7">
        <f>MAX(0,BN41)</f>
        <v/>
      </c>
      <c r="BQ41" s="7">
        <f>IF(BI41=1,loc_precio_aduCosto*C41,IF(8=0,0,DV40))</f>
        <v/>
      </c>
      <c r="BR41" s="7">
        <f>IF(BQ41&lt;=0,0,FV((g_mortRate+0.005)/12,12,BK41,-BQ41))</f>
        <v/>
      </c>
      <c r="BS41" s="7">
        <f>IF(BQ41&lt;=0,0,12*BK41+MIN(0,BR41))</f>
        <v/>
      </c>
      <c r="BT41" s="7">
        <f>MAX(0,BR41)</f>
        <v/>
      </c>
      <c r="BU41" s="7">
        <f>IF(BB41=1,AM41*loc_seguroPct*(1+vivienda_inflacionSeguro)^(A41-2026)*IF(BJ41=1,1+loc_precio_aduCosto/AM41,1),0)</f>
        <v/>
      </c>
      <c r="BV41" s="7">
        <f>BL41*loc_impuestoPropPct</f>
        <v/>
      </c>
      <c r="BW41" s="7">
        <f>BL41*vivienda_mantenimientoPct</f>
        <v/>
      </c>
      <c r="BX41" s="7">
        <f>IF(AND(BG41=1,BP41&gt;0.8*BE41),BE41*(1-vivienda_enganchePct)*vivienda_pmiTasa,0)</f>
        <v/>
      </c>
      <c r="BY41" s="7">
        <f>IF(AND(BG41=1,BP41&gt;0.8*BE41),1,0)</f>
        <v/>
      </c>
      <c r="BZ41" s="7">
        <f>IF(BB41=1,AS41*loc_rentaUnidad*12*C41*(1-vivienda_vacancia)*(1-vivienda_gestionPct),0)</f>
        <v/>
      </c>
      <c r="CA41" s="7">
        <f>IF(BB41=1,BO41+BS41+BU41+BV41+BW41+BX41,loc_rentaMensual*12*C41)</f>
        <v/>
      </c>
      <c r="CB41" s="7">
        <f>IF(BB41=1,personal_aporteFamiliaMensual*12,0)</f>
        <v/>
      </c>
      <c r="CC41" s="7">
        <f>MIN(IF(8=0,personal_irsSaldo,CD40),personal_irsPagoMensual*12)</f>
        <v/>
      </c>
      <c r="CD41" s="7">
        <f>IF(8=0,personal_irsSaldo,CD40)-CC41</f>
        <v/>
      </c>
      <c r="CE41" s="7">
        <f>IF(8=0,IF(personal_deudaEsFederal=1,personal_deudaEstudiantil,0),DW40)</f>
        <v/>
      </c>
      <c r="CF41" s="7">
        <f>IF(8=0,personal_tasaDeudaEstudiantil,DX40)</f>
        <v/>
      </c>
      <c r="CG41" s="7">
        <f>IF(8=0,0,DY40)</f>
        <v/>
      </c>
      <c r="CH41" s="7">
        <f>IF(J41&gt;=0.5,1,0)</f>
        <v/>
      </c>
      <c r="CI41" s="7">
        <f>IF(AND(CH41=0,prestamos_pslfActivo=1,K41&gt;=0.5,CE41&gt;0),1,0)</f>
        <v/>
      </c>
      <c r="CJ41" s="7">
        <f>CE41*CF41</f>
        <v/>
      </c>
      <c r="CK41" s="7">
        <f>MAX(prestamos_rapPagoMinimoAnual,IF(Y41&lt;10000,0,MIN(0.1,INT(Y41/10000)/100))*Y41)</f>
        <v/>
      </c>
      <c r="CL41" s="7">
        <f>IF(CE41&lt;=0,0,IF(CH41=1,0,IF(CI41=1,MIN(CE41+CJ41,CK41),PMT(CF41,MAX(1,prestamos_plazoAnios-CG41),-CE41))))</f>
        <v/>
      </c>
      <c r="CM41" s="7">
        <f>IF(CE41&lt;=0,0,IF(CH41=1,CE41+CJ41,IF(CI41=1,MAX(0,CE41-MAX(CL41-CJ41,MIN(600,CL41))),MAX(0,CE41*(1+CF41)-CL41))))</f>
        <v/>
      </c>
      <c r="CN41" s="7">
        <f>IF(8=0,0,CN40)+IF(CI41=1,12*MIN(1,K41),0)</f>
        <v/>
      </c>
      <c r="CO41" s="7">
        <f>IF(AND(CI41=1,CN41&gt;=prestamos_pslfPagos,CM41&gt;0),CM41,0)</f>
        <v/>
      </c>
      <c r="CP41" s="7">
        <f>CM41-CO41</f>
        <v/>
      </c>
      <c r="CQ41" s="7">
        <f>IF(AND(CE41&gt;0,CH41=0,CI41=0),CG41+1,CG41)</f>
        <v/>
      </c>
      <c r="CR41" s="7">
        <f>IF(8=0,IF(personal_deudaEsFederal=1,0,personal_deudaEstudiantil),EA40)</f>
        <v/>
      </c>
      <c r="CS41" s="7">
        <f>IF(8=0,IF(personal_deudaEsFederal=1,prestamos_tasaPrivada,personal_tasaDeudaEstudiantil),EB40)</f>
        <v/>
      </c>
      <c r="CT41" s="7">
        <f>IF(8=0,0,EC40)</f>
        <v/>
      </c>
      <c r="CU41" s="7">
        <f>IF(OR(CR41&lt;=0,CH41=1),0,PMT(CS41,MAX(1,prestamos_plazoAnios-CT41),-CR41))</f>
        <v/>
      </c>
      <c r="CV41" s="7">
        <f>IF(CR41&lt;=0,0,IF(CH41=1,CR41*(1+CS41),MAX(0,CR41*(1+CS41)-CU41)))</f>
        <v/>
      </c>
      <c r="CW41" s="7">
        <f>IF(AND(CR41&gt;0,CH41=0),CT41+1,CT41)</f>
        <v/>
      </c>
      <c r="CX41" s="7">
        <f>IF(8=0,0,ED40)*(1+general_tasaDeudaConsumo)</f>
        <v/>
      </c>
      <c r="CY41" s="7">
        <f>L41*12*tiempos_travelGastoExtraMes*C41</f>
        <v/>
      </c>
      <c r="CZ41" s="7">
        <f>AJ41+CY41+CA41+CC41+CL41+CU41+I41+N41-BZ41-CB41</f>
        <v/>
      </c>
      <c r="DA41" s="7">
        <f>AH41-CZ41</f>
        <v/>
      </c>
      <c r="DB41" s="7">
        <f>IF(8=0,0,DB40)+DA41</f>
        <v/>
      </c>
      <c r="DC41" s="7">
        <f>AN41*vivienda_enganchePct+AN41*vivienda_cierrePct+general_reservaMeses/12*AJ41</f>
        <v/>
      </c>
      <c r="DD41" s="7">
        <f>IF(BB41=1,g_ret,IF(BD41&gt;0,MIN(1,DC41/BD41),1)*g_cash+(1-IF(BD41&gt;0,MIN(1,DC41/BD41),1))*g_ret)</f>
        <v/>
      </c>
      <c r="DE41" s="7">
        <f>IF(DA41&gt;=0,MIN(CX41,DA41),0)</f>
        <v/>
      </c>
      <c r="DF41" s="7">
        <f>IF(DA41&gt;=0,(1-general_tasaAhorro)*(DA41-DE41),0)</f>
        <v/>
      </c>
      <c r="DG41" s="7">
        <f>IF(DA41&gt;=0,DA41-DE41-DF41,0)</f>
        <v/>
      </c>
      <c r="DH41" s="7">
        <f>MIN(personal_rothAnual,DG41)</f>
        <v/>
      </c>
      <c r="DI41" s="7">
        <f>IF(AND(DA41&gt;=0,BB41=1,BP41+BT41&gt;0),MIN(vivienda_prepagoPct*(DG41-DH41),BP41+BT41),0)</f>
        <v/>
      </c>
      <c r="DJ41" s="7">
        <f>MIN(DI41,BP41)</f>
        <v/>
      </c>
      <c r="DK41" s="7">
        <f>IF(DA41&lt;0,MIN(MAX(0,BD41),-DA41),0)</f>
        <v/>
      </c>
      <c r="DL41" s="7">
        <f>IF(DA41&lt;0,-DA41-DK41,0)</f>
        <v/>
      </c>
      <c r="DM41" s="7">
        <f>IF(8=0,0,DZ40)</f>
        <v/>
      </c>
      <c r="DN41" s="7">
        <f>IF(AND(DL41&gt;0,J41&gt;0),MIN(DL41,MIN(prestamos_topeAnualPosgrado*MIN(1,J41),MAX(0,prestamos_topeTotalPosgrado-DM41))),0)</f>
        <v/>
      </c>
      <c r="DO41" s="7">
        <f>IF(AND(DL41&gt;0,J41&gt;0),DL41-DN41,0)</f>
        <v/>
      </c>
      <c r="DP41" s="7">
        <f>IF(AND(DL41&gt;0,J41&lt;=0),DL41,0)</f>
        <v/>
      </c>
      <c r="DQ41" s="7">
        <f>IF(DA41&gt;=0,DG41-DH41-DI41,-DK41)</f>
        <v/>
      </c>
      <c r="DR41" s="7">
        <f>BD41*(1+DD41)+DQ41*(1+DD41/2)</f>
        <v/>
      </c>
      <c r="DS41" s="7">
        <f>IF(8=0,personal_retiroInicial,DS40)*(1+g_ret)+(O41+P41+DH41)*(1+g_ret/2)</f>
        <v/>
      </c>
      <c r="DT41" s="7">
        <f>IF(BB41=1,BL41*(1+g_appr),0)</f>
        <v/>
      </c>
      <c r="DU41" s="7">
        <f>BP41-DJ41</f>
        <v/>
      </c>
      <c r="DV41" s="7">
        <f>BT41-(DI41-DJ41)</f>
        <v/>
      </c>
      <c r="DW41" s="7">
        <f>CP41+DN41</f>
        <v/>
      </c>
      <c r="DX41" s="7">
        <f>IF(DN41&gt;0,(CP41*CF41+DN41*prestamos_tasaFederalPosgrado)/(CP41+DN41),CF41)</f>
        <v/>
      </c>
      <c r="DY41" s="7">
        <f>IF(DN41&gt;0,0,CQ41)</f>
        <v/>
      </c>
      <c r="DZ41" s="7">
        <f>DM41+DN41</f>
        <v/>
      </c>
      <c r="EA41" s="7">
        <f>CV41+DO41</f>
        <v/>
      </c>
      <c r="EB41" s="7">
        <f>IF(DO41&gt;0,(CV41*CS41+DO41*prestamos_tasaPrivada)/(CV41+DO41),CS41)</f>
        <v/>
      </c>
      <c r="EC41" s="7">
        <f>IF(DO41&gt;0,0,CW41)</f>
        <v/>
      </c>
      <c r="ED41" s="7">
        <f>CX41-DE41+DP41</f>
        <v/>
      </c>
      <c r="EE41" s="7">
        <f>IF(IF(8=0,"",EE40)&lt;&gt;"",EE40,IF(AND(BB41=1,DU41&lt;=0.5,DV41&lt;=0.5,OR(BH41=0,BJ41=1)),A41,""))</f>
        <v/>
      </c>
      <c r="EF41" s="7">
        <f>DU41+DV41+DW41+EA41+ED41+CD41</f>
        <v/>
      </c>
      <c r="EG41" s="7">
        <f>DR41+DS41+DT41-EF41</f>
        <v/>
      </c>
      <c r="EH41" s="7">
        <f>EG41/(1+g_inf)^(A41+1-2026)</f>
        <v/>
      </c>
    </row>
    <row r="42">
      <c r="A42" t="n">
        <v>2036</v>
      </c>
      <c r="B42" t="n">
        <v>9</v>
      </c>
      <c r="C42" s="7">
        <f>(1+g_inf)^(A42-2026)</f>
        <v/>
      </c>
      <c r="D42" s="7">
        <f>SUMPRODUCT($AC$5:$AC$29,$E$5:$E$29*(1+$F$5:$F$29)^(A42-2026)*$G$5:$G$29*$H$5:$H$29*(1-$N$5:$N$29*$O$5:$O$29))*g_salMult+SUMPRODUCT(($B$5:$B$29&gt;=A42)*($B$5:$B$29&lt;A42+1)*$I$5:$I$29)*g_salMult</f>
        <v/>
      </c>
      <c r="E42" s="7">
        <f>SUMPRODUCT($AC$5:$AC$29,$E$5:$E$29*(1+$F$5:$F$29)^(A42-2026)*$G$5:$G$29*$H$5:$H$29*$M$5:$M$29)*g_salMult</f>
        <v/>
      </c>
      <c r="F42" s="7">
        <f>SUMPRODUCT($AC$5:$AC$29,$E$5:$E$29*(1+$F$5:$F$29)^(A42-2026)*$G$5:$G$29*$H$5:$H$29*$N$5:$N$29*$O$5:$O$29)*g_salMult</f>
        <v/>
      </c>
      <c r="G42" s="7">
        <f>SUMPRODUCT($AC$5:$AC$29,$P$5:$P$29*(1+$F$5:$F$29)^(A42-2026))</f>
        <v/>
      </c>
      <c r="H42" s="7">
        <f>SUMPRODUCT($AC$5:$AC$29,$Q$5:$Q$29*(1+$F$5:$F$29)^(A42-2026))+IF(personal_llcActivo=1,personal_llcNeto*(1+personal_llcCrecimiento)^9,0)</f>
        <v/>
      </c>
      <c r="I42" s="7">
        <f>SUMPRODUCT($AC$5:$AC$29,$J$5:$J$29/($C$5:$C$29-$B$5:$B$29+($C$5:$C$29=$B$5:$B$29)))*C42</f>
        <v/>
      </c>
      <c r="J42" s="7">
        <f>SUMPRODUCT($AC$5:$AC$29,$K$5:$K$29)</f>
        <v/>
      </c>
      <c r="K42" s="7">
        <f>SUMPRODUCT($AC$5:$AC$29,$L$5:$L$29)</f>
        <v/>
      </c>
      <c r="L42" s="7">
        <f>SUMPRODUCT($AC$5:$AC$29,$N$5:$N$29)</f>
        <v/>
      </c>
      <c r="M42" s="7">
        <f>IF(SUMPRODUCT($AC$5:$AC$29,$R$5:$R$29)&gt;0,1,0)</f>
        <v/>
      </c>
      <c r="N42" s="7">
        <f>SUMPRODUCT(($AO$5:$AO$24&gt;=A42)*($AO$5:$AO$24&lt;A42+1)*$AP$5:$AP$24)*C42+IF(9=0,IF(sel_loc&lt;&gt;"miami",personal_costoMudanzaInicial,0),0)</f>
        <v/>
      </c>
      <c r="O42" s="7">
        <f>MIN(personal_aporte403bPct*D42,retiro_limite403b*C42)</f>
        <v/>
      </c>
      <c r="P42" s="7">
        <f>MIN(personal_aporte403bPct,personal_match403bPct)*E42</f>
        <v/>
      </c>
      <c r="Q42" s="7">
        <f>IF(G42&gt;0,MAX(0,G42-impuestos_scorpCostoAnual*C42),0)</f>
        <v/>
      </c>
      <c r="R42" s="7">
        <f>Q42*impuestos_scorpSalarioPct/(1+impuestos_ssTasa+impuestos_medicareTasa)</f>
        <v/>
      </c>
      <c r="S42" s="7">
        <f>impuestos_ssTasa*MIN(R42,MAX(0,impuestos_ssTope*C42-D42))+impuestos_medicareTasa*R42</f>
        <v/>
      </c>
      <c r="T42" s="7">
        <f>Q42-R42-S42</f>
        <v/>
      </c>
      <c r="U42" s="7">
        <f>D42+R42</f>
        <v/>
      </c>
      <c r="V42" s="7">
        <f>H42*0.9235</f>
        <v/>
      </c>
      <c r="W42" s="7">
        <f>IF(H42&gt;0,2*impuestos_ssTasa*MIN(V42,MAX(0,impuestos_ssTope*C42-U42))+2*impuestos_medicareTasa*V42,0)</f>
        <v/>
      </c>
      <c r="X42" s="7">
        <f>impuestos_ssTasa*MIN(U42,impuestos_ssTope*C42)+impuestos_medicareTasa*U42+impuestos_medicareAdicional*MAX(0,U42+H42*0.9235-impuestos_medicareUmbral)</f>
        <v/>
      </c>
      <c r="Y42" s="7">
        <f>MAX(0,D42-O42+R42+T42+H42-W42/2)</f>
        <v/>
      </c>
      <c r="Z42" s="7">
        <f>MAX(0,Y42-impuestos_deduccionEstandar*C42)</f>
        <v/>
      </c>
      <c r="AA42" s="7">
        <f>MIN(0.2*MAX(0,T42+H42-W42/2)*MAX(0,MIN(1,1-(Z42-impuestos_qbiUmbral*C42)/(impuestos_qbiRango*C42))),0.2*Z42)</f>
        <v/>
      </c>
      <c r="AB42" s="7">
        <f>MAX(0,Z42-AA42)</f>
        <v/>
      </c>
      <c r="AC42" s="7">
        <f>SUMPRODUCT((AB42&gt;tb_federalBrackets_lo*C42)*(AB42-tb_federalBrackets_lo*C42)*tb_federalBrackets_dr)</f>
        <v/>
      </c>
      <c r="AD42" s="7">
        <f>MAX(0,Y42-impuestos_nyDeduccion*C42)</f>
        <v/>
      </c>
      <c r="AE42" s="7">
        <f>CHOOSE(loc_taxcode,0,impuestos_ohTasa*MAX(0,Y42-impuestos_ohExento*C42)+impuestos_ohMunicipal*U42,SUMPRODUCT((AD42&gt;tb_nyBrackets_lo*C42)*(AD42-tb_nyBrackets_lo*C42)*tb_nyBrackets_dr)+loc_nyc*SUMPRODUCT((AD42&gt;tb_nycBrackets_lo*C42)*(AD42-tb_nycBrackets_lo*C42)*tb_nycBrackets_dr))</f>
        <v/>
      </c>
      <c r="AF42" s="7">
        <f>AC42+AE42+X42+W42</f>
        <v/>
      </c>
      <c r="AG42" s="7">
        <f>D42+F42+R42+T42+H42</f>
        <v/>
      </c>
      <c r="AH42" s="7">
        <f>AG42-AF42-O42</f>
        <v/>
      </c>
      <c r="AI42" s="7">
        <f>D42+F42+G42+H42</f>
        <v/>
      </c>
      <c r="AJ42" s="7">
        <f>loc_gastosVida*C42*g_gastos</f>
        <v/>
      </c>
      <c r="AK42" s="7">
        <f>IF(9=0,personal_liquidoInicial,DR41)</f>
        <v/>
      </c>
      <c r="AL42" s="7">
        <f>IF(9=0,0,BB41)</f>
        <v/>
      </c>
      <c r="AM42" s="7">
        <f>CHOOSE(sel_cfgIdx,loc_precio_duplex,loc_precio_inlaw,loc_precio_dosCasas,loc_precio_casaAdu,loc_precio_multi)</f>
        <v/>
      </c>
      <c r="AN42" s="7">
        <f>AM42*(1+g_appr)^(A42-2026)</f>
        <v/>
      </c>
      <c r="AO42" s="7">
        <f>IF(AND(M42=1,vivienda_prestamoMedico=1),1,0)</f>
        <v/>
      </c>
      <c r="AP42" s="7">
        <f>IF(AO42=1,0.05,vivienda_enganchePct)</f>
        <v/>
      </c>
      <c r="AQ42" s="7">
        <f>AN42*(1-AP42)</f>
        <v/>
      </c>
      <c r="AR42" s="7">
        <f>PMT(g_mortRate/12,vivienda_plazoHipoteca*12,-AQ42)</f>
        <v/>
      </c>
      <c r="AS42" s="7">
        <f>INDEX(cfg_units,sel_cfgIdx)</f>
        <v/>
      </c>
      <c r="AT42" s="7">
        <f>AS42*loc_rentaUnidad*(1+g_inf)^(A42-2026)*(1-vivienda_vacancia)</f>
        <v/>
      </c>
      <c r="AU42" s="7">
        <f>AR42+AN42*loc_impuestoPropPct/12+AM42*loc_seguroPct*(1+vivienda_inflacionSeguro)^(A42-2026)/12+IF(AND(AO42=0,AP42&lt;0.2),AQ42*vivienda_pmiTasa/12,0)</f>
        <v/>
      </c>
      <c r="AV42" s="7">
        <f>AN42*AP42+AN42*vivienda_cierrePct+general_reservaMeses/12*AJ42</f>
        <v/>
      </c>
      <c r="AW42" s="7">
        <f>(IF(9=0,MIN(personal_irsSaldo,personal_irsPagoMensual*12),MIN(CD41,personal_irsPagoMensual*12))+IF(CE42&gt;0,PMT(CF42,MAX(1,prestamos_plazoAnios-CG42),-CE42),0)+IF(CR42&gt;0,PMT(CS42,MAX(1,prestamos_plazoAnios-CT42),-CR42),0))/12</f>
        <v/>
      </c>
      <c r="AX42" s="7">
        <f>IF(OR(sel_cfg="duplex",sel_cfg="multi",sel_cfg="dosCasas"),0.75*personal_aporteFamiliaMensual,0)</f>
        <v/>
      </c>
      <c r="AY42" s="7">
        <f>AU42-0.75*AT42-AX42+AW42</f>
        <v/>
      </c>
      <c r="AZ42" s="7">
        <f>(D42+G42+H42+0.5*F42)/12</f>
        <v/>
      </c>
      <c r="BA42" s="7">
        <f>IF(AND(AL42=0,A42&gt;=vivienda_anioMinCompra,J42&lt;0.5,AI42&gt;0,AK42&gt;=AV42,AY42&lt;=vivienda_dtiMax*AZ42),1,0)</f>
        <v/>
      </c>
      <c r="BB42" s="7">
        <f>MAX(AL42,BA42)</f>
        <v/>
      </c>
      <c r="BC42" s="7">
        <f>IF(BA42=1,A42,IF(9=0,"",BC41))</f>
        <v/>
      </c>
      <c r="BD42" s="7">
        <f>AK42-IF(BA42=1,AN42*AP42+AN42*vivienda_cierrePct,0)</f>
        <v/>
      </c>
      <c r="BE42" s="7">
        <f>IF(BA42=1,AN42,IF(9=0,0,BE41))</f>
        <v/>
      </c>
      <c r="BF42" s="7">
        <f>IF(BA42=1,AR42,IF(9=0,0,BF41))</f>
        <v/>
      </c>
      <c r="BG42" s="7">
        <f>IF(BA42=1,IF(AND(AO42=0,AP42&lt;0.2),1,0),IF(9=0,0,BY41))</f>
        <v/>
      </c>
      <c r="BH42" s="7">
        <f>IF(sel_cfg="casaAdu",1,0)</f>
        <v/>
      </c>
      <c r="BI42" s="7">
        <f>IF(AND(BB42=1,BH42=1,IF(9=0,0,BJ41)=0,A42&gt;=IF(BC42="",9999,BC42)+vivienda_aduRetrasoAnios),1,0)</f>
        <v/>
      </c>
      <c r="BJ42" s="7">
        <f>MAX(IF(9=0,0,BJ41),BI42)</f>
        <v/>
      </c>
      <c r="BK42" s="7">
        <f>IF(BI42=1,PMT((g_mortRate+0.005)/12,180,-loc_precio_aduCosto*C42),IF(9=0,0,BK41))</f>
        <v/>
      </c>
      <c r="BL42" s="7">
        <f>IF(BA42=1,AN42,IF(9=0,0,DT41))+IF(BI42=1,loc_precio_aduCosto*C42,0)</f>
        <v/>
      </c>
      <c r="BM42" s="7">
        <f>IF(BA42=1,AQ42,IF(9=0,0,DU41))</f>
        <v/>
      </c>
      <c r="BN42" s="7">
        <f>IF(BM42&lt;=0,0,FV(g_mortRate/12,12,BF42,-BM42))</f>
        <v/>
      </c>
      <c r="BO42" s="7">
        <f>IF(BM42&lt;=0,0,12*BF42+MIN(0,BN42))</f>
        <v/>
      </c>
      <c r="BP42" s="7">
        <f>MAX(0,BN42)</f>
        <v/>
      </c>
      <c r="BQ42" s="7">
        <f>IF(BI42=1,loc_precio_aduCosto*C42,IF(9=0,0,DV41))</f>
        <v/>
      </c>
      <c r="BR42" s="7">
        <f>IF(BQ42&lt;=0,0,FV((g_mortRate+0.005)/12,12,BK42,-BQ42))</f>
        <v/>
      </c>
      <c r="BS42" s="7">
        <f>IF(BQ42&lt;=0,0,12*BK42+MIN(0,BR42))</f>
        <v/>
      </c>
      <c r="BT42" s="7">
        <f>MAX(0,BR42)</f>
        <v/>
      </c>
      <c r="BU42" s="7">
        <f>IF(BB42=1,AM42*loc_seguroPct*(1+vivienda_inflacionSeguro)^(A42-2026)*IF(BJ42=1,1+loc_precio_aduCosto/AM42,1),0)</f>
        <v/>
      </c>
      <c r="BV42" s="7">
        <f>BL42*loc_impuestoPropPct</f>
        <v/>
      </c>
      <c r="BW42" s="7">
        <f>BL42*vivienda_mantenimientoPct</f>
        <v/>
      </c>
      <c r="BX42" s="7">
        <f>IF(AND(BG42=1,BP42&gt;0.8*BE42),BE42*(1-vivienda_enganchePct)*vivienda_pmiTasa,0)</f>
        <v/>
      </c>
      <c r="BY42" s="7">
        <f>IF(AND(BG42=1,BP42&gt;0.8*BE42),1,0)</f>
        <v/>
      </c>
      <c r="BZ42" s="7">
        <f>IF(BB42=1,AS42*loc_rentaUnidad*12*C42*(1-vivienda_vacancia)*(1-vivienda_gestionPct),0)</f>
        <v/>
      </c>
      <c r="CA42" s="7">
        <f>IF(BB42=1,BO42+BS42+BU42+BV42+BW42+BX42,loc_rentaMensual*12*C42)</f>
        <v/>
      </c>
      <c r="CB42" s="7">
        <f>IF(BB42=1,personal_aporteFamiliaMensual*12,0)</f>
        <v/>
      </c>
      <c r="CC42" s="7">
        <f>MIN(IF(9=0,personal_irsSaldo,CD41),personal_irsPagoMensual*12)</f>
        <v/>
      </c>
      <c r="CD42" s="7">
        <f>IF(9=0,personal_irsSaldo,CD41)-CC42</f>
        <v/>
      </c>
      <c r="CE42" s="7">
        <f>IF(9=0,IF(personal_deudaEsFederal=1,personal_deudaEstudiantil,0),DW41)</f>
        <v/>
      </c>
      <c r="CF42" s="7">
        <f>IF(9=0,personal_tasaDeudaEstudiantil,DX41)</f>
        <v/>
      </c>
      <c r="CG42" s="7">
        <f>IF(9=0,0,DY41)</f>
        <v/>
      </c>
      <c r="CH42" s="7">
        <f>IF(J42&gt;=0.5,1,0)</f>
        <v/>
      </c>
      <c r="CI42" s="7">
        <f>IF(AND(CH42=0,prestamos_pslfActivo=1,K42&gt;=0.5,CE42&gt;0),1,0)</f>
        <v/>
      </c>
      <c r="CJ42" s="7">
        <f>CE42*CF42</f>
        <v/>
      </c>
      <c r="CK42" s="7">
        <f>MAX(prestamos_rapPagoMinimoAnual,IF(Y42&lt;10000,0,MIN(0.1,INT(Y42/10000)/100))*Y42)</f>
        <v/>
      </c>
      <c r="CL42" s="7">
        <f>IF(CE42&lt;=0,0,IF(CH42=1,0,IF(CI42=1,MIN(CE42+CJ42,CK42),PMT(CF42,MAX(1,prestamos_plazoAnios-CG42),-CE42))))</f>
        <v/>
      </c>
      <c r="CM42" s="7">
        <f>IF(CE42&lt;=0,0,IF(CH42=1,CE42+CJ42,IF(CI42=1,MAX(0,CE42-MAX(CL42-CJ42,MIN(600,CL42))),MAX(0,CE42*(1+CF42)-CL42))))</f>
        <v/>
      </c>
      <c r="CN42" s="7">
        <f>IF(9=0,0,CN41)+IF(CI42=1,12*MIN(1,K42),0)</f>
        <v/>
      </c>
      <c r="CO42" s="7">
        <f>IF(AND(CI42=1,CN42&gt;=prestamos_pslfPagos,CM42&gt;0),CM42,0)</f>
        <v/>
      </c>
      <c r="CP42" s="7">
        <f>CM42-CO42</f>
        <v/>
      </c>
      <c r="CQ42" s="7">
        <f>IF(AND(CE42&gt;0,CH42=0,CI42=0),CG42+1,CG42)</f>
        <v/>
      </c>
      <c r="CR42" s="7">
        <f>IF(9=0,IF(personal_deudaEsFederal=1,0,personal_deudaEstudiantil),EA41)</f>
        <v/>
      </c>
      <c r="CS42" s="7">
        <f>IF(9=0,IF(personal_deudaEsFederal=1,prestamos_tasaPrivada,personal_tasaDeudaEstudiantil),EB41)</f>
        <v/>
      </c>
      <c r="CT42" s="7">
        <f>IF(9=0,0,EC41)</f>
        <v/>
      </c>
      <c r="CU42" s="7">
        <f>IF(OR(CR42&lt;=0,CH42=1),0,PMT(CS42,MAX(1,prestamos_plazoAnios-CT42),-CR42))</f>
        <v/>
      </c>
      <c r="CV42" s="7">
        <f>IF(CR42&lt;=0,0,IF(CH42=1,CR42*(1+CS42),MAX(0,CR42*(1+CS42)-CU42)))</f>
        <v/>
      </c>
      <c r="CW42" s="7">
        <f>IF(AND(CR42&gt;0,CH42=0),CT42+1,CT42)</f>
        <v/>
      </c>
      <c r="CX42" s="7">
        <f>IF(9=0,0,ED41)*(1+general_tasaDeudaConsumo)</f>
        <v/>
      </c>
      <c r="CY42" s="7">
        <f>L42*12*tiempos_travelGastoExtraMes*C42</f>
        <v/>
      </c>
      <c r="CZ42" s="7">
        <f>AJ42+CY42+CA42+CC42+CL42+CU42+I42+N42-BZ42-CB42</f>
        <v/>
      </c>
      <c r="DA42" s="7">
        <f>AH42-CZ42</f>
        <v/>
      </c>
      <c r="DB42" s="7">
        <f>IF(9=0,0,DB41)+DA42</f>
        <v/>
      </c>
      <c r="DC42" s="7">
        <f>AN42*vivienda_enganchePct+AN42*vivienda_cierrePct+general_reservaMeses/12*AJ42</f>
        <v/>
      </c>
      <c r="DD42" s="7">
        <f>IF(BB42=1,g_ret,IF(BD42&gt;0,MIN(1,DC42/BD42),1)*g_cash+(1-IF(BD42&gt;0,MIN(1,DC42/BD42),1))*g_ret)</f>
        <v/>
      </c>
      <c r="DE42" s="7">
        <f>IF(DA42&gt;=0,MIN(CX42,DA42),0)</f>
        <v/>
      </c>
      <c r="DF42" s="7">
        <f>IF(DA42&gt;=0,(1-general_tasaAhorro)*(DA42-DE42),0)</f>
        <v/>
      </c>
      <c r="DG42" s="7">
        <f>IF(DA42&gt;=0,DA42-DE42-DF42,0)</f>
        <v/>
      </c>
      <c r="DH42" s="7">
        <f>MIN(personal_rothAnual,DG42)</f>
        <v/>
      </c>
      <c r="DI42" s="7">
        <f>IF(AND(DA42&gt;=0,BB42=1,BP42+BT42&gt;0),MIN(vivienda_prepagoPct*(DG42-DH42),BP42+BT42),0)</f>
        <v/>
      </c>
      <c r="DJ42" s="7">
        <f>MIN(DI42,BP42)</f>
        <v/>
      </c>
      <c r="DK42" s="7">
        <f>IF(DA42&lt;0,MIN(MAX(0,BD42),-DA42),0)</f>
        <v/>
      </c>
      <c r="DL42" s="7">
        <f>IF(DA42&lt;0,-DA42-DK42,0)</f>
        <v/>
      </c>
      <c r="DM42" s="7">
        <f>IF(9=0,0,DZ41)</f>
        <v/>
      </c>
      <c r="DN42" s="7">
        <f>IF(AND(DL42&gt;0,J42&gt;0),MIN(DL42,MIN(prestamos_topeAnualPosgrado*MIN(1,J42),MAX(0,prestamos_topeTotalPosgrado-DM42))),0)</f>
        <v/>
      </c>
      <c r="DO42" s="7">
        <f>IF(AND(DL42&gt;0,J42&gt;0),DL42-DN42,0)</f>
        <v/>
      </c>
      <c r="DP42" s="7">
        <f>IF(AND(DL42&gt;0,J42&lt;=0),DL42,0)</f>
        <v/>
      </c>
      <c r="DQ42" s="7">
        <f>IF(DA42&gt;=0,DG42-DH42-DI42,-DK42)</f>
        <v/>
      </c>
      <c r="DR42" s="7">
        <f>BD42*(1+DD42)+DQ42*(1+DD42/2)</f>
        <v/>
      </c>
      <c r="DS42" s="7">
        <f>IF(9=0,personal_retiroInicial,DS41)*(1+g_ret)+(O42+P42+DH42)*(1+g_ret/2)</f>
        <v/>
      </c>
      <c r="DT42" s="7">
        <f>IF(BB42=1,BL42*(1+g_appr),0)</f>
        <v/>
      </c>
      <c r="DU42" s="7">
        <f>BP42-DJ42</f>
        <v/>
      </c>
      <c r="DV42" s="7">
        <f>BT42-(DI42-DJ42)</f>
        <v/>
      </c>
      <c r="DW42" s="7">
        <f>CP42+DN42</f>
        <v/>
      </c>
      <c r="DX42" s="7">
        <f>IF(DN42&gt;0,(CP42*CF42+DN42*prestamos_tasaFederalPosgrado)/(CP42+DN42),CF42)</f>
        <v/>
      </c>
      <c r="DY42" s="7">
        <f>IF(DN42&gt;0,0,CQ42)</f>
        <v/>
      </c>
      <c r="DZ42" s="7">
        <f>DM42+DN42</f>
        <v/>
      </c>
      <c r="EA42" s="7">
        <f>CV42+DO42</f>
        <v/>
      </c>
      <c r="EB42" s="7">
        <f>IF(DO42&gt;0,(CV42*CS42+DO42*prestamos_tasaPrivada)/(CV42+DO42),CS42)</f>
        <v/>
      </c>
      <c r="EC42" s="7">
        <f>IF(DO42&gt;0,0,CW42)</f>
        <v/>
      </c>
      <c r="ED42" s="7">
        <f>CX42-DE42+DP42</f>
        <v/>
      </c>
      <c r="EE42" s="7">
        <f>IF(IF(9=0,"",EE41)&lt;&gt;"",EE41,IF(AND(BB42=1,DU42&lt;=0.5,DV42&lt;=0.5,OR(BH42=0,BJ42=1)),A42,""))</f>
        <v/>
      </c>
      <c r="EF42" s="7">
        <f>DU42+DV42+DW42+EA42+ED42+CD42</f>
        <v/>
      </c>
      <c r="EG42" s="7">
        <f>DR42+DS42+DT42-EF42</f>
        <v/>
      </c>
      <c r="EH42" s="7">
        <f>EG42/(1+g_inf)^(A42+1-2026)</f>
        <v/>
      </c>
    </row>
    <row r="43">
      <c r="A43" t="n">
        <v>2037</v>
      </c>
      <c r="B43" t="n">
        <v>10</v>
      </c>
      <c r="C43" s="7">
        <f>(1+g_inf)^(A43-2026)</f>
        <v/>
      </c>
      <c r="D43" s="7">
        <f>SUMPRODUCT($AD$5:$AD$29,$E$5:$E$29*(1+$F$5:$F$29)^(A43-2026)*$G$5:$G$29*$H$5:$H$29*(1-$N$5:$N$29*$O$5:$O$29))*g_salMult+SUMPRODUCT(($B$5:$B$29&gt;=A43)*($B$5:$B$29&lt;A43+1)*$I$5:$I$29)*g_salMult</f>
        <v/>
      </c>
      <c r="E43" s="7">
        <f>SUMPRODUCT($AD$5:$AD$29,$E$5:$E$29*(1+$F$5:$F$29)^(A43-2026)*$G$5:$G$29*$H$5:$H$29*$M$5:$M$29)*g_salMult</f>
        <v/>
      </c>
      <c r="F43" s="7">
        <f>SUMPRODUCT($AD$5:$AD$29,$E$5:$E$29*(1+$F$5:$F$29)^(A43-2026)*$G$5:$G$29*$H$5:$H$29*$N$5:$N$29*$O$5:$O$29)*g_salMult</f>
        <v/>
      </c>
      <c r="G43" s="7">
        <f>SUMPRODUCT($AD$5:$AD$29,$P$5:$P$29*(1+$F$5:$F$29)^(A43-2026))</f>
        <v/>
      </c>
      <c r="H43" s="7">
        <f>SUMPRODUCT($AD$5:$AD$29,$Q$5:$Q$29*(1+$F$5:$F$29)^(A43-2026))+IF(personal_llcActivo=1,personal_llcNeto*(1+personal_llcCrecimiento)^10,0)</f>
        <v/>
      </c>
      <c r="I43" s="7">
        <f>SUMPRODUCT($AD$5:$AD$29,$J$5:$J$29/($C$5:$C$29-$B$5:$B$29+($C$5:$C$29=$B$5:$B$29)))*C43</f>
        <v/>
      </c>
      <c r="J43" s="7">
        <f>SUMPRODUCT($AD$5:$AD$29,$K$5:$K$29)</f>
        <v/>
      </c>
      <c r="K43" s="7">
        <f>SUMPRODUCT($AD$5:$AD$29,$L$5:$L$29)</f>
        <v/>
      </c>
      <c r="L43" s="7">
        <f>SUMPRODUCT($AD$5:$AD$29,$N$5:$N$29)</f>
        <v/>
      </c>
      <c r="M43" s="7">
        <f>IF(SUMPRODUCT($AD$5:$AD$29,$R$5:$R$29)&gt;0,1,0)</f>
        <v/>
      </c>
      <c r="N43" s="7">
        <f>SUMPRODUCT(($AO$5:$AO$24&gt;=A43)*($AO$5:$AO$24&lt;A43+1)*$AP$5:$AP$24)*C43+IF(10=0,IF(sel_loc&lt;&gt;"miami",personal_costoMudanzaInicial,0),0)</f>
        <v/>
      </c>
      <c r="O43" s="7">
        <f>MIN(personal_aporte403bPct*D43,retiro_limite403b*C43)</f>
        <v/>
      </c>
      <c r="P43" s="7">
        <f>MIN(personal_aporte403bPct,personal_match403bPct)*E43</f>
        <v/>
      </c>
      <c r="Q43" s="7">
        <f>IF(G43&gt;0,MAX(0,G43-impuestos_scorpCostoAnual*C43),0)</f>
        <v/>
      </c>
      <c r="R43" s="7">
        <f>Q43*impuestos_scorpSalarioPct/(1+impuestos_ssTasa+impuestos_medicareTasa)</f>
        <v/>
      </c>
      <c r="S43" s="7">
        <f>impuestos_ssTasa*MIN(R43,MAX(0,impuestos_ssTope*C43-D43))+impuestos_medicareTasa*R43</f>
        <v/>
      </c>
      <c r="T43" s="7">
        <f>Q43-R43-S43</f>
        <v/>
      </c>
      <c r="U43" s="7">
        <f>D43+R43</f>
        <v/>
      </c>
      <c r="V43" s="7">
        <f>H43*0.9235</f>
        <v/>
      </c>
      <c r="W43" s="7">
        <f>IF(H43&gt;0,2*impuestos_ssTasa*MIN(V43,MAX(0,impuestos_ssTope*C43-U43))+2*impuestos_medicareTasa*V43,0)</f>
        <v/>
      </c>
      <c r="X43" s="7">
        <f>impuestos_ssTasa*MIN(U43,impuestos_ssTope*C43)+impuestos_medicareTasa*U43+impuestos_medicareAdicional*MAX(0,U43+H43*0.9235-impuestos_medicareUmbral)</f>
        <v/>
      </c>
      <c r="Y43" s="7">
        <f>MAX(0,D43-O43+R43+T43+H43-W43/2)</f>
        <v/>
      </c>
      <c r="Z43" s="7">
        <f>MAX(0,Y43-impuestos_deduccionEstandar*C43)</f>
        <v/>
      </c>
      <c r="AA43" s="7">
        <f>MIN(0.2*MAX(0,T43+H43-W43/2)*MAX(0,MIN(1,1-(Z43-impuestos_qbiUmbral*C43)/(impuestos_qbiRango*C43))),0.2*Z43)</f>
        <v/>
      </c>
      <c r="AB43" s="7">
        <f>MAX(0,Z43-AA43)</f>
        <v/>
      </c>
      <c r="AC43" s="7">
        <f>SUMPRODUCT((AB43&gt;tb_federalBrackets_lo*C43)*(AB43-tb_federalBrackets_lo*C43)*tb_federalBrackets_dr)</f>
        <v/>
      </c>
      <c r="AD43" s="7">
        <f>MAX(0,Y43-impuestos_nyDeduccion*C43)</f>
        <v/>
      </c>
      <c r="AE43" s="7">
        <f>CHOOSE(loc_taxcode,0,impuestos_ohTasa*MAX(0,Y43-impuestos_ohExento*C43)+impuestos_ohMunicipal*U43,SUMPRODUCT((AD43&gt;tb_nyBrackets_lo*C43)*(AD43-tb_nyBrackets_lo*C43)*tb_nyBrackets_dr)+loc_nyc*SUMPRODUCT((AD43&gt;tb_nycBrackets_lo*C43)*(AD43-tb_nycBrackets_lo*C43)*tb_nycBrackets_dr))</f>
        <v/>
      </c>
      <c r="AF43" s="7">
        <f>AC43+AE43+X43+W43</f>
        <v/>
      </c>
      <c r="AG43" s="7">
        <f>D43+F43+R43+T43+H43</f>
        <v/>
      </c>
      <c r="AH43" s="7">
        <f>AG43-AF43-O43</f>
        <v/>
      </c>
      <c r="AI43" s="7">
        <f>D43+F43+G43+H43</f>
        <v/>
      </c>
      <c r="AJ43" s="7">
        <f>loc_gastosVida*C43*g_gastos</f>
        <v/>
      </c>
      <c r="AK43" s="7">
        <f>IF(10=0,personal_liquidoInicial,DR42)</f>
        <v/>
      </c>
      <c r="AL43" s="7">
        <f>IF(10=0,0,BB42)</f>
        <v/>
      </c>
      <c r="AM43" s="7">
        <f>CHOOSE(sel_cfgIdx,loc_precio_duplex,loc_precio_inlaw,loc_precio_dosCasas,loc_precio_casaAdu,loc_precio_multi)</f>
        <v/>
      </c>
      <c r="AN43" s="7">
        <f>AM43*(1+g_appr)^(A43-2026)</f>
        <v/>
      </c>
      <c r="AO43" s="7">
        <f>IF(AND(M43=1,vivienda_prestamoMedico=1),1,0)</f>
        <v/>
      </c>
      <c r="AP43" s="7">
        <f>IF(AO43=1,0.05,vivienda_enganchePct)</f>
        <v/>
      </c>
      <c r="AQ43" s="7">
        <f>AN43*(1-AP43)</f>
        <v/>
      </c>
      <c r="AR43" s="7">
        <f>PMT(g_mortRate/12,vivienda_plazoHipoteca*12,-AQ43)</f>
        <v/>
      </c>
      <c r="AS43" s="7">
        <f>INDEX(cfg_units,sel_cfgIdx)</f>
        <v/>
      </c>
      <c r="AT43" s="7">
        <f>AS43*loc_rentaUnidad*(1+g_inf)^(A43-2026)*(1-vivienda_vacancia)</f>
        <v/>
      </c>
      <c r="AU43" s="7">
        <f>AR43+AN43*loc_impuestoPropPct/12+AM43*loc_seguroPct*(1+vivienda_inflacionSeguro)^(A43-2026)/12+IF(AND(AO43=0,AP43&lt;0.2),AQ43*vivienda_pmiTasa/12,0)</f>
        <v/>
      </c>
      <c r="AV43" s="7">
        <f>AN43*AP43+AN43*vivienda_cierrePct+general_reservaMeses/12*AJ43</f>
        <v/>
      </c>
      <c r="AW43" s="7">
        <f>(IF(10=0,MIN(personal_irsSaldo,personal_irsPagoMensual*12),MIN(CD42,personal_irsPagoMensual*12))+IF(CE43&gt;0,PMT(CF43,MAX(1,prestamos_plazoAnios-CG43),-CE43),0)+IF(CR43&gt;0,PMT(CS43,MAX(1,prestamos_plazoAnios-CT43),-CR43),0))/12</f>
        <v/>
      </c>
      <c r="AX43" s="7">
        <f>IF(OR(sel_cfg="duplex",sel_cfg="multi",sel_cfg="dosCasas"),0.75*personal_aporteFamiliaMensual,0)</f>
        <v/>
      </c>
      <c r="AY43" s="7">
        <f>AU43-0.75*AT43-AX43+AW43</f>
        <v/>
      </c>
      <c r="AZ43" s="7">
        <f>(D43+G43+H43+0.5*F43)/12</f>
        <v/>
      </c>
      <c r="BA43" s="7">
        <f>IF(AND(AL43=0,A43&gt;=vivienda_anioMinCompra,J43&lt;0.5,AI43&gt;0,AK43&gt;=AV43,AY43&lt;=vivienda_dtiMax*AZ43),1,0)</f>
        <v/>
      </c>
      <c r="BB43" s="7">
        <f>MAX(AL43,BA43)</f>
        <v/>
      </c>
      <c r="BC43" s="7">
        <f>IF(BA43=1,A43,IF(10=0,"",BC42))</f>
        <v/>
      </c>
      <c r="BD43" s="7">
        <f>AK43-IF(BA43=1,AN43*AP43+AN43*vivienda_cierrePct,0)</f>
        <v/>
      </c>
      <c r="BE43" s="7">
        <f>IF(BA43=1,AN43,IF(10=0,0,BE42))</f>
        <v/>
      </c>
      <c r="BF43" s="7">
        <f>IF(BA43=1,AR43,IF(10=0,0,BF42))</f>
        <v/>
      </c>
      <c r="BG43" s="7">
        <f>IF(BA43=1,IF(AND(AO43=0,AP43&lt;0.2),1,0),IF(10=0,0,BY42))</f>
        <v/>
      </c>
      <c r="BH43" s="7">
        <f>IF(sel_cfg="casaAdu",1,0)</f>
        <v/>
      </c>
      <c r="BI43" s="7">
        <f>IF(AND(BB43=1,BH43=1,IF(10=0,0,BJ42)=0,A43&gt;=IF(BC43="",9999,BC43)+vivienda_aduRetrasoAnios),1,0)</f>
        <v/>
      </c>
      <c r="BJ43" s="7">
        <f>MAX(IF(10=0,0,BJ42),BI43)</f>
        <v/>
      </c>
      <c r="BK43" s="7">
        <f>IF(BI43=1,PMT((g_mortRate+0.005)/12,180,-loc_precio_aduCosto*C43),IF(10=0,0,BK42))</f>
        <v/>
      </c>
      <c r="BL43" s="7">
        <f>IF(BA43=1,AN43,IF(10=0,0,DT42))+IF(BI43=1,loc_precio_aduCosto*C43,0)</f>
        <v/>
      </c>
      <c r="BM43" s="7">
        <f>IF(BA43=1,AQ43,IF(10=0,0,DU42))</f>
        <v/>
      </c>
      <c r="BN43" s="7">
        <f>IF(BM43&lt;=0,0,FV(g_mortRate/12,12,BF43,-BM43))</f>
        <v/>
      </c>
      <c r="BO43" s="7">
        <f>IF(BM43&lt;=0,0,12*BF43+MIN(0,BN43))</f>
        <v/>
      </c>
      <c r="BP43" s="7">
        <f>MAX(0,BN43)</f>
        <v/>
      </c>
      <c r="BQ43" s="7">
        <f>IF(BI43=1,loc_precio_aduCosto*C43,IF(10=0,0,DV42))</f>
        <v/>
      </c>
      <c r="BR43" s="7">
        <f>IF(BQ43&lt;=0,0,FV((g_mortRate+0.005)/12,12,BK43,-BQ43))</f>
        <v/>
      </c>
      <c r="BS43" s="7">
        <f>IF(BQ43&lt;=0,0,12*BK43+MIN(0,BR43))</f>
        <v/>
      </c>
      <c r="BT43" s="7">
        <f>MAX(0,BR43)</f>
        <v/>
      </c>
      <c r="BU43" s="7">
        <f>IF(BB43=1,AM43*loc_seguroPct*(1+vivienda_inflacionSeguro)^(A43-2026)*IF(BJ43=1,1+loc_precio_aduCosto/AM43,1),0)</f>
        <v/>
      </c>
      <c r="BV43" s="7">
        <f>BL43*loc_impuestoPropPct</f>
        <v/>
      </c>
      <c r="BW43" s="7">
        <f>BL43*vivienda_mantenimientoPct</f>
        <v/>
      </c>
      <c r="BX43" s="7">
        <f>IF(AND(BG43=1,BP43&gt;0.8*BE43),BE43*(1-vivienda_enganchePct)*vivienda_pmiTasa,0)</f>
        <v/>
      </c>
      <c r="BY43" s="7">
        <f>IF(AND(BG43=1,BP43&gt;0.8*BE43),1,0)</f>
        <v/>
      </c>
      <c r="BZ43" s="7">
        <f>IF(BB43=1,AS43*loc_rentaUnidad*12*C43*(1-vivienda_vacancia)*(1-vivienda_gestionPct),0)</f>
        <v/>
      </c>
      <c r="CA43" s="7">
        <f>IF(BB43=1,BO43+BS43+BU43+BV43+BW43+BX43,loc_rentaMensual*12*C43)</f>
        <v/>
      </c>
      <c r="CB43" s="7">
        <f>IF(BB43=1,personal_aporteFamiliaMensual*12,0)</f>
        <v/>
      </c>
      <c r="CC43" s="7">
        <f>MIN(IF(10=0,personal_irsSaldo,CD42),personal_irsPagoMensual*12)</f>
        <v/>
      </c>
      <c r="CD43" s="7">
        <f>IF(10=0,personal_irsSaldo,CD42)-CC43</f>
        <v/>
      </c>
      <c r="CE43" s="7">
        <f>IF(10=0,IF(personal_deudaEsFederal=1,personal_deudaEstudiantil,0),DW42)</f>
        <v/>
      </c>
      <c r="CF43" s="7">
        <f>IF(10=0,personal_tasaDeudaEstudiantil,DX42)</f>
        <v/>
      </c>
      <c r="CG43" s="7">
        <f>IF(10=0,0,DY42)</f>
        <v/>
      </c>
      <c r="CH43" s="7">
        <f>IF(J43&gt;=0.5,1,0)</f>
        <v/>
      </c>
      <c r="CI43" s="7">
        <f>IF(AND(CH43=0,prestamos_pslfActivo=1,K43&gt;=0.5,CE43&gt;0),1,0)</f>
        <v/>
      </c>
      <c r="CJ43" s="7">
        <f>CE43*CF43</f>
        <v/>
      </c>
      <c r="CK43" s="7">
        <f>MAX(prestamos_rapPagoMinimoAnual,IF(Y43&lt;10000,0,MIN(0.1,INT(Y43/10000)/100))*Y43)</f>
        <v/>
      </c>
      <c r="CL43" s="7">
        <f>IF(CE43&lt;=0,0,IF(CH43=1,0,IF(CI43=1,MIN(CE43+CJ43,CK43),PMT(CF43,MAX(1,prestamos_plazoAnios-CG43),-CE43))))</f>
        <v/>
      </c>
      <c r="CM43" s="7">
        <f>IF(CE43&lt;=0,0,IF(CH43=1,CE43+CJ43,IF(CI43=1,MAX(0,CE43-MAX(CL43-CJ43,MIN(600,CL43))),MAX(0,CE43*(1+CF43)-CL43))))</f>
        <v/>
      </c>
      <c r="CN43" s="7">
        <f>IF(10=0,0,CN42)+IF(CI43=1,12*MIN(1,K43),0)</f>
        <v/>
      </c>
      <c r="CO43" s="7">
        <f>IF(AND(CI43=1,CN43&gt;=prestamos_pslfPagos,CM43&gt;0),CM43,0)</f>
        <v/>
      </c>
      <c r="CP43" s="7">
        <f>CM43-CO43</f>
        <v/>
      </c>
      <c r="CQ43" s="7">
        <f>IF(AND(CE43&gt;0,CH43=0,CI43=0),CG43+1,CG43)</f>
        <v/>
      </c>
      <c r="CR43" s="7">
        <f>IF(10=0,IF(personal_deudaEsFederal=1,0,personal_deudaEstudiantil),EA42)</f>
        <v/>
      </c>
      <c r="CS43" s="7">
        <f>IF(10=0,IF(personal_deudaEsFederal=1,prestamos_tasaPrivada,personal_tasaDeudaEstudiantil),EB42)</f>
        <v/>
      </c>
      <c r="CT43" s="7">
        <f>IF(10=0,0,EC42)</f>
        <v/>
      </c>
      <c r="CU43" s="7">
        <f>IF(OR(CR43&lt;=0,CH43=1),0,PMT(CS43,MAX(1,prestamos_plazoAnios-CT43),-CR43))</f>
        <v/>
      </c>
      <c r="CV43" s="7">
        <f>IF(CR43&lt;=0,0,IF(CH43=1,CR43*(1+CS43),MAX(0,CR43*(1+CS43)-CU43)))</f>
        <v/>
      </c>
      <c r="CW43" s="7">
        <f>IF(AND(CR43&gt;0,CH43=0),CT43+1,CT43)</f>
        <v/>
      </c>
      <c r="CX43" s="7">
        <f>IF(10=0,0,ED42)*(1+general_tasaDeudaConsumo)</f>
        <v/>
      </c>
      <c r="CY43" s="7">
        <f>L43*12*tiempos_travelGastoExtraMes*C43</f>
        <v/>
      </c>
      <c r="CZ43" s="7">
        <f>AJ43+CY43+CA43+CC43+CL43+CU43+I43+N43-BZ43-CB43</f>
        <v/>
      </c>
      <c r="DA43" s="7">
        <f>AH43-CZ43</f>
        <v/>
      </c>
      <c r="DB43" s="7">
        <f>IF(10=0,0,DB42)+DA43</f>
        <v/>
      </c>
      <c r="DC43" s="7">
        <f>AN43*vivienda_enganchePct+AN43*vivienda_cierrePct+general_reservaMeses/12*AJ43</f>
        <v/>
      </c>
      <c r="DD43" s="7">
        <f>IF(BB43=1,g_ret,IF(BD43&gt;0,MIN(1,DC43/BD43),1)*g_cash+(1-IF(BD43&gt;0,MIN(1,DC43/BD43),1))*g_ret)</f>
        <v/>
      </c>
      <c r="DE43" s="7">
        <f>IF(DA43&gt;=0,MIN(CX43,DA43),0)</f>
        <v/>
      </c>
      <c r="DF43" s="7">
        <f>IF(DA43&gt;=0,(1-general_tasaAhorro)*(DA43-DE43),0)</f>
        <v/>
      </c>
      <c r="DG43" s="7">
        <f>IF(DA43&gt;=0,DA43-DE43-DF43,0)</f>
        <v/>
      </c>
      <c r="DH43" s="7">
        <f>MIN(personal_rothAnual,DG43)</f>
        <v/>
      </c>
      <c r="DI43" s="7">
        <f>IF(AND(DA43&gt;=0,BB43=1,BP43+BT43&gt;0),MIN(vivienda_prepagoPct*(DG43-DH43),BP43+BT43),0)</f>
        <v/>
      </c>
      <c r="DJ43" s="7">
        <f>MIN(DI43,BP43)</f>
        <v/>
      </c>
      <c r="DK43" s="7">
        <f>IF(DA43&lt;0,MIN(MAX(0,BD43),-DA43),0)</f>
        <v/>
      </c>
      <c r="DL43" s="7">
        <f>IF(DA43&lt;0,-DA43-DK43,0)</f>
        <v/>
      </c>
      <c r="DM43" s="7">
        <f>IF(10=0,0,DZ42)</f>
        <v/>
      </c>
      <c r="DN43" s="7">
        <f>IF(AND(DL43&gt;0,J43&gt;0),MIN(DL43,MIN(prestamos_topeAnualPosgrado*MIN(1,J43),MAX(0,prestamos_topeTotalPosgrado-DM43))),0)</f>
        <v/>
      </c>
      <c r="DO43" s="7">
        <f>IF(AND(DL43&gt;0,J43&gt;0),DL43-DN43,0)</f>
        <v/>
      </c>
      <c r="DP43" s="7">
        <f>IF(AND(DL43&gt;0,J43&lt;=0),DL43,0)</f>
        <v/>
      </c>
      <c r="DQ43" s="7">
        <f>IF(DA43&gt;=0,DG43-DH43-DI43,-DK43)</f>
        <v/>
      </c>
      <c r="DR43" s="7">
        <f>BD43*(1+DD43)+DQ43*(1+DD43/2)</f>
        <v/>
      </c>
      <c r="DS43" s="7">
        <f>IF(10=0,personal_retiroInicial,DS42)*(1+g_ret)+(O43+P43+DH43)*(1+g_ret/2)</f>
        <v/>
      </c>
      <c r="DT43" s="7">
        <f>IF(BB43=1,BL43*(1+g_appr),0)</f>
        <v/>
      </c>
      <c r="DU43" s="7">
        <f>BP43-DJ43</f>
        <v/>
      </c>
      <c r="DV43" s="7">
        <f>BT43-(DI43-DJ43)</f>
        <v/>
      </c>
      <c r="DW43" s="7">
        <f>CP43+DN43</f>
        <v/>
      </c>
      <c r="DX43" s="7">
        <f>IF(DN43&gt;0,(CP43*CF43+DN43*prestamos_tasaFederalPosgrado)/(CP43+DN43),CF43)</f>
        <v/>
      </c>
      <c r="DY43" s="7">
        <f>IF(DN43&gt;0,0,CQ43)</f>
        <v/>
      </c>
      <c r="DZ43" s="7">
        <f>DM43+DN43</f>
        <v/>
      </c>
      <c r="EA43" s="7">
        <f>CV43+DO43</f>
        <v/>
      </c>
      <c r="EB43" s="7">
        <f>IF(DO43&gt;0,(CV43*CS43+DO43*prestamos_tasaPrivada)/(CV43+DO43),CS43)</f>
        <v/>
      </c>
      <c r="EC43" s="7">
        <f>IF(DO43&gt;0,0,CW43)</f>
        <v/>
      </c>
      <c r="ED43" s="7">
        <f>CX43-DE43+DP43</f>
        <v/>
      </c>
      <c r="EE43" s="7">
        <f>IF(IF(10=0,"",EE42)&lt;&gt;"",EE42,IF(AND(BB43=1,DU43&lt;=0.5,DV43&lt;=0.5,OR(BH43=0,BJ43=1)),A43,""))</f>
        <v/>
      </c>
      <c r="EF43" s="7">
        <f>DU43+DV43+DW43+EA43+ED43+CD43</f>
        <v/>
      </c>
      <c r="EG43" s="7">
        <f>DR43+DS43+DT43-EF43</f>
        <v/>
      </c>
      <c r="EH43" s="7">
        <f>EG43/(1+g_inf)^(A43+1-2026)</f>
        <v/>
      </c>
    </row>
    <row r="44">
      <c r="A44" t="n">
        <v>2038</v>
      </c>
      <c r="B44" t="n">
        <v>11</v>
      </c>
      <c r="C44" s="7">
        <f>(1+g_inf)^(A44-2026)</f>
        <v/>
      </c>
      <c r="D44" s="7">
        <f>SUMPRODUCT($AE$5:$AE$29,$E$5:$E$29*(1+$F$5:$F$29)^(A44-2026)*$G$5:$G$29*$H$5:$H$29*(1-$N$5:$N$29*$O$5:$O$29))*g_salMult+SUMPRODUCT(($B$5:$B$29&gt;=A44)*($B$5:$B$29&lt;A44+1)*$I$5:$I$29)*g_salMult</f>
        <v/>
      </c>
      <c r="E44" s="7">
        <f>SUMPRODUCT($AE$5:$AE$29,$E$5:$E$29*(1+$F$5:$F$29)^(A44-2026)*$G$5:$G$29*$H$5:$H$29*$M$5:$M$29)*g_salMult</f>
        <v/>
      </c>
      <c r="F44" s="7">
        <f>SUMPRODUCT($AE$5:$AE$29,$E$5:$E$29*(1+$F$5:$F$29)^(A44-2026)*$G$5:$G$29*$H$5:$H$29*$N$5:$N$29*$O$5:$O$29)*g_salMult</f>
        <v/>
      </c>
      <c r="G44" s="7">
        <f>SUMPRODUCT($AE$5:$AE$29,$P$5:$P$29*(1+$F$5:$F$29)^(A44-2026))</f>
        <v/>
      </c>
      <c r="H44" s="7">
        <f>SUMPRODUCT($AE$5:$AE$29,$Q$5:$Q$29*(1+$F$5:$F$29)^(A44-2026))+IF(personal_llcActivo=1,personal_llcNeto*(1+personal_llcCrecimiento)^11,0)</f>
        <v/>
      </c>
      <c r="I44" s="7">
        <f>SUMPRODUCT($AE$5:$AE$29,$J$5:$J$29/($C$5:$C$29-$B$5:$B$29+($C$5:$C$29=$B$5:$B$29)))*C44</f>
        <v/>
      </c>
      <c r="J44" s="7">
        <f>SUMPRODUCT($AE$5:$AE$29,$K$5:$K$29)</f>
        <v/>
      </c>
      <c r="K44" s="7">
        <f>SUMPRODUCT($AE$5:$AE$29,$L$5:$L$29)</f>
        <v/>
      </c>
      <c r="L44" s="7">
        <f>SUMPRODUCT($AE$5:$AE$29,$N$5:$N$29)</f>
        <v/>
      </c>
      <c r="M44" s="7">
        <f>IF(SUMPRODUCT($AE$5:$AE$29,$R$5:$R$29)&gt;0,1,0)</f>
        <v/>
      </c>
      <c r="N44" s="7">
        <f>SUMPRODUCT(($AO$5:$AO$24&gt;=A44)*($AO$5:$AO$24&lt;A44+1)*$AP$5:$AP$24)*C44+IF(11=0,IF(sel_loc&lt;&gt;"miami",personal_costoMudanzaInicial,0),0)</f>
        <v/>
      </c>
      <c r="O44" s="7">
        <f>MIN(personal_aporte403bPct*D44,retiro_limite403b*C44)</f>
        <v/>
      </c>
      <c r="P44" s="7">
        <f>MIN(personal_aporte403bPct,personal_match403bPct)*E44</f>
        <v/>
      </c>
      <c r="Q44" s="7">
        <f>IF(G44&gt;0,MAX(0,G44-impuestos_scorpCostoAnual*C44),0)</f>
        <v/>
      </c>
      <c r="R44" s="7">
        <f>Q44*impuestos_scorpSalarioPct/(1+impuestos_ssTasa+impuestos_medicareTasa)</f>
        <v/>
      </c>
      <c r="S44" s="7">
        <f>impuestos_ssTasa*MIN(R44,MAX(0,impuestos_ssTope*C44-D44))+impuestos_medicareTasa*R44</f>
        <v/>
      </c>
      <c r="T44" s="7">
        <f>Q44-R44-S44</f>
        <v/>
      </c>
      <c r="U44" s="7">
        <f>D44+R44</f>
        <v/>
      </c>
      <c r="V44" s="7">
        <f>H44*0.9235</f>
        <v/>
      </c>
      <c r="W44" s="7">
        <f>IF(H44&gt;0,2*impuestos_ssTasa*MIN(V44,MAX(0,impuestos_ssTope*C44-U44))+2*impuestos_medicareTasa*V44,0)</f>
        <v/>
      </c>
      <c r="X44" s="7">
        <f>impuestos_ssTasa*MIN(U44,impuestos_ssTope*C44)+impuestos_medicareTasa*U44+impuestos_medicareAdicional*MAX(0,U44+H44*0.9235-impuestos_medicareUmbral)</f>
        <v/>
      </c>
      <c r="Y44" s="7">
        <f>MAX(0,D44-O44+R44+T44+H44-W44/2)</f>
        <v/>
      </c>
      <c r="Z44" s="7">
        <f>MAX(0,Y44-impuestos_deduccionEstandar*C44)</f>
        <v/>
      </c>
      <c r="AA44" s="7">
        <f>MIN(0.2*MAX(0,T44+H44-W44/2)*MAX(0,MIN(1,1-(Z44-impuestos_qbiUmbral*C44)/(impuestos_qbiRango*C44))),0.2*Z44)</f>
        <v/>
      </c>
      <c r="AB44" s="7">
        <f>MAX(0,Z44-AA44)</f>
        <v/>
      </c>
      <c r="AC44" s="7">
        <f>SUMPRODUCT((AB44&gt;tb_federalBrackets_lo*C44)*(AB44-tb_federalBrackets_lo*C44)*tb_federalBrackets_dr)</f>
        <v/>
      </c>
      <c r="AD44" s="7">
        <f>MAX(0,Y44-impuestos_nyDeduccion*C44)</f>
        <v/>
      </c>
      <c r="AE44" s="7">
        <f>CHOOSE(loc_taxcode,0,impuestos_ohTasa*MAX(0,Y44-impuestos_ohExento*C44)+impuestos_ohMunicipal*U44,SUMPRODUCT((AD44&gt;tb_nyBrackets_lo*C44)*(AD44-tb_nyBrackets_lo*C44)*tb_nyBrackets_dr)+loc_nyc*SUMPRODUCT((AD44&gt;tb_nycBrackets_lo*C44)*(AD44-tb_nycBrackets_lo*C44)*tb_nycBrackets_dr))</f>
        <v/>
      </c>
      <c r="AF44" s="7">
        <f>AC44+AE44+X44+W44</f>
        <v/>
      </c>
      <c r="AG44" s="7">
        <f>D44+F44+R44+T44+H44</f>
        <v/>
      </c>
      <c r="AH44" s="7">
        <f>AG44-AF44-O44</f>
        <v/>
      </c>
      <c r="AI44" s="7">
        <f>D44+F44+G44+H44</f>
        <v/>
      </c>
      <c r="AJ44" s="7">
        <f>loc_gastosVida*C44*g_gastos</f>
        <v/>
      </c>
      <c r="AK44" s="7">
        <f>IF(11=0,personal_liquidoInicial,DR43)</f>
        <v/>
      </c>
      <c r="AL44" s="7">
        <f>IF(11=0,0,BB43)</f>
        <v/>
      </c>
      <c r="AM44" s="7">
        <f>CHOOSE(sel_cfgIdx,loc_precio_duplex,loc_precio_inlaw,loc_precio_dosCasas,loc_precio_casaAdu,loc_precio_multi)</f>
        <v/>
      </c>
      <c r="AN44" s="7">
        <f>AM44*(1+g_appr)^(A44-2026)</f>
        <v/>
      </c>
      <c r="AO44" s="7">
        <f>IF(AND(M44=1,vivienda_prestamoMedico=1),1,0)</f>
        <v/>
      </c>
      <c r="AP44" s="7">
        <f>IF(AO44=1,0.05,vivienda_enganchePct)</f>
        <v/>
      </c>
      <c r="AQ44" s="7">
        <f>AN44*(1-AP44)</f>
        <v/>
      </c>
      <c r="AR44" s="7">
        <f>PMT(g_mortRate/12,vivienda_plazoHipoteca*12,-AQ44)</f>
        <v/>
      </c>
      <c r="AS44" s="7">
        <f>INDEX(cfg_units,sel_cfgIdx)</f>
        <v/>
      </c>
      <c r="AT44" s="7">
        <f>AS44*loc_rentaUnidad*(1+g_inf)^(A44-2026)*(1-vivienda_vacancia)</f>
        <v/>
      </c>
      <c r="AU44" s="7">
        <f>AR44+AN44*loc_impuestoPropPct/12+AM44*loc_seguroPct*(1+vivienda_inflacionSeguro)^(A44-2026)/12+IF(AND(AO44=0,AP44&lt;0.2),AQ44*vivienda_pmiTasa/12,0)</f>
        <v/>
      </c>
      <c r="AV44" s="7">
        <f>AN44*AP44+AN44*vivienda_cierrePct+general_reservaMeses/12*AJ44</f>
        <v/>
      </c>
      <c r="AW44" s="7">
        <f>(IF(11=0,MIN(personal_irsSaldo,personal_irsPagoMensual*12),MIN(CD43,personal_irsPagoMensual*12))+IF(CE44&gt;0,PMT(CF44,MAX(1,prestamos_plazoAnios-CG44),-CE44),0)+IF(CR44&gt;0,PMT(CS44,MAX(1,prestamos_plazoAnios-CT44),-CR44),0))/12</f>
        <v/>
      </c>
      <c r="AX44" s="7">
        <f>IF(OR(sel_cfg="duplex",sel_cfg="multi",sel_cfg="dosCasas"),0.75*personal_aporteFamiliaMensual,0)</f>
        <v/>
      </c>
      <c r="AY44" s="7">
        <f>AU44-0.75*AT44-AX44+AW44</f>
        <v/>
      </c>
      <c r="AZ44" s="7">
        <f>(D44+G44+H44+0.5*F44)/12</f>
        <v/>
      </c>
      <c r="BA44" s="7">
        <f>IF(AND(AL44=0,A44&gt;=vivienda_anioMinCompra,J44&lt;0.5,AI44&gt;0,AK44&gt;=AV44,AY44&lt;=vivienda_dtiMax*AZ44),1,0)</f>
        <v/>
      </c>
      <c r="BB44" s="7">
        <f>MAX(AL44,BA44)</f>
        <v/>
      </c>
      <c r="BC44" s="7">
        <f>IF(BA44=1,A44,IF(11=0,"",BC43))</f>
        <v/>
      </c>
      <c r="BD44" s="7">
        <f>AK44-IF(BA44=1,AN44*AP44+AN44*vivienda_cierrePct,0)</f>
        <v/>
      </c>
      <c r="BE44" s="7">
        <f>IF(BA44=1,AN44,IF(11=0,0,BE43))</f>
        <v/>
      </c>
      <c r="BF44" s="7">
        <f>IF(BA44=1,AR44,IF(11=0,0,BF43))</f>
        <v/>
      </c>
      <c r="BG44" s="7">
        <f>IF(BA44=1,IF(AND(AO44=0,AP44&lt;0.2),1,0),IF(11=0,0,BY43))</f>
        <v/>
      </c>
      <c r="BH44" s="7">
        <f>IF(sel_cfg="casaAdu",1,0)</f>
        <v/>
      </c>
      <c r="BI44" s="7">
        <f>IF(AND(BB44=1,BH44=1,IF(11=0,0,BJ43)=0,A44&gt;=IF(BC44="",9999,BC44)+vivienda_aduRetrasoAnios),1,0)</f>
        <v/>
      </c>
      <c r="BJ44" s="7">
        <f>MAX(IF(11=0,0,BJ43),BI44)</f>
        <v/>
      </c>
      <c r="BK44" s="7">
        <f>IF(BI44=1,PMT((g_mortRate+0.005)/12,180,-loc_precio_aduCosto*C44),IF(11=0,0,BK43))</f>
        <v/>
      </c>
      <c r="BL44" s="7">
        <f>IF(BA44=1,AN44,IF(11=0,0,DT43))+IF(BI44=1,loc_precio_aduCosto*C44,0)</f>
        <v/>
      </c>
      <c r="BM44" s="7">
        <f>IF(BA44=1,AQ44,IF(11=0,0,DU43))</f>
        <v/>
      </c>
      <c r="BN44" s="7">
        <f>IF(BM44&lt;=0,0,FV(g_mortRate/12,12,BF44,-BM44))</f>
        <v/>
      </c>
      <c r="BO44" s="7">
        <f>IF(BM44&lt;=0,0,12*BF44+MIN(0,BN44))</f>
        <v/>
      </c>
      <c r="BP44" s="7">
        <f>MAX(0,BN44)</f>
        <v/>
      </c>
      <c r="BQ44" s="7">
        <f>IF(BI44=1,loc_precio_aduCosto*C44,IF(11=0,0,DV43))</f>
        <v/>
      </c>
      <c r="BR44" s="7">
        <f>IF(BQ44&lt;=0,0,FV((g_mortRate+0.005)/12,12,BK44,-BQ44))</f>
        <v/>
      </c>
      <c r="BS44" s="7">
        <f>IF(BQ44&lt;=0,0,12*BK44+MIN(0,BR44))</f>
        <v/>
      </c>
      <c r="BT44" s="7">
        <f>MAX(0,BR44)</f>
        <v/>
      </c>
      <c r="BU44" s="7">
        <f>IF(BB44=1,AM44*loc_seguroPct*(1+vivienda_inflacionSeguro)^(A44-2026)*IF(BJ44=1,1+loc_precio_aduCosto/AM44,1),0)</f>
        <v/>
      </c>
      <c r="BV44" s="7">
        <f>BL44*loc_impuestoPropPct</f>
        <v/>
      </c>
      <c r="BW44" s="7">
        <f>BL44*vivienda_mantenimientoPct</f>
        <v/>
      </c>
      <c r="BX44" s="7">
        <f>IF(AND(BG44=1,BP44&gt;0.8*BE44),BE44*(1-vivienda_enganchePct)*vivienda_pmiTasa,0)</f>
        <v/>
      </c>
      <c r="BY44" s="7">
        <f>IF(AND(BG44=1,BP44&gt;0.8*BE44),1,0)</f>
        <v/>
      </c>
      <c r="BZ44" s="7">
        <f>IF(BB44=1,AS44*loc_rentaUnidad*12*C44*(1-vivienda_vacancia)*(1-vivienda_gestionPct),0)</f>
        <v/>
      </c>
      <c r="CA44" s="7">
        <f>IF(BB44=1,BO44+BS44+BU44+BV44+BW44+BX44,loc_rentaMensual*12*C44)</f>
        <v/>
      </c>
      <c r="CB44" s="7">
        <f>IF(BB44=1,personal_aporteFamiliaMensual*12,0)</f>
        <v/>
      </c>
      <c r="CC44" s="7">
        <f>MIN(IF(11=0,personal_irsSaldo,CD43),personal_irsPagoMensual*12)</f>
        <v/>
      </c>
      <c r="CD44" s="7">
        <f>IF(11=0,personal_irsSaldo,CD43)-CC44</f>
        <v/>
      </c>
      <c r="CE44" s="7">
        <f>IF(11=0,IF(personal_deudaEsFederal=1,personal_deudaEstudiantil,0),DW43)</f>
        <v/>
      </c>
      <c r="CF44" s="7">
        <f>IF(11=0,personal_tasaDeudaEstudiantil,DX43)</f>
        <v/>
      </c>
      <c r="CG44" s="7">
        <f>IF(11=0,0,DY43)</f>
        <v/>
      </c>
      <c r="CH44" s="7">
        <f>IF(J44&gt;=0.5,1,0)</f>
        <v/>
      </c>
      <c r="CI44" s="7">
        <f>IF(AND(CH44=0,prestamos_pslfActivo=1,K44&gt;=0.5,CE44&gt;0),1,0)</f>
        <v/>
      </c>
      <c r="CJ44" s="7">
        <f>CE44*CF44</f>
        <v/>
      </c>
      <c r="CK44" s="7">
        <f>MAX(prestamos_rapPagoMinimoAnual,IF(Y44&lt;10000,0,MIN(0.1,INT(Y44/10000)/100))*Y44)</f>
        <v/>
      </c>
      <c r="CL44" s="7">
        <f>IF(CE44&lt;=0,0,IF(CH44=1,0,IF(CI44=1,MIN(CE44+CJ44,CK44),PMT(CF44,MAX(1,prestamos_plazoAnios-CG44),-CE44))))</f>
        <v/>
      </c>
      <c r="CM44" s="7">
        <f>IF(CE44&lt;=0,0,IF(CH44=1,CE44+CJ44,IF(CI44=1,MAX(0,CE44-MAX(CL44-CJ44,MIN(600,CL44))),MAX(0,CE44*(1+CF44)-CL44))))</f>
        <v/>
      </c>
      <c r="CN44" s="7">
        <f>IF(11=0,0,CN43)+IF(CI44=1,12*MIN(1,K44),0)</f>
        <v/>
      </c>
      <c r="CO44" s="7">
        <f>IF(AND(CI44=1,CN44&gt;=prestamos_pslfPagos,CM44&gt;0),CM44,0)</f>
        <v/>
      </c>
      <c r="CP44" s="7">
        <f>CM44-CO44</f>
        <v/>
      </c>
      <c r="CQ44" s="7">
        <f>IF(AND(CE44&gt;0,CH44=0,CI44=0),CG44+1,CG44)</f>
        <v/>
      </c>
      <c r="CR44" s="7">
        <f>IF(11=0,IF(personal_deudaEsFederal=1,0,personal_deudaEstudiantil),EA43)</f>
        <v/>
      </c>
      <c r="CS44" s="7">
        <f>IF(11=0,IF(personal_deudaEsFederal=1,prestamos_tasaPrivada,personal_tasaDeudaEstudiantil),EB43)</f>
        <v/>
      </c>
      <c r="CT44" s="7">
        <f>IF(11=0,0,EC43)</f>
        <v/>
      </c>
      <c r="CU44" s="7">
        <f>IF(OR(CR44&lt;=0,CH44=1),0,PMT(CS44,MAX(1,prestamos_plazoAnios-CT44),-CR44))</f>
        <v/>
      </c>
      <c r="CV44" s="7">
        <f>IF(CR44&lt;=0,0,IF(CH44=1,CR44*(1+CS44),MAX(0,CR44*(1+CS44)-CU44)))</f>
        <v/>
      </c>
      <c r="CW44" s="7">
        <f>IF(AND(CR44&gt;0,CH44=0),CT44+1,CT44)</f>
        <v/>
      </c>
      <c r="CX44" s="7">
        <f>IF(11=0,0,ED43)*(1+general_tasaDeudaConsumo)</f>
        <v/>
      </c>
      <c r="CY44" s="7">
        <f>L44*12*tiempos_travelGastoExtraMes*C44</f>
        <v/>
      </c>
      <c r="CZ44" s="7">
        <f>AJ44+CY44+CA44+CC44+CL44+CU44+I44+N44-BZ44-CB44</f>
        <v/>
      </c>
      <c r="DA44" s="7">
        <f>AH44-CZ44</f>
        <v/>
      </c>
      <c r="DB44" s="7">
        <f>IF(11=0,0,DB43)+DA44</f>
        <v/>
      </c>
      <c r="DC44" s="7">
        <f>AN44*vivienda_enganchePct+AN44*vivienda_cierrePct+general_reservaMeses/12*AJ44</f>
        <v/>
      </c>
      <c r="DD44" s="7">
        <f>IF(BB44=1,g_ret,IF(BD44&gt;0,MIN(1,DC44/BD44),1)*g_cash+(1-IF(BD44&gt;0,MIN(1,DC44/BD44),1))*g_ret)</f>
        <v/>
      </c>
      <c r="DE44" s="7">
        <f>IF(DA44&gt;=0,MIN(CX44,DA44),0)</f>
        <v/>
      </c>
      <c r="DF44" s="7">
        <f>IF(DA44&gt;=0,(1-general_tasaAhorro)*(DA44-DE44),0)</f>
        <v/>
      </c>
      <c r="DG44" s="7">
        <f>IF(DA44&gt;=0,DA44-DE44-DF44,0)</f>
        <v/>
      </c>
      <c r="DH44" s="7">
        <f>MIN(personal_rothAnual,DG44)</f>
        <v/>
      </c>
      <c r="DI44" s="7">
        <f>IF(AND(DA44&gt;=0,BB44=1,BP44+BT44&gt;0),MIN(vivienda_prepagoPct*(DG44-DH44),BP44+BT44),0)</f>
        <v/>
      </c>
      <c r="DJ44" s="7">
        <f>MIN(DI44,BP44)</f>
        <v/>
      </c>
      <c r="DK44" s="7">
        <f>IF(DA44&lt;0,MIN(MAX(0,BD44),-DA44),0)</f>
        <v/>
      </c>
      <c r="DL44" s="7">
        <f>IF(DA44&lt;0,-DA44-DK44,0)</f>
        <v/>
      </c>
      <c r="DM44" s="7">
        <f>IF(11=0,0,DZ43)</f>
        <v/>
      </c>
      <c r="DN44" s="7">
        <f>IF(AND(DL44&gt;0,J44&gt;0),MIN(DL44,MIN(prestamos_topeAnualPosgrado*MIN(1,J44),MAX(0,prestamos_topeTotalPosgrado-DM44))),0)</f>
        <v/>
      </c>
      <c r="DO44" s="7">
        <f>IF(AND(DL44&gt;0,J44&gt;0),DL44-DN44,0)</f>
        <v/>
      </c>
      <c r="DP44" s="7">
        <f>IF(AND(DL44&gt;0,J44&lt;=0),DL44,0)</f>
        <v/>
      </c>
      <c r="DQ44" s="7">
        <f>IF(DA44&gt;=0,DG44-DH44-DI44,-DK44)</f>
        <v/>
      </c>
      <c r="DR44" s="7">
        <f>BD44*(1+DD44)+DQ44*(1+DD44/2)</f>
        <v/>
      </c>
      <c r="DS44" s="7">
        <f>IF(11=0,personal_retiroInicial,DS43)*(1+g_ret)+(O44+P44+DH44)*(1+g_ret/2)</f>
        <v/>
      </c>
      <c r="DT44" s="7">
        <f>IF(BB44=1,BL44*(1+g_appr),0)</f>
        <v/>
      </c>
      <c r="DU44" s="7">
        <f>BP44-DJ44</f>
        <v/>
      </c>
      <c r="DV44" s="7">
        <f>BT44-(DI44-DJ44)</f>
        <v/>
      </c>
      <c r="DW44" s="7">
        <f>CP44+DN44</f>
        <v/>
      </c>
      <c r="DX44" s="7">
        <f>IF(DN44&gt;0,(CP44*CF44+DN44*prestamos_tasaFederalPosgrado)/(CP44+DN44),CF44)</f>
        <v/>
      </c>
      <c r="DY44" s="7">
        <f>IF(DN44&gt;0,0,CQ44)</f>
        <v/>
      </c>
      <c r="DZ44" s="7">
        <f>DM44+DN44</f>
        <v/>
      </c>
      <c r="EA44" s="7">
        <f>CV44+DO44</f>
        <v/>
      </c>
      <c r="EB44" s="7">
        <f>IF(DO44&gt;0,(CV44*CS44+DO44*prestamos_tasaPrivada)/(CV44+DO44),CS44)</f>
        <v/>
      </c>
      <c r="EC44" s="7">
        <f>IF(DO44&gt;0,0,CW44)</f>
        <v/>
      </c>
      <c r="ED44" s="7">
        <f>CX44-DE44+DP44</f>
        <v/>
      </c>
      <c r="EE44" s="7">
        <f>IF(IF(11=0,"",EE43)&lt;&gt;"",EE43,IF(AND(BB44=1,DU44&lt;=0.5,DV44&lt;=0.5,OR(BH44=0,BJ44=1)),A44,""))</f>
        <v/>
      </c>
      <c r="EF44" s="7">
        <f>DU44+DV44+DW44+EA44+ED44+CD44</f>
        <v/>
      </c>
      <c r="EG44" s="7">
        <f>DR44+DS44+DT44-EF44</f>
        <v/>
      </c>
      <c r="EH44" s="7">
        <f>EG44/(1+g_inf)^(A44+1-2026)</f>
        <v/>
      </c>
    </row>
    <row r="45">
      <c r="A45" t="n">
        <v>2039</v>
      </c>
      <c r="B45" t="n">
        <v>12</v>
      </c>
      <c r="C45" s="7">
        <f>(1+g_inf)^(A45-2026)</f>
        <v/>
      </c>
      <c r="D45" s="7">
        <f>SUMPRODUCT($AF$5:$AF$29,$E$5:$E$29*(1+$F$5:$F$29)^(A45-2026)*$G$5:$G$29*$H$5:$H$29*(1-$N$5:$N$29*$O$5:$O$29))*g_salMult+SUMPRODUCT(($B$5:$B$29&gt;=A45)*($B$5:$B$29&lt;A45+1)*$I$5:$I$29)*g_salMult</f>
        <v/>
      </c>
      <c r="E45" s="7">
        <f>SUMPRODUCT($AF$5:$AF$29,$E$5:$E$29*(1+$F$5:$F$29)^(A45-2026)*$G$5:$G$29*$H$5:$H$29*$M$5:$M$29)*g_salMult</f>
        <v/>
      </c>
      <c r="F45" s="7">
        <f>SUMPRODUCT($AF$5:$AF$29,$E$5:$E$29*(1+$F$5:$F$29)^(A45-2026)*$G$5:$G$29*$H$5:$H$29*$N$5:$N$29*$O$5:$O$29)*g_salMult</f>
        <v/>
      </c>
      <c r="G45" s="7">
        <f>SUMPRODUCT($AF$5:$AF$29,$P$5:$P$29*(1+$F$5:$F$29)^(A45-2026))</f>
        <v/>
      </c>
      <c r="H45" s="7">
        <f>SUMPRODUCT($AF$5:$AF$29,$Q$5:$Q$29*(1+$F$5:$F$29)^(A45-2026))+IF(personal_llcActivo=1,personal_llcNeto*(1+personal_llcCrecimiento)^12,0)</f>
        <v/>
      </c>
      <c r="I45" s="7">
        <f>SUMPRODUCT($AF$5:$AF$29,$J$5:$J$29/($C$5:$C$29-$B$5:$B$29+($C$5:$C$29=$B$5:$B$29)))*C45</f>
        <v/>
      </c>
      <c r="J45" s="7">
        <f>SUMPRODUCT($AF$5:$AF$29,$K$5:$K$29)</f>
        <v/>
      </c>
      <c r="K45" s="7">
        <f>SUMPRODUCT($AF$5:$AF$29,$L$5:$L$29)</f>
        <v/>
      </c>
      <c r="L45" s="7">
        <f>SUMPRODUCT($AF$5:$AF$29,$N$5:$N$29)</f>
        <v/>
      </c>
      <c r="M45" s="7">
        <f>IF(SUMPRODUCT($AF$5:$AF$29,$R$5:$R$29)&gt;0,1,0)</f>
        <v/>
      </c>
      <c r="N45" s="7">
        <f>SUMPRODUCT(($AO$5:$AO$24&gt;=A45)*($AO$5:$AO$24&lt;A45+1)*$AP$5:$AP$24)*C45+IF(12=0,IF(sel_loc&lt;&gt;"miami",personal_costoMudanzaInicial,0),0)</f>
        <v/>
      </c>
      <c r="O45" s="7">
        <f>MIN(personal_aporte403bPct*D45,retiro_limite403b*C45)</f>
        <v/>
      </c>
      <c r="P45" s="7">
        <f>MIN(personal_aporte403bPct,personal_match403bPct)*E45</f>
        <v/>
      </c>
      <c r="Q45" s="7">
        <f>IF(G45&gt;0,MAX(0,G45-impuestos_scorpCostoAnual*C45),0)</f>
        <v/>
      </c>
      <c r="R45" s="7">
        <f>Q45*impuestos_scorpSalarioPct/(1+impuestos_ssTasa+impuestos_medicareTasa)</f>
        <v/>
      </c>
      <c r="S45" s="7">
        <f>impuestos_ssTasa*MIN(R45,MAX(0,impuestos_ssTope*C45-D45))+impuestos_medicareTasa*R45</f>
        <v/>
      </c>
      <c r="T45" s="7">
        <f>Q45-R45-S45</f>
        <v/>
      </c>
      <c r="U45" s="7">
        <f>D45+R45</f>
        <v/>
      </c>
      <c r="V45" s="7">
        <f>H45*0.9235</f>
        <v/>
      </c>
      <c r="W45" s="7">
        <f>IF(H45&gt;0,2*impuestos_ssTasa*MIN(V45,MAX(0,impuestos_ssTope*C45-U45))+2*impuestos_medicareTasa*V45,0)</f>
        <v/>
      </c>
      <c r="X45" s="7">
        <f>impuestos_ssTasa*MIN(U45,impuestos_ssTope*C45)+impuestos_medicareTasa*U45+impuestos_medicareAdicional*MAX(0,U45+H45*0.9235-impuestos_medicareUmbral)</f>
        <v/>
      </c>
      <c r="Y45" s="7">
        <f>MAX(0,D45-O45+R45+T45+H45-W45/2)</f>
        <v/>
      </c>
      <c r="Z45" s="7">
        <f>MAX(0,Y45-impuestos_deduccionEstandar*C45)</f>
        <v/>
      </c>
      <c r="AA45" s="7">
        <f>MIN(0.2*MAX(0,T45+H45-W45/2)*MAX(0,MIN(1,1-(Z45-impuestos_qbiUmbral*C45)/(impuestos_qbiRango*C45))),0.2*Z45)</f>
        <v/>
      </c>
      <c r="AB45" s="7">
        <f>MAX(0,Z45-AA45)</f>
        <v/>
      </c>
      <c r="AC45" s="7">
        <f>SUMPRODUCT((AB45&gt;tb_federalBrackets_lo*C45)*(AB45-tb_federalBrackets_lo*C45)*tb_federalBrackets_dr)</f>
        <v/>
      </c>
      <c r="AD45" s="7">
        <f>MAX(0,Y45-impuestos_nyDeduccion*C45)</f>
        <v/>
      </c>
      <c r="AE45" s="7">
        <f>CHOOSE(loc_taxcode,0,impuestos_ohTasa*MAX(0,Y45-impuestos_ohExento*C45)+impuestos_ohMunicipal*U45,SUMPRODUCT((AD45&gt;tb_nyBrackets_lo*C45)*(AD45-tb_nyBrackets_lo*C45)*tb_nyBrackets_dr)+loc_nyc*SUMPRODUCT((AD45&gt;tb_nycBrackets_lo*C45)*(AD45-tb_nycBrackets_lo*C45)*tb_nycBrackets_dr))</f>
        <v/>
      </c>
      <c r="AF45" s="7">
        <f>AC45+AE45+X45+W45</f>
        <v/>
      </c>
      <c r="AG45" s="7">
        <f>D45+F45+R45+T45+H45</f>
        <v/>
      </c>
      <c r="AH45" s="7">
        <f>AG45-AF45-O45</f>
        <v/>
      </c>
      <c r="AI45" s="7">
        <f>D45+F45+G45+H45</f>
        <v/>
      </c>
      <c r="AJ45" s="7">
        <f>loc_gastosVida*C45*g_gastos</f>
        <v/>
      </c>
      <c r="AK45" s="7">
        <f>IF(12=0,personal_liquidoInicial,DR44)</f>
        <v/>
      </c>
      <c r="AL45" s="7">
        <f>IF(12=0,0,BB44)</f>
        <v/>
      </c>
      <c r="AM45" s="7">
        <f>CHOOSE(sel_cfgIdx,loc_precio_duplex,loc_precio_inlaw,loc_precio_dosCasas,loc_precio_casaAdu,loc_precio_multi)</f>
        <v/>
      </c>
      <c r="AN45" s="7">
        <f>AM45*(1+g_appr)^(A45-2026)</f>
        <v/>
      </c>
      <c r="AO45" s="7">
        <f>IF(AND(M45=1,vivienda_prestamoMedico=1),1,0)</f>
        <v/>
      </c>
      <c r="AP45" s="7">
        <f>IF(AO45=1,0.05,vivienda_enganchePct)</f>
        <v/>
      </c>
      <c r="AQ45" s="7">
        <f>AN45*(1-AP45)</f>
        <v/>
      </c>
      <c r="AR45" s="7">
        <f>PMT(g_mortRate/12,vivienda_plazoHipoteca*12,-AQ45)</f>
        <v/>
      </c>
      <c r="AS45" s="7">
        <f>INDEX(cfg_units,sel_cfgIdx)</f>
        <v/>
      </c>
      <c r="AT45" s="7">
        <f>AS45*loc_rentaUnidad*(1+g_inf)^(A45-2026)*(1-vivienda_vacancia)</f>
        <v/>
      </c>
      <c r="AU45" s="7">
        <f>AR45+AN45*loc_impuestoPropPct/12+AM45*loc_seguroPct*(1+vivienda_inflacionSeguro)^(A45-2026)/12+IF(AND(AO45=0,AP45&lt;0.2),AQ45*vivienda_pmiTasa/12,0)</f>
        <v/>
      </c>
      <c r="AV45" s="7">
        <f>AN45*AP45+AN45*vivienda_cierrePct+general_reservaMeses/12*AJ45</f>
        <v/>
      </c>
      <c r="AW45" s="7">
        <f>(IF(12=0,MIN(personal_irsSaldo,personal_irsPagoMensual*12),MIN(CD44,personal_irsPagoMensual*12))+IF(CE45&gt;0,PMT(CF45,MAX(1,prestamos_plazoAnios-CG45),-CE45),0)+IF(CR45&gt;0,PMT(CS45,MAX(1,prestamos_plazoAnios-CT45),-CR45),0))/12</f>
        <v/>
      </c>
      <c r="AX45" s="7">
        <f>IF(OR(sel_cfg="duplex",sel_cfg="multi",sel_cfg="dosCasas"),0.75*personal_aporteFamiliaMensual,0)</f>
        <v/>
      </c>
      <c r="AY45" s="7">
        <f>AU45-0.75*AT45-AX45+AW45</f>
        <v/>
      </c>
      <c r="AZ45" s="7">
        <f>(D45+G45+H45+0.5*F45)/12</f>
        <v/>
      </c>
      <c r="BA45" s="7">
        <f>IF(AND(AL45=0,A45&gt;=vivienda_anioMinCompra,J45&lt;0.5,AI45&gt;0,AK45&gt;=AV45,AY45&lt;=vivienda_dtiMax*AZ45),1,0)</f>
        <v/>
      </c>
      <c r="BB45" s="7">
        <f>MAX(AL45,BA45)</f>
        <v/>
      </c>
      <c r="BC45" s="7">
        <f>IF(BA45=1,A45,IF(12=0,"",BC44))</f>
        <v/>
      </c>
      <c r="BD45" s="7">
        <f>AK45-IF(BA45=1,AN45*AP45+AN45*vivienda_cierrePct,0)</f>
        <v/>
      </c>
      <c r="BE45" s="7">
        <f>IF(BA45=1,AN45,IF(12=0,0,BE44))</f>
        <v/>
      </c>
      <c r="BF45" s="7">
        <f>IF(BA45=1,AR45,IF(12=0,0,BF44))</f>
        <v/>
      </c>
      <c r="BG45" s="7">
        <f>IF(BA45=1,IF(AND(AO45=0,AP45&lt;0.2),1,0),IF(12=0,0,BY44))</f>
        <v/>
      </c>
      <c r="BH45" s="7">
        <f>IF(sel_cfg="casaAdu",1,0)</f>
        <v/>
      </c>
      <c r="BI45" s="7">
        <f>IF(AND(BB45=1,BH45=1,IF(12=0,0,BJ44)=0,A45&gt;=IF(BC45="",9999,BC45)+vivienda_aduRetrasoAnios),1,0)</f>
        <v/>
      </c>
      <c r="BJ45" s="7">
        <f>MAX(IF(12=0,0,BJ44),BI45)</f>
        <v/>
      </c>
      <c r="BK45" s="7">
        <f>IF(BI45=1,PMT((g_mortRate+0.005)/12,180,-loc_precio_aduCosto*C45),IF(12=0,0,BK44))</f>
        <v/>
      </c>
      <c r="BL45" s="7">
        <f>IF(BA45=1,AN45,IF(12=0,0,DT44))+IF(BI45=1,loc_precio_aduCosto*C45,0)</f>
        <v/>
      </c>
      <c r="BM45" s="7">
        <f>IF(BA45=1,AQ45,IF(12=0,0,DU44))</f>
        <v/>
      </c>
      <c r="BN45" s="7">
        <f>IF(BM45&lt;=0,0,FV(g_mortRate/12,12,BF45,-BM45))</f>
        <v/>
      </c>
      <c r="BO45" s="7">
        <f>IF(BM45&lt;=0,0,12*BF45+MIN(0,BN45))</f>
        <v/>
      </c>
      <c r="BP45" s="7">
        <f>MAX(0,BN45)</f>
        <v/>
      </c>
      <c r="BQ45" s="7">
        <f>IF(BI45=1,loc_precio_aduCosto*C45,IF(12=0,0,DV44))</f>
        <v/>
      </c>
      <c r="BR45" s="7">
        <f>IF(BQ45&lt;=0,0,FV((g_mortRate+0.005)/12,12,BK45,-BQ45))</f>
        <v/>
      </c>
      <c r="BS45" s="7">
        <f>IF(BQ45&lt;=0,0,12*BK45+MIN(0,BR45))</f>
        <v/>
      </c>
      <c r="BT45" s="7">
        <f>MAX(0,BR45)</f>
        <v/>
      </c>
      <c r="BU45" s="7">
        <f>IF(BB45=1,AM45*loc_seguroPct*(1+vivienda_inflacionSeguro)^(A45-2026)*IF(BJ45=1,1+loc_precio_aduCosto/AM45,1),0)</f>
        <v/>
      </c>
      <c r="BV45" s="7">
        <f>BL45*loc_impuestoPropPct</f>
        <v/>
      </c>
      <c r="BW45" s="7">
        <f>BL45*vivienda_mantenimientoPct</f>
        <v/>
      </c>
      <c r="BX45" s="7">
        <f>IF(AND(BG45=1,BP45&gt;0.8*BE45),BE45*(1-vivienda_enganchePct)*vivienda_pmiTasa,0)</f>
        <v/>
      </c>
      <c r="BY45" s="7">
        <f>IF(AND(BG45=1,BP45&gt;0.8*BE45),1,0)</f>
        <v/>
      </c>
      <c r="BZ45" s="7">
        <f>IF(BB45=1,AS45*loc_rentaUnidad*12*C45*(1-vivienda_vacancia)*(1-vivienda_gestionPct),0)</f>
        <v/>
      </c>
      <c r="CA45" s="7">
        <f>IF(BB45=1,BO45+BS45+BU45+BV45+BW45+BX45,loc_rentaMensual*12*C45)</f>
        <v/>
      </c>
      <c r="CB45" s="7">
        <f>IF(BB45=1,personal_aporteFamiliaMensual*12,0)</f>
        <v/>
      </c>
      <c r="CC45" s="7">
        <f>MIN(IF(12=0,personal_irsSaldo,CD44),personal_irsPagoMensual*12)</f>
        <v/>
      </c>
      <c r="CD45" s="7">
        <f>IF(12=0,personal_irsSaldo,CD44)-CC45</f>
        <v/>
      </c>
      <c r="CE45" s="7">
        <f>IF(12=0,IF(personal_deudaEsFederal=1,personal_deudaEstudiantil,0),DW44)</f>
        <v/>
      </c>
      <c r="CF45" s="7">
        <f>IF(12=0,personal_tasaDeudaEstudiantil,DX44)</f>
        <v/>
      </c>
      <c r="CG45" s="7">
        <f>IF(12=0,0,DY44)</f>
        <v/>
      </c>
      <c r="CH45" s="7">
        <f>IF(J45&gt;=0.5,1,0)</f>
        <v/>
      </c>
      <c r="CI45" s="7">
        <f>IF(AND(CH45=0,prestamos_pslfActivo=1,K45&gt;=0.5,CE45&gt;0),1,0)</f>
        <v/>
      </c>
      <c r="CJ45" s="7">
        <f>CE45*CF45</f>
        <v/>
      </c>
      <c r="CK45" s="7">
        <f>MAX(prestamos_rapPagoMinimoAnual,IF(Y45&lt;10000,0,MIN(0.1,INT(Y45/10000)/100))*Y45)</f>
        <v/>
      </c>
      <c r="CL45" s="7">
        <f>IF(CE45&lt;=0,0,IF(CH45=1,0,IF(CI45=1,MIN(CE45+CJ45,CK45),PMT(CF45,MAX(1,prestamos_plazoAnios-CG45),-CE45))))</f>
        <v/>
      </c>
      <c r="CM45" s="7">
        <f>IF(CE45&lt;=0,0,IF(CH45=1,CE45+CJ45,IF(CI45=1,MAX(0,CE45-MAX(CL45-CJ45,MIN(600,CL45))),MAX(0,CE45*(1+CF45)-CL45))))</f>
        <v/>
      </c>
      <c r="CN45" s="7">
        <f>IF(12=0,0,CN44)+IF(CI45=1,12*MIN(1,K45),0)</f>
        <v/>
      </c>
      <c r="CO45" s="7">
        <f>IF(AND(CI45=1,CN45&gt;=prestamos_pslfPagos,CM45&gt;0),CM45,0)</f>
        <v/>
      </c>
      <c r="CP45" s="7">
        <f>CM45-CO45</f>
        <v/>
      </c>
      <c r="CQ45" s="7">
        <f>IF(AND(CE45&gt;0,CH45=0,CI45=0),CG45+1,CG45)</f>
        <v/>
      </c>
      <c r="CR45" s="7">
        <f>IF(12=0,IF(personal_deudaEsFederal=1,0,personal_deudaEstudiantil),EA44)</f>
        <v/>
      </c>
      <c r="CS45" s="7">
        <f>IF(12=0,IF(personal_deudaEsFederal=1,prestamos_tasaPrivada,personal_tasaDeudaEstudiantil),EB44)</f>
        <v/>
      </c>
      <c r="CT45" s="7">
        <f>IF(12=0,0,EC44)</f>
        <v/>
      </c>
      <c r="CU45" s="7">
        <f>IF(OR(CR45&lt;=0,CH45=1),0,PMT(CS45,MAX(1,prestamos_plazoAnios-CT45),-CR45))</f>
        <v/>
      </c>
      <c r="CV45" s="7">
        <f>IF(CR45&lt;=0,0,IF(CH45=1,CR45*(1+CS45),MAX(0,CR45*(1+CS45)-CU45)))</f>
        <v/>
      </c>
      <c r="CW45" s="7">
        <f>IF(AND(CR45&gt;0,CH45=0),CT45+1,CT45)</f>
        <v/>
      </c>
      <c r="CX45" s="7">
        <f>IF(12=0,0,ED44)*(1+general_tasaDeudaConsumo)</f>
        <v/>
      </c>
      <c r="CY45" s="7">
        <f>L45*12*tiempos_travelGastoExtraMes*C45</f>
        <v/>
      </c>
      <c r="CZ45" s="7">
        <f>AJ45+CY45+CA45+CC45+CL45+CU45+I45+N45-BZ45-CB45</f>
        <v/>
      </c>
      <c r="DA45" s="7">
        <f>AH45-CZ45</f>
        <v/>
      </c>
      <c r="DB45" s="7">
        <f>IF(12=0,0,DB44)+DA45</f>
        <v/>
      </c>
      <c r="DC45" s="7">
        <f>AN45*vivienda_enganchePct+AN45*vivienda_cierrePct+general_reservaMeses/12*AJ45</f>
        <v/>
      </c>
      <c r="DD45" s="7">
        <f>IF(BB45=1,g_ret,IF(BD45&gt;0,MIN(1,DC45/BD45),1)*g_cash+(1-IF(BD45&gt;0,MIN(1,DC45/BD45),1))*g_ret)</f>
        <v/>
      </c>
      <c r="DE45" s="7">
        <f>IF(DA45&gt;=0,MIN(CX45,DA45),0)</f>
        <v/>
      </c>
      <c r="DF45" s="7">
        <f>IF(DA45&gt;=0,(1-general_tasaAhorro)*(DA45-DE45),0)</f>
        <v/>
      </c>
      <c r="DG45" s="7">
        <f>IF(DA45&gt;=0,DA45-DE45-DF45,0)</f>
        <v/>
      </c>
      <c r="DH45" s="7">
        <f>MIN(personal_rothAnual,DG45)</f>
        <v/>
      </c>
      <c r="DI45" s="7">
        <f>IF(AND(DA45&gt;=0,BB45=1,BP45+BT45&gt;0),MIN(vivienda_prepagoPct*(DG45-DH45),BP45+BT45),0)</f>
        <v/>
      </c>
      <c r="DJ45" s="7">
        <f>MIN(DI45,BP45)</f>
        <v/>
      </c>
      <c r="DK45" s="7">
        <f>IF(DA45&lt;0,MIN(MAX(0,BD45),-DA45),0)</f>
        <v/>
      </c>
      <c r="DL45" s="7">
        <f>IF(DA45&lt;0,-DA45-DK45,0)</f>
        <v/>
      </c>
      <c r="DM45" s="7">
        <f>IF(12=0,0,DZ44)</f>
        <v/>
      </c>
      <c r="DN45" s="7">
        <f>IF(AND(DL45&gt;0,J45&gt;0),MIN(DL45,MIN(prestamos_topeAnualPosgrado*MIN(1,J45),MAX(0,prestamos_topeTotalPosgrado-DM45))),0)</f>
        <v/>
      </c>
      <c r="DO45" s="7">
        <f>IF(AND(DL45&gt;0,J45&gt;0),DL45-DN45,0)</f>
        <v/>
      </c>
      <c r="DP45" s="7">
        <f>IF(AND(DL45&gt;0,J45&lt;=0),DL45,0)</f>
        <v/>
      </c>
      <c r="DQ45" s="7">
        <f>IF(DA45&gt;=0,DG45-DH45-DI45,-DK45)</f>
        <v/>
      </c>
      <c r="DR45" s="7">
        <f>BD45*(1+DD45)+DQ45*(1+DD45/2)</f>
        <v/>
      </c>
      <c r="DS45" s="7">
        <f>IF(12=0,personal_retiroInicial,DS44)*(1+g_ret)+(O45+P45+DH45)*(1+g_ret/2)</f>
        <v/>
      </c>
      <c r="DT45" s="7">
        <f>IF(BB45=1,BL45*(1+g_appr),0)</f>
        <v/>
      </c>
      <c r="DU45" s="7">
        <f>BP45-DJ45</f>
        <v/>
      </c>
      <c r="DV45" s="7">
        <f>BT45-(DI45-DJ45)</f>
        <v/>
      </c>
      <c r="DW45" s="7">
        <f>CP45+DN45</f>
        <v/>
      </c>
      <c r="DX45" s="7">
        <f>IF(DN45&gt;0,(CP45*CF45+DN45*prestamos_tasaFederalPosgrado)/(CP45+DN45),CF45)</f>
        <v/>
      </c>
      <c r="DY45" s="7">
        <f>IF(DN45&gt;0,0,CQ45)</f>
        <v/>
      </c>
      <c r="DZ45" s="7">
        <f>DM45+DN45</f>
        <v/>
      </c>
      <c r="EA45" s="7">
        <f>CV45+DO45</f>
        <v/>
      </c>
      <c r="EB45" s="7">
        <f>IF(DO45&gt;0,(CV45*CS45+DO45*prestamos_tasaPrivada)/(CV45+DO45),CS45)</f>
        <v/>
      </c>
      <c r="EC45" s="7">
        <f>IF(DO45&gt;0,0,CW45)</f>
        <v/>
      </c>
      <c r="ED45" s="7">
        <f>CX45-DE45+DP45</f>
        <v/>
      </c>
      <c r="EE45" s="7">
        <f>IF(IF(12=0,"",EE44)&lt;&gt;"",EE44,IF(AND(BB45=1,DU45&lt;=0.5,DV45&lt;=0.5,OR(BH45=0,BJ45=1)),A45,""))</f>
        <v/>
      </c>
      <c r="EF45" s="7">
        <f>DU45+DV45+DW45+EA45+ED45+CD45</f>
        <v/>
      </c>
      <c r="EG45" s="7">
        <f>DR45+DS45+DT45-EF45</f>
        <v/>
      </c>
      <c r="EH45" s="7">
        <f>EG45/(1+g_inf)^(A45+1-2026)</f>
        <v/>
      </c>
    </row>
    <row r="46">
      <c r="A46" t="n">
        <v>2040</v>
      </c>
      <c r="B46" t="n">
        <v>13</v>
      </c>
      <c r="C46" s="7">
        <f>(1+g_inf)^(A46-2026)</f>
        <v/>
      </c>
      <c r="D46" s="7">
        <f>SUMPRODUCT($AG$5:$AG$29,$E$5:$E$29*(1+$F$5:$F$29)^(A46-2026)*$G$5:$G$29*$H$5:$H$29*(1-$N$5:$N$29*$O$5:$O$29))*g_salMult+SUMPRODUCT(($B$5:$B$29&gt;=A46)*($B$5:$B$29&lt;A46+1)*$I$5:$I$29)*g_salMult</f>
        <v/>
      </c>
      <c r="E46" s="7">
        <f>SUMPRODUCT($AG$5:$AG$29,$E$5:$E$29*(1+$F$5:$F$29)^(A46-2026)*$G$5:$G$29*$H$5:$H$29*$M$5:$M$29)*g_salMult</f>
        <v/>
      </c>
      <c r="F46" s="7">
        <f>SUMPRODUCT($AG$5:$AG$29,$E$5:$E$29*(1+$F$5:$F$29)^(A46-2026)*$G$5:$G$29*$H$5:$H$29*$N$5:$N$29*$O$5:$O$29)*g_salMult</f>
        <v/>
      </c>
      <c r="G46" s="7">
        <f>SUMPRODUCT($AG$5:$AG$29,$P$5:$P$29*(1+$F$5:$F$29)^(A46-2026))</f>
        <v/>
      </c>
      <c r="H46" s="7">
        <f>SUMPRODUCT($AG$5:$AG$29,$Q$5:$Q$29*(1+$F$5:$F$29)^(A46-2026))+IF(personal_llcActivo=1,personal_llcNeto*(1+personal_llcCrecimiento)^13,0)</f>
        <v/>
      </c>
      <c r="I46" s="7">
        <f>SUMPRODUCT($AG$5:$AG$29,$J$5:$J$29/($C$5:$C$29-$B$5:$B$29+($C$5:$C$29=$B$5:$B$29)))*C46</f>
        <v/>
      </c>
      <c r="J46" s="7">
        <f>SUMPRODUCT($AG$5:$AG$29,$K$5:$K$29)</f>
        <v/>
      </c>
      <c r="K46" s="7">
        <f>SUMPRODUCT($AG$5:$AG$29,$L$5:$L$29)</f>
        <v/>
      </c>
      <c r="L46" s="7">
        <f>SUMPRODUCT($AG$5:$AG$29,$N$5:$N$29)</f>
        <v/>
      </c>
      <c r="M46" s="7">
        <f>IF(SUMPRODUCT($AG$5:$AG$29,$R$5:$R$29)&gt;0,1,0)</f>
        <v/>
      </c>
      <c r="N46" s="7">
        <f>SUMPRODUCT(($AO$5:$AO$24&gt;=A46)*($AO$5:$AO$24&lt;A46+1)*$AP$5:$AP$24)*C46+IF(13=0,IF(sel_loc&lt;&gt;"miami",personal_costoMudanzaInicial,0),0)</f>
        <v/>
      </c>
      <c r="O46" s="7">
        <f>MIN(personal_aporte403bPct*D46,retiro_limite403b*C46)</f>
        <v/>
      </c>
      <c r="P46" s="7">
        <f>MIN(personal_aporte403bPct,personal_match403bPct)*E46</f>
        <v/>
      </c>
      <c r="Q46" s="7">
        <f>IF(G46&gt;0,MAX(0,G46-impuestos_scorpCostoAnual*C46),0)</f>
        <v/>
      </c>
      <c r="R46" s="7">
        <f>Q46*impuestos_scorpSalarioPct/(1+impuestos_ssTasa+impuestos_medicareTasa)</f>
        <v/>
      </c>
      <c r="S46" s="7">
        <f>impuestos_ssTasa*MIN(R46,MAX(0,impuestos_ssTope*C46-D46))+impuestos_medicareTasa*R46</f>
        <v/>
      </c>
      <c r="T46" s="7">
        <f>Q46-R46-S46</f>
        <v/>
      </c>
      <c r="U46" s="7">
        <f>D46+R46</f>
        <v/>
      </c>
      <c r="V46" s="7">
        <f>H46*0.9235</f>
        <v/>
      </c>
      <c r="W46" s="7">
        <f>IF(H46&gt;0,2*impuestos_ssTasa*MIN(V46,MAX(0,impuestos_ssTope*C46-U46))+2*impuestos_medicareTasa*V46,0)</f>
        <v/>
      </c>
      <c r="X46" s="7">
        <f>impuestos_ssTasa*MIN(U46,impuestos_ssTope*C46)+impuestos_medicareTasa*U46+impuestos_medicareAdicional*MAX(0,U46+H46*0.9235-impuestos_medicareUmbral)</f>
        <v/>
      </c>
      <c r="Y46" s="7">
        <f>MAX(0,D46-O46+R46+T46+H46-W46/2)</f>
        <v/>
      </c>
      <c r="Z46" s="7">
        <f>MAX(0,Y46-impuestos_deduccionEstandar*C46)</f>
        <v/>
      </c>
      <c r="AA46" s="7">
        <f>MIN(0.2*MAX(0,T46+H46-W46/2)*MAX(0,MIN(1,1-(Z46-impuestos_qbiUmbral*C46)/(impuestos_qbiRango*C46))),0.2*Z46)</f>
        <v/>
      </c>
      <c r="AB46" s="7">
        <f>MAX(0,Z46-AA46)</f>
        <v/>
      </c>
      <c r="AC46" s="7">
        <f>SUMPRODUCT((AB46&gt;tb_federalBrackets_lo*C46)*(AB46-tb_federalBrackets_lo*C46)*tb_federalBrackets_dr)</f>
        <v/>
      </c>
      <c r="AD46" s="7">
        <f>MAX(0,Y46-impuestos_nyDeduccion*C46)</f>
        <v/>
      </c>
      <c r="AE46" s="7">
        <f>CHOOSE(loc_taxcode,0,impuestos_ohTasa*MAX(0,Y46-impuestos_ohExento*C46)+impuestos_ohMunicipal*U46,SUMPRODUCT((AD46&gt;tb_nyBrackets_lo*C46)*(AD46-tb_nyBrackets_lo*C46)*tb_nyBrackets_dr)+loc_nyc*SUMPRODUCT((AD46&gt;tb_nycBrackets_lo*C46)*(AD46-tb_nycBrackets_lo*C46)*tb_nycBrackets_dr))</f>
        <v/>
      </c>
      <c r="AF46" s="7">
        <f>AC46+AE46+X46+W46</f>
        <v/>
      </c>
      <c r="AG46" s="7">
        <f>D46+F46+R46+T46+H46</f>
        <v/>
      </c>
      <c r="AH46" s="7">
        <f>AG46-AF46-O46</f>
        <v/>
      </c>
      <c r="AI46" s="7">
        <f>D46+F46+G46+H46</f>
        <v/>
      </c>
      <c r="AJ46" s="7">
        <f>loc_gastosVida*C46*g_gastos</f>
        <v/>
      </c>
      <c r="AK46" s="7">
        <f>IF(13=0,personal_liquidoInicial,DR45)</f>
        <v/>
      </c>
      <c r="AL46" s="7">
        <f>IF(13=0,0,BB45)</f>
        <v/>
      </c>
      <c r="AM46" s="7">
        <f>CHOOSE(sel_cfgIdx,loc_precio_duplex,loc_precio_inlaw,loc_precio_dosCasas,loc_precio_casaAdu,loc_precio_multi)</f>
        <v/>
      </c>
      <c r="AN46" s="7">
        <f>AM46*(1+g_appr)^(A46-2026)</f>
        <v/>
      </c>
      <c r="AO46" s="7">
        <f>IF(AND(M46=1,vivienda_prestamoMedico=1),1,0)</f>
        <v/>
      </c>
      <c r="AP46" s="7">
        <f>IF(AO46=1,0.05,vivienda_enganchePct)</f>
        <v/>
      </c>
      <c r="AQ46" s="7">
        <f>AN46*(1-AP46)</f>
        <v/>
      </c>
      <c r="AR46" s="7">
        <f>PMT(g_mortRate/12,vivienda_plazoHipoteca*12,-AQ46)</f>
        <v/>
      </c>
      <c r="AS46" s="7">
        <f>INDEX(cfg_units,sel_cfgIdx)</f>
        <v/>
      </c>
      <c r="AT46" s="7">
        <f>AS46*loc_rentaUnidad*(1+g_inf)^(A46-2026)*(1-vivienda_vacancia)</f>
        <v/>
      </c>
      <c r="AU46" s="7">
        <f>AR46+AN46*loc_impuestoPropPct/12+AM46*loc_seguroPct*(1+vivienda_inflacionSeguro)^(A46-2026)/12+IF(AND(AO46=0,AP46&lt;0.2),AQ46*vivienda_pmiTasa/12,0)</f>
        <v/>
      </c>
      <c r="AV46" s="7">
        <f>AN46*AP46+AN46*vivienda_cierrePct+general_reservaMeses/12*AJ46</f>
        <v/>
      </c>
      <c r="AW46" s="7">
        <f>(IF(13=0,MIN(personal_irsSaldo,personal_irsPagoMensual*12),MIN(CD45,personal_irsPagoMensual*12))+IF(CE46&gt;0,PMT(CF46,MAX(1,prestamos_plazoAnios-CG46),-CE46),0)+IF(CR46&gt;0,PMT(CS46,MAX(1,prestamos_plazoAnios-CT46),-CR46),0))/12</f>
        <v/>
      </c>
      <c r="AX46" s="7">
        <f>IF(OR(sel_cfg="duplex",sel_cfg="multi",sel_cfg="dosCasas"),0.75*personal_aporteFamiliaMensual,0)</f>
        <v/>
      </c>
      <c r="AY46" s="7">
        <f>AU46-0.75*AT46-AX46+AW46</f>
        <v/>
      </c>
      <c r="AZ46" s="7">
        <f>(D46+G46+H46+0.5*F46)/12</f>
        <v/>
      </c>
      <c r="BA46" s="7">
        <f>IF(AND(AL46=0,A46&gt;=vivienda_anioMinCompra,J46&lt;0.5,AI46&gt;0,AK46&gt;=AV46,AY46&lt;=vivienda_dtiMax*AZ46),1,0)</f>
        <v/>
      </c>
      <c r="BB46" s="7">
        <f>MAX(AL46,BA46)</f>
        <v/>
      </c>
      <c r="BC46" s="7">
        <f>IF(BA46=1,A46,IF(13=0,"",BC45))</f>
        <v/>
      </c>
      <c r="BD46" s="7">
        <f>AK46-IF(BA46=1,AN46*AP46+AN46*vivienda_cierrePct,0)</f>
        <v/>
      </c>
      <c r="BE46" s="7">
        <f>IF(BA46=1,AN46,IF(13=0,0,BE45))</f>
        <v/>
      </c>
      <c r="BF46" s="7">
        <f>IF(BA46=1,AR46,IF(13=0,0,BF45))</f>
        <v/>
      </c>
      <c r="BG46" s="7">
        <f>IF(BA46=1,IF(AND(AO46=0,AP46&lt;0.2),1,0),IF(13=0,0,BY45))</f>
        <v/>
      </c>
      <c r="BH46" s="7">
        <f>IF(sel_cfg="casaAdu",1,0)</f>
        <v/>
      </c>
      <c r="BI46" s="7">
        <f>IF(AND(BB46=1,BH46=1,IF(13=0,0,BJ45)=0,A46&gt;=IF(BC46="",9999,BC46)+vivienda_aduRetrasoAnios),1,0)</f>
        <v/>
      </c>
      <c r="BJ46" s="7">
        <f>MAX(IF(13=0,0,BJ45),BI46)</f>
        <v/>
      </c>
      <c r="BK46" s="7">
        <f>IF(BI46=1,PMT((g_mortRate+0.005)/12,180,-loc_precio_aduCosto*C46),IF(13=0,0,BK45))</f>
        <v/>
      </c>
      <c r="BL46" s="7">
        <f>IF(BA46=1,AN46,IF(13=0,0,DT45))+IF(BI46=1,loc_precio_aduCosto*C46,0)</f>
        <v/>
      </c>
      <c r="BM46" s="7">
        <f>IF(BA46=1,AQ46,IF(13=0,0,DU45))</f>
        <v/>
      </c>
      <c r="BN46" s="7">
        <f>IF(BM46&lt;=0,0,FV(g_mortRate/12,12,BF46,-BM46))</f>
        <v/>
      </c>
      <c r="BO46" s="7">
        <f>IF(BM46&lt;=0,0,12*BF46+MIN(0,BN46))</f>
        <v/>
      </c>
      <c r="BP46" s="7">
        <f>MAX(0,BN46)</f>
        <v/>
      </c>
      <c r="BQ46" s="7">
        <f>IF(BI46=1,loc_precio_aduCosto*C46,IF(13=0,0,DV45))</f>
        <v/>
      </c>
      <c r="BR46" s="7">
        <f>IF(BQ46&lt;=0,0,FV((g_mortRate+0.005)/12,12,BK46,-BQ46))</f>
        <v/>
      </c>
      <c r="BS46" s="7">
        <f>IF(BQ46&lt;=0,0,12*BK46+MIN(0,BR46))</f>
        <v/>
      </c>
      <c r="BT46" s="7">
        <f>MAX(0,BR46)</f>
        <v/>
      </c>
      <c r="BU46" s="7">
        <f>IF(BB46=1,AM46*loc_seguroPct*(1+vivienda_inflacionSeguro)^(A46-2026)*IF(BJ46=1,1+loc_precio_aduCosto/AM46,1),0)</f>
        <v/>
      </c>
      <c r="BV46" s="7">
        <f>BL46*loc_impuestoPropPct</f>
        <v/>
      </c>
      <c r="BW46" s="7">
        <f>BL46*vivienda_mantenimientoPct</f>
        <v/>
      </c>
      <c r="BX46" s="7">
        <f>IF(AND(BG46=1,BP46&gt;0.8*BE46),BE46*(1-vivienda_enganchePct)*vivienda_pmiTasa,0)</f>
        <v/>
      </c>
      <c r="BY46" s="7">
        <f>IF(AND(BG46=1,BP46&gt;0.8*BE46),1,0)</f>
        <v/>
      </c>
      <c r="BZ46" s="7">
        <f>IF(BB46=1,AS46*loc_rentaUnidad*12*C46*(1-vivienda_vacancia)*(1-vivienda_gestionPct),0)</f>
        <v/>
      </c>
      <c r="CA46" s="7">
        <f>IF(BB46=1,BO46+BS46+BU46+BV46+BW46+BX46,loc_rentaMensual*12*C46)</f>
        <v/>
      </c>
      <c r="CB46" s="7">
        <f>IF(BB46=1,personal_aporteFamiliaMensual*12,0)</f>
        <v/>
      </c>
      <c r="CC46" s="7">
        <f>MIN(IF(13=0,personal_irsSaldo,CD45),personal_irsPagoMensual*12)</f>
        <v/>
      </c>
      <c r="CD46" s="7">
        <f>IF(13=0,personal_irsSaldo,CD45)-CC46</f>
        <v/>
      </c>
      <c r="CE46" s="7">
        <f>IF(13=0,IF(personal_deudaEsFederal=1,personal_deudaEstudiantil,0),DW45)</f>
        <v/>
      </c>
      <c r="CF46" s="7">
        <f>IF(13=0,personal_tasaDeudaEstudiantil,DX45)</f>
        <v/>
      </c>
      <c r="CG46" s="7">
        <f>IF(13=0,0,DY45)</f>
        <v/>
      </c>
      <c r="CH46" s="7">
        <f>IF(J46&gt;=0.5,1,0)</f>
        <v/>
      </c>
      <c r="CI46" s="7">
        <f>IF(AND(CH46=0,prestamos_pslfActivo=1,K46&gt;=0.5,CE46&gt;0),1,0)</f>
        <v/>
      </c>
      <c r="CJ46" s="7">
        <f>CE46*CF46</f>
        <v/>
      </c>
      <c r="CK46" s="7">
        <f>MAX(prestamos_rapPagoMinimoAnual,IF(Y46&lt;10000,0,MIN(0.1,INT(Y46/10000)/100))*Y46)</f>
        <v/>
      </c>
      <c r="CL46" s="7">
        <f>IF(CE46&lt;=0,0,IF(CH46=1,0,IF(CI46=1,MIN(CE46+CJ46,CK46),PMT(CF46,MAX(1,prestamos_plazoAnios-CG46),-CE46))))</f>
        <v/>
      </c>
      <c r="CM46" s="7">
        <f>IF(CE46&lt;=0,0,IF(CH46=1,CE46+CJ46,IF(CI46=1,MAX(0,CE46-MAX(CL46-CJ46,MIN(600,CL46))),MAX(0,CE46*(1+CF46)-CL46))))</f>
        <v/>
      </c>
      <c r="CN46" s="7">
        <f>IF(13=0,0,CN45)+IF(CI46=1,12*MIN(1,K46),0)</f>
        <v/>
      </c>
      <c r="CO46" s="7">
        <f>IF(AND(CI46=1,CN46&gt;=prestamos_pslfPagos,CM46&gt;0),CM46,0)</f>
        <v/>
      </c>
      <c r="CP46" s="7">
        <f>CM46-CO46</f>
        <v/>
      </c>
      <c r="CQ46" s="7">
        <f>IF(AND(CE46&gt;0,CH46=0,CI46=0),CG46+1,CG46)</f>
        <v/>
      </c>
      <c r="CR46" s="7">
        <f>IF(13=0,IF(personal_deudaEsFederal=1,0,personal_deudaEstudiantil),EA45)</f>
        <v/>
      </c>
      <c r="CS46" s="7">
        <f>IF(13=0,IF(personal_deudaEsFederal=1,prestamos_tasaPrivada,personal_tasaDeudaEstudiantil),EB45)</f>
        <v/>
      </c>
      <c r="CT46" s="7">
        <f>IF(13=0,0,EC45)</f>
        <v/>
      </c>
      <c r="CU46" s="7">
        <f>IF(OR(CR46&lt;=0,CH46=1),0,PMT(CS46,MAX(1,prestamos_plazoAnios-CT46),-CR46))</f>
        <v/>
      </c>
      <c r="CV46" s="7">
        <f>IF(CR46&lt;=0,0,IF(CH46=1,CR46*(1+CS46),MAX(0,CR46*(1+CS46)-CU46)))</f>
        <v/>
      </c>
      <c r="CW46" s="7">
        <f>IF(AND(CR46&gt;0,CH46=0),CT46+1,CT46)</f>
        <v/>
      </c>
      <c r="CX46" s="7">
        <f>IF(13=0,0,ED45)*(1+general_tasaDeudaConsumo)</f>
        <v/>
      </c>
      <c r="CY46" s="7">
        <f>L46*12*tiempos_travelGastoExtraMes*C46</f>
        <v/>
      </c>
      <c r="CZ46" s="7">
        <f>AJ46+CY46+CA46+CC46+CL46+CU46+I46+N46-BZ46-CB46</f>
        <v/>
      </c>
      <c r="DA46" s="7">
        <f>AH46-CZ46</f>
        <v/>
      </c>
      <c r="DB46" s="7">
        <f>IF(13=0,0,DB45)+DA46</f>
        <v/>
      </c>
      <c r="DC46" s="7">
        <f>AN46*vivienda_enganchePct+AN46*vivienda_cierrePct+general_reservaMeses/12*AJ46</f>
        <v/>
      </c>
      <c r="DD46" s="7">
        <f>IF(BB46=1,g_ret,IF(BD46&gt;0,MIN(1,DC46/BD46),1)*g_cash+(1-IF(BD46&gt;0,MIN(1,DC46/BD46),1))*g_ret)</f>
        <v/>
      </c>
      <c r="DE46" s="7">
        <f>IF(DA46&gt;=0,MIN(CX46,DA46),0)</f>
        <v/>
      </c>
      <c r="DF46" s="7">
        <f>IF(DA46&gt;=0,(1-general_tasaAhorro)*(DA46-DE46),0)</f>
        <v/>
      </c>
      <c r="DG46" s="7">
        <f>IF(DA46&gt;=0,DA46-DE46-DF46,0)</f>
        <v/>
      </c>
      <c r="DH46" s="7">
        <f>MIN(personal_rothAnual,DG46)</f>
        <v/>
      </c>
      <c r="DI46" s="7">
        <f>IF(AND(DA46&gt;=0,BB46=1,BP46+BT46&gt;0),MIN(vivienda_prepagoPct*(DG46-DH46),BP46+BT46),0)</f>
        <v/>
      </c>
      <c r="DJ46" s="7">
        <f>MIN(DI46,BP46)</f>
        <v/>
      </c>
      <c r="DK46" s="7">
        <f>IF(DA46&lt;0,MIN(MAX(0,BD46),-DA46),0)</f>
        <v/>
      </c>
      <c r="DL46" s="7">
        <f>IF(DA46&lt;0,-DA46-DK46,0)</f>
        <v/>
      </c>
      <c r="DM46" s="7">
        <f>IF(13=0,0,DZ45)</f>
        <v/>
      </c>
      <c r="DN46" s="7">
        <f>IF(AND(DL46&gt;0,J46&gt;0),MIN(DL46,MIN(prestamos_topeAnualPosgrado*MIN(1,J46),MAX(0,prestamos_topeTotalPosgrado-DM46))),0)</f>
        <v/>
      </c>
      <c r="DO46" s="7">
        <f>IF(AND(DL46&gt;0,J46&gt;0),DL46-DN46,0)</f>
        <v/>
      </c>
      <c r="DP46" s="7">
        <f>IF(AND(DL46&gt;0,J46&lt;=0),DL46,0)</f>
        <v/>
      </c>
      <c r="DQ46" s="7">
        <f>IF(DA46&gt;=0,DG46-DH46-DI46,-DK46)</f>
        <v/>
      </c>
      <c r="DR46" s="7">
        <f>BD46*(1+DD46)+DQ46*(1+DD46/2)</f>
        <v/>
      </c>
      <c r="DS46" s="7">
        <f>IF(13=0,personal_retiroInicial,DS45)*(1+g_ret)+(O46+P46+DH46)*(1+g_ret/2)</f>
        <v/>
      </c>
      <c r="DT46" s="7">
        <f>IF(BB46=1,BL46*(1+g_appr),0)</f>
        <v/>
      </c>
      <c r="DU46" s="7">
        <f>BP46-DJ46</f>
        <v/>
      </c>
      <c r="DV46" s="7">
        <f>BT46-(DI46-DJ46)</f>
        <v/>
      </c>
      <c r="DW46" s="7">
        <f>CP46+DN46</f>
        <v/>
      </c>
      <c r="DX46" s="7">
        <f>IF(DN46&gt;0,(CP46*CF46+DN46*prestamos_tasaFederalPosgrado)/(CP46+DN46),CF46)</f>
        <v/>
      </c>
      <c r="DY46" s="7">
        <f>IF(DN46&gt;0,0,CQ46)</f>
        <v/>
      </c>
      <c r="DZ46" s="7">
        <f>DM46+DN46</f>
        <v/>
      </c>
      <c r="EA46" s="7">
        <f>CV46+DO46</f>
        <v/>
      </c>
      <c r="EB46" s="7">
        <f>IF(DO46&gt;0,(CV46*CS46+DO46*prestamos_tasaPrivada)/(CV46+DO46),CS46)</f>
        <v/>
      </c>
      <c r="EC46" s="7">
        <f>IF(DO46&gt;0,0,CW46)</f>
        <v/>
      </c>
      <c r="ED46" s="7">
        <f>CX46-DE46+DP46</f>
        <v/>
      </c>
      <c r="EE46" s="7">
        <f>IF(IF(13=0,"",EE45)&lt;&gt;"",EE45,IF(AND(BB46=1,DU46&lt;=0.5,DV46&lt;=0.5,OR(BH46=0,BJ46=1)),A46,""))</f>
        <v/>
      </c>
      <c r="EF46" s="7">
        <f>DU46+DV46+DW46+EA46+ED46+CD46</f>
        <v/>
      </c>
      <c r="EG46" s="7">
        <f>DR46+DS46+DT46-EF46</f>
        <v/>
      </c>
      <c r="EH46" s="7">
        <f>EG46/(1+g_inf)^(A46+1-2026)</f>
        <v/>
      </c>
    </row>
    <row r="47">
      <c r="A47" t="n">
        <v>2041</v>
      </c>
      <c r="B47" t="n">
        <v>14</v>
      </c>
      <c r="C47" s="7">
        <f>(1+g_inf)^(A47-2026)</f>
        <v/>
      </c>
      <c r="D47" s="7">
        <f>SUMPRODUCT($AH$5:$AH$29,$E$5:$E$29*(1+$F$5:$F$29)^(A47-2026)*$G$5:$G$29*$H$5:$H$29*(1-$N$5:$N$29*$O$5:$O$29))*g_salMult+SUMPRODUCT(($B$5:$B$29&gt;=A47)*($B$5:$B$29&lt;A47+1)*$I$5:$I$29)*g_salMult</f>
        <v/>
      </c>
      <c r="E47" s="7">
        <f>SUMPRODUCT($AH$5:$AH$29,$E$5:$E$29*(1+$F$5:$F$29)^(A47-2026)*$G$5:$G$29*$H$5:$H$29*$M$5:$M$29)*g_salMult</f>
        <v/>
      </c>
      <c r="F47" s="7">
        <f>SUMPRODUCT($AH$5:$AH$29,$E$5:$E$29*(1+$F$5:$F$29)^(A47-2026)*$G$5:$G$29*$H$5:$H$29*$N$5:$N$29*$O$5:$O$29)*g_salMult</f>
        <v/>
      </c>
      <c r="G47" s="7">
        <f>SUMPRODUCT($AH$5:$AH$29,$P$5:$P$29*(1+$F$5:$F$29)^(A47-2026))</f>
        <v/>
      </c>
      <c r="H47" s="7">
        <f>SUMPRODUCT($AH$5:$AH$29,$Q$5:$Q$29*(1+$F$5:$F$29)^(A47-2026))+IF(personal_llcActivo=1,personal_llcNeto*(1+personal_llcCrecimiento)^14,0)</f>
        <v/>
      </c>
      <c r="I47" s="7">
        <f>SUMPRODUCT($AH$5:$AH$29,$J$5:$J$29/($C$5:$C$29-$B$5:$B$29+($C$5:$C$29=$B$5:$B$29)))*C47</f>
        <v/>
      </c>
      <c r="J47" s="7">
        <f>SUMPRODUCT($AH$5:$AH$29,$K$5:$K$29)</f>
        <v/>
      </c>
      <c r="K47" s="7">
        <f>SUMPRODUCT($AH$5:$AH$29,$L$5:$L$29)</f>
        <v/>
      </c>
      <c r="L47" s="7">
        <f>SUMPRODUCT($AH$5:$AH$29,$N$5:$N$29)</f>
        <v/>
      </c>
      <c r="M47" s="7">
        <f>IF(SUMPRODUCT($AH$5:$AH$29,$R$5:$R$29)&gt;0,1,0)</f>
        <v/>
      </c>
      <c r="N47" s="7">
        <f>SUMPRODUCT(($AO$5:$AO$24&gt;=A47)*($AO$5:$AO$24&lt;A47+1)*$AP$5:$AP$24)*C47+IF(14=0,IF(sel_loc&lt;&gt;"miami",personal_costoMudanzaInicial,0),0)</f>
        <v/>
      </c>
      <c r="O47" s="7">
        <f>MIN(personal_aporte403bPct*D47,retiro_limite403b*C47)</f>
        <v/>
      </c>
      <c r="P47" s="7">
        <f>MIN(personal_aporte403bPct,personal_match403bPct)*E47</f>
        <v/>
      </c>
      <c r="Q47" s="7">
        <f>IF(G47&gt;0,MAX(0,G47-impuestos_scorpCostoAnual*C47),0)</f>
        <v/>
      </c>
      <c r="R47" s="7">
        <f>Q47*impuestos_scorpSalarioPct/(1+impuestos_ssTasa+impuestos_medicareTasa)</f>
        <v/>
      </c>
      <c r="S47" s="7">
        <f>impuestos_ssTasa*MIN(R47,MAX(0,impuestos_ssTope*C47-D47))+impuestos_medicareTasa*R47</f>
        <v/>
      </c>
      <c r="T47" s="7">
        <f>Q47-R47-S47</f>
        <v/>
      </c>
      <c r="U47" s="7">
        <f>D47+R47</f>
        <v/>
      </c>
      <c r="V47" s="7">
        <f>H47*0.9235</f>
        <v/>
      </c>
      <c r="W47" s="7">
        <f>IF(H47&gt;0,2*impuestos_ssTasa*MIN(V47,MAX(0,impuestos_ssTope*C47-U47))+2*impuestos_medicareTasa*V47,0)</f>
        <v/>
      </c>
      <c r="X47" s="7">
        <f>impuestos_ssTasa*MIN(U47,impuestos_ssTope*C47)+impuestos_medicareTasa*U47+impuestos_medicareAdicional*MAX(0,U47+H47*0.9235-impuestos_medicareUmbral)</f>
        <v/>
      </c>
      <c r="Y47" s="7">
        <f>MAX(0,D47-O47+R47+T47+H47-W47/2)</f>
        <v/>
      </c>
      <c r="Z47" s="7">
        <f>MAX(0,Y47-impuestos_deduccionEstandar*C47)</f>
        <v/>
      </c>
      <c r="AA47" s="7">
        <f>MIN(0.2*MAX(0,T47+H47-W47/2)*MAX(0,MIN(1,1-(Z47-impuestos_qbiUmbral*C47)/(impuestos_qbiRango*C47))),0.2*Z47)</f>
        <v/>
      </c>
      <c r="AB47" s="7">
        <f>MAX(0,Z47-AA47)</f>
        <v/>
      </c>
      <c r="AC47" s="7">
        <f>SUMPRODUCT((AB47&gt;tb_federalBrackets_lo*C47)*(AB47-tb_federalBrackets_lo*C47)*tb_federalBrackets_dr)</f>
        <v/>
      </c>
      <c r="AD47" s="7">
        <f>MAX(0,Y47-impuestos_nyDeduccion*C47)</f>
        <v/>
      </c>
      <c r="AE47" s="7">
        <f>CHOOSE(loc_taxcode,0,impuestos_ohTasa*MAX(0,Y47-impuestos_ohExento*C47)+impuestos_ohMunicipal*U47,SUMPRODUCT((AD47&gt;tb_nyBrackets_lo*C47)*(AD47-tb_nyBrackets_lo*C47)*tb_nyBrackets_dr)+loc_nyc*SUMPRODUCT((AD47&gt;tb_nycBrackets_lo*C47)*(AD47-tb_nycBrackets_lo*C47)*tb_nycBrackets_dr))</f>
        <v/>
      </c>
      <c r="AF47" s="7">
        <f>AC47+AE47+X47+W47</f>
        <v/>
      </c>
      <c r="AG47" s="7">
        <f>D47+F47+R47+T47+H47</f>
        <v/>
      </c>
      <c r="AH47" s="7">
        <f>AG47-AF47-O47</f>
        <v/>
      </c>
      <c r="AI47" s="7">
        <f>D47+F47+G47+H47</f>
        <v/>
      </c>
      <c r="AJ47" s="7">
        <f>loc_gastosVida*C47*g_gastos</f>
        <v/>
      </c>
      <c r="AK47" s="7">
        <f>IF(14=0,personal_liquidoInicial,DR46)</f>
        <v/>
      </c>
      <c r="AL47" s="7">
        <f>IF(14=0,0,BB46)</f>
        <v/>
      </c>
      <c r="AM47" s="7">
        <f>CHOOSE(sel_cfgIdx,loc_precio_duplex,loc_precio_inlaw,loc_precio_dosCasas,loc_precio_casaAdu,loc_precio_multi)</f>
        <v/>
      </c>
      <c r="AN47" s="7">
        <f>AM47*(1+g_appr)^(A47-2026)</f>
        <v/>
      </c>
      <c r="AO47" s="7">
        <f>IF(AND(M47=1,vivienda_prestamoMedico=1),1,0)</f>
        <v/>
      </c>
      <c r="AP47" s="7">
        <f>IF(AO47=1,0.05,vivienda_enganchePct)</f>
        <v/>
      </c>
      <c r="AQ47" s="7">
        <f>AN47*(1-AP47)</f>
        <v/>
      </c>
      <c r="AR47" s="7">
        <f>PMT(g_mortRate/12,vivienda_plazoHipoteca*12,-AQ47)</f>
        <v/>
      </c>
      <c r="AS47" s="7">
        <f>INDEX(cfg_units,sel_cfgIdx)</f>
        <v/>
      </c>
      <c r="AT47" s="7">
        <f>AS47*loc_rentaUnidad*(1+g_inf)^(A47-2026)*(1-vivienda_vacancia)</f>
        <v/>
      </c>
      <c r="AU47" s="7">
        <f>AR47+AN47*loc_impuestoPropPct/12+AM47*loc_seguroPct*(1+vivienda_inflacionSeguro)^(A47-2026)/12+IF(AND(AO47=0,AP47&lt;0.2),AQ47*vivienda_pmiTasa/12,0)</f>
        <v/>
      </c>
      <c r="AV47" s="7">
        <f>AN47*AP47+AN47*vivienda_cierrePct+general_reservaMeses/12*AJ47</f>
        <v/>
      </c>
      <c r="AW47" s="7">
        <f>(IF(14=0,MIN(personal_irsSaldo,personal_irsPagoMensual*12),MIN(CD46,personal_irsPagoMensual*12))+IF(CE47&gt;0,PMT(CF47,MAX(1,prestamos_plazoAnios-CG47),-CE47),0)+IF(CR47&gt;0,PMT(CS47,MAX(1,prestamos_plazoAnios-CT47),-CR47),0))/12</f>
        <v/>
      </c>
      <c r="AX47" s="7">
        <f>IF(OR(sel_cfg="duplex",sel_cfg="multi",sel_cfg="dosCasas"),0.75*personal_aporteFamiliaMensual,0)</f>
        <v/>
      </c>
      <c r="AY47" s="7">
        <f>AU47-0.75*AT47-AX47+AW47</f>
        <v/>
      </c>
      <c r="AZ47" s="7">
        <f>(D47+G47+H47+0.5*F47)/12</f>
        <v/>
      </c>
      <c r="BA47" s="7">
        <f>IF(AND(AL47=0,A47&gt;=vivienda_anioMinCompra,J47&lt;0.5,AI47&gt;0,AK47&gt;=AV47,AY47&lt;=vivienda_dtiMax*AZ47),1,0)</f>
        <v/>
      </c>
      <c r="BB47" s="7">
        <f>MAX(AL47,BA47)</f>
        <v/>
      </c>
      <c r="BC47" s="7">
        <f>IF(BA47=1,A47,IF(14=0,"",BC46))</f>
        <v/>
      </c>
      <c r="BD47" s="7">
        <f>AK47-IF(BA47=1,AN47*AP47+AN47*vivienda_cierrePct,0)</f>
        <v/>
      </c>
      <c r="BE47" s="7">
        <f>IF(BA47=1,AN47,IF(14=0,0,BE46))</f>
        <v/>
      </c>
      <c r="BF47" s="7">
        <f>IF(BA47=1,AR47,IF(14=0,0,BF46))</f>
        <v/>
      </c>
      <c r="BG47" s="7">
        <f>IF(BA47=1,IF(AND(AO47=0,AP47&lt;0.2),1,0),IF(14=0,0,BY46))</f>
        <v/>
      </c>
      <c r="BH47" s="7">
        <f>IF(sel_cfg="casaAdu",1,0)</f>
        <v/>
      </c>
      <c r="BI47" s="7">
        <f>IF(AND(BB47=1,BH47=1,IF(14=0,0,BJ46)=0,A47&gt;=IF(BC47="",9999,BC47)+vivienda_aduRetrasoAnios),1,0)</f>
        <v/>
      </c>
      <c r="BJ47" s="7">
        <f>MAX(IF(14=0,0,BJ46),BI47)</f>
        <v/>
      </c>
      <c r="BK47" s="7">
        <f>IF(BI47=1,PMT((g_mortRate+0.005)/12,180,-loc_precio_aduCosto*C47),IF(14=0,0,BK46))</f>
        <v/>
      </c>
      <c r="BL47" s="7">
        <f>IF(BA47=1,AN47,IF(14=0,0,DT46))+IF(BI47=1,loc_precio_aduCosto*C47,0)</f>
        <v/>
      </c>
      <c r="BM47" s="7">
        <f>IF(BA47=1,AQ47,IF(14=0,0,DU46))</f>
        <v/>
      </c>
      <c r="BN47" s="7">
        <f>IF(BM47&lt;=0,0,FV(g_mortRate/12,12,BF47,-BM47))</f>
        <v/>
      </c>
      <c r="BO47" s="7">
        <f>IF(BM47&lt;=0,0,12*BF47+MIN(0,BN47))</f>
        <v/>
      </c>
      <c r="BP47" s="7">
        <f>MAX(0,BN47)</f>
        <v/>
      </c>
      <c r="BQ47" s="7">
        <f>IF(BI47=1,loc_precio_aduCosto*C47,IF(14=0,0,DV46))</f>
        <v/>
      </c>
      <c r="BR47" s="7">
        <f>IF(BQ47&lt;=0,0,FV((g_mortRate+0.005)/12,12,BK47,-BQ47))</f>
        <v/>
      </c>
      <c r="BS47" s="7">
        <f>IF(BQ47&lt;=0,0,12*BK47+MIN(0,BR47))</f>
        <v/>
      </c>
      <c r="BT47" s="7">
        <f>MAX(0,BR47)</f>
        <v/>
      </c>
      <c r="BU47" s="7">
        <f>IF(BB47=1,AM47*loc_seguroPct*(1+vivienda_inflacionSeguro)^(A47-2026)*IF(BJ47=1,1+loc_precio_aduCosto/AM47,1),0)</f>
        <v/>
      </c>
      <c r="BV47" s="7">
        <f>BL47*loc_impuestoPropPct</f>
        <v/>
      </c>
      <c r="BW47" s="7">
        <f>BL47*vivienda_mantenimientoPct</f>
        <v/>
      </c>
      <c r="BX47" s="7">
        <f>IF(AND(BG47=1,BP47&gt;0.8*BE47),BE47*(1-vivienda_enganchePct)*vivienda_pmiTasa,0)</f>
        <v/>
      </c>
      <c r="BY47" s="7">
        <f>IF(AND(BG47=1,BP47&gt;0.8*BE47),1,0)</f>
        <v/>
      </c>
      <c r="BZ47" s="7">
        <f>IF(BB47=1,AS47*loc_rentaUnidad*12*C47*(1-vivienda_vacancia)*(1-vivienda_gestionPct),0)</f>
        <v/>
      </c>
      <c r="CA47" s="7">
        <f>IF(BB47=1,BO47+BS47+BU47+BV47+BW47+BX47,loc_rentaMensual*12*C47)</f>
        <v/>
      </c>
      <c r="CB47" s="7">
        <f>IF(BB47=1,personal_aporteFamiliaMensual*12,0)</f>
        <v/>
      </c>
      <c r="CC47" s="7">
        <f>MIN(IF(14=0,personal_irsSaldo,CD46),personal_irsPagoMensual*12)</f>
        <v/>
      </c>
      <c r="CD47" s="7">
        <f>IF(14=0,personal_irsSaldo,CD46)-CC47</f>
        <v/>
      </c>
      <c r="CE47" s="7">
        <f>IF(14=0,IF(personal_deudaEsFederal=1,personal_deudaEstudiantil,0),DW46)</f>
        <v/>
      </c>
      <c r="CF47" s="7">
        <f>IF(14=0,personal_tasaDeudaEstudiantil,DX46)</f>
        <v/>
      </c>
      <c r="CG47" s="7">
        <f>IF(14=0,0,DY46)</f>
        <v/>
      </c>
      <c r="CH47" s="7">
        <f>IF(J47&gt;=0.5,1,0)</f>
        <v/>
      </c>
      <c r="CI47" s="7">
        <f>IF(AND(CH47=0,prestamos_pslfActivo=1,K47&gt;=0.5,CE47&gt;0),1,0)</f>
        <v/>
      </c>
      <c r="CJ47" s="7">
        <f>CE47*CF47</f>
        <v/>
      </c>
      <c r="CK47" s="7">
        <f>MAX(prestamos_rapPagoMinimoAnual,IF(Y47&lt;10000,0,MIN(0.1,INT(Y47/10000)/100))*Y47)</f>
        <v/>
      </c>
      <c r="CL47" s="7">
        <f>IF(CE47&lt;=0,0,IF(CH47=1,0,IF(CI47=1,MIN(CE47+CJ47,CK47),PMT(CF47,MAX(1,prestamos_plazoAnios-CG47),-CE47))))</f>
        <v/>
      </c>
      <c r="CM47" s="7">
        <f>IF(CE47&lt;=0,0,IF(CH47=1,CE47+CJ47,IF(CI47=1,MAX(0,CE47-MAX(CL47-CJ47,MIN(600,CL47))),MAX(0,CE47*(1+CF47)-CL47))))</f>
        <v/>
      </c>
      <c r="CN47" s="7">
        <f>IF(14=0,0,CN46)+IF(CI47=1,12*MIN(1,K47),0)</f>
        <v/>
      </c>
      <c r="CO47" s="7">
        <f>IF(AND(CI47=1,CN47&gt;=prestamos_pslfPagos,CM47&gt;0),CM47,0)</f>
        <v/>
      </c>
      <c r="CP47" s="7">
        <f>CM47-CO47</f>
        <v/>
      </c>
      <c r="CQ47" s="7">
        <f>IF(AND(CE47&gt;0,CH47=0,CI47=0),CG47+1,CG47)</f>
        <v/>
      </c>
      <c r="CR47" s="7">
        <f>IF(14=0,IF(personal_deudaEsFederal=1,0,personal_deudaEstudiantil),EA46)</f>
        <v/>
      </c>
      <c r="CS47" s="7">
        <f>IF(14=0,IF(personal_deudaEsFederal=1,prestamos_tasaPrivada,personal_tasaDeudaEstudiantil),EB46)</f>
        <v/>
      </c>
      <c r="CT47" s="7">
        <f>IF(14=0,0,EC46)</f>
        <v/>
      </c>
      <c r="CU47" s="7">
        <f>IF(OR(CR47&lt;=0,CH47=1),0,PMT(CS47,MAX(1,prestamos_plazoAnios-CT47),-CR47))</f>
        <v/>
      </c>
      <c r="CV47" s="7">
        <f>IF(CR47&lt;=0,0,IF(CH47=1,CR47*(1+CS47),MAX(0,CR47*(1+CS47)-CU47)))</f>
        <v/>
      </c>
      <c r="CW47" s="7">
        <f>IF(AND(CR47&gt;0,CH47=0),CT47+1,CT47)</f>
        <v/>
      </c>
      <c r="CX47" s="7">
        <f>IF(14=0,0,ED46)*(1+general_tasaDeudaConsumo)</f>
        <v/>
      </c>
      <c r="CY47" s="7">
        <f>L47*12*tiempos_travelGastoExtraMes*C47</f>
        <v/>
      </c>
      <c r="CZ47" s="7">
        <f>AJ47+CY47+CA47+CC47+CL47+CU47+I47+N47-BZ47-CB47</f>
        <v/>
      </c>
      <c r="DA47" s="7">
        <f>AH47-CZ47</f>
        <v/>
      </c>
      <c r="DB47" s="7">
        <f>IF(14=0,0,DB46)+DA47</f>
        <v/>
      </c>
      <c r="DC47" s="7">
        <f>AN47*vivienda_enganchePct+AN47*vivienda_cierrePct+general_reservaMeses/12*AJ47</f>
        <v/>
      </c>
      <c r="DD47" s="7">
        <f>IF(BB47=1,g_ret,IF(BD47&gt;0,MIN(1,DC47/BD47),1)*g_cash+(1-IF(BD47&gt;0,MIN(1,DC47/BD47),1))*g_ret)</f>
        <v/>
      </c>
      <c r="DE47" s="7">
        <f>IF(DA47&gt;=0,MIN(CX47,DA47),0)</f>
        <v/>
      </c>
      <c r="DF47" s="7">
        <f>IF(DA47&gt;=0,(1-general_tasaAhorro)*(DA47-DE47),0)</f>
        <v/>
      </c>
      <c r="DG47" s="7">
        <f>IF(DA47&gt;=0,DA47-DE47-DF47,0)</f>
        <v/>
      </c>
      <c r="DH47" s="7">
        <f>MIN(personal_rothAnual,DG47)</f>
        <v/>
      </c>
      <c r="DI47" s="7">
        <f>IF(AND(DA47&gt;=0,BB47=1,BP47+BT47&gt;0),MIN(vivienda_prepagoPct*(DG47-DH47),BP47+BT47),0)</f>
        <v/>
      </c>
      <c r="DJ47" s="7">
        <f>MIN(DI47,BP47)</f>
        <v/>
      </c>
      <c r="DK47" s="7">
        <f>IF(DA47&lt;0,MIN(MAX(0,BD47),-DA47),0)</f>
        <v/>
      </c>
      <c r="DL47" s="7">
        <f>IF(DA47&lt;0,-DA47-DK47,0)</f>
        <v/>
      </c>
      <c r="DM47" s="7">
        <f>IF(14=0,0,DZ46)</f>
        <v/>
      </c>
      <c r="DN47" s="7">
        <f>IF(AND(DL47&gt;0,J47&gt;0),MIN(DL47,MIN(prestamos_topeAnualPosgrado*MIN(1,J47),MAX(0,prestamos_topeTotalPosgrado-DM47))),0)</f>
        <v/>
      </c>
      <c r="DO47" s="7">
        <f>IF(AND(DL47&gt;0,J47&gt;0),DL47-DN47,0)</f>
        <v/>
      </c>
      <c r="DP47" s="7">
        <f>IF(AND(DL47&gt;0,J47&lt;=0),DL47,0)</f>
        <v/>
      </c>
      <c r="DQ47" s="7">
        <f>IF(DA47&gt;=0,DG47-DH47-DI47,-DK47)</f>
        <v/>
      </c>
      <c r="DR47" s="7">
        <f>BD47*(1+DD47)+DQ47*(1+DD47/2)</f>
        <v/>
      </c>
      <c r="DS47" s="7">
        <f>IF(14=0,personal_retiroInicial,DS46)*(1+g_ret)+(O47+P47+DH47)*(1+g_ret/2)</f>
        <v/>
      </c>
      <c r="DT47" s="7">
        <f>IF(BB47=1,BL47*(1+g_appr),0)</f>
        <v/>
      </c>
      <c r="DU47" s="7">
        <f>BP47-DJ47</f>
        <v/>
      </c>
      <c r="DV47" s="7">
        <f>BT47-(DI47-DJ47)</f>
        <v/>
      </c>
      <c r="DW47" s="7">
        <f>CP47+DN47</f>
        <v/>
      </c>
      <c r="DX47" s="7">
        <f>IF(DN47&gt;0,(CP47*CF47+DN47*prestamos_tasaFederalPosgrado)/(CP47+DN47),CF47)</f>
        <v/>
      </c>
      <c r="DY47" s="7">
        <f>IF(DN47&gt;0,0,CQ47)</f>
        <v/>
      </c>
      <c r="DZ47" s="7">
        <f>DM47+DN47</f>
        <v/>
      </c>
      <c r="EA47" s="7">
        <f>CV47+DO47</f>
        <v/>
      </c>
      <c r="EB47" s="7">
        <f>IF(DO47&gt;0,(CV47*CS47+DO47*prestamos_tasaPrivada)/(CV47+DO47),CS47)</f>
        <v/>
      </c>
      <c r="EC47" s="7">
        <f>IF(DO47&gt;0,0,CW47)</f>
        <v/>
      </c>
      <c r="ED47" s="7">
        <f>CX47-DE47+DP47</f>
        <v/>
      </c>
      <c r="EE47" s="7">
        <f>IF(IF(14=0,"",EE46)&lt;&gt;"",EE46,IF(AND(BB47=1,DU47&lt;=0.5,DV47&lt;=0.5,OR(BH47=0,BJ47=1)),A47,""))</f>
        <v/>
      </c>
      <c r="EF47" s="7">
        <f>DU47+DV47+DW47+EA47+ED47+CD47</f>
        <v/>
      </c>
      <c r="EG47" s="7">
        <f>DR47+DS47+DT47-EF47</f>
        <v/>
      </c>
      <c r="EH47" s="7">
        <f>EG47/(1+g_inf)^(A47+1-2026)</f>
        <v/>
      </c>
    </row>
    <row r="48">
      <c r="A48" t="n">
        <v>2042</v>
      </c>
      <c r="B48" t="n">
        <v>15</v>
      </c>
      <c r="C48" s="7">
        <f>(1+g_inf)^(A48-2026)</f>
        <v/>
      </c>
      <c r="D48" s="7">
        <f>SUMPRODUCT($AI$5:$AI$29,$E$5:$E$29*(1+$F$5:$F$29)^(A48-2026)*$G$5:$G$29*$H$5:$H$29*(1-$N$5:$N$29*$O$5:$O$29))*g_salMult+SUMPRODUCT(($B$5:$B$29&gt;=A48)*($B$5:$B$29&lt;A48+1)*$I$5:$I$29)*g_salMult</f>
        <v/>
      </c>
      <c r="E48" s="7">
        <f>SUMPRODUCT($AI$5:$AI$29,$E$5:$E$29*(1+$F$5:$F$29)^(A48-2026)*$G$5:$G$29*$H$5:$H$29*$M$5:$M$29)*g_salMult</f>
        <v/>
      </c>
      <c r="F48" s="7">
        <f>SUMPRODUCT($AI$5:$AI$29,$E$5:$E$29*(1+$F$5:$F$29)^(A48-2026)*$G$5:$G$29*$H$5:$H$29*$N$5:$N$29*$O$5:$O$29)*g_salMult</f>
        <v/>
      </c>
      <c r="G48" s="7">
        <f>SUMPRODUCT($AI$5:$AI$29,$P$5:$P$29*(1+$F$5:$F$29)^(A48-2026))</f>
        <v/>
      </c>
      <c r="H48" s="7">
        <f>SUMPRODUCT($AI$5:$AI$29,$Q$5:$Q$29*(1+$F$5:$F$29)^(A48-2026))+IF(personal_llcActivo=1,personal_llcNeto*(1+personal_llcCrecimiento)^15,0)</f>
        <v/>
      </c>
      <c r="I48" s="7">
        <f>SUMPRODUCT($AI$5:$AI$29,$J$5:$J$29/($C$5:$C$29-$B$5:$B$29+($C$5:$C$29=$B$5:$B$29)))*C48</f>
        <v/>
      </c>
      <c r="J48" s="7">
        <f>SUMPRODUCT($AI$5:$AI$29,$K$5:$K$29)</f>
        <v/>
      </c>
      <c r="K48" s="7">
        <f>SUMPRODUCT($AI$5:$AI$29,$L$5:$L$29)</f>
        <v/>
      </c>
      <c r="L48" s="7">
        <f>SUMPRODUCT($AI$5:$AI$29,$N$5:$N$29)</f>
        <v/>
      </c>
      <c r="M48" s="7">
        <f>IF(SUMPRODUCT($AI$5:$AI$29,$R$5:$R$29)&gt;0,1,0)</f>
        <v/>
      </c>
      <c r="N48" s="7">
        <f>SUMPRODUCT(($AO$5:$AO$24&gt;=A48)*($AO$5:$AO$24&lt;A48+1)*$AP$5:$AP$24)*C48+IF(15=0,IF(sel_loc&lt;&gt;"miami",personal_costoMudanzaInicial,0),0)</f>
        <v/>
      </c>
      <c r="O48" s="7">
        <f>MIN(personal_aporte403bPct*D48,retiro_limite403b*C48)</f>
        <v/>
      </c>
      <c r="P48" s="7">
        <f>MIN(personal_aporte403bPct,personal_match403bPct)*E48</f>
        <v/>
      </c>
      <c r="Q48" s="7">
        <f>IF(G48&gt;0,MAX(0,G48-impuestos_scorpCostoAnual*C48),0)</f>
        <v/>
      </c>
      <c r="R48" s="7">
        <f>Q48*impuestos_scorpSalarioPct/(1+impuestos_ssTasa+impuestos_medicareTasa)</f>
        <v/>
      </c>
      <c r="S48" s="7">
        <f>impuestos_ssTasa*MIN(R48,MAX(0,impuestos_ssTope*C48-D48))+impuestos_medicareTasa*R48</f>
        <v/>
      </c>
      <c r="T48" s="7">
        <f>Q48-R48-S48</f>
        <v/>
      </c>
      <c r="U48" s="7">
        <f>D48+R48</f>
        <v/>
      </c>
      <c r="V48" s="7">
        <f>H48*0.9235</f>
        <v/>
      </c>
      <c r="W48" s="7">
        <f>IF(H48&gt;0,2*impuestos_ssTasa*MIN(V48,MAX(0,impuestos_ssTope*C48-U48))+2*impuestos_medicareTasa*V48,0)</f>
        <v/>
      </c>
      <c r="X48" s="7">
        <f>impuestos_ssTasa*MIN(U48,impuestos_ssTope*C48)+impuestos_medicareTasa*U48+impuestos_medicareAdicional*MAX(0,U48+H48*0.9235-impuestos_medicareUmbral)</f>
        <v/>
      </c>
      <c r="Y48" s="7">
        <f>MAX(0,D48-O48+R48+T48+H48-W48/2)</f>
        <v/>
      </c>
      <c r="Z48" s="7">
        <f>MAX(0,Y48-impuestos_deduccionEstandar*C48)</f>
        <v/>
      </c>
      <c r="AA48" s="7">
        <f>MIN(0.2*MAX(0,T48+H48-W48/2)*MAX(0,MIN(1,1-(Z48-impuestos_qbiUmbral*C48)/(impuestos_qbiRango*C48))),0.2*Z48)</f>
        <v/>
      </c>
      <c r="AB48" s="7">
        <f>MAX(0,Z48-AA48)</f>
        <v/>
      </c>
      <c r="AC48" s="7">
        <f>SUMPRODUCT((AB48&gt;tb_federalBrackets_lo*C48)*(AB48-tb_federalBrackets_lo*C48)*tb_federalBrackets_dr)</f>
        <v/>
      </c>
      <c r="AD48" s="7">
        <f>MAX(0,Y48-impuestos_nyDeduccion*C48)</f>
        <v/>
      </c>
      <c r="AE48" s="7">
        <f>CHOOSE(loc_taxcode,0,impuestos_ohTasa*MAX(0,Y48-impuestos_ohExento*C48)+impuestos_ohMunicipal*U48,SUMPRODUCT((AD48&gt;tb_nyBrackets_lo*C48)*(AD48-tb_nyBrackets_lo*C48)*tb_nyBrackets_dr)+loc_nyc*SUMPRODUCT((AD48&gt;tb_nycBrackets_lo*C48)*(AD48-tb_nycBrackets_lo*C48)*tb_nycBrackets_dr))</f>
        <v/>
      </c>
      <c r="AF48" s="7">
        <f>AC48+AE48+X48+W48</f>
        <v/>
      </c>
      <c r="AG48" s="7">
        <f>D48+F48+R48+T48+H48</f>
        <v/>
      </c>
      <c r="AH48" s="7">
        <f>AG48-AF48-O48</f>
        <v/>
      </c>
      <c r="AI48" s="7">
        <f>D48+F48+G48+H48</f>
        <v/>
      </c>
      <c r="AJ48" s="7">
        <f>loc_gastosVida*C48*g_gastos</f>
        <v/>
      </c>
      <c r="AK48" s="7">
        <f>IF(15=0,personal_liquidoInicial,DR47)</f>
        <v/>
      </c>
      <c r="AL48" s="7">
        <f>IF(15=0,0,BB47)</f>
        <v/>
      </c>
      <c r="AM48" s="7">
        <f>CHOOSE(sel_cfgIdx,loc_precio_duplex,loc_precio_inlaw,loc_precio_dosCasas,loc_precio_casaAdu,loc_precio_multi)</f>
        <v/>
      </c>
      <c r="AN48" s="7">
        <f>AM48*(1+g_appr)^(A48-2026)</f>
        <v/>
      </c>
      <c r="AO48" s="7">
        <f>IF(AND(M48=1,vivienda_prestamoMedico=1),1,0)</f>
        <v/>
      </c>
      <c r="AP48" s="7">
        <f>IF(AO48=1,0.05,vivienda_enganchePct)</f>
        <v/>
      </c>
      <c r="AQ48" s="7">
        <f>AN48*(1-AP48)</f>
        <v/>
      </c>
      <c r="AR48" s="7">
        <f>PMT(g_mortRate/12,vivienda_plazoHipoteca*12,-AQ48)</f>
        <v/>
      </c>
      <c r="AS48" s="7">
        <f>INDEX(cfg_units,sel_cfgIdx)</f>
        <v/>
      </c>
      <c r="AT48" s="7">
        <f>AS48*loc_rentaUnidad*(1+g_inf)^(A48-2026)*(1-vivienda_vacancia)</f>
        <v/>
      </c>
      <c r="AU48" s="7">
        <f>AR48+AN48*loc_impuestoPropPct/12+AM48*loc_seguroPct*(1+vivienda_inflacionSeguro)^(A48-2026)/12+IF(AND(AO48=0,AP48&lt;0.2),AQ48*vivienda_pmiTasa/12,0)</f>
        <v/>
      </c>
      <c r="AV48" s="7">
        <f>AN48*AP48+AN48*vivienda_cierrePct+general_reservaMeses/12*AJ48</f>
        <v/>
      </c>
      <c r="AW48" s="7">
        <f>(IF(15=0,MIN(personal_irsSaldo,personal_irsPagoMensual*12),MIN(CD47,personal_irsPagoMensual*12))+IF(CE48&gt;0,PMT(CF48,MAX(1,prestamos_plazoAnios-CG48),-CE48),0)+IF(CR48&gt;0,PMT(CS48,MAX(1,prestamos_plazoAnios-CT48),-CR48),0))/12</f>
        <v/>
      </c>
      <c r="AX48" s="7">
        <f>IF(OR(sel_cfg="duplex",sel_cfg="multi",sel_cfg="dosCasas"),0.75*personal_aporteFamiliaMensual,0)</f>
        <v/>
      </c>
      <c r="AY48" s="7">
        <f>AU48-0.75*AT48-AX48+AW48</f>
        <v/>
      </c>
      <c r="AZ48" s="7">
        <f>(D48+G48+H48+0.5*F48)/12</f>
        <v/>
      </c>
      <c r="BA48" s="7">
        <f>IF(AND(AL48=0,A48&gt;=vivienda_anioMinCompra,J48&lt;0.5,AI48&gt;0,AK48&gt;=AV48,AY48&lt;=vivienda_dtiMax*AZ48),1,0)</f>
        <v/>
      </c>
      <c r="BB48" s="7">
        <f>MAX(AL48,BA48)</f>
        <v/>
      </c>
      <c r="BC48" s="7">
        <f>IF(BA48=1,A48,IF(15=0,"",BC47))</f>
        <v/>
      </c>
      <c r="BD48" s="7">
        <f>AK48-IF(BA48=1,AN48*AP48+AN48*vivienda_cierrePct,0)</f>
        <v/>
      </c>
      <c r="BE48" s="7">
        <f>IF(BA48=1,AN48,IF(15=0,0,BE47))</f>
        <v/>
      </c>
      <c r="BF48" s="7">
        <f>IF(BA48=1,AR48,IF(15=0,0,BF47))</f>
        <v/>
      </c>
      <c r="BG48" s="7">
        <f>IF(BA48=1,IF(AND(AO48=0,AP48&lt;0.2),1,0),IF(15=0,0,BY47))</f>
        <v/>
      </c>
      <c r="BH48" s="7">
        <f>IF(sel_cfg="casaAdu",1,0)</f>
        <v/>
      </c>
      <c r="BI48" s="7">
        <f>IF(AND(BB48=1,BH48=1,IF(15=0,0,BJ47)=0,A48&gt;=IF(BC48="",9999,BC48)+vivienda_aduRetrasoAnios),1,0)</f>
        <v/>
      </c>
      <c r="BJ48" s="7">
        <f>MAX(IF(15=0,0,BJ47),BI48)</f>
        <v/>
      </c>
      <c r="BK48" s="7">
        <f>IF(BI48=1,PMT((g_mortRate+0.005)/12,180,-loc_precio_aduCosto*C48),IF(15=0,0,BK47))</f>
        <v/>
      </c>
      <c r="BL48" s="7">
        <f>IF(BA48=1,AN48,IF(15=0,0,DT47))+IF(BI48=1,loc_precio_aduCosto*C48,0)</f>
        <v/>
      </c>
      <c r="BM48" s="7">
        <f>IF(BA48=1,AQ48,IF(15=0,0,DU47))</f>
        <v/>
      </c>
      <c r="BN48" s="7">
        <f>IF(BM48&lt;=0,0,FV(g_mortRate/12,12,BF48,-BM48))</f>
        <v/>
      </c>
      <c r="BO48" s="7">
        <f>IF(BM48&lt;=0,0,12*BF48+MIN(0,BN48))</f>
        <v/>
      </c>
      <c r="BP48" s="7">
        <f>MAX(0,BN48)</f>
        <v/>
      </c>
      <c r="BQ48" s="7">
        <f>IF(BI48=1,loc_precio_aduCosto*C48,IF(15=0,0,DV47))</f>
        <v/>
      </c>
      <c r="BR48" s="7">
        <f>IF(BQ48&lt;=0,0,FV((g_mortRate+0.005)/12,12,BK48,-BQ48))</f>
        <v/>
      </c>
      <c r="BS48" s="7">
        <f>IF(BQ48&lt;=0,0,12*BK48+MIN(0,BR48))</f>
        <v/>
      </c>
      <c r="BT48" s="7">
        <f>MAX(0,BR48)</f>
        <v/>
      </c>
      <c r="BU48" s="7">
        <f>IF(BB48=1,AM48*loc_seguroPct*(1+vivienda_inflacionSeguro)^(A48-2026)*IF(BJ48=1,1+loc_precio_aduCosto/AM48,1),0)</f>
        <v/>
      </c>
      <c r="BV48" s="7">
        <f>BL48*loc_impuestoPropPct</f>
        <v/>
      </c>
      <c r="BW48" s="7">
        <f>BL48*vivienda_mantenimientoPct</f>
        <v/>
      </c>
      <c r="BX48" s="7">
        <f>IF(AND(BG48=1,BP48&gt;0.8*BE48),BE48*(1-vivienda_enganchePct)*vivienda_pmiTasa,0)</f>
        <v/>
      </c>
      <c r="BY48" s="7">
        <f>IF(AND(BG48=1,BP48&gt;0.8*BE48),1,0)</f>
        <v/>
      </c>
      <c r="BZ48" s="7">
        <f>IF(BB48=1,AS48*loc_rentaUnidad*12*C48*(1-vivienda_vacancia)*(1-vivienda_gestionPct),0)</f>
        <v/>
      </c>
      <c r="CA48" s="7">
        <f>IF(BB48=1,BO48+BS48+BU48+BV48+BW48+BX48,loc_rentaMensual*12*C48)</f>
        <v/>
      </c>
      <c r="CB48" s="7">
        <f>IF(BB48=1,personal_aporteFamiliaMensual*12,0)</f>
        <v/>
      </c>
      <c r="CC48" s="7">
        <f>MIN(IF(15=0,personal_irsSaldo,CD47),personal_irsPagoMensual*12)</f>
        <v/>
      </c>
      <c r="CD48" s="7">
        <f>IF(15=0,personal_irsSaldo,CD47)-CC48</f>
        <v/>
      </c>
      <c r="CE48" s="7">
        <f>IF(15=0,IF(personal_deudaEsFederal=1,personal_deudaEstudiantil,0),DW47)</f>
        <v/>
      </c>
      <c r="CF48" s="7">
        <f>IF(15=0,personal_tasaDeudaEstudiantil,DX47)</f>
        <v/>
      </c>
      <c r="CG48" s="7">
        <f>IF(15=0,0,DY47)</f>
        <v/>
      </c>
      <c r="CH48" s="7">
        <f>IF(J48&gt;=0.5,1,0)</f>
        <v/>
      </c>
      <c r="CI48" s="7">
        <f>IF(AND(CH48=0,prestamos_pslfActivo=1,K48&gt;=0.5,CE48&gt;0),1,0)</f>
        <v/>
      </c>
      <c r="CJ48" s="7">
        <f>CE48*CF48</f>
        <v/>
      </c>
      <c r="CK48" s="7">
        <f>MAX(prestamos_rapPagoMinimoAnual,IF(Y48&lt;10000,0,MIN(0.1,INT(Y48/10000)/100))*Y48)</f>
        <v/>
      </c>
      <c r="CL48" s="7">
        <f>IF(CE48&lt;=0,0,IF(CH48=1,0,IF(CI48=1,MIN(CE48+CJ48,CK48),PMT(CF48,MAX(1,prestamos_plazoAnios-CG48),-CE48))))</f>
        <v/>
      </c>
      <c r="CM48" s="7">
        <f>IF(CE48&lt;=0,0,IF(CH48=1,CE48+CJ48,IF(CI48=1,MAX(0,CE48-MAX(CL48-CJ48,MIN(600,CL48))),MAX(0,CE48*(1+CF48)-CL48))))</f>
        <v/>
      </c>
      <c r="CN48" s="7">
        <f>IF(15=0,0,CN47)+IF(CI48=1,12*MIN(1,K48),0)</f>
        <v/>
      </c>
      <c r="CO48" s="7">
        <f>IF(AND(CI48=1,CN48&gt;=prestamos_pslfPagos,CM48&gt;0),CM48,0)</f>
        <v/>
      </c>
      <c r="CP48" s="7">
        <f>CM48-CO48</f>
        <v/>
      </c>
      <c r="CQ48" s="7">
        <f>IF(AND(CE48&gt;0,CH48=0,CI48=0),CG48+1,CG48)</f>
        <v/>
      </c>
      <c r="CR48" s="7">
        <f>IF(15=0,IF(personal_deudaEsFederal=1,0,personal_deudaEstudiantil),EA47)</f>
        <v/>
      </c>
      <c r="CS48" s="7">
        <f>IF(15=0,IF(personal_deudaEsFederal=1,prestamos_tasaPrivada,personal_tasaDeudaEstudiantil),EB47)</f>
        <v/>
      </c>
      <c r="CT48" s="7">
        <f>IF(15=0,0,EC47)</f>
        <v/>
      </c>
      <c r="CU48" s="7">
        <f>IF(OR(CR48&lt;=0,CH48=1),0,PMT(CS48,MAX(1,prestamos_plazoAnios-CT48),-CR48))</f>
        <v/>
      </c>
      <c r="CV48" s="7">
        <f>IF(CR48&lt;=0,0,IF(CH48=1,CR48*(1+CS48),MAX(0,CR48*(1+CS48)-CU48)))</f>
        <v/>
      </c>
      <c r="CW48" s="7">
        <f>IF(AND(CR48&gt;0,CH48=0),CT48+1,CT48)</f>
        <v/>
      </c>
      <c r="CX48" s="7">
        <f>IF(15=0,0,ED47)*(1+general_tasaDeudaConsumo)</f>
        <v/>
      </c>
      <c r="CY48" s="7">
        <f>L48*12*tiempos_travelGastoExtraMes*C48</f>
        <v/>
      </c>
      <c r="CZ48" s="7">
        <f>AJ48+CY48+CA48+CC48+CL48+CU48+I48+N48-BZ48-CB48</f>
        <v/>
      </c>
      <c r="DA48" s="7">
        <f>AH48-CZ48</f>
        <v/>
      </c>
      <c r="DB48" s="7">
        <f>IF(15=0,0,DB47)+DA48</f>
        <v/>
      </c>
      <c r="DC48" s="7">
        <f>AN48*vivienda_enganchePct+AN48*vivienda_cierrePct+general_reservaMeses/12*AJ48</f>
        <v/>
      </c>
      <c r="DD48" s="7">
        <f>IF(BB48=1,g_ret,IF(BD48&gt;0,MIN(1,DC48/BD48),1)*g_cash+(1-IF(BD48&gt;0,MIN(1,DC48/BD48),1))*g_ret)</f>
        <v/>
      </c>
      <c r="DE48" s="7">
        <f>IF(DA48&gt;=0,MIN(CX48,DA48),0)</f>
        <v/>
      </c>
      <c r="DF48" s="7">
        <f>IF(DA48&gt;=0,(1-general_tasaAhorro)*(DA48-DE48),0)</f>
        <v/>
      </c>
      <c r="DG48" s="7">
        <f>IF(DA48&gt;=0,DA48-DE48-DF48,0)</f>
        <v/>
      </c>
      <c r="DH48" s="7">
        <f>MIN(personal_rothAnual,DG48)</f>
        <v/>
      </c>
      <c r="DI48" s="7">
        <f>IF(AND(DA48&gt;=0,BB48=1,BP48+BT48&gt;0),MIN(vivienda_prepagoPct*(DG48-DH48),BP48+BT48),0)</f>
        <v/>
      </c>
      <c r="DJ48" s="7">
        <f>MIN(DI48,BP48)</f>
        <v/>
      </c>
      <c r="DK48" s="7">
        <f>IF(DA48&lt;0,MIN(MAX(0,BD48),-DA48),0)</f>
        <v/>
      </c>
      <c r="DL48" s="7">
        <f>IF(DA48&lt;0,-DA48-DK48,0)</f>
        <v/>
      </c>
      <c r="DM48" s="7">
        <f>IF(15=0,0,DZ47)</f>
        <v/>
      </c>
      <c r="DN48" s="7">
        <f>IF(AND(DL48&gt;0,J48&gt;0),MIN(DL48,MIN(prestamos_topeAnualPosgrado*MIN(1,J48),MAX(0,prestamos_topeTotalPosgrado-DM48))),0)</f>
        <v/>
      </c>
      <c r="DO48" s="7">
        <f>IF(AND(DL48&gt;0,J48&gt;0),DL48-DN48,0)</f>
        <v/>
      </c>
      <c r="DP48" s="7">
        <f>IF(AND(DL48&gt;0,J48&lt;=0),DL48,0)</f>
        <v/>
      </c>
      <c r="DQ48" s="7">
        <f>IF(DA48&gt;=0,DG48-DH48-DI48,-DK48)</f>
        <v/>
      </c>
      <c r="DR48" s="7">
        <f>BD48*(1+DD48)+DQ48*(1+DD48/2)</f>
        <v/>
      </c>
      <c r="DS48" s="7">
        <f>IF(15=0,personal_retiroInicial,DS47)*(1+g_ret)+(O48+P48+DH48)*(1+g_ret/2)</f>
        <v/>
      </c>
      <c r="DT48" s="7">
        <f>IF(BB48=1,BL48*(1+g_appr),0)</f>
        <v/>
      </c>
      <c r="DU48" s="7">
        <f>BP48-DJ48</f>
        <v/>
      </c>
      <c r="DV48" s="7">
        <f>BT48-(DI48-DJ48)</f>
        <v/>
      </c>
      <c r="DW48" s="7">
        <f>CP48+DN48</f>
        <v/>
      </c>
      <c r="DX48" s="7">
        <f>IF(DN48&gt;0,(CP48*CF48+DN48*prestamos_tasaFederalPosgrado)/(CP48+DN48),CF48)</f>
        <v/>
      </c>
      <c r="DY48" s="7">
        <f>IF(DN48&gt;0,0,CQ48)</f>
        <v/>
      </c>
      <c r="DZ48" s="7">
        <f>DM48+DN48</f>
        <v/>
      </c>
      <c r="EA48" s="7">
        <f>CV48+DO48</f>
        <v/>
      </c>
      <c r="EB48" s="7">
        <f>IF(DO48&gt;0,(CV48*CS48+DO48*prestamos_tasaPrivada)/(CV48+DO48),CS48)</f>
        <v/>
      </c>
      <c r="EC48" s="7">
        <f>IF(DO48&gt;0,0,CW48)</f>
        <v/>
      </c>
      <c r="ED48" s="7">
        <f>CX48-DE48+DP48</f>
        <v/>
      </c>
      <c r="EE48" s="7">
        <f>IF(IF(15=0,"",EE47)&lt;&gt;"",EE47,IF(AND(BB48=1,DU48&lt;=0.5,DV48&lt;=0.5,OR(BH48=0,BJ48=1)),A48,""))</f>
        <v/>
      </c>
      <c r="EF48" s="7">
        <f>DU48+DV48+DW48+EA48+ED48+CD48</f>
        <v/>
      </c>
      <c r="EG48" s="7">
        <f>DR48+DS48+DT48-EF48</f>
        <v/>
      </c>
      <c r="EH48" s="7">
        <f>EG48/(1+g_inf)^(A48+1-2026)</f>
        <v/>
      </c>
    </row>
    <row r="49">
      <c r="A49" t="n">
        <v>2043</v>
      </c>
      <c r="B49" t="n">
        <v>16</v>
      </c>
      <c r="C49" s="7">
        <f>(1+g_inf)^(A49-2026)</f>
        <v/>
      </c>
      <c r="D49" s="7">
        <f>SUMPRODUCT($AJ$5:$AJ$29,$E$5:$E$29*(1+$F$5:$F$29)^(A49-2026)*$G$5:$G$29*$H$5:$H$29*(1-$N$5:$N$29*$O$5:$O$29))*g_salMult+SUMPRODUCT(($B$5:$B$29&gt;=A49)*($B$5:$B$29&lt;A49+1)*$I$5:$I$29)*g_salMult</f>
        <v/>
      </c>
      <c r="E49" s="7">
        <f>SUMPRODUCT($AJ$5:$AJ$29,$E$5:$E$29*(1+$F$5:$F$29)^(A49-2026)*$G$5:$G$29*$H$5:$H$29*$M$5:$M$29)*g_salMult</f>
        <v/>
      </c>
      <c r="F49" s="7">
        <f>SUMPRODUCT($AJ$5:$AJ$29,$E$5:$E$29*(1+$F$5:$F$29)^(A49-2026)*$G$5:$G$29*$H$5:$H$29*$N$5:$N$29*$O$5:$O$29)*g_salMult</f>
        <v/>
      </c>
      <c r="G49" s="7">
        <f>SUMPRODUCT($AJ$5:$AJ$29,$P$5:$P$29*(1+$F$5:$F$29)^(A49-2026))</f>
        <v/>
      </c>
      <c r="H49" s="7">
        <f>SUMPRODUCT($AJ$5:$AJ$29,$Q$5:$Q$29*(1+$F$5:$F$29)^(A49-2026))+IF(personal_llcActivo=1,personal_llcNeto*(1+personal_llcCrecimiento)^16,0)</f>
        <v/>
      </c>
      <c r="I49" s="7">
        <f>SUMPRODUCT($AJ$5:$AJ$29,$J$5:$J$29/($C$5:$C$29-$B$5:$B$29+($C$5:$C$29=$B$5:$B$29)))*C49</f>
        <v/>
      </c>
      <c r="J49" s="7">
        <f>SUMPRODUCT($AJ$5:$AJ$29,$K$5:$K$29)</f>
        <v/>
      </c>
      <c r="K49" s="7">
        <f>SUMPRODUCT($AJ$5:$AJ$29,$L$5:$L$29)</f>
        <v/>
      </c>
      <c r="L49" s="7">
        <f>SUMPRODUCT($AJ$5:$AJ$29,$N$5:$N$29)</f>
        <v/>
      </c>
      <c r="M49" s="7">
        <f>IF(SUMPRODUCT($AJ$5:$AJ$29,$R$5:$R$29)&gt;0,1,0)</f>
        <v/>
      </c>
      <c r="N49" s="7">
        <f>SUMPRODUCT(($AO$5:$AO$24&gt;=A49)*($AO$5:$AO$24&lt;A49+1)*$AP$5:$AP$24)*C49+IF(16=0,IF(sel_loc&lt;&gt;"miami",personal_costoMudanzaInicial,0),0)</f>
        <v/>
      </c>
      <c r="O49" s="7">
        <f>MIN(personal_aporte403bPct*D49,retiro_limite403b*C49)</f>
        <v/>
      </c>
      <c r="P49" s="7">
        <f>MIN(personal_aporte403bPct,personal_match403bPct)*E49</f>
        <v/>
      </c>
      <c r="Q49" s="7">
        <f>IF(G49&gt;0,MAX(0,G49-impuestos_scorpCostoAnual*C49),0)</f>
        <v/>
      </c>
      <c r="R49" s="7">
        <f>Q49*impuestos_scorpSalarioPct/(1+impuestos_ssTasa+impuestos_medicareTasa)</f>
        <v/>
      </c>
      <c r="S49" s="7">
        <f>impuestos_ssTasa*MIN(R49,MAX(0,impuestos_ssTope*C49-D49))+impuestos_medicareTasa*R49</f>
        <v/>
      </c>
      <c r="T49" s="7">
        <f>Q49-R49-S49</f>
        <v/>
      </c>
      <c r="U49" s="7">
        <f>D49+R49</f>
        <v/>
      </c>
      <c r="V49" s="7">
        <f>H49*0.9235</f>
        <v/>
      </c>
      <c r="W49" s="7">
        <f>IF(H49&gt;0,2*impuestos_ssTasa*MIN(V49,MAX(0,impuestos_ssTope*C49-U49))+2*impuestos_medicareTasa*V49,0)</f>
        <v/>
      </c>
      <c r="X49" s="7">
        <f>impuestos_ssTasa*MIN(U49,impuestos_ssTope*C49)+impuestos_medicareTasa*U49+impuestos_medicareAdicional*MAX(0,U49+H49*0.9235-impuestos_medicareUmbral)</f>
        <v/>
      </c>
      <c r="Y49" s="7">
        <f>MAX(0,D49-O49+R49+T49+H49-W49/2)</f>
        <v/>
      </c>
      <c r="Z49" s="7">
        <f>MAX(0,Y49-impuestos_deduccionEstandar*C49)</f>
        <v/>
      </c>
      <c r="AA49" s="7">
        <f>MIN(0.2*MAX(0,T49+H49-W49/2)*MAX(0,MIN(1,1-(Z49-impuestos_qbiUmbral*C49)/(impuestos_qbiRango*C49))),0.2*Z49)</f>
        <v/>
      </c>
      <c r="AB49" s="7">
        <f>MAX(0,Z49-AA49)</f>
        <v/>
      </c>
      <c r="AC49" s="7">
        <f>SUMPRODUCT((AB49&gt;tb_federalBrackets_lo*C49)*(AB49-tb_federalBrackets_lo*C49)*tb_federalBrackets_dr)</f>
        <v/>
      </c>
      <c r="AD49" s="7">
        <f>MAX(0,Y49-impuestos_nyDeduccion*C49)</f>
        <v/>
      </c>
      <c r="AE49" s="7">
        <f>CHOOSE(loc_taxcode,0,impuestos_ohTasa*MAX(0,Y49-impuestos_ohExento*C49)+impuestos_ohMunicipal*U49,SUMPRODUCT((AD49&gt;tb_nyBrackets_lo*C49)*(AD49-tb_nyBrackets_lo*C49)*tb_nyBrackets_dr)+loc_nyc*SUMPRODUCT((AD49&gt;tb_nycBrackets_lo*C49)*(AD49-tb_nycBrackets_lo*C49)*tb_nycBrackets_dr))</f>
        <v/>
      </c>
      <c r="AF49" s="7">
        <f>AC49+AE49+X49+W49</f>
        <v/>
      </c>
      <c r="AG49" s="7">
        <f>D49+F49+R49+T49+H49</f>
        <v/>
      </c>
      <c r="AH49" s="7">
        <f>AG49-AF49-O49</f>
        <v/>
      </c>
      <c r="AI49" s="7">
        <f>D49+F49+G49+H49</f>
        <v/>
      </c>
      <c r="AJ49" s="7">
        <f>loc_gastosVida*C49*g_gastos</f>
        <v/>
      </c>
      <c r="AK49" s="7">
        <f>IF(16=0,personal_liquidoInicial,DR48)</f>
        <v/>
      </c>
      <c r="AL49" s="7">
        <f>IF(16=0,0,BB48)</f>
        <v/>
      </c>
      <c r="AM49" s="7">
        <f>CHOOSE(sel_cfgIdx,loc_precio_duplex,loc_precio_inlaw,loc_precio_dosCasas,loc_precio_casaAdu,loc_precio_multi)</f>
        <v/>
      </c>
      <c r="AN49" s="7">
        <f>AM49*(1+g_appr)^(A49-2026)</f>
        <v/>
      </c>
      <c r="AO49" s="7">
        <f>IF(AND(M49=1,vivienda_prestamoMedico=1),1,0)</f>
        <v/>
      </c>
      <c r="AP49" s="7">
        <f>IF(AO49=1,0.05,vivienda_enganchePct)</f>
        <v/>
      </c>
      <c r="AQ49" s="7">
        <f>AN49*(1-AP49)</f>
        <v/>
      </c>
      <c r="AR49" s="7">
        <f>PMT(g_mortRate/12,vivienda_plazoHipoteca*12,-AQ49)</f>
        <v/>
      </c>
      <c r="AS49" s="7">
        <f>INDEX(cfg_units,sel_cfgIdx)</f>
        <v/>
      </c>
      <c r="AT49" s="7">
        <f>AS49*loc_rentaUnidad*(1+g_inf)^(A49-2026)*(1-vivienda_vacancia)</f>
        <v/>
      </c>
      <c r="AU49" s="7">
        <f>AR49+AN49*loc_impuestoPropPct/12+AM49*loc_seguroPct*(1+vivienda_inflacionSeguro)^(A49-2026)/12+IF(AND(AO49=0,AP49&lt;0.2),AQ49*vivienda_pmiTasa/12,0)</f>
        <v/>
      </c>
      <c r="AV49" s="7">
        <f>AN49*AP49+AN49*vivienda_cierrePct+general_reservaMeses/12*AJ49</f>
        <v/>
      </c>
      <c r="AW49" s="7">
        <f>(IF(16=0,MIN(personal_irsSaldo,personal_irsPagoMensual*12),MIN(CD48,personal_irsPagoMensual*12))+IF(CE49&gt;0,PMT(CF49,MAX(1,prestamos_plazoAnios-CG49),-CE49),0)+IF(CR49&gt;0,PMT(CS49,MAX(1,prestamos_plazoAnios-CT49),-CR49),0))/12</f>
        <v/>
      </c>
      <c r="AX49" s="7">
        <f>IF(OR(sel_cfg="duplex",sel_cfg="multi",sel_cfg="dosCasas"),0.75*personal_aporteFamiliaMensual,0)</f>
        <v/>
      </c>
      <c r="AY49" s="7">
        <f>AU49-0.75*AT49-AX49+AW49</f>
        <v/>
      </c>
      <c r="AZ49" s="7">
        <f>(D49+G49+H49+0.5*F49)/12</f>
        <v/>
      </c>
      <c r="BA49" s="7">
        <f>IF(AND(AL49=0,A49&gt;=vivienda_anioMinCompra,J49&lt;0.5,AI49&gt;0,AK49&gt;=AV49,AY49&lt;=vivienda_dtiMax*AZ49),1,0)</f>
        <v/>
      </c>
      <c r="BB49" s="7">
        <f>MAX(AL49,BA49)</f>
        <v/>
      </c>
      <c r="BC49" s="7">
        <f>IF(BA49=1,A49,IF(16=0,"",BC48))</f>
        <v/>
      </c>
      <c r="BD49" s="7">
        <f>AK49-IF(BA49=1,AN49*AP49+AN49*vivienda_cierrePct,0)</f>
        <v/>
      </c>
      <c r="BE49" s="7">
        <f>IF(BA49=1,AN49,IF(16=0,0,BE48))</f>
        <v/>
      </c>
      <c r="BF49" s="7">
        <f>IF(BA49=1,AR49,IF(16=0,0,BF48))</f>
        <v/>
      </c>
      <c r="BG49" s="7">
        <f>IF(BA49=1,IF(AND(AO49=0,AP49&lt;0.2),1,0),IF(16=0,0,BY48))</f>
        <v/>
      </c>
      <c r="BH49" s="7">
        <f>IF(sel_cfg="casaAdu",1,0)</f>
        <v/>
      </c>
      <c r="BI49" s="7">
        <f>IF(AND(BB49=1,BH49=1,IF(16=0,0,BJ48)=0,A49&gt;=IF(BC49="",9999,BC49)+vivienda_aduRetrasoAnios),1,0)</f>
        <v/>
      </c>
      <c r="BJ49" s="7">
        <f>MAX(IF(16=0,0,BJ48),BI49)</f>
        <v/>
      </c>
      <c r="BK49" s="7">
        <f>IF(BI49=1,PMT((g_mortRate+0.005)/12,180,-loc_precio_aduCosto*C49),IF(16=0,0,BK48))</f>
        <v/>
      </c>
      <c r="BL49" s="7">
        <f>IF(BA49=1,AN49,IF(16=0,0,DT48))+IF(BI49=1,loc_precio_aduCosto*C49,0)</f>
        <v/>
      </c>
      <c r="BM49" s="7">
        <f>IF(BA49=1,AQ49,IF(16=0,0,DU48))</f>
        <v/>
      </c>
      <c r="BN49" s="7">
        <f>IF(BM49&lt;=0,0,FV(g_mortRate/12,12,BF49,-BM49))</f>
        <v/>
      </c>
      <c r="BO49" s="7">
        <f>IF(BM49&lt;=0,0,12*BF49+MIN(0,BN49))</f>
        <v/>
      </c>
      <c r="BP49" s="7">
        <f>MAX(0,BN49)</f>
        <v/>
      </c>
      <c r="BQ49" s="7">
        <f>IF(BI49=1,loc_precio_aduCosto*C49,IF(16=0,0,DV48))</f>
        <v/>
      </c>
      <c r="BR49" s="7">
        <f>IF(BQ49&lt;=0,0,FV((g_mortRate+0.005)/12,12,BK49,-BQ49))</f>
        <v/>
      </c>
      <c r="BS49" s="7">
        <f>IF(BQ49&lt;=0,0,12*BK49+MIN(0,BR49))</f>
        <v/>
      </c>
      <c r="BT49" s="7">
        <f>MAX(0,BR49)</f>
        <v/>
      </c>
      <c r="BU49" s="7">
        <f>IF(BB49=1,AM49*loc_seguroPct*(1+vivienda_inflacionSeguro)^(A49-2026)*IF(BJ49=1,1+loc_precio_aduCosto/AM49,1),0)</f>
        <v/>
      </c>
      <c r="BV49" s="7">
        <f>BL49*loc_impuestoPropPct</f>
        <v/>
      </c>
      <c r="BW49" s="7">
        <f>BL49*vivienda_mantenimientoPct</f>
        <v/>
      </c>
      <c r="BX49" s="7">
        <f>IF(AND(BG49=1,BP49&gt;0.8*BE49),BE49*(1-vivienda_enganchePct)*vivienda_pmiTasa,0)</f>
        <v/>
      </c>
      <c r="BY49" s="7">
        <f>IF(AND(BG49=1,BP49&gt;0.8*BE49),1,0)</f>
        <v/>
      </c>
      <c r="BZ49" s="7">
        <f>IF(BB49=1,AS49*loc_rentaUnidad*12*C49*(1-vivienda_vacancia)*(1-vivienda_gestionPct),0)</f>
        <v/>
      </c>
      <c r="CA49" s="7">
        <f>IF(BB49=1,BO49+BS49+BU49+BV49+BW49+BX49,loc_rentaMensual*12*C49)</f>
        <v/>
      </c>
      <c r="CB49" s="7">
        <f>IF(BB49=1,personal_aporteFamiliaMensual*12,0)</f>
        <v/>
      </c>
      <c r="CC49" s="7">
        <f>MIN(IF(16=0,personal_irsSaldo,CD48),personal_irsPagoMensual*12)</f>
        <v/>
      </c>
      <c r="CD49" s="7">
        <f>IF(16=0,personal_irsSaldo,CD48)-CC49</f>
        <v/>
      </c>
      <c r="CE49" s="7">
        <f>IF(16=0,IF(personal_deudaEsFederal=1,personal_deudaEstudiantil,0),DW48)</f>
        <v/>
      </c>
      <c r="CF49" s="7">
        <f>IF(16=0,personal_tasaDeudaEstudiantil,DX48)</f>
        <v/>
      </c>
      <c r="CG49" s="7">
        <f>IF(16=0,0,DY48)</f>
        <v/>
      </c>
      <c r="CH49" s="7">
        <f>IF(J49&gt;=0.5,1,0)</f>
        <v/>
      </c>
      <c r="CI49" s="7">
        <f>IF(AND(CH49=0,prestamos_pslfActivo=1,K49&gt;=0.5,CE49&gt;0),1,0)</f>
        <v/>
      </c>
      <c r="CJ49" s="7">
        <f>CE49*CF49</f>
        <v/>
      </c>
      <c r="CK49" s="7">
        <f>MAX(prestamos_rapPagoMinimoAnual,IF(Y49&lt;10000,0,MIN(0.1,INT(Y49/10000)/100))*Y49)</f>
        <v/>
      </c>
      <c r="CL49" s="7">
        <f>IF(CE49&lt;=0,0,IF(CH49=1,0,IF(CI49=1,MIN(CE49+CJ49,CK49),PMT(CF49,MAX(1,prestamos_plazoAnios-CG49),-CE49))))</f>
        <v/>
      </c>
      <c r="CM49" s="7">
        <f>IF(CE49&lt;=0,0,IF(CH49=1,CE49+CJ49,IF(CI49=1,MAX(0,CE49-MAX(CL49-CJ49,MIN(600,CL49))),MAX(0,CE49*(1+CF49)-CL49))))</f>
        <v/>
      </c>
      <c r="CN49" s="7">
        <f>IF(16=0,0,CN48)+IF(CI49=1,12*MIN(1,K49),0)</f>
        <v/>
      </c>
      <c r="CO49" s="7">
        <f>IF(AND(CI49=1,CN49&gt;=prestamos_pslfPagos,CM49&gt;0),CM49,0)</f>
        <v/>
      </c>
      <c r="CP49" s="7">
        <f>CM49-CO49</f>
        <v/>
      </c>
      <c r="CQ49" s="7">
        <f>IF(AND(CE49&gt;0,CH49=0,CI49=0),CG49+1,CG49)</f>
        <v/>
      </c>
      <c r="CR49" s="7">
        <f>IF(16=0,IF(personal_deudaEsFederal=1,0,personal_deudaEstudiantil),EA48)</f>
        <v/>
      </c>
      <c r="CS49" s="7">
        <f>IF(16=0,IF(personal_deudaEsFederal=1,prestamos_tasaPrivada,personal_tasaDeudaEstudiantil),EB48)</f>
        <v/>
      </c>
      <c r="CT49" s="7">
        <f>IF(16=0,0,EC48)</f>
        <v/>
      </c>
      <c r="CU49" s="7">
        <f>IF(OR(CR49&lt;=0,CH49=1),0,PMT(CS49,MAX(1,prestamos_plazoAnios-CT49),-CR49))</f>
        <v/>
      </c>
      <c r="CV49" s="7">
        <f>IF(CR49&lt;=0,0,IF(CH49=1,CR49*(1+CS49),MAX(0,CR49*(1+CS49)-CU49)))</f>
        <v/>
      </c>
      <c r="CW49" s="7">
        <f>IF(AND(CR49&gt;0,CH49=0),CT49+1,CT49)</f>
        <v/>
      </c>
      <c r="CX49" s="7">
        <f>IF(16=0,0,ED48)*(1+general_tasaDeudaConsumo)</f>
        <v/>
      </c>
      <c r="CY49" s="7">
        <f>L49*12*tiempos_travelGastoExtraMes*C49</f>
        <v/>
      </c>
      <c r="CZ49" s="7">
        <f>AJ49+CY49+CA49+CC49+CL49+CU49+I49+N49-BZ49-CB49</f>
        <v/>
      </c>
      <c r="DA49" s="7">
        <f>AH49-CZ49</f>
        <v/>
      </c>
      <c r="DB49" s="7">
        <f>IF(16=0,0,DB48)+DA49</f>
        <v/>
      </c>
      <c r="DC49" s="7">
        <f>AN49*vivienda_enganchePct+AN49*vivienda_cierrePct+general_reservaMeses/12*AJ49</f>
        <v/>
      </c>
      <c r="DD49" s="7">
        <f>IF(BB49=1,g_ret,IF(BD49&gt;0,MIN(1,DC49/BD49),1)*g_cash+(1-IF(BD49&gt;0,MIN(1,DC49/BD49),1))*g_ret)</f>
        <v/>
      </c>
      <c r="DE49" s="7">
        <f>IF(DA49&gt;=0,MIN(CX49,DA49),0)</f>
        <v/>
      </c>
      <c r="DF49" s="7">
        <f>IF(DA49&gt;=0,(1-general_tasaAhorro)*(DA49-DE49),0)</f>
        <v/>
      </c>
      <c r="DG49" s="7">
        <f>IF(DA49&gt;=0,DA49-DE49-DF49,0)</f>
        <v/>
      </c>
      <c r="DH49" s="7">
        <f>MIN(personal_rothAnual,DG49)</f>
        <v/>
      </c>
      <c r="DI49" s="7">
        <f>IF(AND(DA49&gt;=0,BB49=1,BP49+BT49&gt;0),MIN(vivienda_prepagoPct*(DG49-DH49),BP49+BT49),0)</f>
        <v/>
      </c>
      <c r="DJ49" s="7">
        <f>MIN(DI49,BP49)</f>
        <v/>
      </c>
      <c r="DK49" s="7">
        <f>IF(DA49&lt;0,MIN(MAX(0,BD49),-DA49),0)</f>
        <v/>
      </c>
      <c r="DL49" s="7">
        <f>IF(DA49&lt;0,-DA49-DK49,0)</f>
        <v/>
      </c>
      <c r="DM49" s="7">
        <f>IF(16=0,0,DZ48)</f>
        <v/>
      </c>
      <c r="DN49" s="7">
        <f>IF(AND(DL49&gt;0,J49&gt;0),MIN(DL49,MIN(prestamos_topeAnualPosgrado*MIN(1,J49),MAX(0,prestamos_topeTotalPosgrado-DM49))),0)</f>
        <v/>
      </c>
      <c r="DO49" s="7">
        <f>IF(AND(DL49&gt;0,J49&gt;0),DL49-DN49,0)</f>
        <v/>
      </c>
      <c r="DP49" s="7">
        <f>IF(AND(DL49&gt;0,J49&lt;=0),DL49,0)</f>
        <v/>
      </c>
      <c r="DQ49" s="7">
        <f>IF(DA49&gt;=0,DG49-DH49-DI49,-DK49)</f>
        <v/>
      </c>
      <c r="DR49" s="7">
        <f>BD49*(1+DD49)+DQ49*(1+DD49/2)</f>
        <v/>
      </c>
      <c r="DS49" s="7">
        <f>IF(16=0,personal_retiroInicial,DS48)*(1+g_ret)+(O49+P49+DH49)*(1+g_ret/2)</f>
        <v/>
      </c>
      <c r="DT49" s="7">
        <f>IF(BB49=1,BL49*(1+g_appr),0)</f>
        <v/>
      </c>
      <c r="DU49" s="7">
        <f>BP49-DJ49</f>
        <v/>
      </c>
      <c r="DV49" s="7">
        <f>BT49-(DI49-DJ49)</f>
        <v/>
      </c>
      <c r="DW49" s="7">
        <f>CP49+DN49</f>
        <v/>
      </c>
      <c r="DX49" s="7">
        <f>IF(DN49&gt;0,(CP49*CF49+DN49*prestamos_tasaFederalPosgrado)/(CP49+DN49),CF49)</f>
        <v/>
      </c>
      <c r="DY49" s="7">
        <f>IF(DN49&gt;0,0,CQ49)</f>
        <v/>
      </c>
      <c r="DZ49" s="7">
        <f>DM49+DN49</f>
        <v/>
      </c>
      <c r="EA49" s="7">
        <f>CV49+DO49</f>
        <v/>
      </c>
      <c r="EB49" s="7">
        <f>IF(DO49&gt;0,(CV49*CS49+DO49*prestamos_tasaPrivada)/(CV49+DO49),CS49)</f>
        <v/>
      </c>
      <c r="EC49" s="7">
        <f>IF(DO49&gt;0,0,CW49)</f>
        <v/>
      </c>
      <c r="ED49" s="7">
        <f>CX49-DE49+DP49</f>
        <v/>
      </c>
      <c r="EE49" s="7">
        <f>IF(IF(16=0,"",EE48)&lt;&gt;"",EE48,IF(AND(BB49=1,DU49&lt;=0.5,DV49&lt;=0.5,OR(BH49=0,BJ49=1)),A49,""))</f>
        <v/>
      </c>
      <c r="EF49" s="7">
        <f>DU49+DV49+DW49+EA49+ED49+CD49</f>
        <v/>
      </c>
      <c r="EG49" s="7">
        <f>DR49+DS49+DT49-EF49</f>
        <v/>
      </c>
      <c r="EH49" s="7">
        <f>EG49/(1+g_inf)^(A49+1-2026)</f>
        <v/>
      </c>
    </row>
    <row r="50">
      <c r="A50" t="n">
        <v>2044</v>
      </c>
      <c r="B50" t="n">
        <v>17</v>
      </c>
      <c r="C50" s="7">
        <f>(1+g_inf)^(A50-2026)</f>
        <v/>
      </c>
      <c r="D50" s="7">
        <f>SUMPRODUCT($AK$5:$AK$29,$E$5:$E$29*(1+$F$5:$F$29)^(A50-2026)*$G$5:$G$29*$H$5:$H$29*(1-$N$5:$N$29*$O$5:$O$29))*g_salMult+SUMPRODUCT(($B$5:$B$29&gt;=A50)*($B$5:$B$29&lt;A50+1)*$I$5:$I$29)*g_salMult</f>
        <v/>
      </c>
      <c r="E50" s="7">
        <f>SUMPRODUCT($AK$5:$AK$29,$E$5:$E$29*(1+$F$5:$F$29)^(A50-2026)*$G$5:$G$29*$H$5:$H$29*$M$5:$M$29)*g_salMult</f>
        <v/>
      </c>
      <c r="F50" s="7">
        <f>SUMPRODUCT($AK$5:$AK$29,$E$5:$E$29*(1+$F$5:$F$29)^(A50-2026)*$G$5:$G$29*$H$5:$H$29*$N$5:$N$29*$O$5:$O$29)*g_salMult</f>
        <v/>
      </c>
      <c r="G50" s="7">
        <f>SUMPRODUCT($AK$5:$AK$29,$P$5:$P$29*(1+$F$5:$F$29)^(A50-2026))</f>
        <v/>
      </c>
      <c r="H50" s="7">
        <f>SUMPRODUCT($AK$5:$AK$29,$Q$5:$Q$29*(1+$F$5:$F$29)^(A50-2026))+IF(personal_llcActivo=1,personal_llcNeto*(1+personal_llcCrecimiento)^17,0)</f>
        <v/>
      </c>
      <c r="I50" s="7">
        <f>SUMPRODUCT($AK$5:$AK$29,$J$5:$J$29/($C$5:$C$29-$B$5:$B$29+($C$5:$C$29=$B$5:$B$29)))*C50</f>
        <v/>
      </c>
      <c r="J50" s="7">
        <f>SUMPRODUCT($AK$5:$AK$29,$K$5:$K$29)</f>
        <v/>
      </c>
      <c r="K50" s="7">
        <f>SUMPRODUCT($AK$5:$AK$29,$L$5:$L$29)</f>
        <v/>
      </c>
      <c r="L50" s="7">
        <f>SUMPRODUCT($AK$5:$AK$29,$N$5:$N$29)</f>
        <v/>
      </c>
      <c r="M50" s="7">
        <f>IF(SUMPRODUCT($AK$5:$AK$29,$R$5:$R$29)&gt;0,1,0)</f>
        <v/>
      </c>
      <c r="N50" s="7">
        <f>SUMPRODUCT(($AO$5:$AO$24&gt;=A50)*($AO$5:$AO$24&lt;A50+1)*$AP$5:$AP$24)*C50+IF(17=0,IF(sel_loc&lt;&gt;"miami",personal_costoMudanzaInicial,0),0)</f>
        <v/>
      </c>
      <c r="O50" s="7">
        <f>MIN(personal_aporte403bPct*D50,retiro_limite403b*C50)</f>
        <v/>
      </c>
      <c r="P50" s="7">
        <f>MIN(personal_aporte403bPct,personal_match403bPct)*E50</f>
        <v/>
      </c>
      <c r="Q50" s="7">
        <f>IF(G50&gt;0,MAX(0,G50-impuestos_scorpCostoAnual*C50),0)</f>
        <v/>
      </c>
      <c r="R50" s="7">
        <f>Q50*impuestos_scorpSalarioPct/(1+impuestos_ssTasa+impuestos_medicareTasa)</f>
        <v/>
      </c>
      <c r="S50" s="7">
        <f>impuestos_ssTasa*MIN(R50,MAX(0,impuestos_ssTope*C50-D50))+impuestos_medicareTasa*R50</f>
        <v/>
      </c>
      <c r="T50" s="7">
        <f>Q50-R50-S50</f>
        <v/>
      </c>
      <c r="U50" s="7">
        <f>D50+R50</f>
        <v/>
      </c>
      <c r="V50" s="7">
        <f>H50*0.9235</f>
        <v/>
      </c>
      <c r="W50" s="7">
        <f>IF(H50&gt;0,2*impuestos_ssTasa*MIN(V50,MAX(0,impuestos_ssTope*C50-U50))+2*impuestos_medicareTasa*V50,0)</f>
        <v/>
      </c>
      <c r="X50" s="7">
        <f>impuestos_ssTasa*MIN(U50,impuestos_ssTope*C50)+impuestos_medicareTasa*U50+impuestos_medicareAdicional*MAX(0,U50+H50*0.9235-impuestos_medicareUmbral)</f>
        <v/>
      </c>
      <c r="Y50" s="7">
        <f>MAX(0,D50-O50+R50+T50+H50-W50/2)</f>
        <v/>
      </c>
      <c r="Z50" s="7">
        <f>MAX(0,Y50-impuestos_deduccionEstandar*C50)</f>
        <v/>
      </c>
      <c r="AA50" s="7">
        <f>MIN(0.2*MAX(0,T50+H50-W50/2)*MAX(0,MIN(1,1-(Z50-impuestos_qbiUmbral*C50)/(impuestos_qbiRango*C50))),0.2*Z50)</f>
        <v/>
      </c>
      <c r="AB50" s="7">
        <f>MAX(0,Z50-AA50)</f>
        <v/>
      </c>
      <c r="AC50" s="7">
        <f>SUMPRODUCT((AB50&gt;tb_federalBrackets_lo*C50)*(AB50-tb_federalBrackets_lo*C50)*tb_federalBrackets_dr)</f>
        <v/>
      </c>
      <c r="AD50" s="7">
        <f>MAX(0,Y50-impuestos_nyDeduccion*C50)</f>
        <v/>
      </c>
      <c r="AE50" s="7">
        <f>CHOOSE(loc_taxcode,0,impuestos_ohTasa*MAX(0,Y50-impuestos_ohExento*C50)+impuestos_ohMunicipal*U50,SUMPRODUCT((AD50&gt;tb_nyBrackets_lo*C50)*(AD50-tb_nyBrackets_lo*C50)*tb_nyBrackets_dr)+loc_nyc*SUMPRODUCT((AD50&gt;tb_nycBrackets_lo*C50)*(AD50-tb_nycBrackets_lo*C50)*tb_nycBrackets_dr))</f>
        <v/>
      </c>
      <c r="AF50" s="7">
        <f>AC50+AE50+X50+W50</f>
        <v/>
      </c>
      <c r="AG50" s="7">
        <f>D50+F50+R50+T50+H50</f>
        <v/>
      </c>
      <c r="AH50" s="7">
        <f>AG50-AF50-O50</f>
        <v/>
      </c>
      <c r="AI50" s="7">
        <f>D50+F50+G50+H50</f>
        <v/>
      </c>
      <c r="AJ50" s="7">
        <f>loc_gastosVida*C50*g_gastos</f>
        <v/>
      </c>
      <c r="AK50" s="7">
        <f>IF(17=0,personal_liquidoInicial,DR49)</f>
        <v/>
      </c>
      <c r="AL50" s="7">
        <f>IF(17=0,0,BB49)</f>
        <v/>
      </c>
      <c r="AM50" s="7">
        <f>CHOOSE(sel_cfgIdx,loc_precio_duplex,loc_precio_inlaw,loc_precio_dosCasas,loc_precio_casaAdu,loc_precio_multi)</f>
        <v/>
      </c>
      <c r="AN50" s="7">
        <f>AM50*(1+g_appr)^(A50-2026)</f>
        <v/>
      </c>
      <c r="AO50" s="7">
        <f>IF(AND(M50=1,vivienda_prestamoMedico=1),1,0)</f>
        <v/>
      </c>
      <c r="AP50" s="7">
        <f>IF(AO50=1,0.05,vivienda_enganchePct)</f>
        <v/>
      </c>
      <c r="AQ50" s="7">
        <f>AN50*(1-AP50)</f>
        <v/>
      </c>
      <c r="AR50" s="7">
        <f>PMT(g_mortRate/12,vivienda_plazoHipoteca*12,-AQ50)</f>
        <v/>
      </c>
      <c r="AS50" s="7">
        <f>INDEX(cfg_units,sel_cfgIdx)</f>
        <v/>
      </c>
      <c r="AT50" s="7">
        <f>AS50*loc_rentaUnidad*(1+g_inf)^(A50-2026)*(1-vivienda_vacancia)</f>
        <v/>
      </c>
      <c r="AU50" s="7">
        <f>AR50+AN50*loc_impuestoPropPct/12+AM50*loc_seguroPct*(1+vivienda_inflacionSeguro)^(A50-2026)/12+IF(AND(AO50=0,AP50&lt;0.2),AQ50*vivienda_pmiTasa/12,0)</f>
        <v/>
      </c>
      <c r="AV50" s="7">
        <f>AN50*AP50+AN50*vivienda_cierrePct+general_reservaMeses/12*AJ50</f>
        <v/>
      </c>
      <c r="AW50" s="7">
        <f>(IF(17=0,MIN(personal_irsSaldo,personal_irsPagoMensual*12),MIN(CD49,personal_irsPagoMensual*12))+IF(CE50&gt;0,PMT(CF50,MAX(1,prestamos_plazoAnios-CG50),-CE50),0)+IF(CR50&gt;0,PMT(CS50,MAX(1,prestamos_plazoAnios-CT50),-CR50),0))/12</f>
        <v/>
      </c>
      <c r="AX50" s="7">
        <f>IF(OR(sel_cfg="duplex",sel_cfg="multi",sel_cfg="dosCasas"),0.75*personal_aporteFamiliaMensual,0)</f>
        <v/>
      </c>
      <c r="AY50" s="7">
        <f>AU50-0.75*AT50-AX50+AW50</f>
        <v/>
      </c>
      <c r="AZ50" s="7">
        <f>(D50+G50+H50+0.5*F50)/12</f>
        <v/>
      </c>
      <c r="BA50" s="7">
        <f>IF(AND(AL50=0,A50&gt;=vivienda_anioMinCompra,J50&lt;0.5,AI50&gt;0,AK50&gt;=AV50,AY50&lt;=vivienda_dtiMax*AZ50),1,0)</f>
        <v/>
      </c>
      <c r="BB50" s="7">
        <f>MAX(AL50,BA50)</f>
        <v/>
      </c>
      <c r="BC50" s="7">
        <f>IF(BA50=1,A50,IF(17=0,"",BC49))</f>
        <v/>
      </c>
      <c r="BD50" s="7">
        <f>AK50-IF(BA50=1,AN50*AP50+AN50*vivienda_cierrePct,0)</f>
        <v/>
      </c>
      <c r="BE50" s="7">
        <f>IF(BA50=1,AN50,IF(17=0,0,BE49))</f>
        <v/>
      </c>
      <c r="BF50" s="7">
        <f>IF(BA50=1,AR50,IF(17=0,0,BF49))</f>
        <v/>
      </c>
      <c r="BG50" s="7">
        <f>IF(BA50=1,IF(AND(AO50=0,AP50&lt;0.2),1,0),IF(17=0,0,BY49))</f>
        <v/>
      </c>
      <c r="BH50" s="7">
        <f>IF(sel_cfg="casaAdu",1,0)</f>
        <v/>
      </c>
      <c r="BI50" s="7">
        <f>IF(AND(BB50=1,BH50=1,IF(17=0,0,BJ49)=0,A50&gt;=IF(BC50="",9999,BC50)+vivienda_aduRetrasoAnios),1,0)</f>
        <v/>
      </c>
      <c r="BJ50" s="7">
        <f>MAX(IF(17=0,0,BJ49),BI50)</f>
        <v/>
      </c>
      <c r="BK50" s="7">
        <f>IF(BI50=1,PMT((g_mortRate+0.005)/12,180,-loc_precio_aduCosto*C50),IF(17=0,0,BK49))</f>
        <v/>
      </c>
      <c r="BL50" s="7">
        <f>IF(BA50=1,AN50,IF(17=0,0,DT49))+IF(BI50=1,loc_precio_aduCosto*C50,0)</f>
        <v/>
      </c>
      <c r="BM50" s="7">
        <f>IF(BA50=1,AQ50,IF(17=0,0,DU49))</f>
        <v/>
      </c>
      <c r="BN50" s="7">
        <f>IF(BM50&lt;=0,0,FV(g_mortRate/12,12,BF50,-BM50))</f>
        <v/>
      </c>
      <c r="BO50" s="7">
        <f>IF(BM50&lt;=0,0,12*BF50+MIN(0,BN50))</f>
        <v/>
      </c>
      <c r="BP50" s="7">
        <f>MAX(0,BN50)</f>
        <v/>
      </c>
      <c r="BQ50" s="7">
        <f>IF(BI50=1,loc_precio_aduCosto*C50,IF(17=0,0,DV49))</f>
        <v/>
      </c>
      <c r="BR50" s="7">
        <f>IF(BQ50&lt;=0,0,FV((g_mortRate+0.005)/12,12,BK50,-BQ50))</f>
        <v/>
      </c>
      <c r="BS50" s="7">
        <f>IF(BQ50&lt;=0,0,12*BK50+MIN(0,BR50))</f>
        <v/>
      </c>
      <c r="BT50" s="7">
        <f>MAX(0,BR50)</f>
        <v/>
      </c>
      <c r="BU50" s="7">
        <f>IF(BB50=1,AM50*loc_seguroPct*(1+vivienda_inflacionSeguro)^(A50-2026)*IF(BJ50=1,1+loc_precio_aduCosto/AM50,1),0)</f>
        <v/>
      </c>
      <c r="BV50" s="7">
        <f>BL50*loc_impuestoPropPct</f>
        <v/>
      </c>
      <c r="BW50" s="7">
        <f>BL50*vivienda_mantenimientoPct</f>
        <v/>
      </c>
      <c r="BX50" s="7">
        <f>IF(AND(BG50=1,BP50&gt;0.8*BE50),BE50*(1-vivienda_enganchePct)*vivienda_pmiTasa,0)</f>
        <v/>
      </c>
      <c r="BY50" s="7">
        <f>IF(AND(BG50=1,BP50&gt;0.8*BE50),1,0)</f>
        <v/>
      </c>
      <c r="BZ50" s="7">
        <f>IF(BB50=1,AS50*loc_rentaUnidad*12*C50*(1-vivienda_vacancia)*(1-vivienda_gestionPct),0)</f>
        <v/>
      </c>
      <c r="CA50" s="7">
        <f>IF(BB50=1,BO50+BS50+BU50+BV50+BW50+BX50,loc_rentaMensual*12*C50)</f>
        <v/>
      </c>
      <c r="CB50" s="7">
        <f>IF(BB50=1,personal_aporteFamiliaMensual*12,0)</f>
        <v/>
      </c>
      <c r="CC50" s="7">
        <f>MIN(IF(17=0,personal_irsSaldo,CD49),personal_irsPagoMensual*12)</f>
        <v/>
      </c>
      <c r="CD50" s="7">
        <f>IF(17=0,personal_irsSaldo,CD49)-CC50</f>
        <v/>
      </c>
      <c r="CE50" s="7">
        <f>IF(17=0,IF(personal_deudaEsFederal=1,personal_deudaEstudiantil,0),DW49)</f>
        <v/>
      </c>
      <c r="CF50" s="7">
        <f>IF(17=0,personal_tasaDeudaEstudiantil,DX49)</f>
        <v/>
      </c>
      <c r="CG50" s="7">
        <f>IF(17=0,0,DY49)</f>
        <v/>
      </c>
      <c r="CH50" s="7">
        <f>IF(J50&gt;=0.5,1,0)</f>
        <v/>
      </c>
      <c r="CI50" s="7">
        <f>IF(AND(CH50=0,prestamos_pslfActivo=1,K50&gt;=0.5,CE50&gt;0),1,0)</f>
        <v/>
      </c>
      <c r="CJ50" s="7">
        <f>CE50*CF50</f>
        <v/>
      </c>
      <c r="CK50" s="7">
        <f>MAX(prestamos_rapPagoMinimoAnual,IF(Y50&lt;10000,0,MIN(0.1,INT(Y50/10000)/100))*Y50)</f>
        <v/>
      </c>
      <c r="CL50" s="7">
        <f>IF(CE50&lt;=0,0,IF(CH50=1,0,IF(CI50=1,MIN(CE50+CJ50,CK50),PMT(CF50,MAX(1,prestamos_plazoAnios-CG50),-CE50))))</f>
        <v/>
      </c>
      <c r="CM50" s="7">
        <f>IF(CE50&lt;=0,0,IF(CH50=1,CE50+CJ50,IF(CI50=1,MAX(0,CE50-MAX(CL50-CJ50,MIN(600,CL50))),MAX(0,CE50*(1+CF50)-CL50))))</f>
        <v/>
      </c>
      <c r="CN50" s="7">
        <f>IF(17=0,0,CN49)+IF(CI50=1,12*MIN(1,K50),0)</f>
        <v/>
      </c>
      <c r="CO50" s="7">
        <f>IF(AND(CI50=1,CN50&gt;=prestamos_pslfPagos,CM50&gt;0),CM50,0)</f>
        <v/>
      </c>
      <c r="CP50" s="7">
        <f>CM50-CO50</f>
        <v/>
      </c>
      <c r="CQ50" s="7">
        <f>IF(AND(CE50&gt;0,CH50=0,CI50=0),CG50+1,CG50)</f>
        <v/>
      </c>
      <c r="CR50" s="7">
        <f>IF(17=0,IF(personal_deudaEsFederal=1,0,personal_deudaEstudiantil),EA49)</f>
        <v/>
      </c>
      <c r="CS50" s="7">
        <f>IF(17=0,IF(personal_deudaEsFederal=1,prestamos_tasaPrivada,personal_tasaDeudaEstudiantil),EB49)</f>
        <v/>
      </c>
      <c r="CT50" s="7">
        <f>IF(17=0,0,EC49)</f>
        <v/>
      </c>
      <c r="CU50" s="7">
        <f>IF(OR(CR50&lt;=0,CH50=1),0,PMT(CS50,MAX(1,prestamos_plazoAnios-CT50),-CR50))</f>
        <v/>
      </c>
      <c r="CV50" s="7">
        <f>IF(CR50&lt;=0,0,IF(CH50=1,CR50*(1+CS50),MAX(0,CR50*(1+CS50)-CU50)))</f>
        <v/>
      </c>
      <c r="CW50" s="7">
        <f>IF(AND(CR50&gt;0,CH50=0),CT50+1,CT50)</f>
        <v/>
      </c>
      <c r="CX50" s="7">
        <f>IF(17=0,0,ED49)*(1+general_tasaDeudaConsumo)</f>
        <v/>
      </c>
      <c r="CY50" s="7">
        <f>L50*12*tiempos_travelGastoExtraMes*C50</f>
        <v/>
      </c>
      <c r="CZ50" s="7">
        <f>AJ50+CY50+CA50+CC50+CL50+CU50+I50+N50-BZ50-CB50</f>
        <v/>
      </c>
      <c r="DA50" s="7">
        <f>AH50-CZ50</f>
        <v/>
      </c>
      <c r="DB50" s="7">
        <f>IF(17=0,0,DB49)+DA50</f>
        <v/>
      </c>
      <c r="DC50" s="7">
        <f>AN50*vivienda_enganchePct+AN50*vivienda_cierrePct+general_reservaMeses/12*AJ50</f>
        <v/>
      </c>
      <c r="DD50" s="7">
        <f>IF(BB50=1,g_ret,IF(BD50&gt;0,MIN(1,DC50/BD50),1)*g_cash+(1-IF(BD50&gt;0,MIN(1,DC50/BD50),1))*g_ret)</f>
        <v/>
      </c>
      <c r="DE50" s="7">
        <f>IF(DA50&gt;=0,MIN(CX50,DA50),0)</f>
        <v/>
      </c>
      <c r="DF50" s="7">
        <f>IF(DA50&gt;=0,(1-general_tasaAhorro)*(DA50-DE50),0)</f>
        <v/>
      </c>
      <c r="DG50" s="7">
        <f>IF(DA50&gt;=0,DA50-DE50-DF50,0)</f>
        <v/>
      </c>
      <c r="DH50" s="7">
        <f>MIN(personal_rothAnual,DG50)</f>
        <v/>
      </c>
      <c r="DI50" s="7">
        <f>IF(AND(DA50&gt;=0,BB50=1,BP50+BT50&gt;0),MIN(vivienda_prepagoPct*(DG50-DH50),BP50+BT50),0)</f>
        <v/>
      </c>
      <c r="DJ50" s="7">
        <f>MIN(DI50,BP50)</f>
        <v/>
      </c>
      <c r="DK50" s="7">
        <f>IF(DA50&lt;0,MIN(MAX(0,BD50),-DA50),0)</f>
        <v/>
      </c>
      <c r="DL50" s="7">
        <f>IF(DA50&lt;0,-DA50-DK50,0)</f>
        <v/>
      </c>
      <c r="DM50" s="7">
        <f>IF(17=0,0,DZ49)</f>
        <v/>
      </c>
      <c r="DN50" s="7">
        <f>IF(AND(DL50&gt;0,J50&gt;0),MIN(DL50,MIN(prestamos_topeAnualPosgrado*MIN(1,J50),MAX(0,prestamos_topeTotalPosgrado-DM50))),0)</f>
        <v/>
      </c>
      <c r="DO50" s="7">
        <f>IF(AND(DL50&gt;0,J50&gt;0),DL50-DN50,0)</f>
        <v/>
      </c>
      <c r="DP50" s="7">
        <f>IF(AND(DL50&gt;0,J50&lt;=0),DL50,0)</f>
        <v/>
      </c>
      <c r="DQ50" s="7">
        <f>IF(DA50&gt;=0,DG50-DH50-DI50,-DK50)</f>
        <v/>
      </c>
      <c r="DR50" s="7">
        <f>BD50*(1+DD50)+DQ50*(1+DD50/2)</f>
        <v/>
      </c>
      <c r="DS50" s="7">
        <f>IF(17=0,personal_retiroInicial,DS49)*(1+g_ret)+(O50+P50+DH50)*(1+g_ret/2)</f>
        <v/>
      </c>
      <c r="DT50" s="7">
        <f>IF(BB50=1,BL50*(1+g_appr),0)</f>
        <v/>
      </c>
      <c r="DU50" s="7">
        <f>BP50-DJ50</f>
        <v/>
      </c>
      <c r="DV50" s="7">
        <f>BT50-(DI50-DJ50)</f>
        <v/>
      </c>
      <c r="DW50" s="7">
        <f>CP50+DN50</f>
        <v/>
      </c>
      <c r="DX50" s="7">
        <f>IF(DN50&gt;0,(CP50*CF50+DN50*prestamos_tasaFederalPosgrado)/(CP50+DN50),CF50)</f>
        <v/>
      </c>
      <c r="DY50" s="7">
        <f>IF(DN50&gt;0,0,CQ50)</f>
        <v/>
      </c>
      <c r="DZ50" s="7">
        <f>DM50+DN50</f>
        <v/>
      </c>
      <c r="EA50" s="7">
        <f>CV50+DO50</f>
        <v/>
      </c>
      <c r="EB50" s="7">
        <f>IF(DO50&gt;0,(CV50*CS50+DO50*prestamos_tasaPrivada)/(CV50+DO50),CS50)</f>
        <v/>
      </c>
      <c r="EC50" s="7">
        <f>IF(DO50&gt;0,0,CW50)</f>
        <v/>
      </c>
      <c r="ED50" s="7">
        <f>CX50-DE50+DP50</f>
        <v/>
      </c>
      <c r="EE50" s="7">
        <f>IF(IF(17=0,"",EE49)&lt;&gt;"",EE49,IF(AND(BB50=1,DU50&lt;=0.5,DV50&lt;=0.5,OR(BH50=0,BJ50=1)),A50,""))</f>
        <v/>
      </c>
      <c r="EF50" s="7">
        <f>DU50+DV50+DW50+EA50+ED50+CD50</f>
        <v/>
      </c>
      <c r="EG50" s="7">
        <f>DR50+DS50+DT50-EF50</f>
        <v/>
      </c>
      <c r="EH50" s="7">
        <f>EG50/(1+g_inf)^(A50+1-2026)</f>
        <v/>
      </c>
    </row>
    <row r="51">
      <c r="A51" t="n">
        <v>2045</v>
      </c>
      <c r="B51" t="n">
        <v>18</v>
      </c>
      <c r="C51" s="7">
        <f>(1+g_inf)^(A51-2026)</f>
        <v/>
      </c>
      <c r="D51" s="7">
        <f>SUMPRODUCT($AL$5:$AL$29,$E$5:$E$29*(1+$F$5:$F$29)^(A51-2026)*$G$5:$G$29*$H$5:$H$29*(1-$N$5:$N$29*$O$5:$O$29))*g_salMult+SUMPRODUCT(($B$5:$B$29&gt;=A51)*($B$5:$B$29&lt;A51+1)*$I$5:$I$29)*g_salMult</f>
        <v/>
      </c>
      <c r="E51" s="7">
        <f>SUMPRODUCT($AL$5:$AL$29,$E$5:$E$29*(1+$F$5:$F$29)^(A51-2026)*$G$5:$G$29*$H$5:$H$29*$M$5:$M$29)*g_salMult</f>
        <v/>
      </c>
      <c r="F51" s="7">
        <f>SUMPRODUCT($AL$5:$AL$29,$E$5:$E$29*(1+$F$5:$F$29)^(A51-2026)*$G$5:$G$29*$H$5:$H$29*$N$5:$N$29*$O$5:$O$29)*g_salMult</f>
        <v/>
      </c>
      <c r="G51" s="7">
        <f>SUMPRODUCT($AL$5:$AL$29,$P$5:$P$29*(1+$F$5:$F$29)^(A51-2026))</f>
        <v/>
      </c>
      <c r="H51" s="7">
        <f>SUMPRODUCT($AL$5:$AL$29,$Q$5:$Q$29*(1+$F$5:$F$29)^(A51-2026))+IF(personal_llcActivo=1,personal_llcNeto*(1+personal_llcCrecimiento)^18,0)</f>
        <v/>
      </c>
      <c r="I51" s="7">
        <f>SUMPRODUCT($AL$5:$AL$29,$J$5:$J$29/($C$5:$C$29-$B$5:$B$29+($C$5:$C$29=$B$5:$B$29)))*C51</f>
        <v/>
      </c>
      <c r="J51" s="7">
        <f>SUMPRODUCT($AL$5:$AL$29,$K$5:$K$29)</f>
        <v/>
      </c>
      <c r="K51" s="7">
        <f>SUMPRODUCT($AL$5:$AL$29,$L$5:$L$29)</f>
        <v/>
      </c>
      <c r="L51" s="7">
        <f>SUMPRODUCT($AL$5:$AL$29,$N$5:$N$29)</f>
        <v/>
      </c>
      <c r="M51" s="7">
        <f>IF(SUMPRODUCT($AL$5:$AL$29,$R$5:$R$29)&gt;0,1,0)</f>
        <v/>
      </c>
      <c r="N51" s="7">
        <f>SUMPRODUCT(($AO$5:$AO$24&gt;=A51)*($AO$5:$AO$24&lt;A51+1)*$AP$5:$AP$24)*C51+IF(18=0,IF(sel_loc&lt;&gt;"miami",personal_costoMudanzaInicial,0),0)</f>
        <v/>
      </c>
      <c r="O51" s="7">
        <f>MIN(personal_aporte403bPct*D51,retiro_limite403b*C51)</f>
        <v/>
      </c>
      <c r="P51" s="7">
        <f>MIN(personal_aporte403bPct,personal_match403bPct)*E51</f>
        <v/>
      </c>
      <c r="Q51" s="7">
        <f>IF(G51&gt;0,MAX(0,G51-impuestos_scorpCostoAnual*C51),0)</f>
        <v/>
      </c>
      <c r="R51" s="7">
        <f>Q51*impuestos_scorpSalarioPct/(1+impuestos_ssTasa+impuestos_medicareTasa)</f>
        <v/>
      </c>
      <c r="S51" s="7">
        <f>impuestos_ssTasa*MIN(R51,MAX(0,impuestos_ssTope*C51-D51))+impuestos_medicareTasa*R51</f>
        <v/>
      </c>
      <c r="T51" s="7">
        <f>Q51-R51-S51</f>
        <v/>
      </c>
      <c r="U51" s="7">
        <f>D51+R51</f>
        <v/>
      </c>
      <c r="V51" s="7">
        <f>H51*0.9235</f>
        <v/>
      </c>
      <c r="W51" s="7">
        <f>IF(H51&gt;0,2*impuestos_ssTasa*MIN(V51,MAX(0,impuestos_ssTope*C51-U51))+2*impuestos_medicareTasa*V51,0)</f>
        <v/>
      </c>
      <c r="X51" s="7">
        <f>impuestos_ssTasa*MIN(U51,impuestos_ssTope*C51)+impuestos_medicareTasa*U51+impuestos_medicareAdicional*MAX(0,U51+H51*0.9235-impuestos_medicareUmbral)</f>
        <v/>
      </c>
      <c r="Y51" s="7">
        <f>MAX(0,D51-O51+R51+T51+H51-W51/2)</f>
        <v/>
      </c>
      <c r="Z51" s="7">
        <f>MAX(0,Y51-impuestos_deduccionEstandar*C51)</f>
        <v/>
      </c>
      <c r="AA51" s="7">
        <f>MIN(0.2*MAX(0,T51+H51-W51/2)*MAX(0,MIN(1,1-(Z51-impuestos_qbiUmbral*C51)/(impuestos_qbiRango*C51))),0.2*Z51)</f>
        <v/>
      </c>
      <c r="AB51" s="7">
        <f>MAX(0,Z51-AA51)</f>
        <v/>
      </c>
      <c r="AC51" s="7">
        <f>SUMPRODUCT((AB51&gt;tb_federalBrackets_lo*C51)*(AB51-tb_federalBrackets_lo*C51)*tb_federalBrackets_dr)</f>
        <v/>
      </c>
      <c r="AD51" s="7">
        <f>MAX(0,Y51-impuestos_nyDeduccion*C51)</f>
        <v/>
      </c>
      <c r="AE51" s="7">
        <f>CHOOSE(loc_taxcode,0,impuestos_ohTasa*MAX(0,Y51-impuestos_ohExento*C51)+impuestos_ohMunicipal*U51,SUMPRODUCT((AD51&gt;tb_nyBrackets_lo*C51)*(AD51-tb_nyBrackets_lo*C51)*tb_nyBrackets_dr)+loc_nyc*SUMPRODUCT((AD51&gt;tb_nycBrackets_lo*C51)*(AD51-tb_nycBrackets_lo*C51)*tb_nycBrackets_dr))</f>
        <v/>
      </c>
      <c r="AF51" s="7">
        <f>AC51+AE51+X51+W51</f>
        <v/>
      </c>
      <c r="AG51" s="7">
        <f>D51+F51+R51+T51+H51</f>
        <v/>
      </c>
      <c r="AH51" s="7">
        <f>AG51-AF51-O51</f>
        <v/>
      </c>
      <c r="AI51" s="7">
        <f>D51+F51+G51+H51</f>
        <v/>
      </c>
      <c r="AJ51" s="7">
        <f>loc_gastosVida*C51*g_gastos</f>
        <v/>
      </c>
      <c r="AK51" s="7">
        <f>IF(18=0,personal_liquidoInicial,DR50)</f>
        <v/>
      </c>
      <c r="AL51" s="7">
        <f>IF(18=0,0,BB50)</f>
        <v/>
      </c>
      <c r="AM51" s="7">
        <f>CHOOSE(sel_cfgIdx,loc_precio_duplex,loc_precio_inlaw,loc_precio_dosCasas,loc_precio_casaAdu,loc_precio_multi)</f>
        <v/>
      </c>
      <c r="AN51" s="7">
        <f>AM51*(1+g_appr)^(A51-2026)</f>
        <v/>
      </c>
      <c r="AO51" s="7">
        <f>IF(AND(M51=1,vivienda_prestamoMedico=1),1,0)</f>
        <v/>
      </c>
      <c r="AP51" s="7">
        <f>IF(AO51=1,0.05,vivienda_enganchePct)</f>
        <v/>
      </c>
      <c r="AQ51" s="7">
        <f>AN51*(1-AP51)</f>
        <v/>
      </c>
      <c r="AR51" s="7">
        <f>PMT(g_mortRate/12,vivienda_plazoHipoteca*12,-AQ51)</f>
        <v/>
      </c>
      <c r="AS51" s="7">
        <f>INDEX(cfg_units,sel_cfgIdx)</f>
        <v/>
      </c>
      <c r="AT51" s="7">
        <f>AS51*loc_rentaUnidad*(1+g_inf)^(A51-2026)*(1-vivienda_vacancia)</f>
        <v/>
      </c>
      <c r="AU51" s="7">
        <f>AR51+AN51*loc_impuestoPropPct/12+AM51*loc_seguroPct*(1+vivienda_inflacionSeguro)^(A51-2026)/12+IF(AND(AO51=0,AP51&lt;0.2),AQ51*vivienda_pmiTasa/12,0)</f>
        <v/>
      </c>
      <c r="AV51" s="7">
        <f>AN51*AP51+AN51*vivienda_cierrePct+general_reservaMeses/12*AJ51</f>
        <v/>
      </c>
      <c r="AW51" s="7">
        <f>(IF(18=0,MIN(personal_irsSaldo,personal_irsPagoMensual*12),MIN(CD50,personal_irsPagoMensual*12))+IF(CE51&gt;0,PMT(CF51,MAX(1,prestamos_plazoAnios-CG51),-CE51),0)+IF(CR51&gt;0,PMT(CS51,MAX(1,prestamos_plazoAnios-CT51),-CR51),0))/12</f>
        <v/>
      </c>
      <c r="AX51" s="7">
        <f>IF(OR(sel_cfg="duplex",sel_cfg="multi",sel_cfg="dosCasas"),0.75*personal_aporteFamiliaMensual,0)</f>
        <v/>
      </c>
      <c r="AY51" s="7">
        <f>AU51-0.75*AT51-AX51+AW51</f>
        <v/>
      </c>
      <c r="AZ51" s="7">
        <f>(D51+G51+H51+0.5*F51)/12</f>
        <v/>
      </c>
      <c r="BA51" s="7">
        <f>IF(AND(AL51=0,A51&gt;=vivienda_anioMinCompra,J51&lt;0.5,AI51&gt;0,AK51&gt;=AV51,AY51&lt;=vivienda_dtiMax*AZ51),1,0)</f>
        <v/>
      </c>
      <c r="BB51" s="7">
        <f>MAX(AL51,BA51)</f>
        <v/>
      </c>
      <c r="BC51" s="7">
        <f>IF(BA51=1,A51,IF(18=0,"",BC50))</f>
        <v/>
      </c>
      <c r="BD51" s="7">
        <f>AK51-IF(BA51=1,AN51*AP51+AN51*vivienda_cierrePct,0)</f>
        <v/>
      </c>
      <c r="BE51" s="7">
        <f>IF(BA51=1,AN51,IF(18=0,0,BE50))</f>
        <v/>
      </c>
      <c r="BF51" s="7">
        <f>IF(BA51=1,AR51,IF(18=0,0,BF50))</f>
        <v/>
      </c>
      <c r="BG51" s="7">
        <f>IF(BA51=1,IF(AND(AO51=0,AP51&lt;0.2),1,0),IF(18=0,0,BY50))</f>
        <v/>
      </c>
      <c r="BH51" s="7">
        <f>IF(sel_cfg="casaAdu",1,0)</f>
        <v/>
      </c>
      <c r="BI51" s="7">
        <f>IF(AND(BB51=1,BH51=1,IF(18=0,0,BJ50)=0,A51&gt;=IF(BC51="",9999,BC51)+vivienda_aduRetrasoAnios),1,0)</f>
        <v/>
      </c>
      <c r="BJ51" s="7">
        <f>MAX(IF(18=0,0,BJ50),BI51)</f>
        <v/>
      </c>
      <c r="BK51" s="7">
        <f>IF(BI51=1,PMT((g_mortRate+0.005)/12,180,-loc_precio_aduCosto*C51),IF(18=0,0,BK50))</f>
        <v/>
      </c>
      <c r="BL51" s="7">
        <f>IF(BA51=1,AN51,IF(18=0,0,DT50))+IF(BI51=1,loc_precio_aduCosto*C51,0)</f>
        <v/>
      </c>
      <c r="BM51" s="7">
        <f>IF(BA51=1,AQ51,IF(18=0,0,DU50))</f>
        <v/>
      </c>
      <c r="BN51" s="7">
        <f>IF(BM51&lt;=0,0,FV(g_mortRate/12,12,BF51,-BM51))</f>
        <v/>
      </c>
      <c r="BO51" s="7">
        <f>IF(BM51&lt;=0,0,12*BF51+MIN(0,BN51))</f>
        <v/>
      </c>
      <c r="BP51" s="7">
        <f>MAX(0,BN51)</f>
        <v/>
      </c>
      <c r="BQ51" s="7">
        <f>IF(BI51=1,loc_precio_aduCosto*C51,IF(18=0,0,DV50))</f>
        <v/>
      </c>
      <c r="BR51" s="7">
        <f>IF(BQ51&lt;=0,0,FV((g_mortRate+0.005)/12,12,BK51,-BQ51))</f>
        <v/>
      </c>
      <c r="BS51" s="7">
        <f>IF(BQ51&lt;=0,0,12*BK51+MIN(0,BR51))</f>
        <v/>
      </c>
      <c r="BT51" s="7">
        <f>MAX(0,BR51)</f>
        <v/>
      </c>
      <c r="BU51" s="7">
        <f>IF(BB51=1,AM51*loc_seguroPct*(1+vivienda_inflacionSeguro)^(A51-2026)*IF(BJ51=1,1+loc_precio_aduCosto/AM51,1),0)</f>
        <v/>
      </c>
      <c r="BV51" s="7">
        <f>BL51*loc_impuestoPropPct</f>
        <v/>
      </c>
      <c r="BW51" s="7">
        <f>BL51*vivienda_mantenimientoPct</f>
        <v/>
      </c>
      <c r="BX51" s="7">
        <f>IF(AND(BG51=1,BP51&gt;0.8*BE51),BE51*(1-vivienda_enganchePct)*vivienda_pmiTasa,0)</f>
        <v/>
      </c>
      <c r="BY51" s="7">
        <f>IF(AND(BG51=1,BP51&gt;0.8*BE51),1,0)</f>
        <v/>
      </c>
      <c r="BZ51" s="7">
        <f>IF(BB51=1,AS51*loc_rentaUnidad*12*C51*(1-vivienda_vacancia)*(1-vivienda_gestionPct),0)</f>
        <v/>
      </c>
      <c r="CA51" s="7">
        <f>IF(BB51=1,BO51+BS51+BU51+BV51+BW51+BX51,loc_rentaMensual*12*C51)</f>
        <v/>
      </c>
      <c r="CB51" s="7">
        <f>IF(BB51=1,personal_aporteFamiliaMensual*12,0)</f>
        <v/>
      </c>
      <c r="CC51" s="7">
        <f>MIN(IF(18=0,personal_irsSaldo,CD50),personal_irsPagoMensual*12)</f>
        <v/>
      </c>
      <c r="CD51" s="7">
        <f>IF(18=0,personal_irsSaldo,CD50)-CC51</f>
        <v/>
      </c>
      <c r="CE51" s="7">
        <f>IF(18=0,IF(personal_deudaEsFederal=1,personal_deudaEstudiantil,0),DW50)</f>
        <v/>
      </c>
      <c r="CF51" s="7">
        <f>IF(18=0,personal_tasaDeudaEstudiantil,DX50)</f>
        <v/>
      </c>
      <c r="CG51" s="7">
        <f>IF(18=0,0,DY50)</f>
        <v/>
      </c>
      <c r="CH51" s="7">
        <f>IF(J51&gt;=0.5,1,0)</f>
        <v/>
      </c>
      <c r="CI51" s="7">
        <f>IF(AND(CH51=0,prestamos_pslfActivo=1,K51&gt;=0.5,CE51&gt;0),1,0)</f>
        <v/>
      </c>
      <c r="CJ51" s="7">
        <f>CE51*CF51</f>
        <v/>
      </c>
      <c r="CK51" s="7">
        <f>MAX(prestamos_rapPagoMinimoAnual,IF(Y51&lt;10000,0,MIN(0.1,INT(Y51/10000)/100))*Y51)</f>
        <v/>
      </c>
      <c r="CL51" s="7">
        <f>IF(CE51&lt;=0,0,IF(CH51=1,0,IF(CI51=1,MIN(CE51+CJ51,CK51),PMT(CF51,MAX(1,prestamos_plazoAnios-CG51),-CE51))))</f>
        <v/>
      </c>
      <c r="CM51" s="7">
        <f>IF(CE51&lt;=0,0,IF(CH51=1,CE51+CJ51,IF(CI51=1,MAX(0,CE51-MAX(CL51-CJ51,MIN(600,CL51))),MAX(0,CE51*(1+CF51)-CL51))))</f>
        <v/>
      </c>
      <c r="CN51" s="7">
        <f>IF(18=0,0,CN50)+IF(CI51=1,12*MIN(1,K51),0)</f>
        <v/>
      </c>
      <c r="CO51" s="7">
        <f>IF(AND(CI51=1,CN51&gt;=prestamos_pslfPagos,CM51&gt;0),CM51,0)</f>
        <v/>
      </c>
      <c r="CP51" s="7">
        <f>CM51-CO51</f>
        <v/>
      </c>
      <c r="CQ51" s="7">
        <f>IF(AND(CE51&gt;0,CH51=0,CI51=0),CG51+1,CG51)</f>
        <v/>
      </c>
      <c r="CR51" s="7">
        <f>IF(18=0,IF(personal_deudaEsFederal=1,0,personal_deudaEstudiantil),EA50)</f>
        <v/>
      </c>
      <c r="CS51" s="7">
        <f>IF(18=0,IF(personal_deudaEsFederal=1,prestamos_tasaPrivada,personal_tasaDeudaEstudiantil),EB50)</f>
        <v/>
      </c>
      <c r="CT51" s="7">
        <f>IF(18=0,0,EC50)</f>
        <v/>
      </c>
      <c r="CU51" s="7">
        <f>IF(OR(CR51&lt;=0,CH51=1),0,PMT(CS51,MAX(1,prestamos_plazoAnios-CT51),-CR51))</f>
        <v/>
      </c>
      <c r="CV51" s="7">
        <f>IF(CR51&lt;=0,0,IF(CH51=1,CR51*(1+CS51),MAX(0,CR51*(1+CS51)-CU51)))</f>
        <v/>
      </c>
      <c r="CW51" s="7">
        <f>IF(AND(CR51&gt;0,CH51=0),CT51+1,CT51)</f>
        <v/>
      </c>
      <c r="CX51" s="7">
        <f>IF(18=0,0,ED50)*(1+general_tasaDeudaConsumo)</f>
        <v/>
      </c>
      <c r="CY51" s="7">
        <f>L51*12*tiempos_travelGastoExtraMes*C51</f>
        <v/>
      </c>
      <c r="CZ51" s="7">
        <f>AJ51+CY51+CA51+CC51+CL51+CU51+I51+N51-BZ51-CB51</f>
        <v/>
      </c>
      <c r="DA51" s="7">
        <f>AH51-CZ51</f>
        <v/>
      </c>
      <c r="DB51" s="7">
        <f>IF(18=0,0,DB50)+DA51</f>
        <v/>
      </c>
      <c r="DC51" s="7">
        <f>AN51*vivienda_enganchePct+AN51*vivienda_cierrePct+general_reservaMeses/12*AJ51</f>
        <v/>
      </c>
      <c r="DD51" s="7">
        <f>IF(BB51=1,g_ret,IF(BD51&gt;0,MIN(1,DC51/BD51),1)*g_cash+(1-IF(BD51&gt;0,MIN(1,DC51/BD51),1))*g_ret)</f>
        <v/>
      </c>
      <c r="DE51" s="7">
        <f>IF(DA51&gt;=0,MIN(CX51,DA51),0)</f>
        <v/>
      </c>
      <c r="DF51" s="7">
        <f>IF(DA51&gt;=0,(1-general_tasaAhorro)*(DA51-DE51),0)</f>
        <v/>
      </c>
      <c r="DG51" s="7">
        <f>IF(DA51&gt;=0,DA51-DE51-DF51,0)</f>
        <v/>
      </c>
      <c r="DH51" s="7">
        <f>MIN(personal_rothAnual,DG51)</f>
        <v/>
      </c>
      <c r="DI51" s="7">
        <f>IF(AND(DA51&gt;=0,BB51=1,BP51+BT51&gt;0),MIN(vivienda_prepagoPct*(DG51-DH51),BP51+BT51),0)</f>
        <v/>
      </c>
      <c r="DJ51" s="7">
        <f>MIN(DI51,BP51)</f>
        <v/>
      </c>
      <c r="DK51" s="7">
        <f>IF(DA51&lt;0,MIN(MAX(0,BD51),-DA51),0)</f>
        <v/>
      </c>
      <c r="DL51" s="7">
        <f>IF(DA51&lt;0,-DA51-DK51,0)</f>
        <v/>
      </c>
      <c r="DM51" s="7">
        <f>IF(18=0,0,DZ50)</f>
        <v/>
      </c>
      <c r="DN51" s="7">
        <f>IF(AND(DL51&gt;0,J51&gt;0),MIN(DL51,MIN(prestamos_topeAnualPosgrado*MIN(1,J51),MAX(0,prestamos_topeTotalPosgrado-DM51))),0)</f>
        <v/>
      </c>
      <c r="DO51" s="7">
        <f>IF(AND(DL51&gt;0,J51&gt;0),DL51-DN51,0)</f>
        <v/>
      </c>
      <c r="DP51" s="7">
        <f>IF(AND(DL51&gt;0,J51&lt;=0),DL51,0)</f>
        <v/>
      </c>
      <c r="DQ51" s="7">
        <f>IF(DA51&gt;=0,DG51-DH51-DI51,-DK51)</f>
        <v/>
      </c>
      <c r="DR51" s="7">
        <f>BD51*(1+DD51)+DQ51*(1+DD51/2)</f>
        <v/>
      </c>
      <c r="DS51" s="7">
        <f>IF(18=0,personal_retiroInicial,DS50)*(1+g_ret)+(O51+P51+DH51)*(1+g_ret/2)</f>
        <v/>
      </c>
      <c r="DT51" s="7">
        <f>IF(BB51=1,BL51*(1+g_appr),0)</f>
        <v/>
      </c>
      <c r="DU51" s="7">
        <f>BP51-DJ51</f>
        <v/>
      </c>
      <c r="DV51" s="7">
        <f>BT51-(DI51-DJ51)</f>
        <v/>
      </c>
      <c r="DW51" s="7">
        <f>CP51+DN51</f>
        <v/>
      </c>
      <c r="DX51" s="7">
        <f>IF(DN51&gt;0,(CP51*CF51+DN51*prestamos_tasaFederalPosgrado)/(CP51+DN51),CF51)</f>
        <v/>
      </c>
      <c r="DY51" s="7">
        <f>IF(DN51&gt;0,0,CQ51)</f>
        <v/>
      </c>
      <c r="DZ51" s="7">
        <f>DM51+DN51</f>
        <v/>
      </c>
      <c r="EA51" s="7">
        <f>CV51+DO51</f>
        <v/>
      </c>
      <c r="EB51" s="7">
        <f>IF(DO51&gt;0,(CV51*CS51+DO51*prestamos_tasaPrivada)/(CV51+DO51),CS51)</f>
        <v/>
      </c>
      <c r="EC51" s="7">
        <f>IF(DO51&gt;0,0,CW51)</f>
        <v/>
      </c>
      <c r="ED51" s="7">
        <f>CX51-DE51+DP51</f>
        <v/>
      </c>
      <c r="EE51" s="7">
        <f>IF(IF(18=0,"",EE50)&lt;&gt;"",EE50,IF(AND(BB51=1,DU51&lt;=0.5,DV51&lt;=0.5,OR(BH51=0,BJ51=1)),A51,""))</f>
        <v/>
      </c>
      <c r="EF51" s="7">
        <f>DU51+DV51+DW51+EA51+ED51+CD51</f>
        <v/>
      </c>
      <c r="EG51" s="7">
        <f>DR51+DS51+DT51-EF51</f>
        <v/>
      </c>
      <c r="EH51" s="7">
        <f>EG51/(1+g_inf)^(A51+1-2026)</f>
        <v/>
      </c>
    </row>
    <row r="52">
      <c r="A52" t="n">
        <v>2046</v>
      </c>
      <c r="B52" t="n">
        <v>19</v>
      </c>
      <c r="C52" s="7">
        <f>(1+g_inf)^(A52-2026)</f>
        <v/>
      </c>
      <c r="D52" s="7">
        <f>SUMPRODUCT($AM$5:$AM$29,$E$5:$E$29*(1+$F$5:$F$29)^(A52-2026)*$G$5:$G$29*$H$5:$H$29*(1-$N$5:$N$29*$O$5:$O$29))*g_salMult+SUMPRODUCT(($B$5:$B$29&gt;=A52)*($B$5:$B$29&lt;A52+1)*$I$5:$I$29)*g_salMult</f>
        <v/>
      </c>
      <c r="E52" s="7">
        <f>SUMPRODUCT($AM$5:$AM$29,$E$5:$E$29*(1+$F$5:$F$29)^(A52-2026)*$G$5:$G$29*$H$5:$H$29*$M$5:$M$29)*g_salMult</f>
        <v/>
      </c>
      <c r="F52" s="7">
        <f>SUMPRODUCT($AM$5:$AM$29,$E$5:$E$29*(1+$F$5:$F$29)^(A52-2026)*$G$5:$G$29*$H$5:$H$29*$N$5:$N$29*$O$5:$O$29)*g_salMult</f>
        <v/>
      </c>
      <c r="G52" s="7">
        <f>SUMPRODUCT($AM$5:$AM$29,$P$5:$P$29*(1+$F$5:$F$29)^(A52-2026))</f>
        <v/>
      </c>
      <c r="H52" s="7">
        <f>SUMPRODUCT($AM$5:$AM$29,$Q$5:$Q$29*(1+$F$5:$F$29)^(A52-2026))+IF(personal_llcActivo=1,personal_llcNeto*(1+personal_llcCrecimiento)^19,0)</f>
        <v/>
      </c>
      <c r="I52" s="7">
        <f>SUMPRODUCT($AM$5:$AM$29,$J$5:$J$29/($C$5:$C$29-$B$5:$B$29+($C$5:$C$29=$B$5:$B$29)))*C52</f>
        <v/>
      </c>
      <c r="J52" s="7">
        <f>SUMPRODUCT($AM$5:$AM$29,$K$5:$K$29)</f>
        <v/>
      </c>
      <c r="K52" s="7">
        <f>SUMPRODUCT($AM$5:$AM$29,$L$5:$L$29)</f>
        <v/>
      </c>
      <c r="L52" s="7">
        <f>SUMPRODUCT($AM$5:$AM$29,$N$5:$N$29)</f>
        <v/>
      </c>
      <c r="M52" s="7">
        <f>IF(SUMPRODUCT($AM$5:$AM$29,$R$5:$R$29)&gt;0,1,0)</f>
        <v/>
      </c>
      <c r="N52" s="7">
        <f>SUMPRODUCT(($AO$5:$AO$24&gt;=A52)*($AO$5:$AO$24&lt;A52+1)*$AP$5:$AP$24)*C52+IF(19=0,IF(sel_loc&lt;&gt;"miami",personal_costoMudanzaInicial,0),0)</f>
        <v/>
      </c>
      <c r="O52" s="7">
        <f>MIN(personal_aporte403bPct*D52,retiro_limite403b*C52)</f>
        <v/>
      </c>
      <c r="P52" s="7">
        <f>MIN(personal_aporte403bPct,personal_match403bPct)*E52</f>
        <v/>
      </c>
      <c r="Q52" s="7">
        <f>IF(G52&gt;0,MAX(0,G52-impuestos_scorpCostoAnual*C52),0)</f>
        <v/>
      </c>
      <c r="R52" s="7">
        <f>Q52*impuestos_scorpSalarioPct/(1+impuestos_ssTasa+impuestos_medicareTasa)</f>
        <v/>
      </c>
      <c r="S52" s="7">
        <f>impuestos_ssTasa*MIN(R52,MAX(0,impuestos_ssTope*C52-D52))+impuestos_medicareTasa*R52</f>
        <v/>
      </c>
      <c r="T52" s="7">
        <f>Q52-R52-S52</f>
        <v/>
      </c>
      <c r="U52" s="7">
        <f>D52+R52</f>
        <v/>
      </c>
      <c r="V52" s="7">
        <f>H52*0.9235</f>
        <v/>
      </c>
      <c r="W52" s="7">
        <f>IF(H52&gt;0,2*impuestos_ssTasa*MIN(V52,MAX(0,impuestos_ssTope*C52-U52))+2*impuestos_medicareTasa*V52,0)</f>
        <v/>
      </c>
      <c r="X52" s="7">
        <f>impuestos_ssTasa*MIN(U52,impuestos_ssTope*C52)+impuestos_medicareTasa*U52+impuestos_medicareAdicional*MAX(0,U52+H52*0.9235-impuestos_medicareUmbral)</f>
        <v/>
      </c>
      <c r="Y52" s="7">
        <f>MAX(0,D52-O52+R52+T52+H52-W52/2)</f>
        <v/>
      </c>
      <c r="Z52" s="7">
        <f>MAX(0,Y52-impuestos_deduccionEstandar*C52)</f>
        <v/>
      </c>
      <c r="AA52" s="7">
        <f>MIN(0.2*MAX(0,T52+H52-W52/2)*MAX(0,MIN(1,1-(Z52-impuestos_qbiUmbral*C52)/(impuestos_qbiRango*C52))),0.2*Z52)</f>
        <v/>
      </c>
      <c r="AB52" s="7">
        <f>MAX(0,Z52-AA52)</f>
        <v/>
      </c>
      <c r="AC52" s="7">
        <f>SUMPRODUCT((AB52&gt;tb_federalBrackets_lo*C52)*(AB52-tb_federalBrackets_lo*C52)*tb_federalBrackets_dr)</f>
        <v/>
      </c>
      <c r="AD52" s="7">
        <f>MAX(0,Y52-impuestos_nyDeduccion*C52)</f>
        <v/>
      </c>
      <c r="AE52" s="7">
        <f>CHOOSE(loc_taxcode,0,impuestos_ohTasa*MAX(0,Y52-impuestos_ohExento*C52)+impuestos_ohMunicipal*U52,SUMPRODUCT((AD52&gt;tb_nyBrackets_lo*C52)*(AD52-tb_nyBrackets_lo*C52)*tb_nyBrackets_dr)+loc_nyc*SUMPRODUCT((AD52&gt;tb_nycBrackets_lo*C52)*(AD52-tb_nycBrackets_lo*C52)*tb_nycBrackets_dr))</f>
        <v/>
      </c>
      <c r="AF52" s="7">
        <f>AC52+AE52+X52+W52</f>
        <v/>
      </c>
      <c r="AG52" s="7">
        <f>D52+F52+R52+T52+H52</f>
        <v/>
      </c>
      <c r="AH52" s="7">
        <f>AG52-AF52-O52</f>
        <v/>
      </c>
      <c r="AI52" s="7">
        <f>D52+F52+G52+H52</f>
        <v/>
      </c>
      <c r="AJ52" s="7">
        <f>loc_gastosVida*C52*g_gastos</f>
        <v/>
      </c>
      <c r="AK52" s="7">
        <f>IF(19=0,personal_liquidoInicial,DR51)</f>
        <v/>
      </c>
      <c r="AL52" s="7">
        <f>IF(19=0,0,BB51)</f>
        <v/>
      </c>
      <c r="AM52" s="7">
        <f>CHOOSE(sel_cfgIdx,loc_precio_duplex,loc_precio_inlaw,loc_precio_dosCasas,loc_precio_casaAdu,loc_precio_multi)</f>
        <v/>
      </c>
      <c r="AN52" s="7">
        <f>AM52*(1+g_appr)^(A52-2026)</f>
        <v/>
      </c>
      <c r="AO52" s="7">
        <f>IF(AND(M52=1,vivienda_prestamoMedico=1),1,0)</f>
        <v/>
      </c>
      <c r="AP52" s="7">
        <f>IF(AO52=1,0.05,vivienda_enganchePct)</f>
        <v/>
      </c>
      <c r="AQ52" s="7">
        <f>AN52*(1-AP52)</f>
        <v/>
      </c>
      <c r="AR52" s="7">
        <f>PMT(g_mortRate/12,vivienda_plazoHipoteca*12,-AQ52)</f>
        <v/>
      </c>
      <c r="AS52" s="7">
        <f>INDEX(cfg_units,sel_cfgIdx)</f>
        <v/>
      </c>
      <c r="AT52" s="7">
        <f>AS52*loc_rentaUnidad*(1+g_inf)^(A52-2026)*(1-vivienda_vacancia)</f>
        <v/>
      </c>
      <c r="AU52" s="7">
        <f>AR52+AN52*loc_impuestoPropPct/12+AM52*loc_seguroPct*(1+vivienda_inflacionSeguro)^(A52-2026)/12+IF(AND(AO52=0,AP52&lt;0.2),AQ52*vivienda_pmiTasa/12,0)</f>
        <v/>
      </c>
      <c r="AV52" s="7">
        <f>AN52*AP52+AN52*vivienda_cierrePct+general_reservaMeses/12*AJ52</f>
        <v/>
      </c>
      <c r="AW52" s="7">
        <f>(IF(19=0,MIN(personal_irsSaldo,personal_irsPagoMensual*12),MIN(CD51,personal_irsPagoMensual*12))+IF(CE52&gt;0,PMT(CF52,MAX(1,prestamos_plazoAnios-CG52),-CE52),0)+IF(CR52&gt;0,PMT(CS52,MAX(1,prestamos_plazoAnios-CT52),-CR52),0))/12</f>
        <v/>
      </c>
      <c r="AX52" s="7">
        <f>IF(OR(sel_cfg="duplex",sel_cfg="multi",sel_cfg="dosCasas"),0.75*personal_aporteFamiliaMensual,0)</f>
        <v/>
      </c>
      <c r="AY52" s="7">
        <f>AU52-0.75*AT52-AX52+AW52</f>
        <v/>
      </c>
      <c r="AZ52" s="7">
        <f>(D52+G52+H52+0.5*F52)/12</f>
        <v/>
      </c>
      <c r="BA52" s="7">
        <f>IF(AND(AL52=0,A52&gt;=vivienda_anioMinCompra,J52&lt;0.5,AI52&gt;0,AK52&gt;=AV52,AY52&lt;=vivienda_dtiMax*AZ52),1,0)</f>
        <v/>
      </c>
      <c r="BB52" s="7">
        <f>MAX(AL52,BA52)</f>
        <v/>
      </c>
      <c r="BC52" s="7">
        <f>IF(BA52=1,A52,IF(19=0,"",BC51))</f>
        <v/>
      </c>
      <c r="BD52" s="7">
        <f>AK52-IF(BA52=1,AN52*AP52+AN52*vivienda_cierrePct,0)</f>
        <v/>
      </c>
      <c r="BE52" s="7">
        <f>IF(BA52=1,AN52,IF(19=0,0,BE51))</f>
        <v/>
      </c>
      <c r="BF52" s="7">
        <f>IF(BA52=1,AR52,IF(19=0,0,BF51))</f>
        <v/>
      </c>
      <c r="BG52" s="7">
        <f>IF(BA52=1,IF(AND(AO52=0,AP52&lt;0.2),1,0),IF(19=0,0,BY51))</f>
        <v/>
      </c>
      <c r="BH52" s="7">
        <f>IF(sel_cfg="casaAdu",1,0)</f>
        <v/>
      </c>
      <c r="BI52" s="7">
        <f>IF(AND(BB52=1,BH52=1,IF(19=0,0,BJ51)=0,A52&gt;=IF(BC52="",9999,BC52)+vivienda_aduRetrasoAnios),1,0)</f>
        <v/>
      </c>
      <c r="BJ52" s="7">
        <f>MAX(IF(19=0,0,BJ51),BI52)</f>
        <v/>
      </c>
      <c r="BK52" s="7">
        <f>IF(BI52=1,PMT((g_mortRate+0.005)/12,180,-loc_precio_aduCosto*C52),IF(19=0,0,BK51))</f>
        <v/>
      </c>
      <c r="BL52" s="7">
        <f>IF(BA52=1,AN52,IF(19=0,0,DT51))+IF(BI52=1,loc_precio_aduCosto*C52,0)</f>
        <v/>
      </c>
      <c r="BM52" s="7">
        <f>IF(BA52=1,AQ52,IF(19=0,0,DU51))</f>
        <v/>
      </c>
      <c r="BN52" s="7">
        <f>IF(BM52&lt;=0,0,FV(g_mortRate/12,12,BF52,-BM52))</f>
        <v/>
      </c>
      <c r="BO52" s="7">
        <f>IF(BM52&lt;=0,0,12*BF52+MIN(0,BN52))</f>
        <v/>
      </c>
      <c r="BP52" s="7">
        <f>MAX(0,BN52)</f>
        <v/>
      </c>
      <c r="BQ52" s="7">
        <f>IF(BI52=1,loc_precio_aduCosto*C52,IF(19=0,0,DV51))</f>
        <v/>
      </c>
      <c r="BR52" s="7">
        <f>IF(BQ52&lt;=0,0,FV((g_mortRate+0.005)/12,12,BK52,-BQ52))</f>
        <v/>
      </c>
      <c r="BS52" s="7">
        <f>IF(BQ52&lt;=0,0,12*BK52+MIN(0,BR52))</f>
        <v/>
      </c>
      <c r="BT52" s="7">
        <f>MAX(0,BR52)</f>
        <v/>
      </c>
      <c r="BU52" s="7">
        <f>IF(BB52=1,AM52*loc_seguroPct*(1+vivienda_inflacionSeguro)^(A52-2026)*IF(BJ52=1,1+loc_precio_aduCosto/AM52,1),0)</f>
        <v/>
      </c>
      <c r="BV52" s="7">
        <f>BL52*loc_impuestoPropPct</f>
        <v/>
      </c>
      <c r="BW52" s="7">
        <f>BL52*vivienda_mantenimientoPct</f>
        <v/>
      </c>
      <c r="BX52" s="7">
        <f>IF(AND(BG52=1,BP52&gt;0.8*BE52),BE52*(1-vivienda_enganchePct)*vivienda_pmiTasa,0)</f>
        <v/>
      </c>
      <c r="BY52" s="7">
        <f>IF(AND(BG52=1,BP52&gt;0.8*BE52),1,0)</f>
        <v/>
      </c>
      <c r="BZ52" s="7">
        <f>IF(BB52=1,AS52*loc_rentaUnidad*12*C52*(1-vivienda_vacancia)*(1-vivienda_gestionPct),0)</f>
        <v/>
      </c>
      <c r="CA52" s="7">
        <f>IF(BB52=1,BO52+BS52+BU52+BV52+BW52+BX52,loc_rentaMensual*12*C52)</f>
        <v/>
      </c>
      <c r="CB52" s="7">
        <f>IF(BB52=1,personal_aporteFamiliaMensual*12,0)</f>
        <v/>
      </c>
      <c r="CC52" s="7">
        <f>MIN(IF(19=0,personal_irsSaldo,CD51),personal_irsPagoMensual*12)</f>
        <v/>
      </c>
      <c r="CD52" s="7">
        <f>IF(19=0,personal_irsSaldo,CD51)-CC52</f>
        <v/>
      </c>
      <c r="CE52" s="7">
        <f>IF(19=0,IF(personal_deudaEsFederal=1,personal_deudaEstudiantil,0),DW51)</f>
        <v/>
      </c>
      <c r="CF52" s="7">
        <f>IF(19=0,personal_tasaDeudaEstudiantil,DX51)</f>
        <v/>
      </c>
      <c r="CG52" s="7">
        <f>IF(19=0,0,DY51)</f>
        <v/>
      </c>
      <c r="CH52" s="7">
        <f>IF(J52&gt;=0.5,1,0)</f>
        <v/>
      </c>
      <c r="CI52" s="7">
        <f>IF(AND(CH52=0,prestamos_pslfActivo=1,K52&gt;=0.5,CE52&gt;0),1,0)</f>
        <v/>
      </c>
      <c r="CJ52" s="7">
        <f>CE52*CF52</f>
        <v/>
      </c>
      <c r="CK52" s="7">
        <f>MAX(prestamos_rapPagoMinimoAnual,IF(Y52&lt;10000,0,MIN(0.1,INT(Y52/10000)/100))*Y52)</f>
        <v/>
      </c>
      <c r="CL52" s="7">
        <f>IF(CE52&lt;=0,0,IF(CH52=1,0,IF(CI52=1,MIN(CE52+CJ52,CK52),PMT(CF52,MAX(1,prestamos_plazoAnios-CG52),-CE52))))</f>
        <v/>
      </c>
      <c r="CM52" s="7">
        <f>IF(CE52&lt;=0,0,IF(CH52=1,CE52+CJ52,IF(CI52=1,MAX(0,CE52-MAX(CL52-CJ52,MIN(600,CL52))),MAX(0,CE52*(1+CF52)-CL52))))</f>
        <v/>
      </c>
      <c r="CN52" s="7">
        <f>IF(19=0,0,CN51)+IF(CI52=1,12*MIN(1,K52),0)</f>
        <v/>
      </c>
      <c r="CO52" s="7">
        <f>IF(AND(CI52=1,CN52&gt;=prestamos_pslfPagos,CM52&gt;0),CM52,0)</f>
        <v/>
      </c>
      <c r="CP52" s="7">
        <f>CM52-CO52</f>
        <v/>
      </c>
      <c r="CQ52" s="7">
        <f>IF(AND(CE52&gt;0,CH52=0,CI52=0),CG52+1,CG52)</f>
        <v/>
      </c>
      <c r="CR52" s="7">
        <f>IF(19=0,IF(personal_deudaEsFederal=1,0,personal_deudaEstudiantil),EA51)</f>
        <v/>
      </c>
      <c r="CS52" s="7">
        <f>IF(19=0,IF(personal_deudaEsFederal=1,prestamos_tasaPrivada,personal_tasaDeudaEstudiantil),EB51)</f>
        <v/>
      </c>
      <c r="CT52" s="7">
        <f>IF(19=0,0,EC51)</f>
        <v/>
      </c>
      <c r="CU52" s="7">
        <f>IF(OR(CR52&lt;=0,CH52=1),0,PMT(CS52,MAX(1,prestamos_plazoAnios-CT52),-CR52))</f>
        <v/>
      </c>
      <c r="CV52" s="7">
        <f>IF(CR52&lt;=0,0,IF(CH52=1,CR52*(1+CS52),MAX(0,CR52*(1+CS52)-CU52)))</f>
        <v/>
      </c>
      <c r="CW52" s="7">
        <f>IF(AND(CR52&gt;0,CH52=0),CT52+1,CT52)</f>
        <v/>
      </c>
      <c r="CX52" s="7">
        <f>IF(19=0,0,ED51)*(1+general_tasaDeudaConsumo)</f>
        <v/>
      </c>
      <c r="CY52" s="7">
        <f>L52*12*tiempos_travelGastoExtraMes*C52</f>
        <v/>
      </c>
      <c r="CZ52" s="7">
        <f>AJ52+CY52+CA52+CC52+CL52+CU52+I52+N52-BZ52-CB52</f>
        <v/>
      </c>
      <c r="DA52" s="7">
        <f>AH52-CZ52</f>
        <v/>
      </c>
      <c r="DB52" s="7">
        <f>IF(19=0,0,DB51)+DA52</f>
        <v/>
      </c>
      <c r="DC52" s="7">
        <f>AN52*vivienda_enganchePct+AN52*vivienda_cierrePct+general_reservaMeses/12*AJ52</f>
        <v/>
      </c>
      <c r="DD52" s="7">
        <f>IF(BB52=1,g_ret,IF(BD52&gt;0,MIN(1,DC52/BD52),1)*g_cash+(1-IF(BD52&gt;0,MIN(1,DC52/BD52),1))*g_ret)</f>
        <v/>
      </c>
      <c r="DE52" s="7">
        <f>IF(DA52&gt;=0,MIN(CX52,DA52),0)</f>
        <v/>
      </c>
      <c r="DF52" s="7">
        <f>IF(DA52&gt;=0,(1-general_tasaAhorro)*(DA52-DE52),0)</f>
        <v/>
      </c>
      <c r="DG52" s="7">
        <f>IF(DA52&gt;=0,DA52-DE52-DF52,0)</f>
        <v/>
      </c>
      <c r="DH52" s="7">
        <f>MIN(personal_rothAnual,DG52)</f>
        <v/>
      </c>
      <c r="DI52" s="7">
        <f>IF(AND(DA52&gt;=0,BB52=1,BP52+BT52&gt;0),MIN(vivienda_prepagoPct*(DG52-DH52),BP52+BT52),0)</f>
        <v/>
      </c>
      <c r="DJ52" s="7">
        <f>MIN(DI52,BP52)</f>
        <v/>
      </c>
      <c r="DK52" s="7">
        <f>IF(DA52&lt;0,MIN(MAX(0,BD52),-DA52),0)</f>
        <v/>
      </c>
      <c r="DL52" s="7">
        <f>IF(DA52&lt;0,-DA52-DK52,0)</f>
        <v/>
      </c>
      <c r="DM52" s="7">
        <f>IF(19=0,0,DZ51)</f>
        <v/>
      </c>
      <c r="DN52" s="7">
        <f>IF(AND(DL52&gt;0,J52&gt;0),MIN(DL52,MIN(prestamos_topeAnualPosgrado*MIN(1,J52),MAX(0,prestamos_topeTotalPosgrado-DM52))),0)</f>
        <v/>
      </c>
      <c r="DO52" s="7">
        <f>IF(AND(DL52&gt;0,J52&gt;0),DL52-DN52,0)</f>
        <v/>
      </c>
      <c r="DP52" s="7">
        <f>IF(AND(DL52&gt;0,J52&lt;=0),DL52,0)</f>
        <v/>
      </c>
      <c r="DQ52" s="7">
        <f>IF(DA52&gt;=0,DG52-DH52-DI52,-DK52)</f>
        <v/>
      </c>
      <c r="DR52" s="7">
        <f>BD52*(1+DD52)+DQ52*(1+DD52/2)</f>
        <v/>
      </c>
      <c r="DS52" s="7">
        <f>IF(19=0,personal_retiroInicial,DS51)*(1+g_ret)+(O52+P52+DH52)*(1+g_ret/2)</f>
        <v/>
      </c>
      <c r="DT52" s="7">
        <f>IF(BB52=1,BL52*(1+g_appr),0)</f>
        <v/>
      </c>
      <c r="DU52" s="7">
        <f>BP52-DJ52</f>
        <v/>
      </c>
      <c r="DV52" s="7">
        <f>BT52-(DI52-DJ52)</f>
        <v/>
      </c>
      <c r="DW52" s="7">
        <f>CP52+DN52</f>
        <v/>
      </c>
      <c r="DX52" s="7">
        <f>IF(DN52&gt;0,(CP52*CF52+DN52*prestamos_tasaFederalPosgrado)/(CP52+DN52),CF52)</f>
        <v/>
      </c>
      <c r="DY52" s="7">
        <f>IF(DN52&gt;0,0,CQ52)</f>
        <v/>
      </c>
      <c r="DZ52" s="7">
        <f>DM52+DN52</f>
        <v/>
      </c>
      <c r="EA52" s="7">
        <f>CV52+DO52</f>
        <v/>
      </c>
      <c r="EB52" s="7">
        <f>IF(DO52&gt;0,(CV52*CS52+DO52*prestamos_tasaPrivada)/(CV52+DO52),CS52)</f>
        <v/>
      </c>
      <c r="EC52" s="7">
        <f>IF(DO52&gt;0,0,CW52)</f>
        <v/>
      </c>
      <c r="ED52" s="7">
        <f>CX52-DE52+DP52</f>
        <v/>
      </c>
      <c r="EE52" s="7">
        <f>IF(IF(19=0,"",EE51)&lt;&gt;"",EE51,IF(AND(BB52=1,DU52&lt;=0.5,DV52&lt;=0.5,OR(BH52=0,BJ52=1)),A52,""))</f>
        <v/>
      </c>
      <c r="EF52" s="7">
        <f>DU52+DV52+DW52+EA52+ED52+CD52</f>
        <v/>
      </c>
      <c r="EG52" s="7">
        <f>DR52+DS52+DT52-EF52</f>
        <v/>
      </c>
      <c r="EH52" s="7">
        <f>EG52/(1+g_inf)^(A52+1-2026)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2026-10-27T05:34:22Z</dcterms:created>
  <dcterms:modified xmlns:dcterms="http://purl.org/dc/terms/" xmlns:xsi="http://www.w3.org/2001/XMLSchema-instance" xsi:type="dcterms:W3CDTF">2026-10-27T05:34:23Z</dcterms:modified>
</cp:coreProperties>
</file>